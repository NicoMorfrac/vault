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arlowropesltd.sharepoint.com/Shared Documents/General_Info/Leisure Marine/Customer Folders/Leisure Marine EUR/Morfrac Systems (OEM 40%)/Price List/2024 Price List/"/>
    </mc:Choice>
  </mc:AlternateContent>
  <xr:revisionPtr revIDLastSave="0" documentId="8_{78BCD913-56DB-4932-8D26-E9291DEC069E}" xr6:coauthVersionLast="47" xr6:coauthVersionMax="47" xr10:uidLastSave="{00000000-0000-0000-0000-000000000000}"/>
  <workbookProtection lockStructure="1"/>
  <bookViews>
    <workbookView xWindow="-120" yWindow="-120" windowWidth="29040" windowHeight="15840" xr2:uid="{13CC7583-7F01-FB44-AA31-AEBABF5D7528}"/>
  </bookViews>
  <sheets>
    <sheet name="Customer Prices" sheetId="5" r:id="rId1"/>
    <sheet name="Custom Blends" sheetId="7" r:id="rId2"/>
    <sheet name="Weights" sheetId="2" state="hidden" r:id="rId3"/>
    <sheet name="Variables" sheetId="3" state="hidden" r:id="rId4"/>
  </sheets>
  <externalReferences>
    <externalReference r:id="rId5"/>
    <externalReference r:id="rId6"/>
    <externalReference r:id="rId7"/>
  </externalReferences>
  <definedNames>
    <definedName name="partnumber">'[1]Product List'!#REF!</definedName>
    <definedName name="pricefile" localSheetId="1">'[2]Product List'!$H:$K</definedName>
    <definedName name="pricefile">'[3]Product List'!$H:$K</definedName>
    <definedName name="_xlnm.Print_Area" localSheetId="1">'Custom Blends'!$A$1:$G$34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30" i="2" l="1"/>
  <c r="AG30" i="2"/>
  <c r="AH30" i="2"/>
  <c r="AE31" i="2"/>
  <c r="AG31" i="2"/>
  <c r="AH31" i="2"/>
  <c r="X41" i="5" l="1"/>
  <c r="W38" i="5"/>
  <c r="E31" i="7" l="1"/>
  <c r="E30" i="7"/>
  <c r="H26" i="7"/>
  <c r="E26" i="7" s="1"/>
  <c r="H25" i="7"/>
  <c r="E25" i="7" s="1"/>
  <c r="E20" i="7"/>
  <c r="E7" i="7"/>
  <c r="AF40" i="2"/>
  <c r="AH33" i="2"/>
  <c r="AH34" i="2"/>
  <c r="AH35" i="2"/>
  <c r="AH36" i="2"/>
  <c r="AH37" i="2"/>
  <c r="AH38" i="2"/>
  <c r="AH39" i="2"/>
  <c r="AH40" i="2"/>
  <c r="AH41" i="2"/>
  <c r="AH42" i="2"/>
  <c r="AH43" i="2"/>
  <c r="AH44" i="2"/>
  <c r="AH45" i="2"/>
  <c r="AH46" i="2"/>
  <c r="AH47" i="2"/>
  <c r="AH48" i="2"/>
  <c r="AH49" i="2"/>
  <c r="AH32" i="2"/>
  <c r="AG33" i="2"/>
  <c r="AG34" i="2"/>
  <c r="AG35" i="2"/>
  <c r="AG36" i="2"/>
  <c r="AG37" i="2"/>
  <c r="AG38" i="2"/>
  <c r="AG39" i="2"/>
  <c r="AG40" i="2"/>
  <c r="AG32" i="2"/>
  <c r="G19" i="7" l="1"/>
  <c r="E19" i="7" s="1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32" i="2"/>
  <c r="AD40" i="2"/>
  <c r="AC40" i="2"/>
  <c r="AA40" i="2"/>
  <c r="Z40" i="2"/>
  <c r="AB40" i="2"/>
  <c r="G16" i="7"/>
  <c r="E16" i="7" s="1"/>
  <c r="G20" i="7"/>
  <c r="Z51" i="2"/>
  <c r="AA51" i="2"/>
  <c r="AA8" i="2"/>
  <c r="AA9" i="2"/>
  <c r="AA10" i="2"/>
  <c r="AA11" i="2"/>
  <c r="AA12" i="2"/>
  <c r="AA13" i="2"/>
  <c r="AA14" i="2"/>
  <c r="AA15" i="2"/>
  <c r="AA16" i="2"/>
  <c r="AA18" i="2"/>
  <c r="AA19" i="2"/>
  <c r="AA20" i="2"/>
  <c r="AA21" i="2"/>
  <c r="AA22" i="2"/>
  <c r="AA23" i="2"/>
  <c r="AA24" i="2"/>
  <c r="AA25" i="2"/>
  <c r="AA26" i="2"/>
  <c r="AA7" i="2"/>
  <c r="Z8" i="2"/>
  <c r="Z9" i="2"/>
  <c r="Z10" i="2"/>
  <c r="Z11" i="2"/>
  <c r="Z12" i="2"/>
  <c r="Z13" i="2"/>
  <c r="Z14" i="2"/>
  <c r="Z15" i="2"/>
  <c r="Z16" i="2"/>
  <c r="Z18" i="2"/>
  <c r="Z19" i="2"/>
  <c r="Z20" i="2"/>
  <c r="Z21" i="2"/>
  <c r="Z22" i="2"/>
  <c r="Z23" i="2"/>
  <c r="Z24" i="2"/>
  <c r="Z25" i="2"/>
  <c r="Z26" i="2"/>
  <c r="Z7" i="2"/>
  <c r="AC51" i="2"/>
  <c r="AD51" i="2"/>
  <c r="AE51" i="2"/>
  <c r="AF51" i="2"/>
  <c r="AG51" i="2"/>
  <c r="AH51" i="2"/>
  <c r="AB51" i="2"/>
  <c r="AG7" i="2"/>
  <c r="AG8" i="2"/>
  <c r="AH8" i="2"/>
  <c r="AG9" i="2"/>
  <c r="AH9" i="2"/>
  <c r="AG10" i="2"/>
  <c r="AH10" i="2"/>
  <c r="AG11" i="2"/>
  <c r="AH11" i="2"/>
  <c r="AG12" i="2"/>
  <c r="AH12" i="2"/>
  <c r="AG13" i="2"/>
  <c r="AH13" i="2"/>
  <c r="AG14" i="2"/>
  <c r="AH14" i="2"/>
  <c r="AG15" i="2"/>
  <c r="AH15" i="2"/>
  <c r="AF16" i="2"/>
  <c r="AG16" i="2"/>
  <c r="AH16" i="2"/>
  <c r="AG18" i="2"/>
  <c r="AG41" i="2" s="1"/>
  <c r="G18" i="7" s="1"/>
  <c r="E18" i="7" s="1"/>
  <c r="AH18" i="2"/>
  <c r="AG19" i="2"/>
  <c r="AG42" i="2" s="1"/>
  <c r="AH19" i="2"/>
  <c r="AG20" i="2"/>
  <c r="AG43" i="2" s="1"/>
  <c r="AH20" i="2"/>
  <c r="AG21" i="2"/>
  <c r="AG44" i="2" s="1"/>
  <c r="AH21" i="2"/>
  <c r="AF22" i="2"/>
  <c r="AG22" i="2"/>
  <c r="AG45" i="2" s="1"/>
  <c r="AG23" i="2"/>
  <c r="AG46" i="2" s="1"/>
  <c r="AG24" i="2"/>
  <c r="AG47" i="2" s="1"/>
  <c r="AG25" i="2"/>
  <c r="AG48" i="2" s="1"/>
  <c r="AH25" i="2"/>
  <c r="AG26" i="2"/>
  <c r="AG49" i="2" s="1"/>
  <c r="AC21" i="2"/>
  <c r="U21" i="2" s="1"/>
  <c r="X21" i="2" s="1"/>
  <c r="AD21" i="2"/>
  <c r="AE21" i="2"/>
  <c r="Y21" i="2" s="1"/>
  <c r="AC22" i="2"/>
  <c r="U22" i="2" s="1"/>
  <c r="X22" i="2" s="1"/>
  <c r="AD22" i="2"/>
  <c r="AE22" i="2"/>
  <c r="Y22" i="2" s="1"/>
  <c r="AC23" i="2"/>
  <c r="AD23" i="2"/>
  <c r="AE23" i="2"/>
  <c r="Y23" i="2" s="1"/>
  <c r="AC24" i="2"/>
  <c r="U24" i="2" s="1"/>
  <c r="X24" i="2" s="1"/>
  <c r="AD24" i="2"/>
  <c r="AE24" i="2"/>
  <c r="AC25" i="2"/>
  <c r="AD25" i="2"/>
  <c r="AE25" i="2"/>
  <c r="Y25" i="2" s="1"/>
  <c r="AC26" i="2"/>
  <c r="U26" i="2" s="1"/>
  <c r="X26" i="2" s="1"/>
  <c r="AD26" i="2"/>
  <c r="AE26" i="2"/>
  <c r="Y26" i="2" s="1"/>
  <c r="U23" i="2"/>
  <c r="X23" i="2" s="1"/>
  <c r="Y24" i="2"/>
  <c r="T25" i="2"/>
  <c r="U25" i="2"/>
  <c r="V25" i="2"/>
  <c r="W25" i="2"/>
  <c r="AC7" i="2"/>
  <c r="AD7" i="2"/>
  <c r="AE7" i="2"/>
  <c r="Y7" i="2" s="1"/>
  <c r="AC8" i="2"/>
  <c r="AD8" i="2"/>
  <c r="AE8" i="2"/>
  <c r="Y8" i="2" s="1"/>
  <c r="T8" i="2"/>
  <c r="W8" i="2"/>
  <c r="R22" i="2"/>
  <c r="AH22" i="2" s="1"/>
  <c r="R23" i="2"/>
  <c r="AH23" i="2" s="1"/>
  <c r="R24" i="2"/>
  <c r="T24" i="2" s="1"/>
  <c r="V24" i="2" s="1"/>
  <c r="R25" i="2"/>
  <c r="R26" i="2"/>
  <c r="AH26" i="2" s="1"/>
  <c r="R21" i="2"/>
  <c r="T21" i="2" s="1"/>
  <c r="R8" i="2"/>
  <c r="R7" i="2" s="1"/>
  <c r="S10" i="2"/>
  <c r="S11" i="2"/>
  <c r="S12" i="2"/>
  <c r="S13" i="2"/>
  <c r="S14" i="2"/>
  <c r="S18" i="2"/>
  <c r="S19" i="2"/>
  <c r="AB10" i="2"/>
  <c r="AB11" i="2"/>
  <c r="AB12" i="2"/>
  <c r="AB13" i="2"/>
  <c r="AB14" i="2"/>
  <c r="AB15" i="2"/>
  <c r="S15" i="2" s="1"/>
  <c r="AB16" i="2"/>
  <c r="S16" i="2" s="1"/>
  <c r="AB18" i="2"/>
  <c r="AB19" i="2"/>
  <c r="AB20" i="2"/>
  <c r="S20" i="2" s="1"/>
  <c r="AB21" i="2"/>
  <c r="AB22" i="2"/>
  <c r="AB23" i="2"/>
  <c r="AB24" i="2"/>
  <c r="S24" i="2" s="1"/>
  <c r="AB25" i="2"/>
  <c r="S25" i="2" s="1"/>
  <c r="AB26" i="2"/>
  <c r="S26" i="2" s="1"/>
  <c r="AB7" i="2"/>
  <c r="AB8" i="2"/>
  <c r="S8" i="2" s="1"/>
  <c r="AB9" i="2"/>
  <c r="S9" i="2" s="1"/>
  <c r="AE10" i="2"/>
  <c r="Y10" i="2" s="1"/>
  <c r="AE11" i="2"/>
  <c r="Y11" i="2" s="1"/>
  <c r="AE12" i="2"/>
  <c r="Y12" i="2" s="1"/>
  <c r="AE13" i="2"/>
  <c r="Y13" i="2" s="1"/>
  <c r="AE14" i="2"/>
  <c r="Y14" i="2" s="1"/>
  <c r="AE15" i="2"/>
  <c r="Y15" i="2" s="1"/>
  <c r="AE16" i="2"/>
  <c r="Y16" i="2" s="1"/>
  <c r="AE18" i="2"/>
  <c r="Y18" i="2" s="1"/>
  <c r="AE19" i="2"/>
  <c r="Y19" i="2" s="1"/>
  <c r="AE20" i="2"/>
  <c r="Y20" i="2" s="1"/>
  <c r="AE9" i="2"/>
  <c r="Y9" i="2" s="1"/>
  <c r="AD10" i="2"/>
  <c r="AD11" i="2"/>
  <c r="AD12" i="2"/>
  <c r="AD13" i="2"/>
  <c r="AD14" i="2"/>
  <c r="AD15" i="2"/>
  <c r="AD16" i="2"/>
  <c r="AD18" i="2"/>
  <c r="AD19" i="2"/>
  <c r="AD20" i="2"/>
  <c r="AD9" i="2"/>
  <c r="U16" i="2"/>
  <c r="U18" i="2"/>
  <c r="X18" i="2" s="1"/>
  <c r="U20" i="2"/>
  <c r="X20" i="2" s="1"/>
  <c r="AC10" i="2"/>
  <c r="U10" i="2" s="1"/>
  <c r="X10" i="2" s="1"/>
  <c r="AC11" i="2"/>
  <c r="U11" i="2" s="1"/>
  <c r="X11" i="2" s="1"/>
  <c r="AC12" i="2"/>
  <c r="U12" i="2" s="1"/>
  <c r="X12" i="2" s="1"/>
  <c r="AC13" i="2"/>
  <c r="U13" i="2" s="1"/>
  <c r="X13" i="2" s="1"/>
  <c r="AC14" i="2"/>
  <c r="U14" i="2" s="1"/>
  <c r="X14" i="2" s="1"/>
  <c r="AC15" i="2"/>
  <c r="U15" i="2" s="1"/>
  <c r="X15" i="2" s="1"/>
  <c r="AC16" i="2"/>
  <c r="AC18" i="2"/>
  <c r="AC19" i="2"/>
  <c r="U19" i="2" s="1"/>
  <c r="X19" i="2" s="1"/>
  <c r="AC20" i="2"/>
  <c r="AC9" i="2"/>
  <c r="T10" i="2"/>
  <c r="W10" i="2" s="1"/>
  <c r="T11" i="2"/>
  <c r="W11" i="2" s="1"/>
  <c r="T12" i="2"/>
  <c r="W12" i="2" s="1"/>
  <c r="T13" i="2"/>
  <c r="W13" i="2" s="1"/>
  <c r="T14" i="2"/>
  <c r="W14" i="2" s="1"/>
  <c r="T15" i="2"/>
  <c r="W15" i="2" s="1"/>
  <c r="T16" i="2"/>
  <c r="V16" i="2" s="1"/>
  <c r="T18" i="2"/>
  <c r="V18" i="2" s="1"/>
  <c r="T19" i="2"/>
  <c r="W19" i="2" s="1"/>
  <c r="T20" i="2"/>
  <c r="W20" i="2" s="1"/>
  <c r="T9" i="2"/>
  <c r="P8" i="2"/>
  <c r="AF8" i="2" s="1"/>
  <c r="P9" i="2"/>
  <c r="AF9" i="2" s="1"/>
  <c r="P10" i="2"/>
  <c r="AF10" i="2" s="1"/>
  <c r="P11" i="2"/>
  <c r="AF11" i="2" s="1"/>
  <c r="P12" i="2"/>
  <c r="AF12" i="2" s="1"/>
  <c r="P13" i="2"/>
  <c r="AF13" i="2" s="1"/>
  <c r="P14" i="2"/>
  <c r="AF14" i="2" s="1"/>
  <c r="P15" i="2"/>
  <c r="AF15" i="2" s="1"/>
  <c r="P16" i="2"/>
  <c r="P18" i="2"/>
  <c r="AF18" i="2" s="1"/>
  <c r="P19" i="2"/>
  <c r="AF19" i="2" s="1"/>
  <c r="P20" i="2"/>
  <c r="AF20" i="2" s="1"/>
  <c r="P21" i="2"/>
  <c r="AF21" i="2" s="1"/>
  <c r="P22" i="2"/>
  <c r="P23" i="2"/>
  <c r="AF23" i="2" s="1"/>
  <c r="P24" i="2"/>
  <c r="AF24" i="2" s="1"/>
  <c r="P25" i="2"/>
  <c r="AF25" i="2" s="1"/>
  <c r="P26" i="2"/>
  <c r="AF26" i="2" s="1"/>
  <c r="P7" i="2"/>
  <c r="AF7" i="2" s="1"/>
  <c r="V7" i="2" s="1"/>
  <c r="G8" i="7"/>
  <c r="G21" i="7"/>
  <c r="E29" i="7"/>
  <c r="G26" i="7"/>
  <c r="G25" i="7"/>
  <c r="E27" i="7" l="1"/>
  <c r="Z42" i="5"/>
  <c r="E28" i="7"/>
  <c r="E32" i="7" s="1"/>
  <c r="Z43" i="5"/>
  <c r="V9" i="2"/>
  <c r="V8" i="2"/>
  <c r="V21" i="2"/>
  <c r="W21" i="2"/>
  <c r="S22" i="2"/>
  <c r="S21" i="2"/>
  <c r="T7" i="2"/>
  <c r="W7" i="2" s="1"/>
  <c r="AH7" i="2"/>
  <c r="S7" i="2"/>
  <c r="U8" i="2"/>
  <c r="X8" i="2" s="1"/>
  <c r="AH24" i="2"/>
  <c r="U9" i="2"/>
  <c r="X9" i="2" s="1"/>
  <c r="T23" i="2"/>
  <c r="S23" i="2"/>
  <c r="V11" i="2"/>
  <c r="T22" i="2"/>
  <c r="U7" i="2"/>
  <c r="X7" i="2" s="1"/>
  <c r="T26" i="2"/>
  <c r="X16" i="2"/>
  <c r="X25" i="2"/>
  <c r="W24" i="2"/>
  <c r="W9" i="2"/>
  <c r="W18" i="2"/>
  <c r="V10" i="2"/>
  <c r="V20" i="2"/>
  <c r="V19" i="2"/>
  <c r="W16" i="2"/>
  <c r="V15" i="2"/>
  <c r="V14" i="2"/>
  <c r="V13" i="2"/>
  <c r="V12" i="2"/>
  <c r="C4" i="7"/>
  <c r="V22" i="2" l="1"/>
  <c r="W22" i="2"/>
  <c r="W23" i="2"/>
  <c r="V23" i="2"/>
  <c r="V26" i="2"/>
  <c r="W26" i="2"/>
  <c r="E21" i="7"/>
  <c r="E8" i="7" a="1"/>
  <c r="E8" i="7" s="1"/>
  <c r="E9" i="7" s="1"/>
  <c r="F31" i="2" l="1"/>
  <c r="V32" i="2"/>
  <c r="V33" i="2"/>
  <c r="X48" i="2"/>
  <c r="Q49" i="2"/>
  <c r="P49" i="2"/>
  <c r="O49" i="2"/>
  <c r="Z49" i="2" s="1"/>
  <c r="Y48" i="2"/>
  <c r="W48" i="2"/>
  <c r="V48" i="2"/>
  <c r="U48" i="2"/>
  <c r="Q48" i="2"/>
  <c r="O48" i="2"/>
  <c r="Z48" i="2" s="1"/>
  <c r="Y47" i="2"/>
  <c r="W47" i="2"/>
  <c r="V47" i="2"/>
  <c r="U47" i="2"/>
  <c r="T47" i="2"/>
  <c r="S47" i="2"/>
  <c r="P47" i="2"/>
  <c r="Y46" i="2"/>
  <c r="W46" i="2"/>
  <c r="V46" i="2"/>
  <c r="U46" i="2"/>
  <c r="T46" i="2"/>
  <c r="S46" i="2"/>
  <c r="R46" i="2"/>
  <c r="AA46" i="2" s="1"/>
  <c r="O46" i="2"/>
  <c r="Z46" i="2" s="1"/>
  <c r="Y45" i="2"/>
  <c r="W45" i="2"/>
  <c r="V45" i="2"/>
  <c r="U45" i="2"/>
  <c r="T45" i="2"/>
  <c r="S45" i="2"/>
  <c r="R45" i="2"/>
  <c r="AA45" i="2" s="1"/>
  <c r="Q45" i="2"/>
  <c r="P45" i="2"/>
  <c r="O45" i="2"/>
  <c r="Z45" i="2" s="1"/>
  <c r="Y44" i="2"/>
  <c r="W44" i="2"/>
  <c r="V44" i="2"/>
  <c r="U44" i="2"/>
  <c r="T44" i="2"/>
  <c r="S44" i="2"/>
  <c r="R44" i="2"/>
  <c r="AA44" i="2" s="1"/>
  <c r="Q44" i="2"/>
  <c r="P44" i="2"/>
  <c r="O44" i="2"/>
  <c r="Z44" i="2" s="1"/>
  <c r="X43" i="2"/>
  <c r="W43" i="2"/>
  <c r="V43" i="2"/>
  <c r="U43" i="2"/>
  <c r="T43" i="2"/>
  <c r="R43" i="2"/>
  <c r="AA43" i="2" s="1"/>
  <c r="Q43" i="2"/>
  <c r="O43" i="2"/>
  <c r="Z43" i="2" s="1"/>
  <c r="Y42" i="2"/>
  <c r="X42" i="2"/>
  <c r="W42" i="2"/>
  <c r="V42" i="2"/>
  <c r="U42" i="2"/>
  <c r="T42" i="2"/>
  <c r="S42" i="2"/>
  <c r="R42" i="2"/>
  <c r="AA42" i="2" s="1"/>
  <c r="Q42" i="2"/>
  <c r="P42" i="2"/>
  <c r="Y41" i="2"/>
  <c r="X41" i="2"/>
  <c r="W41" i="2"/>
  <c r="V41" i="2"/>
  <c r="U41" i="2"/>
  <c r="T41" i="2"/>
  <c r="S41" i="2"/>
  <c r="R41" i="2"/>
  <c r="AA41" i="2" s="1"/>
  <c r="Q41" i="2"/>
  <c r="P41" i="2"/>
  <c r="O41" i="2"/>
  <c r="Z41" i="2" s="1"/>
  <c r="Y39" i="2"/>
  <c r="X39" i="2"/>
  <c r="W39" i="2"/>
  <c r="V39" i="2"/>
  <c r="T39" i="2"/>
  <c r="S39" i="2"/>
  <c r="R39" i="2"/>
  <c r="AA39" i="2" s="1"/>
  <c r="Q39" i="2"/>
  <c r="P39" i="2"/>
  <c r="O39" i="2"/>
  <c r="Z39" i="2" s="1"/>
  <c r="Y38" i="2"/>
  <c r="X38" i="2"/>
  <c r="W38" i="2"/>
  <c r="V38" i="2"/>
  <c r="U38" i="2"/>
  <c r="T38" i="2"/>
  <c r="S38" i="2"/>
  <c r="R38" i="2"/>
  <c r="AA38" i="2" s="1"/>
  <c r="Q38" i="2"/>
  <c r="P38" i="2"/>
  <c r="O38" i="2"/>
  <c r="Z38" i="2" s="1"/>
  <c r="Y37" i="2"/>
  <c r="X37" i="2"/>
  <c r="W37" i="2"/>
  <c r="V37" i="2"/>
  <c r="U37" i="2"/>
  <c r="T37" i="2"/>
  <c r="S37" i="2"/>
  <c r="R37" i="2"/>
  <c r="AA37" i="2" s="1"/>
  <c r="Q37" i="2"/>
  <c r="P37" i="2"/>
  <c r="O37" i="2"/>
  <c r="Z37" i="2" s="1"/>
  <c r="Y36" i="2"/>
  <c r="X36" i="2"/>
  <c r="W36" i="2"/>
  <c r="V36" i="2"/>
  <c r="U36" i="2"/>
  <c r="T36" i="2"/>
  <c r="S36" i="2"/>
  <c r="Q36" i="2"/>
  <c r="P36" i="2"/>
  <c r="O36" i="2"/>
  <c r="Z36" i="2" s="1"/>
  <c r="Y35" i="2"/>
  <c r="X35" i="2"/>
  <c r="W35" i="2"/>
  <c r="V35" i="2"/>
  <c r="U35" i="2"/>
  <c r="T35" i="2"/>
  <c r="S35" i="2"/>
  <c r="Q35" i="2"/>
  <c r="P35" i="2"/>
  <c r="O35" i="2"/>
  <c r="Z35" i="2" s="1"/>
  <c r="Y34" i="2"/>
  <c r="X34" i="2"/>
  <c r="W34" i="2"/>
  <c r="V34" i="2"/>
  <c r="U34" i="2"/>
  <c r="T34" i="2"/>
  <c r="S34" i="2"/>
  <c r="R34" i="2"/>
  <c r="AA34" i="2" s="1"/>
  <c r="Q34" i="2"/>
  <c r="P34" i="2"/>
  <c r="O34" i="2"/>
  <c r="Z34" i="2" s="1"/>
  <c r="Y33" i="2"/>
  <c r="X33" i="2"/>
  <c r="W33" i="2"/>
  <c r="U33" i="2"/>
  <c r="T33" i="2"/>
  <c r="S33" i="2"/>
  <c r="R33" i="2"/>
  <c r="AA33" i="2" s="1"/>
  <c r="Q33" i="2"/>
  <c r="P33" i="2"/>
  <c r="O33" i="2"/>
  <c r="Z33" i="2" s="1"/>
  <c r="Y32" i="2"/>
  <c r="X32" i="2"/>
  <c r="W32" i="2"/>
  <c r="U32" i="2"/>
  <c r="T32" i="2"/>
  <c r="S32" i="2"/>
  <c r="R32" i="2"/>
  <c r="AA32" i="2" s="1"/>
  <c r="Q32" i="2"/>
  <c r="P32" i="2"/>
  <c r="O32" i="2"/>
  <c r="Z32" i="2" s="1"/>
  <c r="Y31" i="2"/>
  <c r="X31" i="2"/>
  <c r="W31" i="2"/>
  <c r="V31" i="2"/>
  <c r="U31" i="2"/>
  <c r="T31" i="2"/>
  <c r="S31" i="2"/>
  <c r="R31" i="2"/>
  <c r="AA31" i="2" s="1"/>
  <c r="Q31" i="2"/>
  <c r="P31" i="2"/>
  <c r="O31" i="2"/>
  <c r="Z31" i="2" s="1"/>
  <c r="Y30" i="2"/>
  <c r="X30" i="2"/>
  <c r="W30" i="2"/>
  <c r="V30" i="2"/>
  <c r="AF30" i="2" s="1"/>
  <c r="U30" i="2"/>
  <c r="T30" i="2"/>
  <c r="S30" i="2"/>
  <c r="R30" i="2"/>
  <c r="AA30" i="2" s="1"/>
  <c r="Q30" i="2"/>
  <c r="P30" i="2"/>
  <c r="O30" i="2"/>
  <c r="Z30" i="2" s="1"/>
  <c r="Y29" i="2"/>
  <c r="X29" i="2"/>
  <c r="W29" i="2"/>
  <c r="V29" i="2"/>
  <c r="U29" i="2"/>
  <c r="T29" i="2"/>
  <c r="S29" i="2"/>
  <c r="R29" i="2"/>
  <c r="Q29" i="2"/>
  <c r="P29" i="2"/>
  <c r="O29" i="2"/>
  <c r="P28" i="2"/>
  <c r="Q28" i="2"/>
  <c r="R28" i="2"/>
  <c r="S28" i="2"/>
  <c r="T28" i="2"/>
  <c r="U28" i="2"/>
  <c r="V28" i="2"/>
  <c r="W28" i="2"/>
  <c r="X28" i="2"/>
  <c r="Y28" i="2"/>
  <c r="O28" i="2"/>
  <c r="U39" i="2"/>
  <c r="Y43" i="2"/>
  <c r="T48" i="2"/>
  <c r="R35" i="2"/>
  <c r="AA35" i="2" s="1"/>
  <c r="R36" i="2"/>
  <c r="AA36" i="2" s="1"/>
  <c r="P43" i="2"/>
  <c r="S43" i="2"/>
  <c r="P46" i="2"/>
  <c r="Q46" i="2"/>
  <c r="Q47" i="2"/>
  <c r="R47" i="2"/>
  <c r="AA47" i="2" s="1"/>
  <c r="P48" i="2"/>
  <c r="R48" i="2"/>
  <c r="AA48" i="2" s="1"/>
  <c r="S48" i="2"/>
  <c r="O42" i="2"/>
  <c r="Z42" i="2" s="1"/>
  <c r="O47" i="2"/>
  <c r="Z47" i="2" s="1"/>
  <c r="K49" i="2"/>
  <c r="J49" i="2"/>
  <c r="I49" i="2"/>
  <c r="H49" i="2"/>
  <c r="G49" i="2"/>
  <c r="F49" i="2"/>
  <c r="E49" i="2"/>
  <c r="D49" i="2"/>
  <c r="K48" i="2"/>
  <c r="J48" i="2"/>
  <c r="I48" i="2"/>
  <c r="H48" i="2"/>
  <c r="G48" i="2"/>
  <c r="F48" i="2"/>
  <c r="E48" i="2"/>
  <c r="D48" i="2"/>
  <c r="K47" i="2"/>
  <c r="J47" i="2"/>
  <c r="I47" i="2"/>
  <c r="H47" i="2"/>
  <c r="G47" i="2"/>
  <c r="F47" i="2"/>
  <c r="E47" i="2"/>
  <c r="D47" i="2"/>
  <c r="K46" i="2"/>
  <c r="J46" i="2"/>
  <c r="I46" i="2"/>
  <c r="H46" i="2"/>
  <c r="G46" i="2"/>
  <c r="F46" i="2"/>
  <c r="E46" i="2"/>
  <c r="D46" i="2"/>
  <c r="K45" i="2"/>
  <c r="J45" i="2"/>
  <c r="I45" i="2"/>
  <c r="H45" i="2"/>
  <c r="G45" i="2"/>
  <c r="F45" i="2"/>
  <c r="E45" i="2"/>
  <c r="D45" i="2"/>
  <c r="K44" i="2"/>
  <c r="J44" i="2"/>
  <c r="I44" i="2"/>
  <c r="H44" i="2"/>
  <c r="G44" i="2"/>
  <c r="F44" i="2"/>
  <c r="E44" i="2"/>
  <c r="D44" i="2"/>
  <c r="K43" i="2"/>
  <c r="J43" i="2"/>
  <c r="I43" i="2"/>
  <c r="H43" i="2"/>
  <c r="G43" i="2"/>
  <c r="F43" i="2"/>
  <c r="E43" i="2"/>
  <c r="D43" i="2"/>
  <c r="K42" i="2"/>
  <c r="J42" i="2"/>
  <c r="I42" i="2"/>
  <c r="H42" i="2"/>
  <c r="G42" i="2"/>
  <c r="F42" i="2"/>
  <c r="E42" i="2"/>
  <c r="D42" i="2"/>
  <c r="K41" i="2"/>
  <c r="J41" i="2"/>
  <c r="I41" i="2"/>
  <c r="H41" i="2"/>
  <c r="G41" i="2"/>
  <c r="F41" i="2"/>
  <c r="E41" i="2"/>
  <c r="D41" i="2"/>
  <c r="K40" i="2"/>
  <c r="J40" i="2"/>
  <c r="I40" i="2"/>
  <c r="H40" i="2"/>
  <c r="G40" i="2"/>
  <c r="F40" i="2"/>
  <c r="E40" i="2"/>
  <c r="D40" i="2"/>
  <c r="K39" i="2"/>
  <c r="J39" i="2"/>
  <c r="I39" i="2"/>
  <c r="H39" i="2"/>
  <c r="G39" i="2"/>
  <c r="F39" i="2"/>
  <c r="E39" i="2"/>
  <c r="D39" i="2"/>
  <c r="K38" i="2"/>
  <c r="J38" i="2"/>
  <c r="I38" i="2"/>
  <c r="H38" i="2"/>
  <c r="G38" i="2"/>
  <c r="F38" i="2"/>
  <c r="E38" i="2"/>
  <c r="D38" i="2"/>
  <c r="K37" i="2"/>
  <c r="J37" i="2"/>
  <c r="I37" i="2"/>
  <c r="H37" i="2"/>
  <c r="G37" i="2"/>
  <c r="F37" i="2"/>
  <c r="E37" i="2"/>
  <c r="D37" i="2"/>
  <c r="K36" i="2"/>
  <c r="J36" i="2"/>
  <c r="I36" i="2"/>
  <c r="H36" i="2"/>
  <c r="G36" i="2"/>
  <c r="F36" i="2"/>
  <c r="E36" i="2"/>
  <c r="D36" i="2"/>
  <c r="K35" i="2"/>
  <c r="J35" i="2"/>
  <c r="I35" i="2"/>
  <c r="H35" i="2"/>
  <c r="G35" i="2"/>
  <c r="F35" i="2"/>
  <c r="E35" i="2"/>
  <c r="D35" i="2"/>
  <c r="K34" i="2"/>
  <c r="J34" i="2"/>
  <c r="I34" i="2"/>
  <c r="H34" i="2"/>
  <c r="G34" i="2"/>
  <c r="F34" i="2"/>
  <c r="E34" i="2"/>
  <c r="D34" i="2"/>
  <c r="K33" i="2"/>
  <c r="J33" i="2"/>
  <c r="I33" i="2"/>
  <c r="H33" i="2"/>
  <c r="G33" i="2"/>
  <c r="F33" i="2"/>
  <c r="E33" i="2"/>
  <c r="D33" i="2"/>
  <c r="K32" i="2"/>
  <c r="J32" i="2"/>
  <c r="I32" i="2"/>
  <c r="H32" i="2"/>
  <c r="G32" i="2"/>
  <c r="F32" i="2"/>
  <c r="E32" i="2"/>
  <c r="D32" i="2"/>
  <c r="K31" i="2"/>
  <c r="J31" i="2"/>
  <c r="I31" i="2"/>
  <c r="H31" i="2"/>
  <c r="G31" i="2"/>
  <c r="E31" i="2"/>
  <c r="D31" i="2"/>
  <c r="K30" i="2"/>
  <c r="J30" i="2"/>
  <c r="I30" i="2"/>
  <c r="H30" i="2"/>
  <c r="G30" i="2"/>
  <c r="F30" i="2"/>
  <c r="E30" i="2"/>
  <c r="D30" i="2"/>
  <c r="K29" i="2"/>
  <c r="J29" i="2"/>
  <c r="I29" i="2"/>
  <c r="H29" i="2"/>
  <c r="G29" i="2"/>
  <c r="F29" i="2"/>
  <c r="E29" i="2"/>
  <c r="D29" i="2"/>
  <c r="K28" i="2"/>
  <c r="J28" i="2"/>
  <c r="I28" i="2"/>
  <c r="H28" i="2"/>
  <c r="G28" i="2"/>
  <c r="F28" i="2"/>
  <c r="E28" i="2"/>
  <c r="D28" i="2"/>
  <c r="Z46" i="5"/>
  <c r="Z45" i="5"/>
  <c r="Z44" i="5"/>
  <c r="Y41" i="5"/>
  <c r="Z41" i="5" s="1"/>
  <c r="W41" i="5"/>
  <c r="X40" i="5"/>
  <c r="W40" i="5"/>
  <c r="Y40" i="5" s="1"/>
  <c r="W39" i="5"/>
  <c r="AF44" i="2" l="1"/>
  <c r="AD33" i="2"/>
  <c r="AB37" i="2"/>
  <c r="AF39" i="2"/>
  <c r="AF31" i="2"/>
  <c r="AD31" i="2"/>
  <c r="AD30" i="2"/>
  <c r="G11" i="7"/>
  <c r="E11" i="7" s="1"/>
  <c r="G12" i="7"/>
  <c r="E12" i="7" s="1"/>
  <c r="AF48" i="2"/>
  <c r="AD48" i="2"/>
  <c r="AF37" i="2"/>
  <c r="AD37" i="2"/>
  <c r="Z40" i="5"/>
  <c r="Y39" i="5"/>
  <c r="Z39" i="5" s="1"/>
  <c r="AD44" i="2"/>
  <c r="AF46" i="2"/>
  <c r="AF41" i="2"/>
  <c r="AD46" i="2"/>
  <c r="AD32" i="2"/>
  <c r="AD41" i="2"/>
  <c r="AD39" i="2"/>
  <c r="AF38" i="2"/>
  <c r="AF45" i="2"/>
  <c r="AD38" i="2"/>
  <c r="AD45" i="2"/>
  <c r="AD42" i="2"/>
  <c r="AB34" i="2"/>
  <c r="AC34" i="2" s="1"/>
  <c r="AB36" i="2"/>
  <c r="AC36" i="2" s="1"/>
  <c r="AB35" i="2"/>
  <c r="AC35" i="2" s="1"/>
  <c r="AC37" i="2"/>
  <c r="AF36" i="2"/>
  <c r="AB33" i="2"/>
  <c r="AC33" i="2" s="1"/>
  <c r="AD36" i="2"/>
  <c r="AF47" i="2"/>
  <c r="AF35" i="2"/>
  <c r="AF43" i="2"/>
  <c r="AD47" i="2"/>
  <c r="AF33" i="2"/>
  <c r="AB32" i="2"/>
  <c r="AC32" i="2" s="1"/>
  <c r="AD35" i="2"/>
  <c r="AD43" i="2"/>
  <c r="AF32" i="2"/>
  <c r="AB31" i="2"/>
  <c r="AC31" i="2" s="1"/>
  <c r="AF34" i="2"/>
  <c r="AB39" i="2"/>
  <c r="AC39" i="2" s="1"/>
  <c r="AB30" i="2"/>
  <c r="AC30" i="2" s="1"/>
  <c r="AD34" i="2"/>
  <c r="G15" i="7" s="1"/>
  <c r="E15" i="7" s="1"/>
  <c r="AB38" i="2"/>
  <c r="AC38" i="2" s="1"/>
  <c r="AF42" i="2"/>
  <c r="AB43" i="2"/>
  <c r="AC43" i="2" s="1"/>
  <c r="AB49" i="2"/>
  <c r="AB44" i="2"/>
  <c r="AC44" i="2" s="1"/>
  <c r="AB41" i="2"/>
  <c r="AB47" i="2"/>
  <c r="AC47" i="2" s="1"/>
  <c r="AB46" i="2"/>
  <c r="AC46" i="2" s="1"/>
  <c r="AB42" i="2"/>
  <c r="AC42" i="2" s="1"/>
  <c r="AB48" i="2"/>
  <c r="AC48" i="2" s="1"/>
  <c r="AB45" i="2"/>
  <c r="AC45" i="2" s="1"/>
  <c r="G24" i="7"/>
  <c r="O51" i="2"/>
  <c r="P51" i="2"/>
  <c r="Q51" i="2"/>
  <c r="S49" i="2"/>
  <c r="S51" i="2" s="1"/>
  <c r="W49" i="2"/>
  <c r="W51" i="2" s="1"/>
  <c r="V49" i="2"/>
  <c r="U49" i="2"/>
  <c r="U51" i="2" s="1"/>
  <c r="R49" i="2"/>
  <c r="Y49" i="2"/>
  <c r="Y51" i="2" s="1"/>
  <c r="X49" i="2"/>
  <c r="T49" i="2"/>
  <c r="T51" i="2" s="1"/>
  <c r="X44" i="2"/>
  <c r="X45" i="2"/>
  <c r="X47" i="2"/>
  <c r="X46" i="2"/>
  <c r="G17" i="7" l="1"/>
  <c r="E17" i="7" s="1"/>
  <c r="Y37" i="5" a="1"/>
  <c r="Y37" i="5" s="1"/>
  <c r="Z37" i="5" s="1"/>
  <c r="Y38" i="5" a="1"/>
  <c r="Y38" i="5" s="1"/>
  <c r="Z38" i="5" s="1"/>
  <c r="R51" i="2"/>
  <c r="AA49" i="2"/>
  <c r="V51" i="2"/>
  <c r="AF49" i="2"/>
  <c r="G13" i="7"/>
  <c r="E13" i="7" s="1"/>
  <c r="AC41" i="2"/>
  <c r="G14" i="7" s="1"/>
  <c r="E14" i="7" s="1"/>
  <c r="X51" i="2"/>
  <c r="Z47" i="5" l="1"/>
  <c r="E22" i="7"/>
  <c r="Z48" i="5" l="1"/>
  <c r="Z49" i="5" s="1"/>
  <c r="E23" i="7"/>
  <c r="E34" i="7" s="1"/>
  <c r="E35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<sst xmlns="http://schemas.openxmlformats.org/spreadsheetml/2006/main" count="631" uniqueCount="235">
  <si>
    <t>MGP Cores</t>
  </si>
  <si>
    <t>Coatings</t>
  </si>
  <si>
    <t>MGP Covers</t>
  </si>
  <si>
    <t>Core</t>
  </si>
  <si>
    <t>Cover</t>
  </si>
  <si>
    <t>D12 78</t>
  </si>
  <si>
    <t>D12 99</t>
  </si>
  <si>
    <t>D12 Max 78</t>
  </si>
  <si>
    <t>D12 Max 99</t>
  </si>
  <si>
    <t>M-Rig Max</t>
  </si>
  <si>
    <t>T12</t>
  </si>
  <si>
    <t>Z12</t>
  </si>
  <si>
    <t>V12</t>
  </si>
  <si>
    <t>GripCoat</t>
  </si>
  <si>
    <t>DriCoat</t>
  </si>
  <si>
    <t>Racing 100</t>
  </si>
  <si>
    <t>BlueOcean 100</t>
  </si>
  <si>
    <t>Tech 50</t>
  </si>
  <si>
    <t>PBO 100</t>
  </si>
  <si>
    <t>Ptech 50</t>
  </si>
  <si>
    <t>PBO 50</t>
  </si>
  <si>
    <t>D Tech 50</t>
  </si>
  <si>
    <t>M-Grip 50</t>
  </si>
  <si>
    <t>Vectran 50</t>
  </si>
  <si>
    <t>Dyneema 50</t>
  </si>
  <si>
    <t>Runnertail</t>
  </si>
  <si>
    <t>2mm</t>
  </si>
  <si>
    <t>n/a</t>
  </si>
  <si>
    <t>2.5mm</t>
  </si>
  <si>
    <t>3mm</t>
  </si>
  <si>
    <t>4mm</t>
  </si>
  <si>
    <t>3.5mm</t>
  </si>
  <si>
    <t>5mm</t>
  </si>
  <si>
    <t>6mm</t>
  </si>
  <si>
    <t>7mm</t>
  </si>
  <si>
    <t>8mm</t>
  </si>
  <si>
    <t>6.5mm</t>
  </si>
  <si>
    <t>9mm</t>
  </si>
  <si>
    <t>10mm</t>
  </si>
  <si>
    <t>11mm</t>
  </si>
  <si>
    <t>Grand Prix Seies Price List</t>
  </si>
  <si>
    <t>12mm</t>
  </si>
  <si>
    <t>14mm</t>
  </si>
  <si>
    <t>16mm</t>
  </si>
  <si>
    <t>13mm</t>
  </si>
  <si>
    <t>18mm</t>
  </si>
  <si>
    <t>15mm</t>
  </si>
  <si>
    <t>20mm</t>
  </si>
  <si>
    <t>22mm</t>
  </si>
  <si>
    <t>17mm</t>
  </si>
  <si>
    <t>23mm</t>
  </si>
  <si>
    <t>24mm</t>
  </si>
  <si>
    <t>19mm</t>
  </si>
  <si>
    <t>26mm</t>
  </si>
  <si>
    <t>28mm</t>
  </si>
  <si>
    <t>30mm</t>
  </si>
  <si>
    <t>DYNEEMA CHAFE COVER</t>
  </si>
  <si>
    <t>CUSTOMISATIONS</t>
  </si>
  <si>
    <t>DYNEEMA WHIPPING TWINE</t>
  </si>
  <si>
    <t>Dia.</t>
  </si>
  <si>
    <t>Length</t>
  </si>
  <si>
    <t>White</t>
  </si>
  <si>
    <t>Black</t>
  </si>
  <si>
    <t>Glow in the dark mkr (per yarn) *</t>
  </si>
  <si>
    <t>EAM088</t>
  </si>
  <si>
    <t>(per meter)</t>
  </si>
  <si>
    <t>Red</t>
  </si>
  <si>
    <t>Blue</t>
  </si>
  <si>
    <t>Green</t>
  </si>
  <si>
    <t>Yellow</t>
  </si>
  <si>
    <t>Price</t>
  </si>
  <si>
    <t>50m</t>
  </si>
  <si>
    <t>PK0100</t>
  </si>
  <si>
    <t>PK0300</t>
  </si>
  <si>
    <t>Reflective marker (per yarn) *</t>
  </si>
  <si>
    <t>EAM089</t>
  </si>
  <si>
    <t>0.7mm</t>
  </si>
  <si>
    <t>100m</t>
  </si>
  <si>
    <t>WT0350</t>
  </si>
  <si>
    <t>WT0351</t>
  </si>
  <si>
    <t>WT0354</t>
  </si>
  <si>
    <t>WT0355</t>
  </si>
  <si>
    <t>WT0353</t>
  </si>
  <si>
    <t>WT0352</t>
  </si>
  <si>
    <t>PK0101</t>
  </si>
  <si>
    <t>PK0301</t>
  </si>
  <si>
    <t>Hoist markers</t>
  </si>
  <si>
    <t>EAM084</t>
  </si>
  <si>
    <t>(up to 3m long)</t>
  </si>
  <si>
    <t>0.9mm</t>
  </si>
  <si>
    <t>WT0321</t>
  </si>
  <si>
    <t>WT0301</t>
  </si>
  <si>
    <t>WT0300</t>
  </si>
  <si>
    <t>WT0302</t>
  </si>
  <si>
    <t>WT0303</t>
  </si>
  <si>
    <t>WT0304</t>
  </si>
  <si>
    <t>PK0102</t>
  </si>
  <si>
    <t>PK0303</t>
  </si>
  <si>
    <t>Hoist markers glow in the Dark</t>
  </si>
  <si>
    <t>EAM086</t>
  </si>
  <si>
    <t>1.1mm</t>
  </si>
  <si>
    <t>25m</t>
  </si>
  <si>
    <t>WT0323</t>
  </si>
  <si>
    <t>WT0311</t>
  </si>
  <si>
    <t>WT0310</t>
  </si>
  <si>
    <t>WT0312</t>
  </si>
  <si>
    <t>WT0313</t>
  </si>
  <si>
    <t>WT0314</t>
  </si>
  <si>
    <t>PK0103</t>
  </si>
  <si>
    <t>PK0304</t>
  </si>
  <si>
    <t>Diameter Increase Inserts</t>
  </si>
  <si>
    <t>EAM085</t>
  </si>
  <si>
    <t>(5m tapered ends)</t>
  </si>
  <si>
    <t>1.3mm</t>
  </si>
  <si>
    <t>-</t>
  </si>
  <si>
    <t>KL0302</t>
  </si>
  <si>
    <t>KL0305</t>
  </si>
  <si>
    <t>KL0308</t>
  </si>
  <si>
    <t>KL0311</t>
  </si>
  <si>
    <t>PK0130</t>
  </si>
  <si>
    <t>PK0191</t>
  </si>
  <si>
    <t>Cover taper</t>
  </si>
  <si>
    <t>EAM098</t>
  </si>
  <si>
    <t>(One charge per taper)</t>
  </si>
  <si>
    <t>1.5mm</t>
  </si>
  <si>
    <t>KL0352</t>
  </si>
  <si>
    <t>KL0355</t>
  </si>
  <si>
    <t>KL0358</t>
  </si>
  <si>
    <t>KL0361</t>
  </si>
  <si>
    <t>Core tapering</t>
  </si>
  <si>
    <t>EAM116</t>
  </si>
  <si>
    <t>(1m - 15m)</t>
  </si>
  <si>
    <t>1.8mm</t>
  </si>
  <si>
    <t>KL0200</t>
  </si>
  <si>
    <t>KL0202</t>
  </si>
  <si>
    <t>KL0201</t>
  </si>
  <si>
    <t>KL0203</t>
  </si>
  <si>
    <t>TAKE DOWN LINE</t>
  </si>
  <si>
    <t>EAM117</t>
  </si>
  <si>
    <t>(16m - 25m)</t>
  </si>
  <si>
    <t>EAM118</t>
  </si>
  <si>
    <t>(26m - 35m)</t>
  </si>
  <si>
    <t>CALCULATOR</t>
  </si>
  <si>
    <t>Complete yellow fields where required</t>
  </si>
  <si>
    <t>200m</t>
  </si>
  <si>
    <t>XT0050</t>
  </si>
  <si>
    <t>EAM119</t>
  </si>
  <si>
    <t>(36m - 45m)</t>
  </si>
  <si>
    <t>Type</t>
  </si>
  <si>
    <t>Diameter</t>
  </si>
  <si>
    <t>Length(m)</t>
  </si>
  <si>
    <t>Price / M</t>
  </si>
  <si>
    <t>Total Price</t>
  </si>
  <si>
    <t>XT0060</t>
  </si>
  <si>
    <t xml:space="preserve">* It is recommended to use 2 yarns in ropes over 12mm, </t>
  </si>
  <si>
    <t>XT0080</t>
  </si>
  <si>
    <t>XT0100</t>
  </si>
  <si>
    <t>Coating</t>
  </si>
  <si>
    <t>Customisations</t>
  </si>
  <si>
    <t>Glow in the dark marker</t>
  </si>
  <si>
    <t>LIFE LINES (D12 Max 78)</t>
  </si>
  <si>
    <t>SPECIALIST ROPE COATINGS</t>
  </si>
  <si>
    <t>Reflective marker</t>
  </si>
  <si>
    <t>ISAF RULES Boat Size</t>
  </si>
  <si>
    <t>Black Dyneema</t>
  </si>
  <si>
    <t>White Dyneema</t>
  </si>
  <si>
    <t>Black Technora</t>
  </si>
  <si>
    <t>Natural</t>
  </si>
  <si>
    <t>1ltr Bottle</t>
  </si>
  <si>
    <t>ArmourCoat*</t>
  </si>
  <si>
    <t>PAA105</t>
  </si>
  <si>
    <t>PAA100</t>
  </si>
  <si>
    <t>PAA101</t>
  </si>
  <si>
    <t>PAA103</t>
  </si>
  <si>
    <t>Hoist mkrs glow in the dark</t>
  </si>
  <si>
    <t>&lt; 28' (8.5m)</t>
  </si>
  <si>
    <t>PAA126</t>
  </si>
  <si>
    <t>JLN014</t>
  </si>
  <si>
    <t>JLN004</t>
  </si>
  <si>
    <t>JLN001</t>
  </si>
  <si>
    <t>EnduraCoat</t>
  </si>
  <si>
    <t>PAA127</t>
  </si>
  <si>
    <t>&gt; 43' (13m)</t>
  </si>
  <si>
    <t>SiliconCoat</t>
  </si>
  <si>
    <t>PAA200</t>
  </si>
  <si>
    <t>JLN015</t>
  </si>
  <si>
    <t>JLN005</t>
  </si>
  <si>
    <t>JLN002</t>
  </si>
  <si>
    <t>PAA301</t>
  </si>
  <si>
    <t>Rope Cost</t>
  </si>
  <si>
    <t>*Also available in Green, Fluro Yello, Purple, Orange, Beige &amp; Pink</t>
  </si>
  <si>
    <t>Short Length Surchage (&lt; 50m)</t>
  </si>
  <si>
    <t>Total Cost</t>
  </si>
  <si>
    <t>Overall Rope Diameter (mm)</t>
  </si>
  <si>
    <t>Cores</t>
  </si>
  <si>
    <t>Core Diameter (mm)</t>
  </si>
  <si>
    <t>Core Diameter</t>
  </si>
  <si>
    <t>Core Type</t>
  </si>
  <si>
    <t>Core Length</t>
  </si>
  <si>
    <t>Covers</t>
  </si>
  <si>
    <t>Blended Cover Percentages</t>
  </si>
  <si>
    <t>Polyester</t>
  </si>
  <si>
    <t>PBO</t>
  </si>
  <si>
    <t>Technora</t>
  </si>
  <si>
    <t>Dyneema</t>
  </si>
  <si>
    <t>Vectran</t>
  </si>
  <si>
    <t>Twaron / Kevlar</t>
  </si>
  <si>
    <t>Zyex (M-Grip)</t>
  </si>
  <si>
    <t>Teflon</t>
  </si>
  <si>
    <t>Polyprop</t>
  </si>
  <si>
    <t>DriCoat (Y/N)</t>
  </si>
  <si>
    <t>GripCoat (Y/N)</t>
  </si>
  <si>
    <t>Cover Price</t>
  </si>
  <si>
    <t>Cover Length</t>
  </si>
  <si>
    <t>Total Customisations</t>
  </si>
  <si>
    <t>Total Rope</t>
  </si>
  <si>
    <t>Short Length Surchage (&lt;50m)</t>
  </si>
  <si>
    <t>Total Rope Price (inc. Short Length Surcharge)</t>
  </si>
  <si>
    <t>Note: Percentages are approximate.  Yarn properties and variations cover construction will mean slight variations in actual percentage of materials used from that requested.</t>
  </si>
  <si>
    <t>GBP</t>
  </si>
  <si>
    <t>Dtech 50</t>
  </si>
  <si>
    <t>Select</t>
  </si>
  <si>
    <t>None</t>
  </si>
  <si>
    <t>No</t>
  </si>
  <si>
    <t>PES Blend</t>
  </si>
  <si>
    <t>Aramid</t>
  </si>
  <si>
    <t>Zyex</t>
  </si>
  <si>
    <t>PTFE</t>
  </si>
  <si>
    <t>2024 Kg Prices</t>
  </si>
  <si>
    <t>Average</t>
  </si>
  <si>
    <t>Glow in the dark marker (per yarn) *</t>
  </si>
  <si>
    <t>Yes</t>
  </si>
  <si>
    <t>EUR</t>
  </si>
  <si>
    <t>USD</t>
  </si>
  <si>
    <t>MORFRAC SYSTEMS S.L.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</si>
</sst>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£&quot;* #,##0.00_);_(&quot;£&quot;* \(#,##0.00\);_(&quot;£&quot;* &quot;-&quot;??_);_(@_)"/>
    <numFmt numFmtId="165" formatCode="0.0000"/>
    <numFmt numFmtId="166" formatCode="0&quot;mm&quot;"/>
    <numFmt numFmtId="168" formatCode="[$€-2]\ #,##0.00"/>
    <numFmt numFmtId="169" formatCode="&quot;£&quot;#,##0.00"/>
  </numFmts>
  <fonts count="3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name val="Calibri"/>
      <family val="2"/>
    </font>
    <font>
      <b/>
      <sz val="14"/>
      <color indexed="10"/>
      <name val="Calibri"/>
      <family val="2"/>
    </font>
    <font>
      <sz val="10"/>
      <name val="Calibri"/>
      <family val="2"/>
    </font>
    <font>
      <b/>
      <sz val="8"/>
      <color indexed="9"/>
      <name val="Calibri"/>
      <family val="2"/>
    </font>
    <font>
      <b/>
      <sz val="10"/>
      <color indexed="10"/>
      <name val="Calibri"/>
      <family val="2"/>
    </font>
    <font>
      <b/>
      <sz val="10"/>
      <name val="Calibri"/>
      <family val="2"/>
    </font>
    <font>
      <i/>
      <sz val="1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 (Body)"/>
    </font>
    <font>
      <b/>
      <sz val="11"/>
      <name val="Calibri (Body)"/>
    </font>
    <font>
      <b/>
      <sz val="10"/>
      <name val="Calibri"/>
      <family val="2"/>
      <scheme val="minor"/>
    </font>
    <font>
      <sz val="8"/>
      <name val="Calibri"/>
      <family val="2"/>
    </font>
    <font>
      <sz val="10"/>
      <name val="Arial"/>
      <family val="2"/>
    </font>
    <font>
      <b/>
      <sz val="11"/>
      <name val="Calibri"/>
      <family val="2"/>
    </font>
    <font>
      <sz val="10"/>
      <color theme="1"/>
      <name val="Calibri (Body)"/>
    </font>
    <font>
      <b/>
      <sz val="10"/>
      <color theme="1"/>
      <name val="Calibri (Body)"/>
    </font>
    <font>
      <b/>
      <sz val="10"/>
      <color indexed="10"/>
      <name val="Calibri (Body)"/>
    </font>
    <font>
      <sz val="10"/>
      <name val="Calibri (Body)"/>
    </font>
    <font>
      <sz val="10"/>
      <color rgb="FFFF0000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6"/>
      <color indexed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name val="Arial"/>
      <family val="2"/>
    </font>
    <font>
      <b/>
      <sz val="10"/>
      <name val="Arial"/>
      <family val="2"/>
    </font>
    <font>
      <sz val="8"/>
      <name val="Calibri"/>
      <family val="2"/>
      <scheme val="minor"/>
    </font>
    <font>
      <b/>
      <sz val="18"/>
      <name val="Arial"/>
      <family val="2"/>
    </font>
    <font>
      <b/>
      <sz val="10"/>
      <color indexed="63"/>
      <name val="Calibri"/>
      <family val="2"/>
      <scheme val="minor"/>
    </font>
    <font>
      <sz val="10"/>
      <name val="Calibri"/>
      <family val="2"/>
      <scheme val="minor"/>
    </font>
    <font>
      <sz val="10"/>
      <color indexed="63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D7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19" fillId="0" borderId="0"/>
    <xf numFmtId="9" fontId="1" fillId="0" borderId="0" applyFont="0" applyFill="0" applyBorder="0" applyAlignment="0" applyProtection="0"/>
  </cellStyleXfs>
  <cellXfs count="25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64" fontId="6" fillId="0" borderId="0" xfId="1" applyFont="1"/>
    <xf numFmtId="165" fontId="6" fillId="0" borderId="0" xfId="1" applyNumberFormat="1" applyFont="1"/>
    <xf numFmtId="0" fontId="12" fillId="0" borderId="0" xfId="0" applyFont="1" applyAlignment="1">
      <alignment horizontal="left"/>
    </xf>
    <xf numFmtId="4" fontId="7" fillId="0" borderId="0" xfId="0" applyNumberFormat="1" applyFont="1" applyAlignment="1">
      <alignment horizontal="left"/>
    </xf>
    <xf numFmtId="0" fontId="2" fillId="0" borderId="0" xfId="0" applyFont="1" applyAlignment="1">
      <alignment vertical="center" wrapText="1"/>
    </xf>
    <xf numFmtId="0" fontId="3" fillId="2" borderId="0" xfId="0" applyFont="1" applyFill="1" applyAlignment="1">
      <alignment horizontal="center"/>
    </xf>
    <xf numFmtId="164" fontId="0" fillId="0" borderId="0" xfId="0" applyNumberFormat="1"/>
    <xf numFmtId="0" fontId="21" fillId="3" borderId="0" xfId="0" applyFont="1" applyFill="1" applyAlignment="1">
      <alignment horizontal="center"/>
    </xf>
    <xf numFmtId="0" fontId="21" fillId="3" borderId="0" xfId="0" applyFont="1" applyFill="1"/>
    <xf numFmtId="0" fontId="6" fillId="0" borderId="0" xfId="1" applyNumberFormat="1" applyFont="1"/>
    <xf numFmtId="165" fontId="6" fillId="0" borderId="0" xfId="1" applyNumberFormat="1" applyFont="1" applyFill="1"/>
    <xf numFmtId="164" fontId="6" fillId="0" borderId="0" xfId="1" applyFont="1" applyFill="1"/>
    <xf numFmtId="0" fontId="3" fillId="5" borderId="0" xfId="0" applyFont="1" applyFill="1" applyAlignment="1">
      <alignment horizontal="center"/>
    </xf>
    <xf numFmtId="0" fontId="4" fillId="5" borderId="0" xfId="0" applyFont="1" applyFill="1" applyAlignment="1">
      <alignment horizontal="center"/>
    </xf>
    <xf numFmtId="165" fontId="6" fillId="5" borderId="0" xfId="1" applyNumberFormat="1" applyFont="1" applyFill="1"/>
    <xf numFmtId="0" fontId="0" fillId="5" borderId="0" xfId="0" applyFill="1"/>
    <xf numFmtId="164" fontId="6" fillId="5" borderId="0" xfId="1" applyFont="1" applyFill="1"/>
    <xf numFmtId="0" fontId="0" fillId="6" borderId="0" xfId="0" applyFill="1" applyAlignment="1">
      <alignment horizontal="center" wrapText="1"/>
    </xf>
    <xf numFmtId="0" fontId="3" fillId="6" borderId="1" xfId="0" applyFont="1" applyFill="1" applyBorder="1" applyAlignment="1">
      <alignment horizontal="center"/>
    </xf>
    <xf numFmtId="164" fontId="6" fillId="6" borderId="2" xfId="1" applyFont="1" applyFill="1" applyBorder="1"/>
    <xf numFmtId="0" fontId="3" fillId="7" borderId="1" xfId="0" applyFont="1" applyFill="1" applyBorder="1" applyAlignment="1">
      <alignment horizontal="center"/>
    </xf>
    <xf numFmtId="0" fontId="3" fillId="7" borderId="3" xfId="0" applyFont="1" applyFill="1" applyBorder="1" applyAlignment="1">
      <alignment horizontal="center"/>
    </xf>
    <xf numFmtId="0" fontId="26" fillId="7" borderId="4" xfId="0" applyFont="1" applyFill="1" applyBorder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3" fillId="7" borderId="4" xfId="0" applyFont="1" applyFill="1" applyBorder="1" applyAlignment="1">
      <alignment horizontal="center"/>
    </xf>
    <xf numFmtId="0" fontId="0" fillId="6" borderId="2" xfId="0" applyFill="1" applyBorder="1"/>
    <xf numFmtId="4" fontId="7" fillId="6" borderId="0" xfId="0" applyNumberFormat="1" applyFont="1" applyFill="1" applyAlignment="1">
      <alignment horizontal="center"/>
    </xf>
    <xf numFmtId="0" fontId="0" fillId="6" borderId="3" xfId="0" applyFill="1" applyBorder="1"/>
    <xf numFmtId="0" fontId="0" fillId="6" borderId="4" xfId="0" applyFill="1" applyBorder="1" applyAlignment="1">
      <alignment horizontal="center"/>
    </xf>
    <xf numFmtId="0" fontId="0" fillId="6" borderId="4" xfId="0" applyFill="1" applyBorder="1"/>
    <xf numFmtId="0" fontId="0" fillId="6" borderId="5" xfId="0" applyFill="1" applyBorder="1"/>
    <xf numFmtId="0" fontId="12" fillId="6" borderId="0" xfId="0" applyFont="1" applyFill="1" applyAlignment="1">
      <alignment horizontal="left"/>
    </xf>
    <xf numFmtId="0" fontId="12" fillId="6" borderId="2" xfId="0" applyFont="1" applyFill="1" applyBorder="1" applyAlignment="1">
      <alignment horizontal="left"/>
    </xf>
    <xf numFmtId="166" fontId="11" fillId="6" borderId="1" xfId="0" applyNumberFormat="1" applyFont="1" applyFill="1" applyBorder="1" applyAlignment="1">
      <alignment horizontal="center"/>
    </xf>
    <xf numFmtId="164" fontId="6" fillId="6" borderId="4" xfId="1" applyFont="1" applyFill="1" applyBorder="1"/>
    <xf numFmtId="4" fontId="7" fillId="6" borderId="0" xfId="0" applyNumberFormat="1" applyFont="1" applyFill="1" applyAlignment="1">
      <alignment horizontal="left"/>
    </xf>
    <xf numFmtId="4" fontId="7" fillId="6" borderId="2" xfId="0" applyNumberFormat="1" applyFont="1" applyFill="1" applyBorder="1" applyAlignment="1">
      <alignment horizontal="center"/>
    </xf>
    <xf numFmtId="0" fontId="0" fillId="6" borderId="1" xfId="0" applyFill="1" applyBorder="1"/>
    <xf numFmtId="0" fontId="21" fillId="6" borderId="0" xfId="0" applyFont="1" applyFill="1"/>
    <xf numFmtId="166" fontId="23" fillId="6" borderId="0" xfId="0" applyNumberFormat="1" applyFont="1" applyFill="1" applyAlignment="1">
      <alignment horizontal="left"/>
    </xf>
    <xf numFmtId="0" fontId="24" fillId="6" borderId="0" xfId="0" applyFont="1" applyFill="1" applyAlignment="1">
      <alignment horizontal="left"/>
    </xf>
    <xf numFmtId="0" fontId="25" fillId="6" borderId="0" xfId="0" applyFont="1" applyFill="1" applyAlignment="1">
      <alignment horizontal="center"/>
    </xf>
    <xf numFmtId="0" fontId="9" fillId="6" borderId="0" xfId="0" applyFont="1" applyFill="1" applyAlignment="1">
      <alignment horizontal="left"/>
    </xf>
    <xf numFmtId="0" fontId="21" fillId="3" borderId="8" xfId="0" applyFont="1" applyFill="1" applyBorder="1" applyAlignment="1">
      <alignment horizontal="center"/>
    </xf>
    <xf numFmtId="164" fontId="21" fillId="6" borderId="9" xfId="1" applyFont="1" applyFill="1" applyBorder="1"/>
    <xf numFmtId="164" fontId="6" fillId="0" borderId="0" xfId="0" applyNumberFormat="1" applyFont="1"/>
    <xf numFmtId="164" fontId="6" fillId="6" borderId="0" xfId="1" applyFont="1" applyFill="1" applyBorder="1"/>
    <xf numFmtId="164" fontId="6" fillId="9" borderId="0" xfId="1" applyFont="1" applyFill="1" applyBorder="1"/>
    <xf numFmtId="0" fontId="3" fillId="9" borderId="1" xfId="0" applyFont="1" applyFill="1" applyBorder="1" applyAlignment="1">
      <alignment horizontal="center"/>
    </xf>
    <xf numFmtId="4" fontId="7" fillId="9" borderId="0" xfId="0" applyNumberFormat="1" applyFont="1" applyFill="1" applyAlignment="1">
      <alignment horizontal="center"/>
    </xf>
    <xf numFmtId="166" fontId="11" fillId="9" borderId="1" xfId="0" applyNumberFormat="1" applyFont="1" applyFill="1" applyBorder="1" applyAlignment="1">
      <alignment horizontal="center"/>
    </xf>
    <xf numFmtId="4" fontId="7" fillId="9" borderId="0" xfId="0" applyNumberFormat="1" applyFont="1" applyFill="1" applyAlignment="1">
      <alignment horizontal="left"/>
    </xf>
    <xf numFmtId="0" fontId="12" fillId="9" borderId="0" xfId="0" applyFont="1" applyFill="1" applyAlignment="1">
      <alignment horizontal="left"/>
    </xf>
    <xf numFmtId="164" fontId="6" fillId="6" borderId="8" xfId="1" applyFont="1" applyFill="1" applyBorder="1"/>
    <xf numFmtId="164" fontId="6" fillId="6" borderId="7" xfId="1" applyFont="1" applyFill="1" applyBorder="1"/>
    <xf numFmtId="164" fontId="6" fillId="6" borderId="17" xfId="1" applyFont="1" applyFill="1" applyBorder="1"/>
    <xf numFmtId="164" fontId="6" fillId="9" borderId="2" xfId="1" applyFont="1" applyFill="1" applyBorder="1"/>
    <xf numFmtId="0" fontId="26" fillId="6" borderId="1" xfId="0" applyFont="1" applyFill="1" applyBorder="1" applyAlignment="1">
      <alignment horizontal="center"/>
    </xf>
    <xf numFmtId="0" fontId="3" fillId="6" borderId="0" xfId="0" applyFont="1" applyFill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3" fillId="7" borderId="0" xfId="0" applyFont="1" applyFill="1" applyAlignment="1">
      <alignment horizontal="center"/>
    </xf>
    <xf numFmtId="0" fontId="26" fillId="7" borderId="3" xfId="0" applyFont="1" applyFill="1" applyBorder="1" applyAlignment="1">
      <alignment horizontal="center"/>
    </xf>
    <xf numFmtId="164" fontId="6" fillId="9" borderId="4" xfId="1" applyFont="1" applyFill="1" applyBorder="1"/>
    <xf numFmtId="164" fontId="6" fillId="9" borderId="5" xfId="1" applyFont="1" applyFill="1" applyBorder="1"/>
    <xf numFmtId="164" fontId="6" fillId="6" borderId="1" xfId="1" applyFont="1" applyFill="1" applyBorder="1"/>
    <xf numFmtId="164" fontId="6" fillId="9" borderId="1" xfId="1" applyFont="1" applyFill="1" applyBorder="1"/>
    <xf numFmtId="164" fontId="6" fillId="9" borderId="3" xfId="1" applyFont="1" applyFill="1" applyBorder="1"/>
    <xf numFmtId="0" fontId="26" fillId="6" borderId="0" xfId="0" applyFont="1" applyFill="1" applyAlignment="1">
      <alignment horizontal="center"/>
    </xf>
    <xf numFmtId="0" fontId="26" fillId="7" borderId="0" xfId="0" applyFont="1" applyFill="1" applyAlignment="1">
      <alignment horizontal="center"/>
    </xf>
    <xf numFmtId="0" fontId="21" fillId="4" borderId="8" xfId="0" applyFont="1" applyFill="1" applyBorder="1" applyAlignment="1" applyProtection="1">
      <alignment horizontal="center"/>
      <protection locked="0"/>
    </xf>
    <xf numFmtId="0" fontId="29" fillId="6" borderId="16" xfId="0" applyFont="1" applyFill="1" applyBorder="1" applyAlignment="1">
      <alignment horizontal="center"/>
    </xf>
    <xf numFmtId="0" fontId="8" fillId="8" borderId="21" xfId="0" applyFont="1" applyFill="1" applyBorder="1"/>
    <xf numFmtId="0" fontId="0" fillId="8" borderId="22" xfId="0" applyFill="1" applyBorder="1"/>
    <xf numFmtId="0" fontId="0" fillId="8" borderId="23" xfId="0" applyFill="1" applyBorder="1"/>
    <xf numFmtId="0" fontId="0" fillId="8" borderId="21" xfId="0" applyFill="1" applyBorder="1"/>
    <xf numFmtId="0" fontId="8" fillId="8" borderId="22" xfId="0" applyFont="1" applyFill="1" applyBorder="1"/>
    <xf numFmtId="0" fontId="9" fillId="8" borderId="22" xfId="0" applyFont="1" applyFill="1" applyBorder="1"/>
    <xf numFmtId="0" fontId="10" fillId="8" borderId="22" xfId="0" applyFont="1" applyFill="1" applyBorder="1" applyAlignment="1">
      <alignment horizontal="center"/>
    </xf>
    <xf numFmtId="0" fontId="11" fillId="8" borderId="22" xfId="0" applyFont="1" applyFill="1" applyBorder="1" applyAlignment="1">
      <alignment horizontal="right"/>
    </xf>
    <xf numFmtId="0" fontId="11" fillId="8" borderId="22" xfId="0" applyFont="1" applyFill="1" applyBorder="1"/>
    <xf numFmtId="0" fontId="5" fillId="8" borderId="22" xfId="0" applyFont="1" applyFill="1" applyBorder="1" applyAlignment="1">
      <alignment horizontal="center" vertical="center" wrapText="1"/>
    </xf>
    <xf numFmtId="0" fontId="0" fillId="8" borderId="22" xfId="0" applyFill="1" applyBorder="1" applyAlignment="1">
      <alignment horizontal="center"/>
    </xf>
    <xf numFmtId="0" fontId="11" fillId="8" borderId="22" xfId="0" applyFont="1" applyFill="1" applyBorder="1" applyAlignment="1">
      <alignment horizontal="center"/>
    </xf>
    <xf numFmtId="166" fontId="11" fillId="8" borderId="22" xfId="0" applyNumberFormat="1" applyFont="1" applyFill="1" applyBorder="1"/>
    <xf numFmtId="166" fontId="11" fillId="8" borderId="22" xfId="0" applyNumberFormat="1" applyFont="1" applyFill="1" applyBorder="1" applyAlignment="1">
      <alignment horizontal="center"/>
    </xf>
    <xf numFmtId="166" fontId="11" fillId="8" borderId="23" xfId="0" applyNumberFormat="1" applyFont="1" applyFill="1" applyBorder="1"/>
    <xf numFmtId="0" fontId="9" fillId="8" borderId="21" xfId="0" applyFont="1" applyFill="1" applyBorder="1"/>
    <xf numFmtId="0" fontId="22" fillId="6" borderId="9" xfId="0" applyFont="1" applyFill="1" applyBorder="1" applyAlignment="1">
      <alignment vertical="center" wrapText="1"/>
    </xf>
    <xf numFmtId="0" fontId="22" fillId="6" borderId="9" xfId="0" applyFont="1" applyFill="1" applyBorder="1" applyAlignment="1">
      <alignment horizontal="center" vertical="center" wrapText="1"/>
    </xf>
    <xf numFmtId="0" fontId="22" fillId="6" borderId="15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 vertical="center" wrapText="1"/>
    </xf>
    <xf numFmtId="0" fontId="2" fillId="9" borderId="2" xfId="0" applyFont="1" applyFill="1" applyBorder="1" applyAlignment="1">
      <alignment horizontal="center" vertical="center" wrapText="1"/>
    </xf>
    <xf numFmtId="0" fontId="2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3" fillId="9" borderId="0" xfId="0" applyFont="1" applyFill="1" applyAlignment="1">
      <alignment horizontal="center" vertical="center" wrapText="1"/>
    </xf>
    <xf numFmtId="0" fontId="0" fillId="9" borderId="1" xfId="0" applyFill="1" applyBorder="1"/>
    <xf numFmtId="0" fontId="0" fillId="9" borderId="2" xfId="0" applyFill="1" applyBorder="1"/>
    <xf numFmtId="4" fontId="18" fillId="9" borderId="1" xfId="0" applyNumberFormat="1" applyFont="1" applyFill="1" applyBorder="1" applyAlignment="1">
      <alignment horizontal="center" vertical="top"/>
    </xf>
    <xf numFmtId="0" fontId="0" fillId="9" borderId="0" xfId="0" applyFill="1"/>
    <xf numFmtId="0" fontId="13" fillId="9" borderId="0" xfId="0" applyFont="1" applyFill="1"/>
    <xf numFmtId="0" fontId="0" fillId="9" borderId="0" xfId="0" applyFill="1" applyAlignment="1">
      <alignment horizontal="center"/>
    </xf>
    <xf numFmtId="4" fontId="17" fillId="9" borderId="2" xfId="0" applyNumberFormat="1" applyFont="1" applyFill="1" applyBorder="1" applyAlignment="1">
      <alignment horizontal="center" vertical="center" wrapText="1"/>
    </xf>
    <xf numFmtId="166" fontId="20" fillId="9" borderId="0" xfId="0" applyNumberFormat="1" applyFont="1" applyFill="1" applyAlignment="1">
      <alignment horizontal="center" wrapText="1"/>
    </xf>
    <xf numFmtId="0" fontId="31" fillId="6" borderId="18" xfId="0" applyFont="1" applyFill="1" applyBorder="1" applyAlignment="1">
      <alignment horizontal="center" vertical="center" wrapText="1"/>
    </xf>
    <xf numFmtId="164" fontId="0" fillId="6" borderId="0" xfId="1" applyFont="1" applyFill="1"/>
    <xf numFmtId="0" fontId="19" fillId="6" borderId="0" xfId="2" applyFill="1"/>
    <xf numFmtId="0" fontId="19" fillId="6" borderId="0" xfId="2" applyFill="1" applyAlignment="1">
      <alignment horizontal="center"/>
    </xf>
    <xf numFmtId="0" fontId="19" fillId="0" borderId="0" xfId="2"/>
    <xf numFmtId="0" fontId="19" fillId="0" borderId="0" xfId="2" applyAlignment="1">
      <alignment horizontal="center"/>
    </xf>
    <xf numFmtId="168" fontId="19" fillId="6" borderId="0" xfId="2" applyNumberFormat="1" applyFill="1"/>
    <xf numFmtId="0" fontId="28" fillId="15" borderId="21" xfId="0" applyFont="1" applyFill="1" applyBorder="1"/>
    <xf numFmtId="0" fontId="28" fillId="15" borderId="22" xfId="0" applyFont="1" applyFill="1" applyBorder="1" applyAlignment="1">
      <alignment horizontal="right"/>
    </xf>
    <xf numFmtId="0" fontId="28" fillId="15" borderId="22" xfId="0" applyFont="1" applyFill="1" applyBorder="1"/>
    <xf numFmtId="169" fontId="28" fillId="15" borderId="22" xfId="0" applyNumberFormat="1" applyFont="1" applyFill="1" applyBorder="1"/>
    <xf numFmtId="169" fontId="28" fillId="15" borderId="23" xfId="0" applyNumberFormat="1" applyFont="1" applyFill="1" applyBorder="1"/>
    <xf numFmtId="165" fontId="6" fillId="14" borderId="1" xfId="1" applyNumberFormat="1" applyFont="1" applyFill="1" applyBorder="1"/>
    <xf numFmtId="165" fontId="6" fillId="14" borderId="0" xfId="1" applyNumberFormat="1" applyFont="1" applyFill="1" applyBorder="1"/>
    <xf numFmtId="0" fontId="0" fillId="14" borderId="0" xfId="0" applyFill="1"/>
    <xf numFmtId="0" fontId="0" fillId="14" borderId="2" xfId="0" applyFill="1" applyBorder="1"/>
    <xf numFmtId="165" fontId="6" fillId="14" borderId="2" xfId="1" applyNumberFormat="1" applyFont="1" applyFill="1" applyBorder="1"/>
    <xf numFmtId="169" fontId="28" fillId="15" borderId="21" xfId="0" applyNumberFormat="1" applyFont="1" applyFill="1" applyBorder="1"/>
    <xf numFmtId="164" fontId="6" fillId="0" borderId="1" xfId="1" applyFont="1" applyBorder="1"/>
    <xf numFmtId="165" fontId="6" fillId="0" borderId="0" xfId="1" applyNumberFormat="1" applyFont="1" applyBorder="1"/>
    <xf numFmtId="0" fontId="0" fillId="0" borderId="2" xfId="0" applyBorder="1"/>
    <xf numFmtId="164" fontId="6" fillId="0" borderId="0" xfId="1" applyFont="1" applyBorder="1"/>
    <xf numFmtId="164" fontId="6" fillId="0" borderId="2" xfId="1" applyFont="1" applyBorder="1"/>
    <xf numFmtId="164" fontId="6" fillId="0" borderId="3" xfId="1" applyFont="1" applyBorder="1"/>
    <xf numFmtId="164" fontId="6" fillId="0" borderId="4" xfId="1" applyFont="1" applyBorder="1"/>
    <xf numFmtId="164" fontId="6" fillId="0" borderId="5" xfId="1" applyFont="1" applyBorder="1"/>
    <xf numFmtId="0" fontId="0" fillId="0" borderId="1" xfId="0" applyBorder="1"/>
    <xf numFmtId="164" fontId="6" fillId="0" borderId="27" xfId="1" applyFont="1" applyBorder="1"/>
    <xf numFmtId="164" fontId="6" fillId="0" borderId="26" xfId="1" applyFont="1" applyBorder="1"/>
    <xf numFmtId="164" fontId="0" fillId="0" borderId="26" xfId="1" applyFont="1" applyBorder="1"/>
    <xf numFmtId="164" fontId="0" fillId="0" borderId="28" xfId="1" applyFont="1" applyBorder="1"/>
    <xf numFmtId="0" fontId="33" fillId="6" borderId="0" xfId="2" applyFont="1" applyFill="1"/>
    <xf numFmtId="0" fontId="36" fillId="0" borderId="34" xfId="2" applyFont="1" applyBorder="1" applyAlignment="1">
      <alignment horizontal="center"/>
    </xf>
    <xf numFmtId="164" fontId="5" fillId="6" borderId="2" xfId="1" applyFont="1" applyFill="1" applyBorder="1"/>
    <xf numFmtId="0" fontId="37" fillId="0" borderId="30" xfId="2" applyFont="1" applyBorder="1"/>
    <xf numFmtId="0" fontId="38" fillId="0" borderId="30" xfId="2" applyFont="1" applyBorder="1" applyAlignment="1">
      <alignment horizontal="left"/>
    </xf>
    <xf numFmtId="0" fontId="38" fillId="0" borderId="35" xfId="2" applyFont="1" applyBorder="1" applyAlignment="1">
      <alignment horizontal="left"/>
    </xf>
    <xf numFmtId="0" fontId="38" fillId="0" borderId="30" xfId="2" applyFont="1" applyBorder="1" applyAlignment="1">
      <alignment horizontal="left" vertical="center"/>
    </xf>
    <xf numFmtId="164" fontId="5" fillId="6" borderId="5" xfId="1" applyFont="1" applyFill="1" applyBorder="1"/>
    <xf numFmtId="9" fontId="37" fillId="10" borderId="6" xfId="2" applyNumberFormat="1" applyFont="1" applyFill="1" applyBorder="1" applyAlignment="1" applyProtection="1">
      <alignment horizontal="center"/>
      <protection locked="0"/>
    </xf>
    <xf numFmtId="0" fontId="38" fillId="10" borderId="6" xfId="2" applyFont="1" applyFill="1" applyBorder="1" applyAlignment="1" applyProtection="1">
      <alignment horizontal="center"/>
      <protection locked="0"/>
    </xf>
    <xf numFmtId="0" fontId="36" fillId="10" borderId="6" xfId="2" applyFont="1" applyFill="1" applyBorder="1" applyAlignment="1" applyProtection="1">
      <alignment horizontal="center"/>
      <protection locked="0"/>
    </xf>
    <xf numFmtId="0" fontId="38" fillId="10" borderId="6" xfId="2" applyFont="1" applyFill="1" applyBorder="1" applyAlignment="1" applyProtection="1">
      <alignment horizontal="center" vertical="center"/>
      <protection locked="0"/>
    </xf>
    <xf numFmtId="9" fontId="37" fillId="0" borderId="20" xfId="2" applyNumberFormat="1" applyFont="1" applyBorder="1" applyAlignment="1">
      <alignment horizontal="center"/>
    </xf>
    <xf numFmtId="0" fontId="17" fillId="10" borderId="32" xfId="2" applyFont="1" applyFill="1" applyBorder="1" applyAlignment="1" applyProtection="1">
      <alignment horizontal="center"/>
      <protection locked="0"/>
    </xf>
    <xf numFmtId="0" fontId="17" fillId="12" borderId="33" xfId="2" applyFont="1" applyFill="1" applyBorder="1" applyAlignment="1">
      <alignment horizontal="center"/>
    </xf>
    <xf numFmtId="164" fontId="6" fillId="6" borderId="36" xfId="1" applyFont="1" applyFill="1" applyBorder="1"/>
    <xf numFmtId="164" fontId="6" fillId="6" borderId="41" xfId="1" applyFont="1" applyFill="1" applyBorder="1"/>
    <xf numFmtId="164" fontId="5" fillId="6" borderId="42" xfId="1" applyFont="1" applyFill="1" applyBorder="1"/>
    <xf numFmtId="0" fontId="37" fillId="0" borderId="34" xfId="2" applyFont="1" applyBorder="1"/>
    <xf numFmtId="0" fontId="36" fillId="10" borderId="6" xfId="2" applyFont="1" applyFill="1" applyBorder="1" applyAlignment="1" applyProtection="1">
      <alignment horizontal="center" vertical="center"/>
      <protection locked="0"/>
    </xf>
    <xf numFmtId="164" fontId="5" fillId="6" borderId="33" xfId="1" applyFont="1" applyFill="1" applyBorder="1"/>
    <xf numFmtId="0" fontId="33" fillId="6" borderId="16" xfId="2" applyFont="1" applyFill="1" applyBorder="1" applyAlignment="1">
      <alignment horizontal="center"/>
    </xf>
    <xf numFmtId="0" fontId="33" fillId="6" borderId="0" xfId="2" applyFont="1" applyFill="1" applyAlignment="1">
      <alignment horizontal="center"/>
    </xf>
    <xf numFmtId="0" fontId="21" fillId="6" borderId="8" xfId="0" applyFont="1" applyFill="1" applyBorder="1" applyAlignment="1">
      <alignment horizontal="center" vertical="center"/>
    </xf>
    <xf numFmtId="0" fontId="19" fillId="6" borderId="0" xfId="2" applyFill="1" applyAlignment="1">
      <alignment vertical="top"/>
    </xf>
    <xf numFmtId="164" fontId="6" fillId="6" borderId="33" xfId="1" applyFont="1" applyFill="1" applyBorder="1"/>
    <xf numFmtId="0" fontId="17" fillId="6" borderId="37" xfId="2" applyFont="1" applyFill="1" applyBorder="1" applyAlignment="1">
      <alignment horizontal="center"/>
    </xf>
    <xf numFmtId="0" fontId="17" fillId="6" borderId="11" xfId="2" applyFont="1" applyFill="1" applyBorder="1"/>
    <xf numFmtId="0" fontId="37" fillId="6" borderId="1" xfId="2" applyFont="1" applyFill="1" applyBorder="1"/>
    <xf numFmtId="0" fontId="37" fillId="6" borderId="0" xfId="2" applyFont="1" applyFill="1"/>
    <xf numFmtId="0" fontId="37" fillId="6" borderId="2" xfId="2" applyFont="1" applyFill="1" applyBorder="1" applyAlignment="1">
      <alignment horizontal="center"/>
    </xf>
    <xf numFmtId="164" fontId="6" fillId="6" borderId="42" xfId="1" applyFont="1" applyFill="1" applyBorder="1"/>
    <xf numFmtId="0" fontId="21" fillId="4" borderId="10" xfId="0" applyFont="1" applyFill="1" applyBorder="1" applyAlignment="1" applyProtection="1">
      <alignment horizontal="center"/>
      <protection locked="0"/>
    </xf>
    <xf numFmtId="0" fontId="21" fillId="3" borderId="29" xfId="0" applyFont="1" applyFill="1" applyBorder="1" applyAlignment="1">
      <alignment horizontal="center"/>
    </xf>
    <xf numFmtId="164" fontId="6" fillId="6" borderId="11" xfId="1" applyFont="1" applyFill="1" applyBorder="1"/>
    <xf numFmtId="0" fontId="21" fillId="4" borderId="12" xfId="0" applyFont="1" applyFill="1" applyBorder="1" applyAlignment="1" applyProtection="1">
      <alignment horizontal="center"/>
      <protection locked="0"/>
    </xf>
    <xf numFmtId="164" fontId="6" fillId="6" borderId="13" xfId="1" applyFont="1" applyFill="1" applyBorder="1"/>
    <xf numFmtId="0" fontId="21" fillId="4" borderId="14" xfId="0" applyFont="1" applyFill="1" applyBorder="1" applyAlignment="1" applyProtection="1">
      <alignment horizontal="center"/>
      <protection locked="0"/>
    </xf>
    <xf numFmtId="0" fontId="21" fillId="3" borderId="24" xfId="0" applyFont="1" applyFill="1" applyBorder="1"/>
    <xf numFmtId="164" fontId="6" fillId="6" borderId="15" xfId="1" applyFont="1" applyFill="1" applyBorder="1"/>
    <xf numFmtId="164" fontId="21" fillId="6" borderId="7" xfId="1" applyFont="1" applyFill="1" applyBorder="1"/>
    <xf numFmtId="164" fontId="21" fillId="6" borderId="8" xfId="1" applyFont="1" applyFill="1" applyBorder="1"/>
    <xf numFmtId="0" fontId="9" fillId="6" borderId="0" xfId="0" applyFont="1" applyFill="1" applyAlignment="1">
      <alignment horizontal="center"/>
    </xf>
    <xf numFmtId="0" fontId="9" fillId="9" borderId="0" xfId="0" applyFont="1" applyFill="1" applyAlignment="1">
      <alignment horizontal="center"/>
    </xf>
    <xf numFmtId="4" fontId="7" fillId="9" borderId="2" xfId="0" applyNumberFormat="1" applyFont="1" applyFill="1" applyBorder="1" applyAlignment="1">
      <alignment horizontal="center"/>
    </xf>
    <xf numFmtId="164" fontId="6" fillId="6" borderId="0" xfId="1" applyFont="1" applyFill="1" applyBorder="1" applyAlignment="1">
      <alignment horizontal="center"/>
    </xf>
    <xf numFmtId="164" fontId="6" fillId="9" borderId="0" xfId="1" applyFont="1" applyFill="1" applyBorder="1" applyAlignment="1">
      <alignment horizontal="center"/>
    </xf>
    <xf numFmtId="0" fontId="9" fillId="9" borderId="0" xfId="0" applyFont="1" applyFill="1" applyAlignment="1">
      <alignment horizontal="left"/>
    </xf>
    <xf numFmtId="9" fontId="0" fillId="0" borderId="0" xfId="3" applyFont="1"/>
    <xf numFmtId="165" fontId="6" fillId="2" borderId="0" xfId="1" applyNumberFormat="1" applyFont="1" applyFill="1"/>
    <xf numFmtId="0" fontId="0" fillId="2" borderId="0" xfId="0" applyFill="1"/>
    <xf numFmtId="0" fontId="30" fillId="6" borderId="18" xfId="0" applyFont="1" applyFill="1" applyBorder="1" applyAlignment="1">
      <alignment horizontal="center" vertical="center" textRotation="90" wrapText="1"/>
    </xf>
    <xf numFmtId="0" fontId="30" fillId="6" borderId="19" xfId="0" applyFont="1" applyFill="1" applyBorder="1" applyAlignment="1">
      <alignment horizontal="center" vertical="center" textRotation="90" wrapText="1"/>
    </xf>
    <xf numFmtId="0" fontId="14" fillId="8" borderId="21" xfId="0" applyFont="1" applyFill="1" applyBorder="1" applyAlignment="1">
      <alignment horizontal="center"/>
    </xf>
    <xf numFmtId="0" fontId="14" fillId="8" borderId="22" xfId="0" applyFont="1" applyFill="1" applyBorder="1" applyAlignment="1">
      <alignment horizontal="center"/>
    </xf>
    <xf numFmtId="0" fontId="14" fillId="8" borderId="23" xfId="0" applyFont="1" applyFill="1" applyBorder="1" applyAlignment="1">
      <alignment horizontal="center"/>
    </xf>
    <xf numFmtId="0" fontId="30" fillId="6" borderId="18" xfId="0" applyFont="1" applyFill="1" applyBorder="1" applyAlignment="1">
      <alignment horizontal="center" textRotation="90" wrapText="1"/>
    </xf>
    <xf numFmtId="10" fontId="30" fillId="6" borderId="18" xfId="0" applyNumberFormat="1" applyFont="1" applyFill="1" applyBorder="1" applyAlignment="1">
      <alignment horizontal="center" vertical="center" textRotation="90" wrapText="1"/>
    </xf>
    <xf numFmtId="0" fontId="15" fillId="9" borderId="1" xfId="0" applyFont="1" applyFill="1" applyBorder="1" applyAlignment="1">
      <alignment horizontal="center" vertical="center" wrapText="1"/>
    </xf>
    <xf numFmtId="4" fontId="16" fillId="9" borderId="0" xfId="0" applyNumberFormat="1" applyFont="1" applyFill="1" applyAlignment="1">
      <alignment horizontal="center" wrapText="1"/>
    </xf>
    <xf numFmtId="4" fontId="17" fillId="9" borderId="0" xfId="0" applyNumberFormat="1" applyFont="1" applyFill="1" applyAlignment="1">
      <alignment horizontal="center" vertical="center" wrapText="1"/>
    </xf>
    <xf numFmtId="166" fontId="27" fillId="6" borderId="1" xfId="0" applyNumberFormat="1" applyFont="1" applyFill="1" applyBorder="1" applyAlignment="1">
      <alignment horizontal="right" vertical="center" textRotation="90"/>
    </xf>
    <xf numFmtId="166" fontId="27" fillId="6" borderId="0" xfId="0" applyNumberFormat="1" applyFont="1" applyFill="1" applyAlignment="1">
      <alignment horizontal="right" vertical="center" textRotation="90"/>
    </xf>
    <xf numFmtId="0" fontId="2" fillId="9" borderId="0" xfId="0" applyFont="1" applyFill="1" applyAlignment="1">
      <alignment horizontal="center" vertical="center" wrapText="1"/>
    </xf>
    <xf numFmtId="0" fontId="8" fillId="8" borderId="22" xfId="0" applyFont="1" applyFill="1" applyBorder="1" applyAlignment="1">
      <alignment horizontal="left"/>
    </xf>
    <xf numFmtId="166" fontId="11" fillId="6" borderId="1" xfId="0" applyNumberFormat="1" applyFont="1" applyFill="1" applyBorder="1" applyAlignment="1">
      <alignment horizontal="center" vertical="center"/>
    </xf>
    <xf numFmtId="4" fontId="7" fillId="6" borderId="0" xfId="0" applyNumberFormat="1" applyFont="1" applyFill="1" applyAlignment="1">
      <alignment horizontal="center" vertical="center"/>
    </xf>
    <xf numFmtId="166" fontId="11" fillId="9" borderId="1" xfId="0" applyNumberFormat="1" applyFont="1" applyFill="1" applyBorder="1" applyAlignment="1">
      <alignment horizontal="center" vertical="center"/>
    </xf>
    <xf numFmtId="4" fontId="7" fillId="9" borderId="0" xfId="0" applyNumberFormat="1" applyFont="1" applyFill="1" applyAlignment="1">
      <alignment horizontal="center" vertical="center"/>
    </xf>
    <xf numFmtId="0" fontId="33" fillId="6" borderId="27" xfId="2" applyFont="1" applyFill="1" applyBorder="1" applyAlignment="1">
      <alignment horizontal="left" wrapText="1"/>
    </xf>
    <xf numFmtId="0" fontId="33" fillId="6" borderId="26" xfId="2" applyFont="1" applyFill="1" applyBorder="1" applyAlignment="1">
      <alignment horizontal="left" wrapText="1"/>
    </xf>
    <xf numFmtId="0" fontId="33" fillId="6" borderId="28" xfId="2" applyFont="1" applyFill="1" applyBorder="1" applyAlignment="1">
      <alignment horizontal="left" wrapText="1"/>
    </xf>
    <xf numFmtId="0" fontId="33" fillId="6" borderId="1" xfId="2" applyFont="1" applyFill="1" applyBorder="1" applyAlignment="1">
      <alignment horizontal="left" wrapText="1"/>
    </xf>
    <xf numFmtId="0" fontId="33" fillId="6" borderId="0" xfId="2" applyFont="1" applyFill="1" applyAlignment="1">
      <alignment horizontal="left" wrapText="1"/>
    </xf>
    <xf numFmtId="0" fontId="33" fillId="6" borderId="2" xfId="2" applyFont="1" applyFill="1" applyBorder="1" applyAlignment="1">
      <alignment horizontal="left" wrapText="1"/>
    </xf>
    <xf numFmtId="0" fontId="33" fillId="6" borderId="3" xfId="2" applyFont="1" applyFill="1" applyBorder="1" applyAlignment="1">
      <alignment horizontal="left" wrapText="1"/>
    </xf>
    <xf numFmtId="0" fontId="33" fillId="6" borderId="4" xfId="2" applyFont="1" applyFill="1" applyBorder="1" applyAlignment="1">
      <alignment horizontal="left" wrapText="1"/>
    </xf>
    <xf numFmtId="0" fontId="33" fillId="6" borderId="5" xfId="2" applyFont="1" applyFill="1" applyBorder="1" applyAlignment="1">
      <alignment horizontal="left" wrapText="1"/>
    </xf>
    <xf numFmtId="0" fontId="17" fillId="0" borderId="3" xfId="2" applyFont="1" applyBorder="1" applyAlignment="1">
      <alignment horizontal="center" vertical="center" wrapText="1"/>
    </xf>
    <xf numFmtId="0" fontId="17" fillId="0" borderId="4" xfId="2" applyFont="1" applyBorder="1" applyAlignment="1">
      <alignment horizontal="center" vertical="center" wrapText="1"/>
    </xf>
    <xf numFmtId="0" fontId="33" fillId="15" borderId="27" xfId="2" applyFont="1" applyFill="1" applyBorder="1" applyAlignment="1">
      <alignment horizontal="center" vertical="center" textRotation="90" wrapText="1"/>
    </xf>
    <xf numFmtId="0" fontId="33" fillId="15" borderId="3" xfId="2" applyFont="1" applyFill="1" applyBorder="1" applyAlignment="1">
      <alignment horizontal="center" vertical="center" textRotation="90" wrapText="1"/>
    </xf>
    <xf numFmtId="0" fontId="35" fillId="6" borderId="21" xfId="2" applyFont="1" applyFill="1" applyBorder="1" applyAlignment="1">
      <alignment horizontal="center" vertical="center"/>
    </xf>
    <xf numFmtId="0" fontId="35" fillId="6" borderId="22" xfId="2" applyFont="1" applyFill="1" applyBorder="1" applyAlignment="1">
      <alignment horizontal="center" vertical="center"/>
    </xf>
    <xf numFmtId="0" fontId="35" fillId="6" borderId="23" xfId="2" applyFont="1" applyFill="1" applyBorder="1" applyAlignment="1">
      <alignment horizontal="center" vertical="center"/>
    </xf>
    <xf numFmtId="0" fontId="17" fillId="0" borderId="34" xfId="2" applyFont="1" applyBorder="1" applyAlignment="1">
      <alignment horizontal="center"/>
    </xf>
    <xf numFmtId="0" fontId="17" fillId="0" borderId="25" xfId="2" applyFont="1" applyBorder="1" applyAlignment="1">
      <alignment horizontal="center"/>
    </xf>
    <xf numFmtId="0" fontId="17" fillId="0" borderId="38" xfId="2" applyFont="1" applyBorder="1" applyAlignment="1">
      <alignment horizontal="center"/>
    </xf>
    <xf numFmtId="0" fontId="32" fillId="13" borderId="20" xfId="2" applyFont="1" applyFill="1" applyBorder="1" applyAlignment="1">
      <alignment horizontal="center" vertical="center" textRotation="90"/>
    </xf>
    <xf numFmtId="0" fontId="17" fillId="0" borderId="39" xfId="2" applyFont="1" applyBorder="1" applyAlignment="1">
      <alignment horizontal="center"/>
    </xf>
    <xf numFmtId="0" fontId="17" fillId="0" borderId="24" xfId="2" applyFont="1" applyBorder="1" applyAlignment="1">
      <alignment horizontal="center"/>
    </xf>
    <xf numFmtId="0" fontId="17" fillId="0" borderId="2" xfId="2" applyFont="1" applyBorder="1" applyAlignment="1">
      <alignment horizontal="center"/>
    </xf>
    <xf numFmtId="0" fontId="32" fillId="16" borderId="10" xfId="2" applyFont="1" applyFill="1" applyBorder="1" applyAlignment="1">
      <alignment horizontal="center" vertical="center" textRotation="90"/>
    </xf>
    <xf numFmtId="0" fontId="32" fillId="16" borderId="12" xfId="2" applyFont="1" applyFill="1" applyBorder="1" applyAlignment="1">
      <alignment horizontal="center" vertical="center" textRotation="90"/>
    </xf>
    <xf numFmtId="0" fontId="32" fillId="16" borderId="14" xfId="2" applyFont="1" applyFill="1" applyBorder="1" applyAlignment="1">
      <alignment horizontal="center" vertical="center" textRotation="90"/>
    </xf>
    <xf numFmtId="0" fontId="36" fillId="0" borderId="31" xfId="2" applyFont="1" applyBorder="1" applyAlignment="1">
      <alignment horizontal="center"/>
    </xf>
    <xf numFmtId="0" fontId="36" fillId="0" borderId="40" xfId="2" applyFont="1" applyBorder="1" applyAlignment="1">
      <alignment horizontal="center"/>
    </xf>
    <xf numFmtId="0" fontId="36" fillId="0" borderId="30" xfId="2" applyFont="1" applyBorder="1" applyAlignment="1">
      <alignment horizontal="center"/>
    </xf>
    <xf numFmtId="0" fontId="36" fillId="0" borderId="6" xfId="2" applyFont="1" applyBorder="1" applyAlignment="1">
      <alignment horizontal="center"/>
    </xf>
    <xf numFmtId="0" fontId="32" fillId="11" borderId="20" xfId="2" applyFont="1" applyFill="1" applyBorder="1" applyAlignment="1">
      <alignment horizontal="center" vertical="center" textRotation="90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14" borderId="28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4" borderId="26" xfId="0" applyFont="1" applyFill="1" applyBorder="1" applyAlignment="1">
      <alignment horizontal="center" vertical="center" wrapText="1"/>
    </xf>
    <xf numFmtId="0" fontId="2" fillId="14" borderId="0" xfId="0" applyFont="1" applyFill="1" applyAlignment="1">
      <alignment horizontal="center" vertical="center" wrapText="1"/>
    </xf>
    <xf numFmtId="0" fontId="2" fillId="14" borderId="27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>
      <alignment horizontal="center" vertical="center" wrapText="1"/>
    </xf>
  </cellXfs>
  <cellStyles count="4">
    <cellStyle name="Currency" xfId="1" builtinId="4"/>
    <cellStyle name="Normal" xfId="0" builtinId="0"/>
    <cellStyle name="Normal 2" xfId="2" xr:uid="{1AC262FE-74EA-E142-BAD1-718B79FEB382}"/>
    <cellStyle name="Percent" xfId="3" builtinId="5"/>
  </cellStyles>
  <dxfs count="28">
    <dxf>
      <numFmt numFmtId="164" formatCode="_(&quot;£&quot;* #,##0.00_);_(&quot;£&quot;* \(#,##0.00\);_(&quot;£&quot;* &quot;-&quot;??_);_(@_)"/>
    </dxf>
    <dxf>
      <numFmt numFmtId="170" formatCode="_([$€-2]\ * #,##0.00_);_([$€-2]\ * \(#,##0.00\);_([$€-2]\ * &quot;-&quot;??_);_(@_)"/>
    </dxf>
    <dxf>
      <numFmt numFmtId="171" formatCode="_([$$-409]* #,##0.00_);_([$$-409]* \(#,##0.00\);_([$$-409]* &quot;-&quot;??_);_(@_)"/>
    </dxf>
    <dxf>
      <numFmt numFmtId="164" formatCode="_(&quot;£&quot;* #,##0.00_);_(&quot;£&quot;* \(#,##0.00\);_(&quot;£&quot;* &quot;-&quot;??_);_(@_)"/>
    </dxf>
    <dxf>
      <numFmt numFmtId="170" formatCode="_([$€-2]\ * #,##0.00_);_([$€-2]\ * \(#,##0.00\);_([$€-2]\ * &quot;-&quot;??_);_(@_)"/>
    </dxf>
    <dxf>
      <numFmt numFmtId="171" formatCode="_([$$-409]* #,##0.00_);_([$$-409]* \(#,##0.00\);_([$$-409]* &quot;-&quot;??_);_(@_)"/>
    </dxf>
    <dxf>
      <numFmt numFmtId="164" formatCode="_(&quot;£&quot;* #,##0.00_);_(&quot;£&quot;* \(#,##0.00\);_(&quot;£&quot;* &quot;-&quot;??_);_(@_)"/>
    </dxf>
    <dxf>
      <numFmt numFmtId="170" formatCode="_([$€-2]\ * #,##0.00_);_([$€-2]\ * \(#,##0.00\);_([$€-2]\ * &quot;-&quot;??_);_(@_)"/>
    </dxf>
    <dxf>
      <numFmt numFmtId="171" formatCode="_([$$-409]* #,##0.00_);_([$$-409]* \(#,##0.00\);_([$$-409]* &quot;-&quot;??_);_(@_)"/>
    </dxf>
    <dxf>
      <numFmt numFmtId="164" formatCode="_(&quot;£&quot;* #,##0.00_);_(&quot;£&quot;* \(#,##0.00\);_(&quot;£&quot;* &quot;-&quot;??_);_(@_)"/>
    </dxf>
    <dxf>
      <numFmt numFmtId="170" formatCode="_([$€-2]\ * #,##0.00_);_([$€-2]\ * \(#,##0.00\);_([$€-2]\ * &quot;-&quot;??_);_(@_)"/>
    </dxf>
    <dxf>
      <numFmt numFmtId="171" formatCode="_([$$-409]* #,##0.00_);_([$$-409]* \(#,##0.00\);_([$$-409]* &quot;-&quot;??_);_(@_)"/>
    </dxf>
    <dxf>
      <numFmt numFmtId="164" formatCode="_(&quot;£&quot;* #,##0.00_);_(&quot;£&quot;* \(#,##0.00\);_(&quot;£&quot;* &quot;-&quot;??_);_(@_)"/>
    </dxf>
    <dxf>
      <numFmt numFmtId="170" formatCode="_([$€-2]\ * #,##0.00_);_([$€-2]\ * \(#,##0.00\);_([$€-2]\ * &quot;-&quot;??_);_(@_)"/>
    </dxf>
    <dxf>
      <numFmt numFmtId="171" formatCode="_([$$-409]* #,##0.00_);_([$$-409]* \(#,##0.00\);_([$$-409]* &quot;-&quot;??_);_(@_)"/>
    </dxf>
    <dxf>
      <font>
        <color theme="0"/>
      </font>
    </dxf>
    <dxf>
      <numFmt numFmtId="164" formatCode="_(&quot;£&quot;* #,##0.00_);_(&quot;£&quot;* \(#,##0.00\);_(&quot;£&quot;* &quot;-&quot;??_);_(@_)"/>
    </dxf>
    <dxf>
      <numFmt numFmtId="170" formatCode="_([$€-2]\ * #,##0.00_);_([$€-2]\ * \(#,##0.00\);_([$€-2]\ * &quot;-&quot;??_);_(@_)"/>
    </dxf>
    <dxf>
      <numFmt numFmtId="171" formatCode="_([$$-409]* #,##0.00_);_([$$-409]* \(#,##0.00\);_([$$-409]* &quot;-&quot;??_);_(@_)"/>
    </dxf>
    <dxf>
      <numFmt numFmtId="164" formatCode="_(&quot;£&quot;* #,##0.00_);_(&quot;£&quot;* \(#,##0.00\);_(&quot;£&quot;* &quot;-&quot;??_);_(@_)"/>
    </dxf>
    <dxf>
      <numFmt numFmtId="170" formatCode="_([$€-2]\ * #,##0.00_);_([$€-2]\ * \(#,##0.00\);_([$€-2]\ * &quot;-&quot;??_);_(@_)"/>
    </dxf>
    <dxf>
      <numFmt numFmtId="171" formatCode="_([$$-409]* #,##0.00_);_([$$-409]* \(#,##0.00\);_([$$-409]* &quot;-&quot;??_);_(@_)"/>
    </dxf>
    <dxf>
      <numFmt numFmtId="164" formatCode="_(&quot;£&quot;* #,##0.00_);_(&quot;£&quot;* \(#,##0.00\);_(&quot;£&quot;* &quot;-&quot;??_);_(@_)"/>
    </dxf>
    <dxf>
      <numFmt numFmtId="170" formatCode="_([$€-2]\ * #,##0.00_);_([$€-2]\ * \(#,##0.00\);_([$€-2]\ * &quot;-&quot;??_);_(@_)"/>
    </dxf>
    <dxf>
      <numFmt numFmtId="171" formatCode="_([$$-409]* #,##0.00_);_([$$-409]* \(#,##0.00\);_([$$-409]* &quot;-&quot;??_);_(@_)"/>
    </dxf>
    <dxf>
      <numFmt numFmtId="164" formatCode="_(&quot;£&quot;* #,##0.00_);_(&quot;£&quot;* \(#,##0.00\);_(&quot;£&quot;* &quot;-&quot;??_);_(@_)"/>
    </dxf>
    <dxf>
      <numFmt numFmtId="170" formatCode="_([$€-2]\ * #,##0.00_);_([$€-2]\ * \(#,##0.00\);_([$€-2]\ * &quot;-&quot;??_);_(@_)"/>
    </dxf>
    <dxf>
      <numFmt numFmtId="171" formatCode="_([$$-409]* #,##0.00_);_([$$-409]* \(#,##0.00\);_([$$-409]* &quot;-&quot;??_);_(@_)"/>
    </dxf>
  </dxfs>
  <tableStyles count="0" defaultTableStyle="TableStyleMedium2" defaultPivotStyle="PivotStyleLight16"/>
  <colors>
    <mruColors>
      <color rgb="FFFFFD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heetMetadata" Target="metadata.xml"/><Relationship Id="rId5" Type="http://schemas.openxmlformats.org/officeDocument/2006/relationships/externalLink" Target="externalLinks/externalLink1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96643</xdr:colOff>
      <xdr:row>3</xdr:row>
      <xdr:rowOff>9071</xdr:rowOff>
    </xdr:from>
    <xdr:to>
      <xdr:col>1</xdr:col>
      <xdr:colOff>478196</xdr:colOff>
      <xdr:row>12</xdr:row>
      <xdr:rowOff>178837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06898BE-0FC8-4A17-68EE-A1337F1625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-432464" y="1626749"/>
          <a:ext cx="1965909" cy="38155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Yachting%20Price%20Lists/Leisure%20Marine%20Price%20Lists/2011%20Price%20Lists/MGP%20price%20list%202011%20Issue%201%20(DO%20NOT%20SEND%20TO%20CUSTOMER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Leisure%20Marine/Leisure%20Marine%20Price%20Lists/2013%20Price%20Lists/MGP%20price%20list%202012%20Issue%202%20(DO%20NOT%20SEND%20TO%20CUSTOMERS)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arlowropesltd-my.sharepoint.com/personal/jon_mitchell_marlowropes_com/Documents/Sales/Price%20Lists/2024%20Pricing/MGP%20Price%20List%202024%20DRAFT.xlsm" TargetMode="External"/><Relationship Id="rId1" Type="http://schemas.openxmlformats.org/officeDocument/2006/relationships/externalLinkPath" Target="https://marlowropesltd-my.sharepoint.com/personal/jon_mitchell_marlowropes_com/Documents/Sales/Price%20Lists/2024%20Pricing/MGP%20Price%20List%202024%20DRAF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ce List"/>
      <sheetName val="Product List"/>
      <sheetName val="Order"/>
      <sheetName val="New Quote Discount"/>
      <sheetName val="Accounts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ce List"/>
      <sheetName val="Product List"/>
      <sheetName val="Order"/>
      <sheetName val="New Quote Discount"/>
      <sheetName val="Accoun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ice List"/>
      <sheetName val="Retail Price"/>
      <sheetName val="KG Prices"/>
      <sheetName val="Order"/>
      <sheetName val="New Quote Discount"/>
      <sheetName val="Product List"/>
      <sheetName val="Weigh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7A8EB-CDF1-5746-83A4-FDBEBAA842C8}">
  <sheetPr codeName="Sheet1">
    <tabColor rgb="FFFF0000"/>
  </sheetPr>
  <dimension ref="A1:DA305"/>
  <sheetViews>
    <sheetView tabSelected="1" zoomScale="80" zoomScaleNormal="80" workbookViewId="0">
      <selection activeCell="V37" sqref="V37"/>
    </sheetView>
  </sheetViews>
  <sheetFormatPr defaultColWidth="10.625" defaultRowHeight="15.75"/>
  <cols>
    <col min="1" max="1" width="3.5" style="30" customWidth="1"/>
    <col min="2" max="2" width="7.875" style="30" customWidth="1"/>
    <col min="3" max="3" width="7" bestFit="1" customWidth="1"/>
    <col min="4" max="4" width="6.5" style="1" bestFit="1" customWidth="1"/>
    <col min="5" max="5" width="8" bestFit="1" customWidth="1"/>
    <col min="6" max="6" width="8.875" customWidth="1"/>
    <col min="7" max="7" width="8.625" customWidth="1"/>
    <col min="8" max="8" width="8.875" customWidth="1"/>
    <col min="9" max="14" width="8" bestFit="1" customWidth="1"/>
    <col min="15" max="15" width="7" bestFit="1" customWidth="1"/>
    <col min="16" max="16" width="7.5" style="1" customWidth="1"/>
    <col min="17" max="17" width="9.125" customWidth="1"/>
    <col min="18" max="18" width="8.875" customWidth="1"/>
    <col min="19" max="19" width="9.625" customWidth="1"/>
    <col min="20" max="20" width="9.125" customWidth="1"/>
    <col min="21" max="21" width="9.625" customWidth="1"/>
    <col min="22" max="22" width="8.875" customWidth="1"/>
    <col min="23" max="27" width="9.875" customWidth="1"/>
    <col min="28" max="105" width="10.875" style="30"/>
  </cols>
  <sheetData>
    <row r="1" spans="1:105" s="30" customFormat="1" ht="16.5" thickBot="1">
      <c r="D1" s="31"/>
      <c r="P1" s="31"/>
    </row>
    <row r="2" spans="1:105" ht="21.75" thickBot="1">
      <c r="B2" s="78">
        <v>2024</v>
      </c>
      <c r="C2" s="197" t="s">
        <v>0</v>
      </c>
      <c r="D2" s="198"/>
      <c r="E2" s="198"/>
      <c r="F2" s="198"/>
      <c r="G2" s="198"/>
      <c r="H2" s="198"/>
      <c r="I2" s="198"/>
      <c r="J2" s="198"/>
      <c r="K2" s="198"/>
      <c r="L2" s="199"/>
      <c r="M2" s="197" t="s">
        <v>1</v>
      </c>
      <c r="N2" s="199"/>
      <c r="O2" s="197" t="s">
        <v>2</v>
      </c>
      <c r="P2" s="198"/>
      <c r="Q2" s="198"/>
      <c r="R2" s="198"/>
      <c r="S2" s="198"/>
      <c r="T2" s="198"/>
      <c r="U2" s="198"/>
      <c r="V2" s="198"/>
      <c r="W2" s="198"/>
      <c r="X2" s="198"/>
      <c r="Y2" s="198"/>
      <c r="Z2" s="198"/>
      <c r="AA2" s="199"/>
    </row>
    <row r="3" spans="1:105" s="2" customFormat="1" ht="26.1" customHeight="1">
      <c r="A3" s="24"/>
      <c r="B3" s="113" t="s">
        <v>232</v>
      </c>
      <c r="C3" s="98" t="s">
        <v>3</v>
      </c>
      <c r="D3" s="99" t="s">
        <v>4</v>
      </c>
      <c r="E3" s="100" t="s">
        <v>5</v>
      </c>
      <c r="F3" s="100" t="s">
        <v>6</v>
      </c>
      <c r="G3" s="100" t="s">
        <v>7</v>
      </c>
      <c r="H3" s="100" t="s">
        <v>8</v>
      </c>
      <c r="I3" s="100" t="s">
        <v>9</v>
      </c>
      <c r="J3" s="100" t="s">
        <v>10</v>
      </c>
      <c r="K3" s="100" t="s">
        <v>11</v>
      </c>
      <c r="L3" s="101" t="s">
        <v>12</v>
      </c>
      <c r="M3" s="102" t="s">
        <v>13</v>
      </c>
      <c r="N3" s="101" t="s">
        <v>14</v>
      </c>
      <c r="O3" s="103" t="s">
        <v>3</v>
      </c>
      <c r="P3" s="104" t="s">
        <v>4</v>
      </c>
      <c r="Q3" s="100" t="s">
        <v>15</v>
      </c>
      <c r="R3" s="100" t="s">
        <v>16</v>
      </c>
      <c r="S3" s="100" t="s">
        <v>17</v>
      </c>
      <c r="T3" s="100" t="s">
        <v>18</v>
      </c>
      <c r="U3" s="100" t="s">
        <v>19</v>
      </c>
      <c r="V3" s="100" t="s">
        <v>20</v>
      </c>
      <c r="W3" s="100" t="s">
        <v>21</v>
      </c>
      <c r="X3" s="100" t="s">
        <v>22</v>
      </c>
      <c r="Y3" s="100" t="s">
        <v>23</v>
      </c>
      <c r="Z3" s="100" t="s">
        <v>24</v>
      </c>
      <c r="AA3" s="101" t="s">
        <v>25</v>
      </c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  <c r="CK3" s="24"/>
      <c r="CL3" s="24"/>
      <c r="CM3" s="24"/>
      <c r="CN3" s="24"/>
      <c r="CO3" s="24"/>
      <c r="CP3" s="24"/>
      <c r="CQ3" s="24"/>
      <c r="CR3" s="24"/>
      <c r="CS3" s="24"/>
      <c r="CT3" s="24"/>
      <c r="CU3" s="24"/>
      <c r="CV3" s="24"/>
      <c r="CW3" s="24"/>
      <c r="CX3" s="24"/>
      <c r="CY3" s="24"/>
      <c r="CZ3" s="24"/>
      <c r="DA3" s="24"/>
    </row>
    <row r="4" spans="1:105">
      <c r="B4" s="201"/>
      <c r="C4" s="25" t="s">
        <v>26</v>
      </c>
      <c r="D4" s="75" t="s">
        <v>27</v>
      </c>
      <c r="E4" s="54">
        <v>0</v>
      </c>
      <c r="F4" s="54">
        <v>0</v>
      </c>
      <c r="G4" s="54">
        <v>1.3068</v>
      </c>
      <c r="H4" s="54">
        <v>1.697025</v>
      </c>
      <c r="I4" s="54">
        <v>1.5155249999999998</v>
      </c>
      <c r="J4" s="54">
        <v>0</v>
      </c>
      <c r="K4" s="54">
        <v>0</v>
      </c>
      <c r="L4" s="26">
        <v>0</v>
      </c>
      <c r="M4" s="72">
        <v>0</v>
      </c>
      <c r="N4" s="26">
        <v>0</v>
      </c>
      <c r="O4" s="65" t="s">
        <v>26</v>
      </c>
      <c r="P4" s="66" t="s">
        <v>27</v>
      </c>
      <c r="Q4" s="54">
        <v>0</v>
      </c>
      <c r="R4" s="54">
        <v>0</v>
      </c>
      <c r="S4" s="54">
        <v>0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26">
        <v>0</v>
      </c>
    </row>
    <row r="5" spans="1:105">
      <c r="B5" s="201"/>
      <c r="C5" s="27" t="s">
        <v>28</v>
      </c>
      <c r="D5" s="76" t="s">
        <v>27</v>
      </c>
      <c r="E5" s="55">
        <v>0.88583343749999999</v>
      </c>
      <c r="F5" s="55">
        <v>1.2588159375000001</v>
      </c>
      <c r="G5" s="55">
        <v>1.6224738750000001</v>
      </c>
      <c r="H5" s="55">
        <v>2.1260002499999997</v>
      </c>
      <c r="I5" s="55">
        <v>1.8928861874999998</v>
      </c>
      <c r="J5" s="55">
        <v>0</v>
      </c>
      <c r="K5" s="55">
        <v>2.7507819396718145</v>
      </c>
      <c r="L5" s="64">
        <v>0.69934218749999999</v>
      </c>
      <c r="M5" s="73">
        <v>0</v>
      </c>
      <c r="N5" s="64">
        <v>0</v>
      </c>
      <c r="O5" s="67" t="s">
        <v>28</v>
      </c>
      <c r="P5" s="68" t="s">
        <v>27</v>
      </c>
      <c r="Q5" s="55">
        <v>0</v>
      </c>
      <c r="R5" s="55">
        <v>0</v>
      </c>
      <c r="S5" s="55">
        <v>0</v>
      </c>
      <c r="T5" s="55">
        <v>0</v>
      </c>
      <c r="U5" s="55">
        <v>0</v>
      </c>
      <c r="V5" s="55">
        <v>0</v>
      </c>
      <c r="W5" s="55">
        <v>0</v>
      </c>
      <c r="X5" s="55">
        <v>0</v>
      </c>
      <c r="Y5" s="55">
        <v>0</v>
      </c>
      <c r="Z5" s="55">
        <v>0</v>
      </c>
      <c r="AA5" s="64">
        <v>0</v>
      </c>
    </row>
    <row r="6" spans="1:105">
      <c r="B6" s="201"/>
      <c r="C6" s="25" t="s">
        <v>29</v>
      </c>
      <c r="D6" s="75" t="s">
        <v>30</v>
      </c>
      <c r="E6" s="54">
        <v>1.4266580625</v>
      </c>
      <c r="F6" s="54">
        <v>1.8369388125000001</v>
      </c>
      <c r="G6" s="54">
        <v>1.7250440625000001</v>
      </c>
      <c r="H6" s="54">
        <v>2.2472195625000002</v>
      </c>
      <c r="I6" s="54">
        <v>2.1166756874999999</v>
      </c>
      <c r="J6" s="54">
        <v>1.3334124375</v>
      </c>
      <c r="K6" s="54">
        <v>4.3055717316602315</v>
      </c>
      <c r="L6" s="26">
        <v>1.7436931875000001</v>
      </c>
      <c r="M6" s="72">
        <v>0</v>
      </c>
      <c r="N6" s="26">
        <v>0.19581581249999996</v>
      </c>
      <c r="O6" s="65" t="s">
        <v>29</v>
      </c>
      <c r="P6" s="66" t="s">
        <v>30</v>
      </c>
      <c r="Q6" s="54">
        <v>0.4942018125</v>
      </c>
      <c r="R6" s="54">
        <v>0.53150006249999993</v>
      </c>
      <c r="S6" s="54">
        <v>1.324087875</v>
      </c>
      <c r="T6" s="54">
        <v>7.2903647879464266</v>
      </c>
      <c r="U6" s="54">
        <v>4.8786333013392866</v>
      </c>
      <c r="V6" s="54">
        <v>4.5791372343749988</v>
      </c>
      <c r="W6" s="54">
        <v>2.2934901785714286</v>
      </c>
      <c r="X6" s="54">
        <v>7.6782062499999997</v>
      </c>
      <c r="Y6" s="54">
        <v>1.2767990223214287</v>
      </c>
      <c r="Z6" s="54">
        <v>1.5368877120535711</v>
      </c>
      <c r="AA6" s="26">
        <v>1.4995328023856029</v>
      </c>
    </row>
    <row r="7" spans="1:105">
      <c r="B7" s="201"/>
      <c r="C7" s="27" t="s">
        <v>31</v>
      </c>
      <c r="D7" s="76" t="s">
        <v>32</v>
      </c>
      <c r="E7" s="55">
        <v>1.6224738750000001</v>
      </c>
      <c r="F7" s="55">
        <v>2.0887020000000001</v>
      </c>
      <c r="G7" s="55">
        <v>1.9276739783653849</v>
      </c>
      <c r="H7" s="55">
        <v>2.5104591346153842</v>
      </c>
      <c r="I7" s="55">
        <v>0</v>
      </c>
      <c r="J7" s="55">
        <v>0</v>
      </c>
      <c r="K7" s="55">
        <v>0</v>
      </c>
      <c r="L7" s="64">
        <v>0</v>
      </c>
      <c r="M7" s="73">
        <v>0</v>
      </c>
      <c r="N7" s="64">
        <v>0.23311406250000002</v>
      </c>
      <c r="O7" s="67" t="s">
        <v>31</v>
      </c>
      <c r="P7" s="68" t="s">
        <v>32</v>
      </c>
      <c r="Q7" s="55">
        <v>0.55014918749999997</v>
      </c>
      <c r="R7" s="55">
        <v>0.58744743750000006</v>
      </c>
      <c r="S7" s="55">
        <v>1.4359826249999998</v>
      </c>
      <c r="T7" s="55">
        <v>7.906451953124999</v>
      </c>
      <c r="U7" s="55">
        <v>5.290912171875001</v>
      </c>
      <c r="V7" s="55">
        <v>4.9661065781249993</v>
      </c>
      <c r="W7" s="55">
        <v>2.4873062500000001</v>
      </c>
      <c r="X7" s="55">
        <v>8.3270687500000005</v>
      </c>
      <c r="Y7" s="55">
        <v>1.3846975312500003</v>
      </c>
      <c r="Z7" s="55">
        <v>1.6667655468749998</v>
      </c>
      <c r="AA7" s="64">
        <v>1.626253884277344</v>
      </c>
    </row>
    <row r="8" spans="1:105">
      <c r="B8" s="201"/>
      <c r="C8" s="25" t="s">
        <v>30</v>
      </c>
      <c r="D8" s="75" t="s">
        <v>33</v>
      </c>
      <c r="E8" s="54">
        <v>1.790316</v>
      </c>
      <c r="F8" s="54">
        <v>2.3124915000000001</v>
      </c>
      <c r="G8" s="54">
        <v>2.2845178125000003</v>
      </c>
      <c r="H8" s="54">
        <v>2.9745354374999997</v>
      </c>
      <c r="I8" s="54">
        <v>2.8253424374999998</v>
      </c>
      <c r="J8" s="54">
        <v>2.6202020625000002</v>
      </c>
      <c r="K8" s="54">
        <v>8.6111434633204631</v>
      </c>
      <c r="L8" s="26">
        <v>2.1166756874999999</v>
      </c>
      <c r="M8" s="72">
        <v>0.28906143750000002</v>
      </c>
      <c r="N8" s="26">
        <v>0.28906143750000002</v>
      </c>
      <c r="O8" s="65" t="s">
        <v>30</v>
      </c>
      <c r="P8" s="66" t="s">
        <v>33</v>
      </c>
      <c r="Q8" s="54">
        <v>0.66204393750000001</v>
      </c>
      <c r="R8" s="54">
        <v>0.69001762499999997</v>
      </c>
      <c r="S8" s="54">
        <v>1.5665264999999997</v>
      </c>
      <c r="T8" s="54">
        <v>8.6252203124999998</v>
      </c>
      <c r="U8" s="54">
        <v>5.7719041875000006</v>
      </c>
      <c r="V8" s="54">
        <v>5.4175708124999993</v>
      </c>
      <c r="W8" s="54">
        <v>2.713425</v>
      </c>
      <c r="X8" s="54">
        <v>9.0840750000000003</v>
      </c>
      <c r="Y8" s="54">
        <v>1.5105791250000002</v>
      </c>
      <c r="Z8" s="54">
        <v>1.8182896875000001</v>
      </c>
      <c r="AA8" s="26">
        <v>1.7740951464843753</v>
      </c>
    </row>
    <row r="9" spans="1:105">
      <c r="B9" s="201"/>
      <c r="C9" s="27" t="s">
        <v>32</v>
      </c>
      <c r="D9" s="76" t="s">
        <v>34</v>
      </c>
      <c r="E9" s="55">
        <v>2.6575003125000003</v>
      </c>
      <c r="F9" s="55">
        <v>3.4127898750000001</v>
      </c>
      <c r="G9" s="55">
        <v>3.0771056249999993</v>
      </c>
      <c r="H9" s="55">
        <v>3.7298250000000004</v>
      </c>
      <c r="I9" s="55">
        <v>3.5246846249999999</v>
      </c>
      <c r="J9" s="55">
        <v>3.1890003749999996</v>
      </c>
      <c r="K9" s="55">
        <v>11.182526580839767</v>
      </c>
      <c r="L9" s="64">
        <v>2.5083073124999995</v>
      </c>
      <c r="M9" s="73">
        <v>0.35433337500000001</v>
      </c>
      <c r="N9" s="64">
        <v>0.35433337500000001</v>
      </c>
      <c r="O9" s="67" t="s">
        <v>32</v>
      </c>
      <c r="P9" s="68" t="s">
        <v>34</v>
      </c>
      <c r="Q9" s="55">
        <v>0.70866675000000001</v>
      </c>
      <c r="R9" s="55">
        <v>0.77393868749999983</v>
      </c>
      <c r="S9" s="55">
        <v>2.0327546250000004</v>
      </c>
      <c r="T9" s="55">
        <v>10.3409398125</v>
      </c>
      <c r="U9" s="55">
        <v>6.9934218749999992</v>
      </c>
      <c r="V9" s="55">
        <v>6.1355621249999999</v>
      </c>
      <c r="W9" s="55">
        <v>3.2579249999999997</v>
      </c>
      <c r="X9" s="55">
        <v>10.89</v>
      </c>
      <c r="Y9" s="55">
        <v>1.8649125000000002</v>
      </c>
      <c r="Z9" s="55">
        <v>2.1726230625</v>
      </c>
      <c r="AA9" s="64">
        <v>2.1198162519531252</v>
      </c>
    </row>
    <row r="10" spans="1:105">
      <c r="B10" s="201"/>
      <c r="C10" s="25" t="s">
        <v>33</v>
      </c>
      <c r="D10" s="75" t="s">
        <v>35</v>
      </c>
      <c r="E10" s="54">
        <v>3.8044214999999997</v>
      </c>
      <c r="F10" s="54">
        <v>4.9326935624999999</v>
      </c>
      <c r="G10" s="54">
        <v>4.4851145624999997</v>
      </c>
      <c r="H10" s="54">
        <v>5.7905533124999993</v>
      </c>
      <c r="I10" s="54">
        <v>5.501491875000001</v>
      </c>
      <c r="J10" s="54">
        <v>3.6272548124999999</v>
      </c>
      <c r="K10" s="54">
        <v>15.4880983125</v>
      </c>
      <c r="L10" s="26">
        <v>2.8999389375</v>
      </c>
      <c r="M10" s="72">
        <v>0.38230706249999991</v>
      </c>
      <c r="N10" s="26">
        <v>0.38230706249999991</v>
      </c>
      <c r="O10" s="65" t="s">
        <v>33</v>
      </c>
      <c r="P10" s="66" t="s">
        <v>35</v>
      </c>
      <c r="Q10" s="54">
        <v>0.96975449999999996</v>
      </c>
      <c r="R10" s="54">
        <v>1.0536755624999998</v>
      </c>
      <c r="S10" s="54">
        <v>2.5362810000000002</v>
      </c>
      <c r="T10" s="54">
        <v>13.819001625</v>
      </c>
      <c r="U10" s="54">
        <v>9.6042993750000019</v>
      </c>
      <c r="V10" s="54">
        <v>7.4223517500000007</v>
      </c>
      <c r="W10" s="54">
        <v>4.365075</v>
      </c>
      <c r="X10" s="54">
        <v>14.564966625</v>
      </c>
      <c r="Y10" s="54">
        <v>2.3777634374999996</v>
      </c>
      <c r="Z10" s="54">
        <v>2.6854740000000001</v>
      </c>
      <c r="AA10" s="26">
        <v>2.6202020625000002</v>
      </c>
    </row>
    <row r="11" spans="1:105" ht="15.95" customHeight="1">
      <c r="B11" s="201"/>
      <c r="C11" s="27" t="s">
        <v>36</v>
      </c>
      <c r="D11" s="76" t="s">
        <v>37</v>
      </c>
      <c r="E11" s="55">
        <v>4.2520004999999994</v>
      </c>
      <c r="F11" s="55">
        <v>5.4828427499999997</v>
      </c>
      <c r="G11" s="55">
        <v>5.3633249999999997</v>
      </c>
      <c r="H11" s="55">
        <v>7.0213955624999995</v>
      </c>
      <c r="I11" s="55">
        <v>0</v>
      </c>
      <c r="J11" s="55">
        <v>0</v>
      </c>
      <c r="K11" s="55">
        <v>0</v>
      </c>
      <c r="L11" s="64">
        <v>0</v>
      </c>
      <c r="M11" s="73">
        <v>0.42892987500000002</v>
      </c>
      <c r="N11" s="64">
        <v>0.42892987500000002</v>
      </c>
      <c r="O11" s="67" t="s">
        <v>36</v>
      </c>
      <c r="P11" s="68" t="s">
        <v>37</v>
      </c>
      <c r="Q11" s="55">
        <v>1.1002983749999999</v>
      </c>
      <c r="R11" s="55">
        <v>1.2028685625</v>
      </c>
      <c r="S11" s="55">
        <v>2.8439915624999998</v>
      </c>
      <c r="T11" s="55">
        <v>20.737826999999999</v>
      </c>
      <c r="U11" s="55">
        <v>13.921571812499998</v>
      </c>
      <c r="V11" s="55">
        <v>10.7885188125</v>
      </c>
      <c r="W11" s="55">
        <v>4.945875</v>
      </c>
      <c r="X11" s="55">
        <v>16.387918593749998</v>
      </c>
      <c r="Y11" s="55">
        <v>2.6947985625000004</v>
      </c>
      <c r="Z11" s="55">
        <v>3.0258205312499999</v>
      </c>
      <c r="AA11" s="64">
        <v>3.0118336874999998</v>
      </c>
    </row>
    <row r="12" spans="1:105">
      <c r="B12" s="201"/>
      <c r="C12" s="25" t="s">
        <v>34</v>
      </c>
      <c r="D12" s="75" t="s">
        <v>38</v>
      </c>
      <c r="E12" s="54">
        <v>4.6809303749999991</v>
      </c>
      <c r="F12" s="54">
        <v>6.042316500000001</v>
      </c>
      <c r="G12" s="54">
        <v>6.2288077499999988</v>
      </c>
      <c r="H12" s="54">
        <v>8.0750711249999991</v>
      </c>
      <c r="I12" s="54">
        <v>7.6368166874999996</v>
      </c>
      <c r="J12" s="54">
        <v>5.0818865624999994</v>
      </c>
      <c r="K12" s="54">
        <v>21.670283249999997</v>
      </c>
      <c r="L12" s="26">
        <v>4.0934829374999993</v>
      </c>
      <c r="M12" s="72">
        <v>0.55014918749999997</v>
      </c>
      <c r="N12" s="26">
        <v>0.55014918749999997</v>
      </c>
      <c r="O12" s="65" t="s">
        <v>34</v>
      </c>
      <c r="P12" s="66" t="s">
        <v>38</v>
      </c>
      <c r="Q12" s="54">
        <v>1.2028685625</v>
      </c>
      <c r="R12" s="54">
        <v>1.2961141875</v>
      </c>
      <c r="S12" s="54">
        <v>3.1330529999999994</v>
      </c>
      <c r="T12" s="54">
        <v>20.737826999999999</v>
      </c>
      <c r="U12" s="54">
        <v>13.921571812499998</v>
      </c>
      <c r="V12" s="54">
        <v>10.7885188125</v>
      </c>
      <c r="W12" s="54">
        <v>5.4631499999999997</v>
      </c>
      <c r="X12" s="54">
        <v>18.210870562500002</v>
      </c>
      <c r="Y12" s="54">
        <v>2.9931845624999998</v>
      </c>
      <c r="Z12" s="54">
        <v>3.3661670624999998</v>
      </c>
      <c r="AA12" s="26">
        <v>3.4034653124999998</v>
      </c>
    </row>
    <row r="13" spans="1:105">
      <c r="B13" s="201"/>
      <c r="C13" s="27" t="s">
        <v>35</v>
      </c>
      <c r="D13" s="76" t="s">
        <v>39</v>
      </c>
      <c r="E13" s="55">
        <v>5.1658076250000002</v>
      </c>
      <c r="F13" s="55">
        <v>6.75098325</v>
      </c>
      <c r="G13" s="55">
        <v>8.3081851874999995</v>
      </c>
      <c r="H13" s="55">
        <v>10.154448562499999</v>
      </c>
      <c r="I13" s="55">
        <v>9.6136239374999999</v>
      </c>
      <c r="J13" s="55">
        <v>6.1915094999999987</v>
      </c>
      <c r="K13" s="55">
        <v>0</v>
      </c>
      <c r="L13" s="64">
        <v>0</v>
      </c>
      <c r="M13" s="73">
        <v>0.72731587499999995</v>
      </c>
      <c r="N13" s="64">
        <v>0.72731587499999995</v>
      </c>
      <c r="O13" s="67" t="s">
        <v>35</v>
      </c>
      <c r="P13" s="68" t="s">
        <v>39</v>
      </c>
      <c r="Q13" s="55">
        <v>1.2961141875</v>
      </c>
      <c r="R13" s="55">
        <v>1.4266580625</v>
      </c>
      <c r="S13" s="55">
        <v>4.0934829374999993</v>
      </c>
      <c r="T13" s="55">
        <v>24.178590562499998</v>
      </c>
      <c r="U13" s="55">
        <v>17.325037124999998</v>
      </c>
      <c r="V13" s="55">
        <v>14.50901925</v>
      </c>
      <c r="W13" s="55">
        <v>7.359824999999999</v>
      </c>
      <c r="X13" s="55">
        <v>23.675064187500002</v>
      </c>
      <c r="Y13" s="55">
        <v>3.89300484375</v>
      </c>
      <c r="Z13" s="55">
        <v>4.3732198124999995</v>
      </c>
      <c r="AA13" s="64">
        <v>4.4198426250000002</v>
      </c>
    </row>
    <row r="14" spans="1:105">
      <c r="B14" s="200" t="s">
        <v>40</v>
      </c>
      <c r="C14" s="25" t="s">
        <v>37</v>
      </c>
      <c r="D14" s="75" t="s">
        <v>41</v>
      </c>
      <c r="E14" s="54">
        <v>5.6600094375000003</v>
      </c>
      <c r="F14" s="54">
        <v>7.3104570000000004</v>
      </c>
      <c r="G14" s="54">
        <v>9.4737555000000011</v>
      </c>
      <c r="H14" s="54">
        <v>12.233825999999997</v>
      </c>
      <c r="I14" s="54">
        <v>11.5904311875</v>
      </c>
      <c r="J14" s="54">
        <v>0</v>
      </c>
      <c r="K14" s="54">
        <v>34.155872437500001</v>
      </c>
      <c r="L14" s="26">
        <v>6.5365183125000001</v>
      </c>
      <c r="M14" s="72">
        <v>0.89515800000000001</v>
      </c>
      <c r="N14" s="26">
        <v>0.89515800000000001</v>
      </c>
      <c r="O14" s="65" t="s">
        <v>37</v>
      </c>
      <c r="P14" s="66" t="s">
        <v>41</v>
      </c>
      <c r="Q14" s="54">
        <v>1.7250440625000001</v>
      </c>
      <c r="R14" s="54">
        <v>1.8835616250000002</v>
      </c>
      <c r="S14" s="54">
        <v>5.0445883124999993</v>
      </c>
      <c r="T14" s="54">
        <v>31.078766812499996</v>
      </c>
      <c r="U14" s="54">
        <v>19.227247875</v>
      </c>
      <c r="V14" s="54">
        <v>18.210870562500002</v>
      </c>
      <c r="W14" s="54">
        <v>8.7392249999999994</v>
      </c>
      <c r="X14" s="54">
        <v>29.139257812499999</v>
      </c>
      <c r="Y14" s="54">
        <v>4.7928251249999994</v>
      </c>
      <c r="Z14" s="54">
        <v>5.3802725624999992</v>
      </c>
      <c r="AA14" s="26">
        <v>5.4362199375000007</v>
      </c>
    </row>
    <row r="15" spans="1:105">
      <c r="B15" s="200"/>
      <c r="C15" s="27" t="s">
        <v>38</v>
      </c>
      <c r="D15" s="76" t="s">
        <v>42</v>
      </c>
      <c r="E15" s="55">
        <v>7.2638341875000005</v>
      </c>
      <c r="F15" s="55">
        <v>9.4084835625000007</v>
      </c>
      <c r="G15" s="55">
        <v>11.3666416875</v>
      </c>
      <c r="H15" s="55">
        <v>14.65821225</v>
      </c>
      <c r="I15" s="55">
        <v>13.902922687499998</v>
      </c>
      <c r="J15" s="55">
        <v>8.5412992499999998</v>
      </c>
      <c r="K15" s="55">
        <v>41.918570718750004</v>
      </c>
      <c r="L15" s="64">
        <v>8.2335886874999993</v>
      </c>
      <c r="M15" s="73">
        <v>1.4546317499999999</v>
      </c>
      <c r="N15" s="64">
        <v>1.4546317499999999</v>
      </c>
      <c r="O15" s="67" t="s">
        <v>38</v>
      </c>
      <c r="P15" s="68" t="s">
        <v>42</v>
      </c>
      <c r="Q15" s="55">
        <v>2.8439915624999998</v>
      </c>
      <c r="R15" s="55">
        <v>3.0491319374999999</v>
      </c>
      <c r="S15" s="55">
        <v>6.3034042499999989</v>
      </c>
      <c r="T15" s="55">
        <v>37.988267624999999</v>
      </c>
      <c r="U15" s="55">
        <v>27.880441874999995</v>
      </c>
      <c r="V15" s="55">
        <v>22.257730687499997</v>
      </c>
      <c r="W15" s="55">
        <v>10.926299999999999</v>
      </c>
      <c r="X15" s="55">
        <v>36.431065687499995</v>
      </c>
      <c r="Y15" s="55">
        <v>5.9490708749999994</v>
      </c>
      <c r="Z15" s="55">
        <v>6.7230095624999997</v>
      </c>
      <c r="AA15" s="64">
        <v>6.7882815000000001</v>
      </c>
    </row>
    <row r="16" spans="1:105">
      <c r="B16" s="200"/>
      <c r="C16" s="25" t="s">
        <v>39</v>
      </c>
      <c r="D16" s="75" t="s">
        <v>27</v>
      </c>
      <c r="E16" s="54">
        <v>8.8863080624999995</v>
      </c>
      <c r="F16" s="54">
        <v>11.478536437500001</v>
      </c>
      <c r="G16" s="54">
        <v>13.259527875</v>
      </c>
      <c r="H16" s="54">
        <v>17.110572187500004</v>
      </c>
      <c r="I16" s="54">
        <v>16.196765062500003</v>
      </c>
      <c r="J16" s="54">
        <v>0</v>
      </c>
      <c r="K16" s="54">
        <v>50.291195293526783</v>
      </c>
      <c r="L16" s="26">
        <v>9.902685374999999</v>
      </c>
      <c r="M16" s="72">
        <v>1.8835616250000002</v>
      </c>
      <c r="N16" s="26">
        <v>0</v>
      </c>
      <c r="O16" s="65" t="s">
        <v>39</v>
      </c>
      <c r="P16" s="66" t="s">
        <v>27</v>
      </c>
      <c r="Q16" s="54">
        <v>0</v>
      </c>
      <c r="R16" s="54">
        <v>0</v>
      </c>
      <c r="S16" s="54">
        <v>0</v>
      </c>
      <c r="T16" s="54">
        <v>0</v>
      </c>
      <c r="U16" s="54">
        <v>0</v>
      </c>
      <c r="V16" s="54">
        <v>0</v>
      </c>
      <c r="W16" s="54">
        <v>0</v>
      </c>
      <c r="X16" s="54">
        <v>0</v>
      </c>
      <c r="Y16" s="54">
        <v>0</v>
      </c>
      <c r="Z16" s="54">
        <v>0</v>
      </c>
      <c r="AA16" s="26">
        <v>0</v>
      </c>
    </row>
    <row r="17" spans="2:27">
      <c r="B17" s="200"/>
      <c r="C17" s="27" t="s">
        <v>41</v>
      </c>
      <c r="D17" s="76" t="s">
        <v>43</v>
      </c>
      <c r="E17" s="55">
        <v>9.9120099375000006</v>
      </c>
      <c r="F17" s="55">
        <v>12.811948874999999</v>
      </c>
      <c r="G17" s="55">
        <v>16.234063312499998</v>
      </c>
      <c r="H17" s="55">
        <v>20.933642812499997</v>
      </c>
      <c r="I17" s="55">
        <v>19.828875000000004</v>
      </c>
      <c r="J17" s="55">
        <v>10.4528345625</v>
      </c>
      <c r="K17" s="55">
        <v>66.034686712500005</v>
      </c>
      <c r="L17" s="64">
        <v>0</v>
      </c>
      <c r="M17" s="73">
        <v>2.1819476249999998</v>
      </c>
      <c r="N17" s="64">
        <v>2.1819476249999998</v>
      </c>
      <c r="O17" s="67" t="s">
        <v>41</v>
      </c>
      <c r="P17" s="68" t="s">
        <v>43</v>
      </c>
      <c r="Q17" s="55">
        <v>3.8883425625000001</v>
      </c>
      <c r="R17" s="55">
        <v>4.1680794374999994</v>
      </c>
      <c r="S17" s="55">
        <v>8.1776413124999987</v>
      </c>
      <c r="T17" s="55">
        <v>51.825918374999993</v>
      </c>
      <c r="U17" s="55">
        <v>33.120846</v>
      </c>
      <c r="V17" s="55">
        <v>25.940932874999998</v>
      </c>
      <c r="W17" s="55">
        <v>14.193300000000001</v>
      </c>
      <c r="X17" s="55">
        <v>47.340803812499999</v>
      </c>
      <c r="Y17" s="55">
        <v>7.7860096875</v>
      </c>
      <c r="Z17" s="55">
        <v>8.7277904999999993</v>
      </c>
      <c r="AA17" s="64">
        <v>8.494676437499999</v>
      </c>
    </row>
    <row r="18" spans="2:27">
      <c r="B18" s="200"/>
      <c r="C18" s="25" t="s">
        <v>44</v>
      </c>
      <c r="D18" s="75" t="s">
        <v>45</v>
      </c>
      <c r="E18" s="54">
        <v>12.047334749999999</v>
      </c>
      <c r="F18" s="54">
        <v>15.55337025</v>
      </c>
      <c r="G18" s="54">
        <v>18.416010937499998</v>
      </c>
      <c r="H18" s="54">
        <v>23.805608062499999</v>
      </c>
      <c r="I18" s="54">
        <v>0</v>
      </c>
      <c r="J18" s="54">
        <v>15.180387750000003</v>
      </c>
      <c r="K18" s="54">
        <v>83.286992249999997</v>
      </c>
      <c r="L18" s="26">
        <v>12.9331681875</v>
      </c>
      <c r="M18" s="72">
        <v>2.4616845000000001</v>
      </c>
      <c r="N18" s="26">
        <v>2.4616845000000001</v>
      </c>
      <c r="O18" s="65" t="s">
        <v>44</v>
      </c>
      <c r="P18" s="66" t="s">
        <v>45</v>
      </c>
      <c r="Q18" s="54">
        <v>5.0725620000000005</v>
      </c>
      <c r="R18" s="54">
        <v>5.4268953750000009</v>
      </c>
      <c r="S18" s="54">
        <v>10.704597750000001</v>
      </c>
      <c r="T18" s="54">
        <v>65.588972624999997</v>
      </c>
      <c r="U18" s="54">
        <v>41.811338249999999</v>
      </c>
      <c r="V18" s="54">
        <v>33.120846</v>
      </c>
      <c r="W18" s="54">
        <v>18.395025</v>
      </c>
      <c r="X18" s="54">
        <v>61.905770437500003</v>
      </c>
      <c r="Y18" s="54">
        <v>9.0168519375000002</v>
      </c>
      <c r="Z18" s="54">
        <v>10.611352125</v>
      </c>
      <c r="AA18" s="26">
        <v>11.124203062499999</v>
      </c>
    </row>
    <row r="19" spans="2:27">
      <c r="B19" s="200"/>
      <c r="C19" s="27" t="s">
        <v>46</v>
      </c>
      <c r="D19" s="76" t="s">
        <v>47</v>
      </c>
      <c r="E19" s="55">
        <v>14.042178562499998</v>
      </c>
      <c r="F19" s="55">
        <v>18.536617687500001</v>
      </c>
      <c r="G19" s="55">
        <v>22.065454125000006</v>
      </c>
      <c r="H19" s="55">
        <v>28.657919812499994</v>
      </c>
      <c r="I19" s="55">
        <v>27.609643874999996</v>
      </c>
      <c r="J19" s="55">
        <v>0</v>
      </c>
      <c r="K19" s="55">
        <v>99.9443907</v>
      </c>
      <c r="L19" s="64">
        <v>16.635019499999999</v>
      </c>
      <c r="M19" s="73">
        <v>2.6854740000000001</v>
      </c>
      <c r="N19" s="64">
        <v>2.6854740000000001</v>
      </c>
      <c r="O19" s="67" t="s">
        <v>46</v>
      </c>
      <c r="P19" s="68" t="s">
        <v>47</v>
      </c>
      <c r="Q19" s="55">
        <v>5.5854129375000001</v>
      </c>
      <c r="R19" s="55">
        <v>6.00501825</v>
      </c>
      <c r="S19" s="55">
        <v>12.5974839375</v>
      </c>
      <c r="T19" s="55">
        <v>75.305166749999998</v>
      </c>
      <c r="U19" s="55">
        <v>50.464532250000005</v>
      </c>
      <c r="V19" s="55">
        <v>40.76698725</v>
      </c>
      <c r="W19" s="55">
        <v>20.418749999999999</v>
      </c>
      <c r="X19" s="55">
        <v>72.834157687499996</v>
      </c>
      <c r="Y19" s="55">
        <v>10.611352125</v>
      </c>
      <c r="Z19" s="55">
        <v>12.438966374999998</v>
      </c>
      <c r="AA19" s="64">
        <v>13.0823611875</v>
      </c>
    </row>
    <row r="20" spans="2:27">
      <c r="B20" s="200"/>
      <c r="C20" s="25" t="s">
        <v>43</v>
      </c>
      <c r="D20" s="75" t="s">
        <v>48</v>
      </c>
      <c r="E20" s="54">
        <v>16.598174999999998</v>
      </c>
      <c r="F20" s="54">
        <v>21.966218999999999</v>
      </c>
      <c r="G20" s="54">
        <v>23.776499999999999</v>
      </c>
      <c r="H20" s="54">
        <v>33.759</v>
      </c>
      <c r="I20" s="54">
        <v>0</v>
      </c>
      <c r="J20" s="54">
        <v>21.894072750000003</v>
      </c>
      <c r="K20" s="54">
        <v>0</v>
      </c>
      <c r="L20" s="26">
        <v>19.2027</v>
      </c>
      <c r="M20" s="72">
        <v>2.9092634999999998</v>
      </c>
      <c r="N20" s="26">
        <v>2.9092634999999998</v>
      </c>
      <c r="O20" s="65" t="s">
        <v>43</v>
      </c>
      <c r="P20" s="66" t="s">
        <v>48</v>
      </c>
      <c r="Q20" s="54">
        <v>7.0959920624999997</v>
      </c>
      <c r="R20" s="54">
        <v>7.627492124999999</v>
      </c>
      <c r="S20" s="54">
        <v>15.935677312500001</v>
      </c>
      <c r="T20" s="54">
        <v>96.257458687500005</v>
      </c>
      <c r="U20" s="54">
        <v>64.964226937500001</v>
      </c>
      <c r="V20" s="54">
        <v>51.872541187499998</v>
      </c>
      <c r="W20" s="54">
        <v>28.441049999999997</v>
      </c>
      <c r="X20" s="54">
        <v>77.086158187500004</v>
      </c>
      <c r="Y20" s="54">
        <v>13.800352500000001</v>
      </c>
      <c r="Z20" s="54">
        <v>45.870022713829783</v>
      </c>
      <c r="AA20" s="26">
        <v>17.017326562499999</v>
      </c>
    </row>
    <row r="21" spans="2:27">
      <c r="B21" s="200"/>
      <c r="C21" s="27" t="s">
        <v>49</v>
      </c>
      <c r="D21" s="76" t="s">
        <v>50</v>
      </c>
      <c r="E21" s="55">
        <v>17.714400000000001</v>
      </c>
      <c r="F21" s="55">
        <v>23.740200000000002</v>
      </c>
      <c r="G21" s="55">
        <v>26.172300000000003</v>
      </c>
      <c r="H21" s="55">
        <v>38.886375000000001</v>
      </c>
      <c r="I21" s="55">
        <v>35.552525107758612</v>
      </c>
      <c r="J21" s="55">
        <v>0</v>
      </c>
      <c r="K21" s="55">
        <v>117.6834384</v>
      </c>
      <c r="L21" s="64">
        <v>0</v>
      </c>
      <c r="M21" s="73">
        <v>3.2915705625</v>
      </c>
      <c r="N21" s="64">
        <v>3.2915705625</v>
      </c>
      <c r="O21" s="67" t="s">
        <v>49</v>
      </c>
      <c r="P21" s="68" t="s">
        <v>50</v>
      </c>
      <c r="Q21" s="55">
        <v>7.1799131249999997</v>
      </c>
      <c r="R21" s="55">
        <v>7.8046588124999978</v>
      </c>
      <c r="S21" s="55">
        <v>19.040756625000004</v>
      </c>
      <c r="T21" s="55">
        <v>121.60161956250001</v>
      </c>
      <c r="U21" s="55">
        <v>82.494404437499995</v>
      </c>
      <c r="V21" s="55">
        <v>59.322866625000003</v>
      </c>
      <c r="W21" s="55">
        <v>33.880797843749995</v>
      </c>
      <c r="X21" s="55">
        <v>89.267348054238468</v>
      </c>
      <c r="Y21" s="55">
        <v>16.415892281249999</v>
      </c>
      <c r="Z21" s="55">
        <v>54.563631748444138</v>
      </c>
      <c r="AA21" s="64">
        <v>20.243625187500001</v>
      </c>
    </row>
    <row r="22" spans="2:27">
      <c r="B22" s="200"/>
      <c r="C22" s="25" t="s">
        <v>45</v>
      </c>
      <c r="D22" s="75" t="s">
        <v>51</v>
      </c>
      <c r="E22" s="54">
        <v>19.779643125000003</v>
      </c>
      <c r="F22" s="54">
        <v>26.530558312500002</v>
      </c>
      <c r="G22" s="54">
        <v>29.359896423995661</v>
      </c>
      <c r="H22" s="54">
        <v>35.975546924625</v>
      </c>
      <c r="I22" s="54">
        <v>37.728925279137933</v>
      </c>
      <c r="J22" s="54">
        <v>0</v>
      </c>
      <c r="K22" s="54">
        <v>0</v>
      </c>
      <c r="L22" s="26">
        <v>21.235499999999995</v>
      </c>
      <c r="M22" s="72">
        <v>3.6738776250000003</v>
      </c>
      <c r="N22" s="26">
        <v>3.6738776250000003</v>
      </c>
      <c r="O22" s="65" t="s">
        <v>45</v>
      </c>
      <c r="P22" s="66" t="s">
        <v>51</v>
      </c>
      <c r="Q22" s="54">
        <v>7.6741149374999997</v>
      </c>
      <c r="R22" s="54">
        <v>8.4014308124999992</v>
      </c>
      <c r="S22" s="54">
        <v>21.698256937500002</v>
      </c>
      <c r="T22" s="54">
        <v>134.76790181249999</v>
      </c>
      <c r="U22" s="54">
        <v>90.644072062499987</v>
      </c>
      <c r="V22" s="54">
        <v>68.684727374999994</v>
      </c>
      <c r="W22" s="54">
        <v>38.922675000000005</v>
      </c>
      <c r="X22" s="54">
        <v>94.6722830625</v>
      </c>
      <c r="Y22" s="54">
        <v>19.031432062499999</v>
      </c>
      <c r="Z22" s="54">
        <v>63.257240783058499</v>
      </c>
      <c r="AA22" s="26">
        <v>23.469923812499999</v>
      </c>
    </row>
    <row r="23" spans="2:27">
      <c r="B23" s="200"/>
      <c r="C23" s="27" t="s">
        <v>52</v>
      </c>
      <c r="D23" s="76" t="s">
        <v>53</v>
      </c>
      <c r="E23" s="55">
        <v>21.722555249999996</v>
      </c>
      <c r="F23" s="55">
        <v>29.06541</v>
      </c>
      <c r="G23" s="55">
        <v>0</v>
      </c>
      <c r="H23" s="55">
        <v>0</v>
      </c>
      <c r="I23" s="55">
        <v>0</v>
      </c>
      <c r="J23" s="55">
        <v>25.292024999999999</v>
      </c>
      <c r="K23" s="55">
        <v>0</v>
      </c>
      <c r="L23" s="64">
        <v>0</v>
      </c>
      <c r="M23" s="73">
        <v>4.4105180624999996</v>
      </c>
      <c r="N23" s="64">
        <v>4.4105180624999996</v>
      </c>
      <c r="O23" s="67" t="s">
        <v>52</v>
      </c>
      <c r="P23" s="68" t="s">
        <v>53</v>
      </c>
      <c r="Q23" s="55">
        <v>8.662518562499999</v>
      </c>
      <c r="R23" s="55">
        <v>9.4924046249999989</v>
      </c>
      <c r="S23" s="55">
        <v>27.535433062500001</v>
      </c>
      <c r="T23" s="55">
        <v>151.99036874999999</v>
      </c>
      <c r="U23" s="55">
        <v>102.22517868750001</v>
      </c>
      <c r="V23" s="55">
        <v>77.468465250000008</v>
      </c>
      <c r="W23" s="55">
        <v>42.748456781249992</v>
      </c>
      <c r="X23" s="55">
        <v>112.63139043750002</v>
      </c>
      <c r="Y23" s="55">
        <v>22.388274562499998</v>
      </c>
      <c r="Z23" s="55">
        <v>74.414813875611699</v>
      </c>
      <c r="AA23" s="64">
        <v>26.229994312500004</v>
      </c>
    </row>
    <row r="24" spans="2:27">
      <c r="B24" s="200"/>
      <c r="C24" s="25" t="s">
        <v>47</v>
      </c>
      <c r="D24" s="75" t="s">
        <v>54</v>
      </c>
      <c r="E24" s="54">
        <v>24.574442062500005</v>
      </c>
      <c r="F24" s="54">
        <v>32.811842249999998</v>
      </c>
      <c r="G24" s="54">
        <v>32.799480597931037</v>
      </c>
      <c r="H24" s="54">
        <v>45.809830439999992</v>
      </c>
      <c r="I24" s="54">
        <v>44.885502636206894</v>
      </c>
      <c r="J24" s="54">
        <v>0</v>
      </c>
      <c r="K24" s="54">
        <v>0</v>
      </c>
      <c r="L24" s="26">
        <v>0</v>
      </c>
      <c r="M24" s="72">
        <v>5.2870269375000003</v>
      </c>
      <c r="N24" s="26">
        <v>5.2870269375000003</v>
      </c>
      <c r="O24" s="65" t="s">
        <v>47</v>
      </c>
      <c r="P24" s="66" t="s">
        <v>54</v>
      </c>
      <c r="Q24" s="54">
        <v>9.6695713125000005</v>
      </c>
      <c r="R24" s="54">
        <v>10.564729312499999</v>
      </c>
      <c r="S24" s="54">
        <v>34.426284750000001</v>
      </c>
      <c r="T24" s="54">
        <v>172.26196762500004</v>
      </c>
      <c r="U24" s="54">
        <v>115.8390399375</v>
      </c>
      <c r="V24" s="54">
        <v>87.800080499999993</v>
      </c>
      <c r="W24" s="54">
        <v>46.212531750000004</v>
      </c>
      <c r="X24" s="54">
        <v>130.59049781249999</v>
      </c>
      <c r="Y24" s="54">
        <v>23.525871187500002</v>
      </c>
      <c r="Z24" s="54">
        <v>78.195991423643605</v>
      </c>
      <c r="AA24" s="26">
        <v>28.990064812499998</v>
      </c>
    </row>
    <row r="25" spans="2:27" ht="16.5" thickBot="1">
      <c r="B25" s="200"/>
      <c r="C25" s="28" t="s">
        <v>48</v>
      </c>
      <c r="D25" s="29" t="s">
        <v>55</v>
      </c>
      <c r="E25" s="70">
        <v>28.499061937499999</v>
      </c>
      <c r="F25" s="70">
        <v>40.647945937500005</v>
      </c>
      <c r="G25" s="70">
        <v>35.715566532724146</v>
      </c>
      <c r="H25" s="70">
        <v>50.026951359000002</v>
      </c>
      <c r="I25" s="70">
        <v>52.685747274827584</v>
      </c>
      <c r="J25" s="70">
        <v>0</v>
      </c>
      <c r="K25" s="70">
        <v>0</v>
      </c>
      <c r="L25" s="71">
        <v>0</v>
      </c>
      <c r="M25" s="74">
        <v>6.340702499999999</v>
      </c>
      <c r="N25" s="71">
        <v>6.340702499999999</v>
      </c>
      <c r="O25" s="69" t="s">
        <v>48</v>
      </c>
      <c r="P25" s="32" t="s">
        <v>55</v>
      </c>
      <c r="Q25" s="70">
        <v>12.14235</v>
      </c>
      <c r="R25" s="70">
        <v>13.322099999999999</v>
      </c>
      <c r="S25" s="70">
        <v>41.971874999999997</v>
      </c>
      <c r="T25" s="70">
        <v>0</v>
      </c>
      <c r="U25" s="70">
        <v>0</v>
      </c>
      <c r="V25" s="70">
        <v>0</v>
      </c>
      <c r="W25" s="70">
        <v>0</v>
      </c>
      <c r="X25" s="70">
        <v>0</v>
      </c>
      <c r="Y25" s="70">
        <v>0</v>
      </c>
      <c r="Z25" s="70">
        <v>0</v>
      </c>
      <c r="AA25" s="71">
        <v>0</v>
      </c>
    </row>
    <row r="26" spans="2:27" s="30" customFormat="1" ht="20.100000000000001" customHeight="1" thickBot="1">
      <c r="B26" s="200"/>
      <c r="C26" s="79" t="s">
        <v>56</v>
      </c>
      <c r="D26" s="80"/>
      <c r="E26" s="80"/>
      <c r="F26" s="80"/>
      <c r="G26" s="80"/>
      <c r="H26" s="80"/>
      <c r="I26" s="81"/>
      <c r="J26" s="82"/>
      <c r="K26" s="83" t="s">
        <v>57</v>
      </c>
      <c r="L26" s="84"/>
      <c r="M26" s="85"/>
      <c r="N26" s="85"/>
      <c r="O26" s="86"/>
      <c r="P26" s="87"/>
      <c r="Q26" s="88"/>
      <c r="R26" s="81"/>
      <c r="S26" s="79" t="s">
        <v>58</v>
      </c>
      <c r="T26" s="89"/>
      <c r="U26" s="80"/>
      <c r="V26" s="80"/>
      <c r="W26" s="80"/>
      <c r="X26" s="80"/>
      <c r="Y26" s="80"/>
      <c r="Z26" s="80"/>
      <c r="AA26" s="81"/>
    </row>
    <row r="27" spans="2:27" s="30" customFormat="1">
      <c r="B27" s="200"/>
      <c r="C27" s="102" t="s">
        <v>59</v>
      </c>
      <c r="D27" s="100" t="s">
        <v>60</v>
      </c>
      <c r="E27" s="207" t="s">
        <v>61</v>
      </c>
      <c r="F27" s="207"/>
      <c r="G27" s="207" t="s">
        <v>62</v>
      </c>
      <c r="H27" s="207"/>
      <c r="I27" s="101"/>
      <c r="J27" s="105"/>
      <c r="K27" s="60" t="s">
        <v>63</v>
      </c>
      <c r="L27" s="60"/>
      <c r="M27" s="60"/>
      <c r="N27" s="191" t="s">
        <v>64</v>
      </c>
      <c r="O27" s="59" t="s">
        <v>65</v>
      </c>
      <c r="P27" s="57"/>
      <c r="Q27" s="55">
        <v>1.7786999999999999</v>
      </c>
      <c r="R27" s="106"/>
      <c r="S27" s="102" t="s">
        <v>59</v>
      </c>
      <c r="T27" s="100" t="s">
        <v>60</v>
      </c>
      <c r="U27" s="100" t="s">
        <v>61</v>
      </c>
      <c r="V27" s="100" t="s">
        <v>62</v>
      </c>
      <c r="W27" s="100" t="s">
        <v>66</v>
      </c>
      <c r="X27" s="100" t="s">
        <v>67</v>
      </c>
      <c r="Y27" s="100" t="s">
        <v>68</v>
      </c>
      <c r="Z27" s="100" t="s">
        <v>69</v>
      </c>
      <c r="AA27" s="101" t="s">
        <v>70</v>
      </c>
    </row>
    <row r="28" spans="2:27" s="30" customFormat="1">
      <c r="B28" s="200"/>
      <c r="C28" s="25" t="s">
        <v>32</v>
      </c>
      <c r="D28" s="34" t="s">
        <v>71</v>
      </c>
      <c r="E28" s="34" t="s">
        <v>72</v>
      </c>
      <c r="F28" s="54">
        <v>54.809778375000008</v>
      </c>
      <c r="G28" s="34" t="s">
        <v>73</v>
      </c>
      <c r="H28" s="54">
        <v>58.381085812500011</v>
      </c>
      <c r="I28" s="26"/>
      <c r="J28" s="45"/>
      <c r="K28" s="39" t="s">
        <v>74</v>
      </c>
      <c r="L28" s="39"/>
      <c r="M28" s="39"/>
      <c r="N28" s="50" t="s">
        <v>75</v>
      </c>
      <c r="O28" s="43" t="s">
        <v>65</v>
      </c>
      <c r="P28" s="34"/>
      <c r="Q28" s="54">
        <v>1.3431000000000002</v>
      </c>
      <c r="R28" s="33"/>
      <c r="S28" s="41" t="s">
        <v>76</v>
      </c>
      <c r="T28" s="34" t="s">
        <v>77</v>
      </c>
      <c r="U28" s="34" t="s">
        <v>78</v>
      </c>
      <c r="V28" s="34" t="s">
        <v>79</v>
      </c>
      <c r="W28" s="34" t="s">
        <v>80</v>
      </c>
      <c r="X28" s="34" t="s">
        <v>81</v>
      </c>
      <c r="Y28" s="34" t="s">
        <v>82</v>
      </c>
      <c r="Z28" s="34" t="s">
        <v>83</v>
      </c>
      <c r="AA28" s="26">
        <v>23.9548010625</v>
      </c>
    </row>
    <row r="29" spans="2:27" s="30" customFormat="1">
      <c r="B29" s="200"/>
      <c r="C29" s="56" t="s">
        <v>35</v>
      </c>
      <c r="D29" s="57" t="s">
        <v>71</v>
      </c>
      <c r="E29" s="57" t="s">
        <v>84</v>
      </c>
      <c r="F29" s="55">
        <v>110.1697059375</v>
      </c>
      <c r="G29" s="57" t="s">
        <v>85</v>
      </c>
      <c r="H29" s="55">
        <v>115.55930306250002</v>
      </c>
      <c r="I29" s="64"/>
      <c r="J29" s="105"/>
      <c r="K29" s="60" t="s">
        <v>86</v>
      </c>
      <c r="L29" s="60"/>
      <c r="M29" s="60"/>
      <c r="N29" s="191" t="s">
        <v>87</v>
      </c>
      <c r="O29" s="59" t="s">
        <v>88</v>
      </c>
      <c r="P29" s="57"/>
      <c r="Q29" s="55">
        <v>78.500383499999998</v>
      </c>
      <c r="R29" s="106"/>
      <c r="S29" s="58" t="s">
        <v>89</v>
      </c>
      <c r="T29" s="57" t="s">
        <v>71</v>
      </c>
      <c r="U29" s="57" t="s">
        <v>90</v>
      </c>
      <c r="V29" s="57" t="s">
        <v>91</v>
      </c>
      <c r="W29" s="57" t="s">
        <v>92</v>
      </c>
      <c r="X29" s="57" t="s">
        <v>93</v>
      </c>
      <c r="Y29" s="57" t="s">
        <v>94</v>
      </c>
      <c r="Z29" s="57" t="s">
        <v>95</v>
      </c>
      <c r="AA29" s="64">
        <v>18.527905687500002</v>
      </c>
    </row>
    <row r="30" spans="2:27" s="30" customFormat="1">
      <c r="B30" s="195" t="s">
        <v>234</v>
      </c>
      <c r="C30" s="25" t="s">
        <v>38</v>
      </c>
      <c r="D30" s="34" t="s">
        <v>71</v>
      </c>
      <c r="E30" s="34" t="s">
        <v>96</v>
      </c>
      <c r="F30" s="54">
        <v>165.72544931250002</v>
      </c>
      <c r="G30" s="34" t="s">
        <v>97</v>
      </c>
      <c r="H30" s="54">
        <v>173.94971343750001</v>
      </c>
      <c r="I30" s="26"/>
      <c r="J30" s="45"/>
      <c r="K30" s="39" t="s">
        <v>98</v>
      </c>
      <c r="L30" s="39"/>
      <c r="M30" s="39"/>
      <c r="N30" s="50" t="s">
        <v>99</v>
      </c>
      <c r="O30" s="43" t="s">
        <v>88</v>
      </c>
      <c r="P30" s="34"/>
      <c r="Q30" s="54">
        <v>91.94789999999999</v>
      </c>
      <c r="R30" s="33"/>
      <c r="S30" s="41" t="s">
        <v>100</v>
      </c>
      <c r="T30" s="34" t="s">
        <v>101</v>
      </c>
      <c r="U30" s="34" t="s">
        <v>102</v>
      </c>
      <c r="V30" s="34" t="s">
        <v>103</v>
      </c>
      <c r="W30" s="34" t="s">
        <v>104</v>
      </c>
      <c r="X30" s="34" t="s">
        <v>105</v>
      </c>
      <c r="Y30" s="34" t="s">
        <v>106</v>
      </c>
      <c r="Z30" s="34" t="s">
        <v>107</v>
      </c>
      <c r="AA30" s="26">
        <v>12.34572075</v>
      </c>
    </row>
    <row r="31" spans="2:27" s="30" customFormat="1">
      <c r="B31" s="195"/>
      <c r="C31" s="56" t="s">
        <v>41</v>
      </c>
      <c r="D31" s="57" t="s">
        <v>71</v>
      </c>
      <c r="E31" s="57" t="s">
        <v>108</v>
      </c>
      <c r="F31" s="55">
        <v>248.14525725000001</v>
      </c>
      <c r="G31" s="57" t="s">
        <v>109</v>
      </c>
      <c r="H31" s="55">
        <v>260.59354818750001</v>
      </c>
      <c r="I31" s="64"/>
      <c r="J31" s="105"/>
      <c r="K31" s="60" t="s">
        <v>110</v>
      </c>
      <c r="L31" s="60"/>
      <c r="M31" s="60"/>
      <c r="N31" s="191" t="s">
        <v>111</v>
      </c>
      <c r="O31" s="59" t="s">
        <v>112</v>
      </c>
      <c r="P31" s="57"/>
      <c r="Q31" s="55">
        <v>78.500383499999998</v>
      </c>
      <c r="R31" s="106"/>
      <c r="S31" s="58" t="s">
        <v>113</v>
      </c>
      <c r="T31" s="57" t="s">
        <v>77</v>
      </c>
      <c r="U31" s="57" t="s">
        <v>114</v>
      </c>
      <c r="V31" s="57" t="s">
        <v>115</v>
      </c>
      <c r="W31" s="57" t="s">
        <v>116</v>
      </c>
      <c r="X31" s="57" t="s">
        <v>117</v>
      </c>
      <c r="Y31" s="57" t="s">
        <v>114</v>
      </c>
      <c r="Z31" s="57" t="s">
        <v>118</v>
      </c>
      <c r="AA31" s="64">
        <v>39.013969500000009</v>
      </c>
    </row>
    <row r="32" spans="2:27" s="30" customFormat="1">
      <c r="B32" s="195"/>
      <c r="C32" s="25" t="s">
        <v>42</v>
      </c>
      <c r="D32" s="34" t="s">
        <v>71</v>
      </c>
      <c r="E32" s="34" t="s">
        <v>119</v>
      </c>
      <c r="F32" s="54">
        <v>329.61395981250001</v>
      </c>
      <c r="G32" s="34" t="s">
        <v>120</v>
      </c>
      <c r="H32" s="54">
        <v>335.96398687499999</v>
      </c>
      <c r="I32" s="26"/>
      <c r="J32" s="45"/>
      <c r="K32" s="39" t="s">
        <v>121</v>
      </c>
      <c r="L32" s="39"/>
      <c r="M32" s="39"/>
      <c r="N32" s="50" t="s">
        <v>122</v>
      </c>
      <c r="O32" s="43" t="s">
        <v>123</v>
      </c>
      <c r="P32" s="34"/>
      <c r="Q32" s="54">
        <v>38.574799999999996</v>
      </c>
      <c r="R32" s="33"/>
      <c r="S32" s="41" t="s">
        <v>124</v>
      </c>
      <c r="T32" s="34" t="s">
        <v>77</v>
      </c>
      <c r="U32" s="34" t="s">
        <v>114</v>
      </c>
      <c r="V32" s="34" t="s">
        <v>125</v>
      </c>
      <c r="W32" s="34" t="s">
        <v>126</v>
      </c>
      <c r="X32" s="34" t="s">
        <v>127</v>
      </c>
      <c r="Y32" s="34" t="s">
        <v>114</v>
      </c>
      <c r="Z32" s="34" t="s">
        <v>128</v>
      </c>
      <c r="AA32" s="26">
        <v>47.508645937500006</v>
      </c>
    </row>
    <row r="33" spans="2:28" s="30" customFormat="1" ht="16.5" thickBot="1">
      <c r="B33" s="195"/>
      <c r="C33" s="45"/>
      <c r="D33" s="31"/>
      <c r="I33" s="33"/>
      <c r="J33" s="105"/>
      <c r="K33" s="60" t="s">
        <v>129</v>
      </c>
      <c r="L33" s="60"/>
      <c r="M33" s="60"/>
      <c r="N33" s="191" t="s">
        <v>130</v>
      </c>
      <c r="O33" s="59" t="s">
        <v>131</v>
      </c>
      <c r="P33" s="57"/>
      <c r="Q33" s="55">
        <v>39.264500000000005</v>
      </c>
      <c r="R33" s="106"/>
      <c r="S33" s="58" t="s">
        <v>132</v>
      </c>
      <c r="T33" s="57" t="s">
        <v>77</v>
      </c>
      <c r="U33" s="57" t="s">
        <v>114</v>
      </c>
      <c r="V33" s="57" t="s">
        <v>133</v>
      </c>
      <c r="W33" s="57" t="s">
        <v>134</v>
      </c>
      <c r="X33" s="57" t="s">
        <v>135</v>
      </c>
      <c r="Y33" s="57" t="s">
        <v>114</v>
      </c>
      <c r="Z33" s="57" t="s">
        <v>136</v>
      </c>
      <c r="AA33" s="64">
        <v>45.121557937499993</v>
      </c>
    </row>
    <row r="34" spans="2:28" s="30" customFormat="1" ht="19.5" thickBot="1">
      <c r="B34" s="195"/>
      <c r="C34" s="79" t="s">
        <v>137</v>
      </c>
      <c r="D34" s="90"/>
      <c r="E34" s="86"/>
      <c r="F34" s="91"/>
      <c r="G34" s="92"/>
      <c r="H34" s="91"/>
      <c r="I34" s="93"/>
      <c r="J34" s="41"/>
      <c r="K34" s="39" t="s">
        <v>129</v>
      </c>
      <c r="L34" s="39"/>
      <c r="M34" s="39"/>
      <c r="N34" s="50" t="s">
        <v>138</v>
      </c>
      <c r="O34" s="43" t="s">
        <v>139</v>
      </c>
      <c r="P34" s="34"/>
      <c r="Q34" s="54">
        <v>65.436799999999991</v>
      </c>
      <c r="R34" s="33"/>
      <c r="S34" s="35"/>
      <c r="T34" s="37"/>
      <c r="U34" s="37"/>
      <c r="V34" s="37"/>
      <c r="W34" s="37"/>
      <c r="X34" s="37"/>
      <c r="Y34" s="37"/>
      <c r="Z34" s="37"/>
      <c r="AA34" s="38"/>
    </row>
    <row r="35" spans="2:28" s="30" customFormat="1" ht="19.5" thickBot="1">
      <c r="B35" s="195"/>
      <c r="C35" s="102" t="s">
        <v>59</v>
      </c>
      <c r="D35" s="100" t="s">
        <v>60</v>
      </c>
      <c r="E35" s="207" t="s">
        <v>62</v>
      </c>
      <c r="F35" s="207"/>
      <c r="G35" s="100"/>
      <c r="H35" s="100"/>
      <c r="I35" s="101"/>
      <c r="J35" s="107"/>
      <c r="K35" s="60" t="s">
        <v>129</v>
      </c>
      <c r="L35" s="60"/>
      <c r="M35" s="60"/>
      <c r="N35" s="191" t="s">
        <v>140</v>
      </c>
      <c r="O35" s="59" t="s">
        <v>141</v>
      </c>
      <c r="P35" s="57"/>
      <c r="Q35" s="55">
        <v>91.592069249999994</v>
      </c>
      <c r="R35" s="108"/>
      <c r="S35" s="79" t="s">
        <v>142</v>
      </c>
      <c r="T35" s="80"/>
      <c r="U35" s="80"/>
      <c r="V35" s="80" t="s">
        <v>143</v>
      </c>
      <c r="W35" s="80"/>
      <c r="X35" s="80"/>
      <c r="Y35" s="80"/>
      <c r="Z35" s="80"/>
      <c r="AA35" s="81"/>
    </row>
    <row r="36" spans="2:28">
      <c r="B36" s="195"/>
      <c r="C36" s="25" t="s">
        <v>32</v>
      </c>
      <c r="D36" s="34" t="s">
        <v>144</v>
      </c>
      <c r="E36" s="34" t="s">
        <v>145</v>
      </c>
      <c r="F36" s="54">
        <v>265.24650487499997</v>
      </c>
      <c r="G36" s="30"/>
      <c r="H36" s="39"/>
      <c r="I36" s="40"/>
      <c r="J36" s="45"/>
      <c r="K36" s="39" t="s">
        <v>129</v>
      </c>
      <c r="L36" s="39"/>
      <c r="M36" s="39"/>
      <c r="N36" s="50" t="s">
        <v>146</v>
      </c>
      <c r="O36" s="43" t="s">
        <v>147</v>
      </c>
      <c r="P36" s="34"/>
      <c r="Q36" s="54">
        <v>117.76300800000001</v>
      </c>
      <c r="R36" s="30"/>
      <c r="S36" s="45"/>
      <c r="T36" s="46"/>
      <c r="U36" s="30"/>
      <c r="V36" s="95" t="s">
        <v>148</v>
      </c>
      <c r="W36" s="96" t="s">
        <v>149</v>
      </c>
      <c r="X36" s="96" t="s">
        <v>150</v>
      </c>
      <c r="Y36" s="96" t="s">
        <v>151</v>
      </c>
      <c r="Z36" s="97" t="s">
        <v>152</v>
      </c>
      <c r="AA36" s="33"/>
    </row>
    <row r="37" spans="2:28">
      <c r="B37" s="195"/>
      <c r="C37" s="56" t="s">
        <v>33</v>
      </c>
      <c r="D37" s="57" t="s">
        <v>144</v>
      </c>
      <c r="E37" s="57" t="s">
        <v>153</v>
      </c>
      <c r="F37" s="55">
        <v>636.94221525</v>
      </c>
      <c r="G37" s="108"/>
      <c r="H37" s="108"/>
      <c r="I37" s="106"/>
      <c r="J37" s="105"/>
      <c r="K37" s="109" t="s">
        <v>154</v>
      </c>
      <c r="L37" s="110"/>
      <c r="M37" s="108"/>
      <c r="N37" s="108"/>
      <c r="O37" s="108"/>
      <c r="P37" s="108"/>
      <c r="Q37" s="108"/>
      <c r="R37" s="108"/>
      <c r="S37" s="45"/>
      <c r="T37" s="47" t="s">
        <v>4</v>
      </c>
      <c r="U37" s="30"/>
      <c r="V37" s="77" t="s">
        <v>221</v>
      </c>
      <c r="W37" s="77"/>
      <c r="X37" s="179"/>
      <c r="Y37" s="62" cm="1">
        <f t="array" ref="Y37">IFERROR(_xlfn.XLOOKUP(W37,$P$4:$P$25,_xlfn.XLOOKUP(V37,$Q$3:$AA$3,$Q$4:$AA$25)),0)</f>
        <v>0</v>
      </c>
      <c r="Z37" s="180">
        <f>IF(X37&lt;X38,(X37*Y37)+Y37,X37*Y37)</f>
        <v>0</v>
      </c>
      <c r="AA37" s="33"/>
    </row>
    <row r="38" spans="2:28">
      <c r="B38" s="195"/>
      <c r="C38" s="25" t="s">
        <v>35</v>
      </c>
      <c r="D38" s="34" t="s">
        <v>144</v>
      </c>
      <c r="E38" s="34" t="s">
        <v>155</v>
      </c>
      <c r="F38" s="54">
        <v>925.52810006250013</v>
      </c>
      <c r="G38" s="30"/>
      <c r="H38" s="30"/>
      <c r="I38" s="33"/>
      <c r="J38" s="45"/>
      <c r="K38" s="30"/>
      <c r="L38" s="31"/>
      <c r="M38" s="30"/>
      <c r="N38" s="30"/>
      <c r="O38" s="30"/>
      <c r="P38" s="30"/>
      <c r="Q38" s="30"/>
      <c r="R38" s="30"/>
      <c r="S38" s="45"/>
      <c r="T38" s="47" t="s">
        <v>3</v>
      </c>
      <c r="U38" s="30"/>
      <c r="V38" s="77" t="s">
        <v>221</v>
      </c>
      <c r="W38" s="51" t="str">
        <f>IFERROR(VLOOKUP(W37,D4:O25,12,FALSE),"")</f>
        <v/>
      </c>
      <c r="X38" s="179"/>
      <c r="Y38" s="61" cm="1">
        <f t="array" ref="Y38">IFERROR(_xlfn.XLOOKUP(W38,$C$4:$C$25,_xlfn.XLOOKUP(V38,$E$3:$L$3,$E$4:$L$25)),0)</f>
        <v>0</v>
      </c>
      <c r="Z38" s="61">
        <f>IFERROR(X38*Y38,0)</f>
        <v>0</v>
      </c>
      <c r="AA38" s="33"/>
    </row>
    <row r="39" spans="2:28">
      <c r="B39" s="195"/>
      <c r="C39" s="56" t="s">
        <v>38</v>
      </c>
      <c r="D39" s="57" t="s">
        <v>144</v>
      </c>
      <c r="E39" s="57" t="s">
        <v>156</v>
      </c>
      <c r="F39" s="55">
        <v>1119.525622875</v>
      </c>
      <c r="G39" s="108"/>
      <c r="H39" s="108"/>
      <c r="I39" s="106"/>
      <c r="J39" s="105"/>
      <c r="K39" s="108"/>
      <c r="L39" s="108"/>
      <c r="M39" s="108"/>
      <c r="N39" s="108"/>
      <c r="O39" s="108"/>
      <c r="P39" s="110"/>
      <c r="Q39" s="108"/>
      <c r="R39" s="108"/>
      <c r="S39" s="45"/>
      <c r="T39" s="47" t="s">
        <v>157</v>
      </c>
      <c r="U39" s="30"/>
      <c r="V39" s="77" t="s">
        <v>222</v>
      </c>
      <c r="W39" s="51" t="str">
        <f>IF(V39="GripCoat",W38,"")</f>
        <v/>
      </c>
      <c r="X39" s="179"/>
      <c r="Y39" s="61">
        <f>IF(V39="GripCoat",VLOOKUP(W39,$C$4:$M$25,11,FALSE),0)</f>
        <v>0</v>
      </c>
      <c r="Z39" s="180">
        <f>IFERROR(X39*Y39,0)</f>
        <v>0</v>
      </c>
      <c r="AA39" s="33"/>
    </row>
    <row r="40" spans="2:28" ht="17.100000000000001" customHeight="1" thickBot="1">
      <c r="B40" s="195"/>
      <c r="C40" s="35"/>
      <c r="D40" s="36"/>
      <c r="E40" s="37"/>
      <c r="F40" s="42"/>
      <c r="G40" s="37"/>
      <c r="H40" s="37"/>
      <c r="I40" s="38"/>
      <c r="J40" s="45"/>
      <c r="K40" s="30"/>
      <c r="L40" s="30"/>
      <c r="M40" s="30"/>
      <c r="N40" s="30"/>
      <c r="O40" s="30"/>
      <c r="P40" s="31"/>
      <c r="Q40" s="30"/>
      <c r="R40" s="30"/>
      <c r="S40" s="205" t="s">
        <v>158</v>
      </c>
      <c r="T40" s="48" t="s">
        <v>159</v>
      </c>
      <c r="U40" s="46"/>
      <c r="V40" s="176"/>
      <c r="W40" s="177" t="str">
        <f>IF(V40="Yes",VLOOKUP(W37,Variables!H3:I24,2,FALSE),"")</f>
        <v/>
      </c>
      <c r="X40" s="177" t="str">
        <f>IF(V40="Yes",X37,"")</f>
        <v/>
      </c>
      <c r="Y40" s="184" t="str">
        <f>IF(V40="Yes",W40*Q27,"")</f>
        <v/>
      </c>
      <c r="Z40" s="178" t="str">
        <f>IF(V40="Yes",X40*Y40,"-")</f>
        <v>-</v>
      </c>
      <c r="AA40" s="33"/>
    </row>
    <row r="41" spans="2:28" ht="15.95" customHeight="1" thickBot="1">
      <c r="B41" s="195"/>
      <c r="C41" s="79" t="s">
        <v>160</v>
      </c>
      <c r="D41" s="86"/>
      <c r="E41" s="86"/>
      <c r="F41" s="86"/>
      <c r="G41" s="84"/>
      <c r="H41" s="84"/>
      <c r="I41" s="84"/>
      <c r="J41" s="94"/>
      <c r="K41" s="208" t="s">
        <v>161</v>
      </c>
      <c r="L41" s="208"/>
      <c r="M41" s="208"/>
      <c r="N41" s="208"/>
      <c r="O41" s="80"/>
      <c r="P41" s="80"/>
      <c r="Q41" s="80"/>
      <c r="R41" s="81"/>
      <c r="S41" s="206"/>
      <c r="T41" s="48" t="s">
        <v>162</v>
      </c>
      <c r="U41" s="46"/>
      <c r="V41" s="179"/>
      <c r="W41" s="14" t="str">
        <f>IF(V41="Yes",VLOOKUP(W37,Variables!H4:I25,2,FALSE),"")</f>
        <v/>
      </c>
      <c r="X41" s="14" t="str">
        <f>IF(V41="Yes",X37,"")</f>
        <v/>
      </c>
      <c r="Y41" s="185" t="str">
        <f>IF(V41="Yes",Q28,"")</f>
        <v/>
      </c>
      <c r="Z41" s="180" t="str">
        <f>IF(V41="Yes",X41*Y41,"-")</f>
        <v>-</v>
      </c>
      <c r="AA41" s="33"/>
    </row>
    <row r="42" spans="2:28">
      <c r="B42" s="195"/>
      <c r="C42" s="202" t="s">
        <v>59</v>
      </c>
      <c r="D42" s="203" t="s">
        <v>163</v>
      </c>
      <c r="E42" s="203"/>
      <c r="F42" s="204" t="s">
        <v>164</v>
      </c>
      <c r="G42" s="204" t="s">
        <v>165</v>
      </c>
      <c r="H42" s="204" t="s">
        <v>166</v>
      </c>
      <c r="I42" s="111"/>
      <c r="J42" s="105"/>
      <c r="K42" s="108"/>
      <c r="L42" s="108"/>
      <c r="M42" s="112" t="s">
        <v>167</v>
      </c>
      <c r="N42" s="112" t="s">
        <v>66</v>
      </c>
      <c r="O42" s="112" t="s">
        <v>67</v>
      </c>
      <c r="P42" s="112" t="s">
        <v>62</v>
      </c>
      <c r="Q42" s="112" t="s">
        <v>168</v>
      </c>
      <c r="R42" s="108"/>
      <c r="S42" s="205"/>
      <c r="T42" s="48" t="s">
        <v>86</v>
      </c>
      <c r="U42" s="46"/>
      <c r="V42" s="179"/>
      <c r="W42" s="15"/>
      <c r="X42" s="14"/>
      <c r="Y42" s="185"/>
      <c r="Z42" s="180">
        <f>IFERROR(Q29*V42,0)</f>
        <v>0</v>
      </c>
      <c r="AA42" s="33"/>
    </row>
    <row r="43" spans="2:28">
      <c r="B43" s="195"/>
      <c r="C43" s="202"/>
      <c r="D43" s="203"/>
      <c r="E43" s="203"/>
      <c r="F43" s="204"/>
      <c r="G43" s="204"/>
      <c r="H43" s="204"/>
      <c r="I43" s="111"/>
      <c r="J43" s="45"/>
      <c r="K43" s="39" t="s">
        <v>169</v>
      </c>
      <c r="L43" s="39"/>
      <c r="M43" s="186" t="s">
        <v>170</v>
      </c>
      <c r="N43" s="186" t="s">
        <v>171</v>
      </c>
      <c r="O43" s="186" t="s">
        <v>172</v>
      </c>
      <c r="P43" s="186" t="s">
        <v>173</v>
      </c>
      <c r="Q43" s="54">
        <v>0</v>
      </c>
      <c r="R43" s="30"/>
      <c r="S43" s="205"/>
      <c r="T43" s="48" t="s">
        <v>174</v>
      </c>
      <c r="U43" s="46"/>
      <c r="V43" s="179"/>
      <c r="W43" s="15"/>
      <c r="X43" s="14"/>
      <c r="Y43" s="185"/>
      <c r="Z43" s="180">
        <f>IFERROR(Q30*V43,0)</f>
        <v>0</v>
      </c>
      <c r="AA43" s="33"/>
      <c r="AB43" s="114"/>
    </row>
    <row r="44" spans="2:28">
      <c r="B44" s="195"/>
      <c r="C44" s="209">
        <v>6</v>
      </c>
      <c r="D44" s="210" t="s">
        <v>175</v>
      </c>
      <c r="E44" s="210"/>
      <c r="F44" s="54">
        <v>4.7648514375000008</v>
      </c>
      <c r="G44" s="54">
        <v>4.51308825</v>
      </c>
      <c r="H44" s="54">
        <v>4.51308825</v>
      </c>
      <c r="I44" s="44"/>
      <c r="J44" s="105"/>
      <c r="K44" s="60" t="s">
        <v>13</v>
      </c>
      <c r="L44" s="60"/>
      <c r="M44" s="187" t="s">
        <v>176</v>
      </c>
      <c r="N44" s="187" t="s">
        <v>114</v>
      </c>
      <c r="O44" s="187" t="s">
        <v>114</v>
      </c>
      <c r="P44" s="187" t="s">
        <v>114</v>
      </c>
      <c r="Q44" s="55">
        <v>0</v>
      </c>
      <c r="R44" s="108"/>
      <c r="S44" s="205"/>
      <c r="T44" s="48" t="s">
        <v>110</v>
      </c>
      <c r="U44" s="46"/>
      <c r="V44" s="179"/>
      <c r="W44" s="15"/>
      <c r="X44" s="15"/>
      <c r="Y44" s="185"/>
      <c r="Z44" s="180">
        <f>IF(V44="Yes",Q31,0)</f>
        <v>0</v>
      </c>
      <c r="AA44" s="33"/>
      <c r="AB44" s="114"/>
    </row>
    <row r="45" spans="2:28">
      <c r="B45" s="195"/>
      <c r="C45" s="209"/>
      <c r="D45" s="210"/>
      <c r="E45" s="210"/>
      <c r="F45" s="189" t="s">
        <v>177</v>
      </c>
      <c r="G45" s="189" t="s">
        <v>178</v>
      </c>
      <c r="H45" s="189" t="s">
        <v>179</v>
      </c>
      <c r="I45" s="44"/>
      <c r="J45" s="45"/>
      <c r="K45" s="39" t="s">
        <v>180</v>
      </c>
      <c r="L45" s="39"/>
      <c r="M45" s="186" t="s">
        <v>181</v>
      </c>
      <c r="N45" s="186" t="s">
        <v>114</v>
      </c>
      <c r="O45" s="186" t="s">
        <v>114</v>
      </c>
      <c r="P45" s="186" t="s">
        <v>114</v>
      </c>
      <c r="Q45" s="54">
        <v>0</v>
      </c>
      <c r="R45" s="30"/>
      <c r="S45" s="205"/>
      <c r="T45" s="48" t="s">
        <v>121</v>
      </c>
      <c r="U45" s="49"/>
      <c r="V45" s="179"/>
      <c r="W45" s="15"/>
      <c r="X45" s="15"/>
      <c r="Y45" s="185"/>
      <c r="Z45" s="180">
        <f>IF(V45="Yes",Q32,0)</f>
        <v>0</v>
      </c>
      <c r="AA45" s="33"/>
      <c r="AB45" s="114"/>
    </row>
    <row r="46" spans="2:28">
      <c r="B46" s="195"/>
      <c r="C46" s="211">
        <v>7</v>
      </c>
      <c r="D46" s="212" t="s">
        <v>182</v>
      </c>
      <c r="E46" s="212"/>
      <c r="F46" s="55">
        <v>6.4339481250000006</v>
      </c>
      <c r="G46" s="55">
        <v>5.9117726250000002</v>
      </c>
      <c r="H46" s="55">
        <v>5.9117726250000002</v>
      </c>
      <c r="I46" s="188"/>
      <c r="J46" s="105"/>
      <c r="K46" s="60" t="s">
        <v>183</v>
      </c>
      <c r="L46" s="60"/>
      <c r="M46" s="187" t="s">
        <v>184</v>
      </c>
      <c r="N46" s="187" t="s">
        <v>114</v>
      </c>
      <c r="O46" s="187" t="s">
        <v>114</v>
      </c>
      <c r="P46" s="187" t="s">
        <v>114</v>
      </c>
      <c r="Q46" s="55">
        <v>0</v>
      </c>
      <c r="R46" s="108"/>
      <c r="S46" s="205"/>
      <c r="T46" s="48" t="s">
        <v>129</v>
      </c>
      <c r="U46" s="46"/>
      <c r="V46" s="181"/>
      <c r="W46" s="182"/>
      <c r="X46" s="182"/>
      <c r="Y46" s="52"/>
      <c r="Z46" s="183">
        <f>IFERROR(VLOOKUP(V46,O33:Q36,3,FALSE),0)</f>
        <v>0</v>
      </c>
      <c r="AA46" s="33"/>
      <c r="AB46" s="114"/>
    </row>
    <row r="47" spans="2:28" ht="16.5" thickBot="1">
      <c r="B47" s="195"/>
      <c r="C47" s="211"/>
      <c r="D47" s="212"/>
      <c r="E47" s="212"/>
      <c r="F47" s="190" t="s">
        <v>185</v>
      </c>
      <c r="G47" s="190" t="s">
        <v>186</v>
      </c>
      <c r="H47" s="190" t="s">
        <v>187</v>
      </c>
      <c r="I47" s="106"/>
      <c r="J47" s="45"/>
      <c r="K47" s="39" t="s">
        <v>14</v>
      </c>
      <c r="L47" s="39"/>
      <c r="M47" s="186" t="s">
        <v>188</v>
      </c>
      <c r="N47" s="186" t="s">
        <v>114</v>
      </c>
      <c r="O47" s="186" t="s">
        <v>114</v>
      </c>
      <c r="P47" s="186" t="s">
        <v>114</v>
      </c>
      <c r="Q47" s="54">
        <v>0</v>
      </c>
      <c r="R47" s="30"/>
      <c r="S47" s="45"/>
      <c r="T47" s="47" t="s">
        <v>189</v>
      </c>
      <c r="U47" s="50"/>
      <c r="V47" s="30"/>
      <c r="W47" s="30"/>
      <c r="X47" s="30"/>
      <c r="Y47" s="30"/>
      <c r="Z47" s="42">
        <f>SUM(Z37:Z46)</f>
        <v>0</v>
      </c>
      <c r="AA47" s="33"/>
      <c r="AB47" s="114"/>
    </row>
    <row r="48" spans="2:28">
      <c r="B48" s="195"/>
      <c r="C48" s="45"/>
      <c r="D48" s="31"/>
      <c r="E48" s="30"/>
      <c r="F48" s="30"/>
      <c r="G48" s="30"/>
      <c r="H48" s="30"/>
      <c r="I48" s="33"/>
      <c r="J48" s="45"/>
      <c r="K48" s="39"/>
      <c r="L48" s="39" t="s">
        <v>190</v>
      </c>
      <c r="M48" s="186"/>
      <c r="N48" s="186"/>
      <c r="O48" s="186"/>
      <c r="P48" s="186"/>
      <c r="Q48" s="54"/>
      <c r="R48" s="30"/>
      <c r="S48" s="45"/>
      <c r="T48" s="47" t="s">
        <v>191</v>
      </c>
      <c r="U48" s="30"/>
      <c r="V48" s="30"/>
      <c r="W48" s="30"/>
      <c r="X48" s="30"/>
      <c r="Y48" s="30"/>
      <c r="Z48" s="54">
        <f>IF(X37&lt;50,Z47*0.2,0)</f>
        <v>0</v>
      </c>
      <c r="AA48" s="33"/>
    </row>
    <row r="49" spans="2:27" ht="16.5" thickBot="1">
      <c r="B49" s="195"/>
      <c r="C49" s="45"/>
      <c r="D49" s="31"/>
      <c r="E49" s="30"/>
      <c r="F49" s="30"/>
      <c r="G49" s="30"/>
      <c r="H49" s="30"/>
      <c r="I49" s="33"/>
      <c r="J49" s="45"/>
      <c r="K49" s="30"/>
      <c r="L49" s="30"/>
      <c r="M49" s="30"/>
      <c r="N49" s="30"/>
      <c r="O49" s="30"/>
      <c r="P49" s="31"/>
      <c r="Q49" s="30"/>
      <c r="R49" s="30"/>
      <c r="S49" s="45"/>
      <c r="T49" s="47" t="s">
        <v>192</v>
      </c>
      <c r="U49" s="30"/>
      <c r="V49" s="30"/>
      <c r="W49" s="30"/>
      <c r="X49" s="30"/>
      <c r="Y49" s="30"/>
      <c r="Z49" s="63">
        <f>SUM(Z47:Z48)</f>
        <v>0</v>
      </c>
      <c r="AA49" s="33"/>
    </row>
    <row r="50" spans="2:27" ht="16.5" thickBot="1">
      <c r="B50" s="196"/>
      <c r="C50" s="35"/>
      <c r="D50" s="37"/>
      <c r="E50" s="37"/>
      <c r="F50" s="37"/>
      <c r="G50" s="37"/>
      <c r="H50" s="37"/>
      <c r="I50" s="38"/>
      <c r="J50" s="35"/>
      <c r="K50" s="37"/>
      <c r="L50" s="37"/>
      <c r="M50" s="37"/>
      <c r="N50" s="37"/>
      <c r="O50" s="37"/>
      <c r="P50" s="37"/>
      <c r="Q50" s="37"/>
      <c r="R50" s="37"/>
      <c r="S50" s="35"/>
      <c r="T50" s="37"/>
      <c r="U50" s="37"/>
      <c r="V50" s="37"/>
      <c r="W50" s="37"/>
      <c r="X50" s="37"/>
      <c r="Y50" s="37"/>
      <c r="Z50" s="37"/>
      <c r="AA50" s="38"/>
    </row>
    <row r="51" spans="2:27" s="30" customFormat="1"/>
    <row r="52" spans="2:27" s="30" customFormat="1"/>
    <row r="53" spans="2:27" s="30" customFormat="1"/>
    <row r="54" spans="2:27" s="30" customFormat="1"/>
    <row r="55" spans="2:27" s="30" customFormat="1"/>
    <row r="56" spans="2:27" s="30" customFormat="1">
      <c r="D56" s="31"/>
      <c r="P56" s="31"/>
    </row>
    <row r="57" spans="2:27" s="30" customFormat="1">
      <c r="D57" s="31"/>
      <c r="P57" s="31"/>
    </row>
    <row r="58" spans="2:27" s="30" customFormat="1">
      <c r="D58" s="31"/>
      <c r="P58" s="31"/>
    </row>
    <row r="59" spans="2:27" s="30" customFormat="1">
      <c r="D59" s="31"/>
      <c r="P59" s="31"/>
    </row>
    <row r="60" spans="2:27" s="30" customFormat="1">
      <c r="D60" s="31"/>
      <c r="P60" s="31"/>
    </row>
    <row r="61" spans="2:27" s="30" customFormat="1">
      <c r="D61" s="31"/>
      <c r="P61" s="31"/>
    </row>
    <row r="62" spans="2:27" s="30" customFormat="1">
      <c r="D62" s="31"/>
      <c r="P62" s="31"/>
    </row>
    <row r="63" spans="2:27" s="30" customFormat="1">
      <c r="D63" s="31"/>
      <c r="P63" s="31"/>
    </row>
    <row r="64" spans="2:27" s="30" customFormat="1">
      <c r="D64" s="31"/>
      <c r="P64" s="31"/>
    </row>
    <row r="65" spans="4:16" s="30" customFormat="1">
      <c r="D65" s="31"/>
      <c r="P65" s="31"/>
    </row>
    <row r="66" spans="4:16" s="30" customFormat="1">
      <c r="D66" s="31"/>
      <c r="P66" s="31"/>
    </row>
    <row r="67" spans="4:16" s="30" customFormat="1">
      <c r="D67" s="31"/>
      <c r="P67" s="31"/>
    </row>
    <row r="68" spans="4:16" s="30" customFormat="1">
      <c r="D68" s="31"/>
      <c r="P68" s="31"/>
    </row>
    <row r="69" spans="4:16" s="30" customFormat="1">
      <c r="D69" s="31"/>
      <c r="P69" s="31"/>
    </row>
    <row r="70" spans="4:16" s="30" customFormat="1">
      <c r="D70" s="31"/>
      <c r="P70" s="31"/>
    </row>
    <row r="71" spans="4:16" s="30" customFormat="1">
      <c r="D71" s="31"/>
      <c r="P71" s="31"/>
    </row>
    <row r="72" spans="4:16" s="30" customFormat="1">
      <c r="D72" s="31"/>
      <c r="P72" s="31"/>
    </row>
    <row r="73" spans="4:16" s="30" customFormat="1">
      <c r="D73" s="31"/>
      <c r="P73" s="31"/>
    </row>
    <row r="74" spans="4:16" s="30" customFormat="1">
      <c r="D74" s="31"/>
      <c r="P74" s="31"/>
    </row>
    <row r="75" spans="4:16" s="30" customFormat="1">
      <c r="D75" s="31"/>
      <c r="P75" s="31"/>
    </row>
    <row r="76" spans="4:16" s="30" customFormat="1">
      <c r="D76" s="31"/>
      <c r="P76" s="31"/>
    </row>
    <row r="77" spans="4:16" s="30" customFormat="1">
      <c r="D77" s="31"/>
      <c r="P77" s="31"/>
    </row>
    <row r="78" spans="4:16" s="30" customFormat="1">
      <c r="D78" s="31"/>
      <c r="P78" s="31"/>
    </row>
    <row r="79" spans="4:16" s="30" customFormat="1">
      <c r="D79" s="31"/>
      <c r="P79" s="31"/>
    </row>
    <row r="80" spans="4:16" s="30" customFormat="1">
      <c r="D80" s="31"/>
      <c r="P80" s="31"/>
    </row>
    <row r="81" spans="4:16" s="30" customFormat="1">
      <c r="D81" s="31"/>
      <c r="P81" s="31"/>
    </row>
    <row r="82" spans="4:16" s="30" customFormat="1">
      <c r="D82" s="31"/>
      <c r="P82" s="31"/>
    </row>
    <row r="83" spans="4:16" s="30" customFormat="1">
      <c r="D83" s="31"/>
      <c r="P83" s="31"/>
    </row>
    <row r="84" spans="4:16" s="30" customFormat="1">
      <c r="D84" s="31"/>
      <c r="P84" s="31"/>
    </row>
    <row r="85" spans="4:16" s="30" customFormat="1">
      <c r="D85" s="31"/>
      <c r="P85" s="31"/>
    </row>
    <row r="86" spans="4:16" s="30" customFormat="1">
      <c r="D86" s="31"/>
      <c r="P86" s="31"/>
    </row>
    <row r="87" spans="4:16" s="30" customFormat="1">
      <c r="D87" s="31"/>
      <c r="P87" s="31"/>
    </row>
    <row r="88" spans="4:16" s="30" customFormat="1">
      <c r="D88" s="31"/>
      <c r="P88" s="31"/>
    </row>
    <row r="89" spans="4:16" s="30" customFormat="1">
      <c r="D89" s="31"/>
      <c r="P89" s="31"/>
    </row>
    <row r="90" spans="4:16" s="30" customFormat="1">
      <c r="D90" s="31"/>
      <c r="P90" s="31"/>
    </row>
    <row r="91" spans="4:16" s="30" customFormat="1">
      <c r="D91" s="31"/>
      <c r="P91" s="31"/>
    </row>
    <row r="92" spans="4:16" s="30" customFormat="1">
      <c r="D92" s="31"/>
      <c r="P92" s="31"/>
    </row>
    <row r="93" spans="4:16" s="30" customFormat="1">
      <c r="D93" s="31"/>
      <c r="P93" s="31"/>
    </row>
    <row r="94" spans="4:16" s="30" customFormat="1">
      <c r="D94" s="31"/>
      <c r="P94" s="31"/>
    </row>
    <row r="95" spans="4:16" s="30" customFormat="1">
      <c r="D95" s="31"/>
      <c r="P95" s="31"/>
    </row>
    <row r="96" spans="4:16" s="30" customFormat="1">
      <c r="D96" s="31"/>
      <c r="P96" s="31"/>
    </row>
    <row r="97" spans="4:16" s="30" customFormat="1">
      <c r="D97" s="31"/>
      <c r="P97" s="31"/>
    </row>
    <row r="98" spans="4:16" s="30" customFormat="1">
      <c r="D98" s="31"/>
      <c r="P98" s="31"/>
    </row>
    <row r="99" spans="4:16" s="30" customFormat="1">
      <c r="D99" s="31"/>
      <c r="P99" s="31"/>
    </row>
    <row r="100" spans="4:16" s="30" customFormat="1">
      <c r="D100" s="31"/>
      <c r="P100" s="31"/>
    </row>
    <row r="101" spans="4:16" s="30" customFormat="1">
      <c r="D101" s="31"/>
      <c r="P101" s="31"/>
    </row>
    <row r="102" spans="4:16" s="30" customFormat="1">
      <c r="D102" s="31"/>
      <c r="P102" s="31"/>
    </row>
    <row r="103" spans="4:16" s="30" customFormat="1">
      <c r="D103" s="31"/>
      <c r="P103" s="31"/>
    </row>
    <row r="104" spans="4:16" s="30" customFormat="1">
      <c r="D104" s="31"/>
      <c r="P104" s="31"/>
    </row>
    <row r="105" spans="4:16" s="30" customFormat="1">
      <c r="D105" s="31"/>
      <c r="P105" s="31"/>
    </row>
    <row r="106" spans="4:16" s="30" customFormat="1">
      <c r="D106" s="31"/>
      <c r="P106" s="31"/>
    </row>
    <row r="107" spans="4:16" s="30" customFormat="1">
      <c r="D107" s="31"/>
      <c r="P107" s="31"/>
    </row>
    <row r="108" spans="4:16" s="30" customFormat="1">
      <c r="D108" s="31"/>
      <c r="P108" s="31"/>
    </row>
    <row r="109" spans="4:16" s="30" customFormat="1">
      <c r="D109" s="31"/>
      <c r="P109" s="31"/>
    </row>
    <row r="110" spans="4:16" s="30" customFormat="1">
      <c r="D110" s="31"/>
      <c r="P110" s="31"/>
    </row>
    <row r="111" spans="4:16" s="30" customFormat="1">
      <c r="D111" s="31"/>
      <c r="P111" s="31"/>
    </row>
    <row r="112" spans="4:16" s="30" customFormat="1">
      <c r="D112" s="31"/>
      <c r="P112" s="31"/>
    </row>
    <row r="113" spans="4:16" s="30" customFormat="1">
      <c r="D113" s="31"/>
      <c r="P113" s="31"/>
    </row>
    <row r="114" spans="4:16" s="30" customFormat="1">
      <c r="D114" s="31"/>
      <c r="P114" s="31"/>
    </row>
    <row r="115" spans="4:16" s="30" customFormat="1">
      <c r="D115" s="31"/>
      <c r="P115" s="31"/>
    </row>
    <row r="116" spans="4:16" s="30" customFormat="1">
      <c r="D116" s="31"/>
      <c r="P116" s="31"/>
    </row>
    <row r="117" spans="4:16" s="30" customFormat="1">
      <c r="D117" s="31"/>
      <c r="P117" s="31"/>
    </row>
    <row r="118" spans="4:16" s="30" customFormat="1">
      <c r="D118" s="31"/>
      <c r="P118" s="31"/>
    </row>
    <row r="119" spans="4:16" s="30" customFormat="1">
      <c r="D119" s="31"/>
      <c r="P119" s="31"/>
    </row>
    <row r="120" spans="4:16" s="30" customFormat="1">
      <c r="D120" s="31"/>
      <c r="P120" s="31"/>
    </row>
    <row r="121" spans="4:16" s="30" customFormat="1">
      <c r="D121" s="31"/>
      <c r="P121" s="31"/>
    </row>
    <row r="122" spans="4:16" s="30" customFormat="1">
      <c r="D122" s="31"/>
      <c r="P122" s="31"/>
    </row>
    <row r="123" spans="4:16" s="30" customFormat="1">
      <c r="D123" s="31"/>
      <c r="P123" s="31"/>
    </row>
    <row r="124" spans="4:16" s="30" customFormat="1">
      <c r="D124" s="31"/>
      <c r="P124" s="31"/>
    </row>
    <row r="125" spans="4:16" s="30" customFormat="1">
      <c r="D125" s="31"/>
      <c r="P125" s="31"/>
    </row>
    <row r="126" spans="4:16" s="30" customFormat="1">
      <c r="D126" s="31"/>
      <c r="P126" s="31"/>
    </row>
    <row r="127" spans="4:16" s="30" customFormat="1">
      <c r="D127" s="31"/>
      <c r="P127" s="31"/>
    </row>
    <row r="128" spans="4:16" s="30" customFormat="1">
      <c r="D128" s="31"/>
      <c r="P128" s="31"/>
    </row>
    <row r="129" spans="4:16" s="30" customFormat="1">
      <c r="D129" s="31"/>
      <c r="P129" s="31"/>
    </row>
    <row r="130" spans="4:16" s="30" customFormat="1">
      <c r="D130" s="31"/>
      <c r="P130" s="31"/>
    </row>
    <row r="131" spans="4:16" s="30" customFormat="1">
      <c r="D131" s="31"/>
      <c r="P131" s="31"/>
    </row>
    <row r="132" spans="4:16" s="30" customFormat="1">
      <c r="D132" s="31"/>
      <c r="P132" s="31"/>
    </row>
    <row r="133" spans="4:16" s="30" customFormat="1">
      <c r="D133" s="31"/>
      <c r="P133" s="31"/>
    </row>
    <row r="134" spans="4:16" s="30" customFormat="1">
      <c r="D134" s="31"/>
      <c r="P134" s="31"/>
    </row>
    <row r="135" spans="4:16" s="30" customFormat="1">
      <c r="D135" s="31"/>
      <c r="P135" s="31"/>
    </row>
    <row r="136" spans="4:16" s="30" customFormat="1">
      <c r="D136" s="31"/>
      <c r="P136" s="31"/>
    </row>
    <row r="137" spans="4:16" s="30" customFormat="1">
      <c r="D137" s="31"/>
      <c r="P137" s="31"/>
    </row>
    <row r="138" spans="4:16" s="30" customFormat="1">
      <c r="D138" s="31"/>
      <c r="P138" s="31"/>
    </row>
    <row r="139" spans="4:16" s="30" customFormat="1">
      <c r="D139" s="31"/>
      <c r="P139" s="31"/>
    </row>
    <row r="140" spans="4:16" s="30" customFormat="1">
      <c r="D140" s="31"/>
      <c r="P140" s="31"/>
    </row>
    <row r="141" spans="4:16" s="30" customFormat="1">
      <c r="D141" s="31"/>
      <c r="P141" s="31"/>
    </row>
    <row r="142" spans="4:16" s="30" customFormat="1">
      <c r="D142" s="31"/>
      <c r="P142" s="31"/>
    </row>
    <row r="143" spans="4:16" s="30" customFormat="1">
      <c r="D143" s="31"/>
      <c r="P143" s="31"/>
    </row>
    <row r="144" spans="4:16" s="30" customFormat="1">
      <c r="D144" s="31"/>
      <c r="P144" s="31"/>
    </row>
    <row r="145" spans="4:16" s="30" customFormat="1">
      <c r="D145" s="31"/>
      <c r="P145" s="31"/>
    </row>
    <row r="146" spans="4:16" s="30" customFormat="1">
      <c r="D146" s="31"/>
      <c r="P146" s="31"/>
    </row>
    <row r="147" spans="4:16" s="30" customFormat="1">
      <c r="D147" s="31"/>
      <c r="P147" s="31"/>
    </row>
    <row r="148" spans="4:16" s="30" customFormat="1">
      <c r="D148" s="31"/>
      <c r="P148" s="31"/>
    </row>
    <row r="149" spans="4:16" s="30" customFormat="1">
      <c r="D149" s="31"/>
      <c r="P149" s="31"/>
    </row>
    <row r="150" spans="4:16" s="30" customFormat="1">
      <c r="D150" s="31"/>
      <c r="P150" s="31"/>
    </row>
    <row r="151" spans="4:16" s="30" customFormat="1">
      <c r="D151" s="31"/>
      <c r="P151" s="31"/>
    </row>
    <row r="152" spans="4:16" s="30" customFormat="1">
      <c r="D152" s="31"/>
      <c r="P152" s="31"/>
    </row>
    <row r="153" spans="4:16" s="30" customFormat="1">
      <c r="D153" s="31"/>
      <c r="P153" s="31"/>
    </row>
    <row r="154" spans="4:16" s="30" customFormat="1">
      <c r="D154" s="31"/>
      <c r="P154" s="31"/>
    </row>
    <row r="155" spans="4:16" s="30" customFormat="1">
      <c r="D155" s="31"/>
      <c r="P155" s="31"/>
    </row>
    <row r="156" spans="4:16" s="30" customFormat="1">
      <c r="D156" s="31"/>
      <c r="P156" s="31"/>
    </row>
    <row r="157" spans="4:16" s="30" customFormat="1">
      <c r="D157" s="31"/>
      <c r="P157" s="31"/>
    </row>
    <row r="158" spans="4:16" s="30" customFormat="1">
      <c r="D158" s="31"/>
      <c r="P158" s="31"/>
    </row>
    <row r="159" spans="4:16" s="30" customFormat="1">
      <c r="D159" s="31"/>
      <c r="P159" s="31"/>
    </row>
    <row r="160" spans="4:16" s="30" customFormat="1">
      <c r="D160" s="31"/>
      <c r="P160" s="31"/>
    </row>
    <row r="161" spans="4:16" s="30" customFormat="1">
      <c r="D161" s="31"/>
      <c r="P161" s="31"/>
    </row>
    <row r="162" spans="4:16" s="30" customFormat="1">
      <c r="D162" s="31"/>
      <c r="P162" s="31"/>
    </row>
    <row r="163" spans="4:16" s="30" customFormat="1">
      <c r="D163" s="31"/>
      <c r="P163" s="31"/>
    </row>
    <row r="164" spans="4:16" s="30" customFormat="1">
      <c r="D164" s="31"/>
      <c r="P164" s="31"/>
    </row>
    <row r="165" spans="4:16" s="30" customFormat="1">
      <c r="D165" s="31"/>
      <c r="P165" s="31"/>
    </row>
    <row r="166" spans="4:16" s="30" customFormat="1">
      <c r="D166" s="31"/>
      <c r="P166" s="31"/>
    </row>
    <row r="167" spans="4:16" s="30" customFormat="1">
      <c r="D167" s="31"/>
      <c r="P167" s="31"/>
    </row>
    <row r="168" spans="4:16" s="30" customFormat="1">
      <c r="D168" s="31"/>
      <c r="P168" s="31"/>
    </row>
    <row r="169" spans="4:16" s="30" customFormat="1">
      <c r="D169" s="31"/>
      <c r="P169" s="31"/>
    </row>
    <row r="170" spans="4:16" s="30" customFormat="1">
      <c r="D170" s="31"/>
      <c r="P170" s="31"/>
    </row>
    <row r="171" spans="4:16" s="30" customFormat="1">
      <c r="D171" s="31"/>
      <c r="P171" s="31"/>
    </row>
    <row r="172" spans="4:16" s="30" customFormat="1">
      <c r="D172" s="31"/>
      <c r="P172" s="31"/>
    </row>
    <row r="173" spans="4:16" s="30" customFormat="1">
      <c r="D173" s="31"/>
      <c r="P173" s="31"/>
    </row>
    <row r="174" spans="4:16" s="30" customFormat="1">
      <c r="D174" s="31"/>
      <c r="P174" s="31"/>
    </row>
    <row r="175" spans="4:16" s="30" customFormat="1">
      <c r="D175" s="31"/>
      <c r="P175" s="31"/>
    </row>
    <row r="176" spans="4:16" s="30" customFormat="1">
      <c r="D176" s="31"/>
      <c r="P176" s="31"/>
    </row>
    <row r="177" spans="4:16" s="30" customFormat="1">
      <c r="D177" s="31"/>
      <c r="P177" s="31"/>
    </row>
    <row r="178" spans="4:16" s="30" customFormat="1">
      <c r="D178" s="31"/>
      <c r="P178" s="31"/>
    </row>
    <row r="179" spans="4:16" s="30" customFormat="1">
      <c r="D179" s="31"/>
      <c r="P179" s="31"/>
    </row>
    <row r="180" spans="4:16" s="30" customFormat="1">
      <c r="D180" s="31"/>
      <c r="P180" s="31"/>
    </row>
    <row r="181" spans="4:16" s="30" customFormat="1">
      <c r="D181" s="31"/>
      <c r="P181" s="31"/>
    </row>
    <row r="182" spans="4:16" s="30" customFormat="1">
      <c r="D182" s="31"/>
      <c r="P182" s="31"/>
    </row>
    <row r="183" spans="4:16" s="30" customFormat="1">
      <c r="D183" s="31"/>
      <c r="P183" s="31"/>
    </row>
    <row r="184" spans="4:16" s="30" customFormat="1">
      <c r="D184" s="31"/>
      <c r="P184" s="31"/>
    </row>
    <row r="185" spans="4:16" s="30" customFormat="1">
      <c r="D185" s="31"/>
      <c r="P185" s="31"/>
    </row>
    <row r="186" spans="4:16" s="30" customFormat="1">
      <c r="D186" s="31"/>
      <c r="P186" s="31"/>
    </row>
    <row r="187" spans="4:16" s="30" customFormat="1">
      <c r="D187" s="31"/>
      <c r="P187" s="31"/>
    </row>
    <row r="188" spans="4:16" s="30" customFormat="1">
      <c r="D188" s="31"/>
      <c r="P188" s="31"/>
    </row>
    <row r="189" spans="4:16" s="30" customFormat="1">
      <c r="D189" s="31"/>
      <c r="P189" s="31"/>
    </row>
    <row r="190" spans="4:16" s="30" customFormat="1">
      <c r="D190" s="31"/>
      <c r="P190" s="31"/>
    </row>
    <row r="191" spans="4:16" s="30" customFormat="1">
      <c r="D191" s="31"/>
      <c r="P191" s="31"/>
    </row>
    <row r="192" spans="4:16" s="30" customFormat="1">
      <c r="D192" s="31"/>
      <c r="P192" s="31"/>
    </row>
    <row r="193" spans="4:16" s="30" customFormat="1">
      <c r="D193" s="31"/>
      <c r="P193" s="31"/>
    </row>
    <row r="194" spans="4:16" s="30" customFormat="1">
      <c r="D194" s="31"/>
      <c r="P194" s="31"/>
    </row>
    <row r="195" spans="4:16" s="30" customFormat="1">
      <c r="D195" s="31"/>
      <c r="P195" s="31"/>
    </row>
    <row r="196" spans="4:16" s="30" customFormat="1">
      <c r="D196" s="31"/>
      <c r="P196" s="31"/>
    </row>
    <row r="197" spans="4:16" s="30" customFormat="1">
      <c r="D197" s="31"/>
      <c r="P197" s="31"/>
    </row>
    <row r="198" spans="4:16" s="30" customFormat="1">
      <c r="D198" s="31"/>
      <c r="P198" s="31"/>
    </row>
    <row r="199" spans="4:16" s="30" customFormat="1">
      <c r="D199" s="31"/>
      <c r="P199" s="31"/>
    </row>
    <row r="200" spans="4:16" s="30" customFormat="1">
      <c r="D200" s="31"/>
      <c r="P200" s="31"/>
    </row>
    <row r="201" spans="4:16" s="30" customFormat="1">
      <c r="D201" s="31"/>
      <c r="P201" s="31"/>
    </row>
    <row r="202" spans="4:16" s="30" customFormat="1">
      <c r="D202" s="31"/>
      <c r="P202" s="31"/>
    </row>
    <row r="203" spans="4:16" s="30" customFormat="1">
      <c r="D203" s="31"/>
      <c r="P203" s="31"/>
    </row>
    <row r="204" spans="4:16" s="30" customFormat="1">
      <c r="D204" s="31"/>
      <c r="P204" s="31"/>
    </row>
    <row r="205" spans="4:16" s="30" customFormat="1">
      <c r="D205" s="31"/>
      <c r="P205" s="31"/>
    </row>
    <row r="206" spans="4:16" s="30" customFormat="1">
      <c r="D206" s="31"/>
      <c r="P206" s="31"/>
    </row>
    <row r="207" spans="4:16" s="30" customFormat="1">
      <c r="D207" s="31"/>
      <c r="P207" s="31"/>
    </row>
    <row r="208" spans="4:16" s="30" customFormat="1">
      <c r="D208" s="31"/>
      <c r="P208" s="31"/>
    </row>
    <row r="209" spans="4:16" s="30" customFormat="1">
      <c r="D209" s="31"/>
      <c r="P209" s="31"/>
    </row>
    <row r="210" spans="4:16" s="30" customFormat="1">
      <c r="D210" s="31"/>
      <c r="P210" s="31"/>
    </row>
    <row r="211" spans="4:16" s="30" customFormat="1">
      <c r="D211" s="31"/>
      <c r="P211" s="31"/>
    </row>
    <row r="212" spans="4:16" s="30" customFormat="1">
      <c r="D212" s="31"/>
      <c r="P212" s="31"/>
    </row>
    <row r="213" spans="4:16" s="30" customFormat="1">
      <c r="D213" s="31"/>
      <c r="P213" s="31"/>
    </row>
    <row r="214" spans="4:16" s="30" customFormat="1">
      <c r="D214" s="31"/>
      <c r="P214" s="31"/>
    </row>
    <row r="215" spans="4:16" s="30" customFormat="1">
      <c r="D215" s="31"/>
      <c r="P215" s="31"/>
    </row>
    <row r="216" spans="4:16" s="30" customFormat="1">
      <c r="D216" s="31"/>
      <c r="P216" s="31"/>
    </row>
    <row r="217" spans="4:16" s="30" customFormat="1">
      <c r="D217" s="31"/>
      <c r="P217" s="31"/>
    </row>
    <row r="218" spans="4:16" s="30" customFormat="1">
      <c r="D218" s="31"/>
      <c r="P218" s="31"/>
    </row>
    <row r="219" spans="4:16" s="30" customFormat="1">
      <c r="D219" s="31"/>
      <c r="P219" s="31"/>
    </row>
    <row r="220" spans="4:16" s="30" customFormat="1">
      <c r="D220" s="31"/>
      <c r="P220" s="31"/>
    </row>
    <row r="221" spans="4:16" s="30" customFormat="1">
      <c r="D221" s="31"/>
      <c r="P221" s="31"/>
    </row>
    <row r="222" spans="4:16" s="30" customFormat="1">
      <c r="D222" s="31"/>
      <c r="P222" s="31"/>
    </row>
    <row r="223" spans="4:16" s="30" customFormat="1">
      <c r="D223" s="31"/>
      <c r="P223" s="31"/>
    </row>
    <row r="224" spans="4:16" s="30" customFormat="1">
      <c r="D224" s="31"/>
      <c r="P224" s="31"/>
    </row>
    <row r="225" spans="4:16" s="30" customFormat="1">
      <c r="D225" s="31"/>
      <c r="P225" s="31"/>
    </row>
    <row r="226" spans="4:16" s="30" customFormat="1">
      <c r="D226" s="31"/>
      <c r="P226" s="31"/>
    </row>
    <row r="227" spans="4:16" s="30" customFormat="1">
      <c r="D227" s="31"/>
      <c r="P227" s="31"/>
    </row>
    <row r="228" spans="4:16" s="30" customFormat="1">
      <c r="D228" s="31"/>
      <c r="P228" s="31"/>
    </row>
    <row r="229" spans="4:16" s="30" customFormat="1">
      <c r="D229" s="31"/>
      <c r="P229" s="31"/>
    </row>
    <row r="230" spans="4:16" s="30" customFormat="1">
      <c r="D230" s="31"/>
      <c r="P230" s="31"/>
    </row>
    <row r="231" spans="4:16" s="30" customFormat="1">
      <c r="D231" s="31"/>
      <c r="P231" s="31"/>
    </row>
    <row r="232" spans="4:16" s="30" customFormat="1">
      <c r="D232" s="31"/>
      <c r="P232" s="31"/>
    </row>
    <row r="233" spans="4:16" s="30" customFormat="1">
      <c r="D233" s="31"/>
      <c r="P233" s="31"/>
    </row>
    <row r="234" spans="4:16" s="30" customFormat="1">
      <c r="D234" s="31"/>
      <c r="P234" s="31"/>
    </row>
    <row r="235" spans="4:16" s="30" customFormat="1">
      <c r="D235" s="31"/>
      <c r="P235" s="31"/>
    </row>
    <row r="236" spans="4:16" s="30" customFormat="1">
      <c r="D236" s="31"/>
      <c r="P236" s="31"/>
    </row>
    <row r="237" spans="4:16" s="30" customFormat="1">
      <c r="D237" s="31"/>
      <c r="P237" s="31"/>
    </row>
    <row r="238" spans="4:16" s="30" customFormat="1">
      <c r="D238" s="31"/>
      <c r="P238" s="31"/>
    </row>
    <row r="239" spans="4:16" s="30" customFormat="1">
      <c r="D239" s="31"/>
      <c r="P239" s="31"/>
    </row>
    <row r="240" spans="4:16" s="30" customFormat="1">
      <c r="D240" s="31"/>
      <c r="P240" s="31"/>
    </row>
    <row r="241" spans="4:16" s="30" customFormat="1">
      <c r="D241" s="31"/>
      <c r="P241" s="31"/>
    </row>
    <row r="242" spans="4:16" s="30" customFormat="1">
      <c r="D242" s="31"/>
      <c r="P242" s="31"/>
    </row>
    <row r="243" spans="4:16" s="30" customFormat="1">
      <c r="D243" s="31"/>
      <c r="P243" s="31"/>
    </row>
    <row r="244" spans="4:16" s="30" customFormat="1">
      <c r="D244" s="31"/>
      <c r="P244" s="31"/>
    </row>
    <row r="245" spans="4:16" s="30" customFormat="1">
      <c r="D245" s="31"/>
      <c r="P245" s="31"/>
    </row>
    <row r="246" spans="4:16" s="30" customFormat="1">
      <c r="D246" s="31"/>
      <c r="P246" s="31"/>
    </row>
    <row r="247" spans="4:16" s="30" customFormat="1">
      <c r="D247" s="31"/>
      <c r="P247" s="31"/>
    </row>
    <row r="248" spans="4:16" s="30" customFormat="1">
      <c r="D248" s="31"/>
      <c r="P248" s="31"/>
    </row>
    <row r="249" spans="4:16" s="30" customFormat="1">
      <c r="D249" s="31"/>
      <c r="P249" s="31"/>
    </row>
    <row r="250" spans="4:16" s="30" customFormat="1">
      <c r="D250" s="31"/>
      <c r="P250" s="31"/>
    </row>
    <row r="251" spans="4:16" s="30" customFormat="1">
      <c r="D251" s="31"/>
      <c r="P251" s="31"/>
    </row>
    <row r="252" spans="4:16" s="30" customFormat="1">
      <c r="D252" s="31"/>
      <c r="P252" s="31"/>
    </row>
    <row r="253" spans="4:16" s="30" customFormat="1">
      <c r="D253" s="31"/>
      <c r="P253" s="31"/>
    </row>
    <row r="254" spans="4:16" s="30" customFormat="1">
      <c r="D254" s="31"/>
      <c r="P254" s="31"/>
    </row>
    <row r="255" spans="4:16" s="30" customFormat="1">
      <c r="D255" s="31"/>
      <c r="P255" s="31"/>
    </row>
    <row r="256" spans="4:16" s="30" customFormat="1">
      <c r="D256" s="31"/>
      <c r="P256" s="31"/>
    </row>
    <row r="257" spans="4:16" s="30" customFormat="1">
      <c r="D257" s="31"/>
      <c r="P257" s="31"/>
    </row>
    <row r="258" spans="4:16" s="30" customFormat="1">
      <c r="D258" s="31"/>
      <c r="P258" s="31"/>
    </row>
    <row r="259" spans="4:16" s="30" customFormat="1">
      <c r="D259" s="31"/>
      <c r="P259" s="31"/>
    </row>
    <row r="260" spans="4:16" s="30" customFormat="1">
      <c r="D260" s="31"/>
      <c r="P260" s="31"/>
    </row>
    <row r="261" spans="4:16" s="30" customFormat="1">
      <c r="D261" s="31"/>
      <c r="P261" s="31"/>
    </row>
    <row r="262" spans="4:16" s="30" customFormat="1">
      <c r="D262" s="31"/>
      <c r="P262" s="31"/>
    </row>
    <row r="263" spans="4:16" s="30" customFormat="1">
      <c r="D263" s="31"/>
      <c r="P263" s="31"/>
    </row>
    <row r="264" spans="4:16" s="30" customFormat="1">
      <c r="D264" s="31"/>
      <c r="P264" s="31"/>
    </row>
    <row r="265" spans="4:16" s="30" customFormat="1">
      <c r="D265" s="31"/>
      <c r="P265" s="31"/>
    </row>
    <row r="266" spans="4:16" s="30" customFormat="1">
      <c r="D266" s="31"/>
      <c r="P266" s="31"/>
    </row>
    <row r="267" spans="4:16" s="30" customFormat="1">
      <c r="D267" s="31"/>
      <c r="P267" s="31"/>
    </row>
    <row r="268" spans="4:16" s="30" customFormat="1">
      <c r="D268" s="31"/>
      <c r="P268" s="31"/>
    </row>
    <row r="269" spans="4:16" s="30" customFormat="1">
      <c r="D269" s="31"/>
      <c r="P269" s="31"/>
    </row>
    <row r="270" spans="4:16" s="30" customFormat="1">
      <c r="D270" s="31"/>
      <c r="P270" s="31"/>
    </row>
    <row r="271" spans="4:16" s="30" customFormat="1">
      <c r="D271" s="31"/>
      <c r="P271" s="31"/>
    </row>
    <row r="272" spans="4:16" s="30" customFormat="1">
      <c r="D272" s="31"/>
      <c r="P272" s="31"/>
    </row>
    <row r="273" spans="4:16" s="30" customFormat="1">
      <c r="D273" s="31"/>
      <c r="P273" s="31"/>
    </row>
    <row r="274" spans="4:16" s="30" customFormat="1">
      <c r="D274" s="31"/>
      <c r="P274" s="31"/>
    </row>
    <row r="275" spans="4:16" s="30" customFormat="1">
      <c r="D275" s="31"/>
      <c r="P275" s="31"/>
    </row>
    <row r="276" spans="4:16" s="30" customFormat="1">
      <c r="D276" s="31"/>
      <c r="P276" s="31"/>
    </row>
    <row r="277" spans="4:16" s="30" customFormat="1">
      <c r="D277" s="31"/>
      <c r="P277" s="31"/>
    </row>
    <row r="278" spans="4:16" s="30" customFormat="1">
      <c r="D278" s="31"/>
      <c r="P278" s="31"/>
    </row>
    <row r="279" spans="4:16" s="30" customFormat="1">
      <c r="D279" s="31"/>
      <c r="P279" s="31"/>
    </row>
    <row r="280" spans="4:16" s="30" customFormat="1">
      <c r="D280" s="31"/>
      <c r="P280" s="31"/>
    </row>
    <row r="281" spans="4:16" s="30" customFormat="1">
      <c r="D281" s="31"/>
      <c r="P281" s="31"/>
    </row>
    <row r="282" spans="4:16" s="30" customFormat="1">
      <c r="D282" s="31"/>
      <c r="P282" s="31"/>
    </row>
    <row r="283" spans="4:16" s="30" customFormat="1">
      <c r="D283" s="31"/>
      <c r="P283" s="31"/>
    </row>
    <row r="284" spans="4:16" s="30" customFormat="1">
      <c r="D284" s="31"/>
      <c r="P284" s="31"/>
    </row>
    <row r="285" spans="4:16" s="30" customFormat="1">
      <c r="D285" s="31"/>
      <c r="P285" s="31"/>
    </row>
    <row r="286" spans="4:16" s="30" customFormat="1">
      <c r="D286" s="31"/>
      <c r="P286" s="31"/>
    </row>
    <row r="287" spans="4:16" s="30" customFormat="1">
      <c r="D287" s="31"/>
      <c r="P287" s="31"/>
    </row>
    <row r="288" spans="4:16" s="30" customFormat="1">
      <c r="D288" s="31"/>
      <c r="P288" s="31"/>
    </row>
    <row r="289" spans="4:16" s="30" customFormat="1">
      <c r="D289" s="31"/>
      <c r="P289" s="31"/>
    </row>
    <row r="290" spans="4:16" s="30" customFormat="1">
      <c r="D290" s="31"/>
      <c r="P290" s="31"/>
    </row>
    <row r="291" spans="4:16" s="30" customFormat="1">
      <c r="D291" s="31"/>
      <c r="P291" s="31"/>
    </row>
    <row r="292" spans="4:16" s="30" customFormat="1">
      <c r="D292" s="31"/>
      <c r="P292" s="31"/>
    </row>
    <row r="293" spans="4:16" s="30" customFormat="1">
      <c r="D293" s="31"/>
      <c r="P293" s="31"/>
    </row>
    <row r="294" spans="4:16" s="30" customFormat="1">
      <c r="D294" s="31"/>
      <c r="P294" s="31"/>
    </row>
    <row r="295" spans="4:16" s="30" customFormat="1">
      <c r="D295" s="31"/>
      <c r="P295" s="31"/>
    </row>
    <row r="296" spans="4:16" s="30" customFormat="1">
      <c r="D296" s="31"/>
      <c r="P296" s="31"/>
    </row>
    <row r="297" spans="4:16" s="30" customFormat="1">
      <c r="D297" s="31"/>
      <c r="P297" s="31"/>
    </row>
    <row r="298" spans="4:16" s="30" customFormat="1">
      <c r="D298" s="31"/>
      <c r="P298" s="31"/>
    </row>
    <row r="299" spans="4:16" s="30" customFormat="1">
      <c r="D299" s="31"/>
      <c r="P299" s="31"/>
    </row>
    <row r="300" spans="4:16" s="30" customFormat="1">
      <c r="D300" s="31"/>
      <c r="P300" s="31"/>
    </row>
    <row r="301" spans="4:16" s="30" customFormat="1">
      <c r="D301" s="31"/>
      <c r="P301" s="31"/>
    </row>
    <row r="302" spans="4:16" s="30" customFormat="1">
      <c r="D302" s="31"/>
      <c r="P302" s="31"/>
    </row>
    <row r="303" spans="4:16" s="30" customFormat="1">
      <c r="D303" s="31"/>
      <c r="P303" s="31"/>
    </row>
    <row r="304" spans="4:16" s="30" customFormat="1">
      <c r="D304" s="31"/>
      <c r="P304" s="31"/>
    </row>
    <row r="305" spans="4:16" s="30" customFormat="1">
      <c r="D305" s="31"/>
      <c r="P305" s="31"/>
    </row>
  </sheetData>
  <sheetProtection sheet="1" objects="1" scenarios="1" selectLockedCells="1"/>
  <mergeCells count="20">
    <mergeCell ref="O2:AA2"/>
    <mergeCell ref="C42:C43"/>
    <mergeCell ref="D42:E43"/>
    <mergeCell ref="F42:F43"/>
    <mergeCell ref="G42:G43"/>
    <mergeCell ref="H42:H43"/>
    <mergeCell ref="S40:S46"/>
    <mergeCell ref="E27:F27"/>
    <mergeCell ref="G27:H27"/>
    <mergeCell ref="E35:F35"/>
    <mergeCell ref="K41:N41"/>
    <mergeCell ref="C44:C45"/>
    <mergeCell ref="D44:E45"/>
    <mergeCell ref="C46:C47"/>
    <mergeCell ref="D46:E47"/>
    <mergeCell ref="B30:B50"/>
    <mergeCell ref="C2:L2"/>
    <mergeCell ref="M2:N2"/>
    <mergeCell ref="B14:B29"/>
    <mergeCell ref="B4:B13"/>
  </mergeCells>
  <conditionalFormatting sqref="E4:N25 Q4:AA25 Q27:Q36 F28:F32 H28:H32 AA28:AA33 F36:F39 Y39 Y37:Z38 Z38:Z49 F44:H44 F46:H46">
    <cfRule type="expression" dxfId="27" priority="57">
      <formula>$B$3="USD"</formula>
    </cfRule>
    <cfRule type="expression" dxfId="26" priority="58">
      <formula>$B$3="EUR"</formula>
    </cfRule>
    <cfRule type="expression" dxfId="25" priority="59">
      <formula>$B$3="GBP"</formula>
    </cfRule>
  </conditionalFormatting>
  <conditionalFormatting sqref="Q43:Q48">
    <cfRule type="expression" dxfId="24" priority="10">
      <formula>$B$3="USD"</formula>
    </cfRule>
    <cfRule type="expression" dxfId="23" priority="11">
      <formula>$B$3="EUR"</formula>
    </cfRule>
    <cfRule type="expression" dxfId="22" priority="12">
      <formula>$B$3="GBP"</formula>
    </cfRule>
  </conditionalFormatting>
  <conditionalFormatting sqref="F45:H45">
    <cfRule type="expression" dxfId="21" priority="4">
      <formula>$B$3="USD"</formula>
    </cfRule>
    <cfRule type="expression" dxfId="20" priority="5">
      <formula>$B$3="EUR"</formula>
    </cfRule>
    <cfRule type="expression" dxfId="19" priority="6">
      <formula>$B$3="GBP"</formula>
    </cfRule>
  </conditionalFormatting>
  <conditionalFormatting sqref="F47:H47">
    <cfRule type="expression" dxfId="18" priority="1">
      <formula>$B$3="USD"</formula>
    </cfRule>
    <cfRule type="expression" dxfId="17" priority="2">
      <formula>$B$3="EUR"</formula>
    </cfRule>
    <cfRule type="expression" dxfId="16" priority="3">
      <formula>$B$3="GBP"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46EC68C-09F7-D747-A7D4-FC58F08CD8F1}">
          <x14:formula1>
            <xm:f>Variables!$E$3:$E$5</xm:f>
          </x14:formula1>
          <xm:sqref>V39</xm:sqref>
        </x14:dataValidation>
        <x14:dataValidation type="list" allowBlank="1" showInputMessage="1" showErrorMessage="1" xr:uid="{F07799F9-0A93-5F49-B639-ECA51733F894}">
          <x14:formula1>
            <xm:f>Variables!$F$3:$F$4</xm:f>
          </x14:formula1>
          <xm:sqref>V40:V41 V44:V45</xm:sqref>
        </x14:dataValidation>
        <x14:dataValidation type="list" allowBlank="1" showInputMessage="1" showErrorMessage="1" xr:uid="{58897339-4BD2-E14A-A7BF-F43D3BED73A8}">
          <x14:formula1>
            <xm:f>Variables!$D$8:$D$12</xm:f>
          </x14:formula1>
          <xm:sqref>V46</xm:sqref>
        </x14:dataValidation>
        <x14:dataValidation type="list" allowBlank="1" showInputMessage="1" showErrorMessage="1" xr:uid="{894BA3F9-13B0-D842-8BF5-B8CBC27D3ACA}">
          <x14:formula1>
            <xm:f>Variables!$B$2:$B$13</xm:f>
          </x14:formula1>
          <xm:sqref>V37</xm:sqref>
        </x14:dataValidation>
        <x14:dataValidation type="list" allowBlank="1" showInputMessage="1" showErrorMessage="1" xr:uid="{C54484FD-2DE6-3A4C-B26B-9C7AEBFEC058}">
          <x14:formula1>
            <xm:f>Variables!$A$2:$A$10</xm:f>
          </x14:formula1>
          <xm:sqref>V38</xm:sqref>
        </x14:dataValidation>
        <x14:dataValidation type="list" allowBlank="1" showInputMessage="1" showErrorMessage="1" xr:uid="{D64D71E2-C71E-1141-B83B-B1A80AC82AF8}">
          <x14:formula1>
            <xm:f>Variables!$H$3:$H$21</xm:f>
          </x14:formula1>
          <xm:sqref>W37</xm:sqref>
        </x14:dataValidation>
        <x14:dataValidation type="list" allowBlank="1" showInputMessage="1" showErrorMessage="1" xr:uid="{038BF0C0-0E9E-B240-ADCD-BFBE07FEDF31}">
          <x14:formula1>
            <xm:f>Variables!$F$8:$F$12</xm:f>
          </x14:formula1>
          <xm:sqref>V42:V43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52127-2E98-D342-97FB-FEE7F2E3E2CC}">
  <sheetPr codeName="Sheet6">
    <tabColor theme="9"/>
    <pageSetUpPr fitToPage="1"/>
  </sheetPr>
  <dimension ref="A1:BH213"/>
  <sheetViews>
    <sheetView topLeftCell="A3" zoomScaleNormal="100" workbookViewId="0">
      <selection activeCell="D8" sqref="D8"/>
    </sheetView>
  </sheetViews>
  <sheetFormatPr defaultColWidth="8.875" defaultRowHeight="12.75"/>
  <cols>
    <col min="1" max="1" width="8.875" style="117"/>
    <col min="2" max="2" width="5" style="117" customWidth="1"/>
    <col min="3" max="3" width="22.125" style="117" customWidth="1"/>
    <col min="4" max="4" width="10.5" style="117" customWidth="1"/>
    <col min="5" max="5" width="11" style="118" customWidth="1"/>
    <col min="6" max="6" width="8.5" style="115" customWidth="1"/>
    <col min="7" max="7" width="13.5" style="115" hidden="1" customWidth="1"/>
    <col min="8" max="8" width="7.375" style="115" hidden="1" customWidth="1"/>
    <col min="9" max="9" width="14.125" style="115" customWidth="1"/>
    <col min="10" max="10" width="13.5" style="115" customWidth="1"/>
    <col min="11" max="11" width="12.125" style="116" customWidth="1"/>
    <col min="12" max="12" width="17.125" style="115" customWidth="1"/>
    <col min="13" max="13" width="5" style="115" customWidth="1"/>
    <col min="14" max="14" width="7.125" style="115" customWidth="1"/>
    <col min="15" max="15" width="6.5" style="115" bestFit="1" customWidth="1"/>
    <col min="16" max="16" width="22.625" style="115" customWidth="1"/>
    <col min="17" max="17" width="10.375" style="116" customWidth="1"/>
    <col min="18" max="18" width="10.5" style="115" customWidth="1"/>
    <col min="19" max="19" width="5.125" style="115" customWidth="1"/>
    <col min="20" max="60" width="8.875" style="115"/>
    <col min="61" max="16384" width="8.875" style="117"/>
  </cols>
  <sheetData>
    <row r="1" spans="1:17" ht="11.25" customHeight="1">
      <c r="A1" s="115"/>
      <c r="B1" s="115"/>
      <c r="C1" s="115"/>
      <c r="D1" s="115"/>
      <c r="E1" s="116"/>
    </row>
    <row r="2" spans="1:17">
      <c r="A2" s="115"/>
      <c r="B2" s="115"/>
      <c r="C2" s="115"/>
      <c r="D2" s="115"/>
      <c r="E2" s="116"/>
    </row>
    <row r="3" spans="1:17" ht="13.5" thickBot="1">
      <c r="A3" s="115"/>
      <c r="B3" s="115"/>
      <c r="C3" s="115"/>
      <c r="D3" s="115"/>
      <c r="E3" s="116"/>
    </row>
    <row r="4" spans="1:17" ht="30.95" customHeight="1" thickBot="1">
      <c r="A4" s="115"/>
      <c r="B4" s="115"/>
      <c r="C4" s="226" t="str">
        <f>'Customer Prices'!B30</f>
        <v>MORFRAC SYSTEMS S.L.</v>
      </c>
      <c r="D4" s="227"/>
      <c r="E4" s="228"/>
    </row>
    <row r="5" spans="1:17" ht="13.5" thickBot="1">
      <c r="A5" s="115"/>
      <c r="B5" s="115"/>
      <c r="C5" s="144"/>
      <c r="D5" s="144"/>
      <c r="E5" s="116"/>
    </row>
    <row r="6" spans="1:17">
      <c r="A6" s="115"/>
      <c r="C6" s="239" t="s">
        <v>193</v>
      </c>
      <c r="D6" s="240"/>
      <c r="E6" s="157"/>
      <c r="F6" s="144"/>
      <c r="G6" s="144"/>
    </row>
    <row r="7" spans="1:17" ht="14.1" customHeight="1" thickBot="1">
      <c r="A7" s="115"/>
      <c r="B7" s="243" t="s">
        <v>194</v>
      </c>
      <c r="C7" s="241" t="s">
        <v>195</v>
      </c>
      <c r="D7" s="242" t="s">
        <v>196</v>
      </c>
      <c r="E7" s="158" t="str">
        <f>IFERROR(VLOOKUP(E6,'Customer Prices'!D6:O25,12,FALSE),"")</f>
        <v/>
      </c>
      <c r="F7" s="144"/>
      <c r="G7" s="144"/>
    </row>
    <row r="8" spans="1:17" ht="13.5" customHeight="1" thickBot="1">
      <c r="A8" s="115"/>
      <c r="B8" s="243"/>
      <c r="C8" s="145" t="s">
        <v>197</v>
      </c>
      <c r="D8" s="163"/>
      <c r="E8" s="146" cm="1">
        <f t="array" ref="E8">IFERROR(_xlfn.XLOOKUP(E7,'Customer Prices'!$C$4:$C$25,_xlfn.XLOOKUP(D8,'Customer Prices'!$E$3:$L$3,'Customer Prices'!$E$4:$L$25)),0)</f>
        <v>0</v>
      </c>
      <c r="G8" s="165" t="str">
        <f>IFERROR(CHOOSE($D$8,#REF!,#REF!,#REF!,#REF!,#REF!,#REF!,#REF!),"")</f>
        <v/>
      </c>
    </row>
    <row r="9" spans="1:17" ht="14.1" customHeight="1">
      <c r="A9" s="115"/>
      <c r="B9" s="243"/>
      <c r="C9" s="145" t="s">
        <v>198</v>
      </c>
      <c r="D9" s="154"/>
      <c r="E9" s="146">
        <f>D9*E8</f>
        <v>0</v>
      </c>
      <c r="G9" s="166"/>
    </row>
    <row r="10" spans="1:17" ht="14.1" customHeight="1">
      <c r="A10" s="115"/>
      <c r="B10" s="232" t="s">
        <v>199</v>
      </c>
      <c r="C10" s="229" t="s">
        <v>200</v>
      </c>
      <c r="D10" s="230"/>
      <c r="E10" s="231"/>
      <c r="G10" s="116"/>
    </row>
    <row r="11" spans="1:17" ht="12.95" customHeight="1">
      <c r="A11" s="115"/>
      <c r="B11" s="232"/>
      <c r="C11" s="147" t="s">
        <v>201</v>
      </c>
      <c r="D11" s="152"/>
      <c r="E11" s="26" t="str">
        <f>IFERROR(G11*D11,"")</f>
        <v/>
      </c>
      <c r="G11" s="54" t="e">
        <f>VLOOKUP($E$6,Weights!$N$30:$AH$49,13,FALSE)</f>
        <v>#N/A</v>
      </c>
    </row>
    <row r="12" spans="1:17">
      <c r="A12" s="115"/>
      <c r="B12" s="232"/>
      <c r="C12" s="147" t="s">
        <v>202</v>
      </c>
      <c r="D12" s="152"/>
      <c r="E12" s="26" t="str">
        <f t="shared" ref="E12:E19" si="0">IFERROR(G12*D12,"")</f>
        <v/>
      </c>
      <c r="G12" s="54" t="e">
        <f>VLOOKUP($E$6,Weights!$N$30:$AH$49,14,FALSE)</f>
        <v>#N/A</v>
      </c>
    </row>
    <row r="13" spans="1:17">
      <c r="A13" s="115"/>
      <c r="B13" s="232"/>
      <c r="C13" s="147" t="s">
        <v>203</v>
      </c>
      <c r="D13" s="152"/>
      <c r="E13" s="26" t="str">
        <f t="shared" si="0"/>
        <v/>
      </c>
      <c r="G13" s="54" t="e">
        <f>VLOOKUP($E$6,Weights!$N$30:$AH$49,15,FALSE)</f>
        <v>#N/A</v>
      </c>
      <c r="K13" s="115"/>
      <c r="Q13" s="115"/>
    </row>
    <row r="14" spans="1:17">
      <c r="A14" s="115"/>
      <c r="B14" s="232"/>
      <c r="C14" s="147" t="s">
        <v>204</v>
      </c>
      <c r="D14" s="152"/>
      <c r="E14" s="26" t="str">
        <f t="shared" si="0"/>
        <v/>
      </c>
      <c r="G14" s="54" t="e">
        <f>VLOOKUP($E$6,Weights!$N$30:$AH$49,16,FALSE)</f>
        <v>#N/A</v>
      </c>
      <c r="K14" s="115"/>
      <c r="Q14" s="115"/>
    </row>
    <row r="15" spans="1:17">
      <c r="A15" s="115"/>
      <c r="B15" s="232"/>
      <c r="C15" s="147" t="s">
        <v>205</v>
      </c>
      <c r="D15" s="152"/>
      <c r="E15" s="26" t="str">
        <f t="shared" si="0"/>
        <v/>
      </c>
      <c r="G15" s="54" t="e">
        <f>VLOOKUP($E$6,Weights!$N$30:$AH$49,17,FALSE)</f>
        <v>#N/A</v>
      </c>
      <c r="K15" s="115"/>
      <c r="Q15" s="115"/>
    </row>
    <row r="16" spans="1:17">
      <c r="A16" s="115"/>
      <c r="B16" s="232"/>
      <c r="C16" s="147" t="s">
        <v>206</v>
      </c>
      <c r="D16" s="152"/>
      <c r="E16" s="26" t="str">
        <f t="shared" si="0"/>
        <v/>
      </c>
      <c r="G16" s="54" t="e">
        <f>VLOOKUP($E$6,Weights!$N$30:$AH$49,18,FALSE)</f>
        <v>#N/A</v>
      </c>
      <c r="K16" s="115"/>
      <c r="Q16" s="115"/>
    </row>
    <row r="17" spans="1:60">
      <c r="A17" s="115"/>
      <c r="B17" s="232"/>
      <c r="C17" s="147" t="s">
        <v>207</v>
      </c>
      <c r="D17" s="152"/>
      <c r="E17" s="26" t="str">
        <f t="shared" si="0"/>
        <v/>
      </c>
      <c r="G17" s="54" t="e">
        <f>VLOOKUP($E$6,Weights!$N$30:$AH$49,19,FALSE)</f>
        <v>#N/A</v>
      </c>
      <c r="K17" s="115"/>
      <c r="Q17" s="115"/>
    </row>
    <row r="18" spans="1:60">
      <c r="A18" s="115"/>
      <c r="B18" s="232"/>
      <c r="C18" s="147" t="s">
        <v>208</v>
      </c>
      <c r="D18" s="152"/>
      <c r="E18" s="26" t="str">
        <f t="shared" si="0"/>
        <v/>
      </c>
      <c r="G18" s="54" t="e">
        <f>VLOOKUP($E$6,Weights!$N$30:$AH$49,20,FALSE)</f>
        <v>#N/A</v>
      </c>
      <c r="K18" s="115"/>
      <c r="Q18" s="115"/>
    </row>
    <row r="19" spans="1:60">
      <c r="A19" s="115"/>
      <c r="B19" s="232"/>
      <c r="C19" s="147" t="s">
        <v>209</v>
      </c>
      <c r="D19" s="152"/>
      <c r="E19" s="26" t="str">
        <f t="shared" si="0"/>
        <v/>
      </c>
      <c r="G19" s="54" t="e">
        <f>VLOOKUP($E$6,Weights!$N$30:$AH$49,21,FALSE)</f>
        <v>#N/A</v>
      </c>
      <c r="K19" s="115"/>
      <c r="Q19" s="115"/>
    </row>
    <row r="20" spans="1:60">
      <c r="A20" s="115"/>
      <c r="B20" s="232"/>
      <c r="C20" s="148" t="s">
        <v>210</v>
      </c>
      <c r="D20" s="153"/>
      <c r="E20" s="26">
        <f>IF(D20="Yes",VLOOKUP('Custom Blends'!E6,'Customer Prices'!$C$4:$M$25,11,FALSE),0)</f>
        <v>0</v>
      </c>
      <c r="G20" s="54" t="str">
        <f>IF(ISERROR(#REF!-(#REF!*#REF!)),"",(#REF!-(#REF!*#REF!)))</f>
        <v/>
      </c>
      <c r="K20" s="115"/>
      <c r="Q20" s="115"/>
    </row>
    <row r="21" spans="1:60">
      <c r="A21" s="115"/>
      <c r="B21" s="232"/>
      <c r="C21" s="149" t="s">
        <v>211</v>
      </c>
      <c r="D21" s="153"/>
      <c r="E21" s="26">
        <f>IF(D21="Yes",VLOOKUP('Custom Blends'!E7,'Customer Prices'!$C$4:$N$25,12,FALSE),0)</f>
        <v>0</v>
      </c>
      <c r="G21" s="54" t="str">
        <f>IF(ISERROR(#REF!-(#REF!*#REF!)),"",(#REF!-(#REF!*#REF!)))</f>
        <v/>
      </c>
      <c r="K21" s="115"/>
      <c r="Q21" s="115"/>
    </row>
    <row r="22" spans="1:60">
      <c r="A22" s="115"/>
      <c r="B22" s="232"/>
      <c r="C22" s="170" t="s">
        <v>212</v>
      </c>
      <c r="D22" s="171"/>
      <c r="E22" s="164">
        <f>SUM(E11:E21)</f>
        <v>0</v>
      </c>
      <c r="G22" s="54"/>
      <c r="K22" s="115"/>
      <c r="Q22" s="115"/>
    </row>
    <row r="23" spans="1:60">
      <c r="A23" s="115"/>
      <c r="B23" s="232"/>
      <c r="C23" s="145" t="s">
        <v>213</v>
      </c>
      <c r="D23" s="154"/>
      <c r="E23" s="161">
        <f>IF(D23&lt;D9,(D23*E22)+E22,D23*E22)</f>
        <v>0</v>
      </c>
      <c r="F23" s="119"/>
      <c r="G23" s="54"/>
      <c r="K23" s="115"/>
      <c r="Q23" s="115"/>
    </row>
    <row r="24" spans="1:60" ht="14.1" customHeight="1">
      <c r="A24" s="115"/>
      <c r="B24" s="236" t="s">
        <v>158</v>
      </c>
      <c r="C24" s="233"/>
      <c r="D24" s="234"/>
      <c r="E24" s="235"/>
      <c r="G24" s="54" t="str">
        <f>IFERROR(G22+#REF!,"")</f>
        <v/>
      </c>
      <c r="K24" s="115"/>
      <c r="Q24" s="115"/>
    </row>
    <row r="25" spans="1:60" s="118" customFormat="1">
      <c r="A25" s="115"/>
      <c r="B25" s="237"/>
      <c r="C25" s="150" t="s">
        <v>159</v>
      </c>
      <c r="D25" s="155"/>
      <c r="E25" s="159">
        <f>IF(D25="Yes",D23*G25,0)</f>
        <v>0</v>
      </c>
      <c r="F25" s="115"/>
      <c r="G25" s="54">
        <f>'Customer Prices'!Q27</f>
        <v>1.7786999999999999</v>
      </c>
      <c r="H25" s="167" t="str">
        <f>IF(D25="Yes",VLOOKUP(E6,Variables!H3:I21,2,FALSE),"")</f>
        <v/>
      </c>
      <c r="I25" s="116"/>
      <c r="J25" s="116"/>
      <c r="K25" s="116"/>
      <c r="L25" s="115"/>
      <c r="M25" s="115"/>
      <c r="N25" s="115"/>
      <c r="O25" s="115"/>
      <c r="P25" s="115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  <c r="AZ25" s="116"/>
      <c r="BA25" s="116"/>
      <c r="BB25" s="116"/>
      <c r="BC25" s="116"/>
      <c r="BD25" s="116"/>
      <c r="BE25" s="116"/>
      <c r="BF25" s="116"/>
      <c r="BG25" s="116"/>
      <c r="BH25" s="116"/>
    </row>
    <row r="26" spans="1:60" s="118" customFormat="1" ht="13.5" customHeight="1">
      <c r="A26" s="115"/>
      <c r="B26" s="237"/>
      <c r="C26" s="150" t="s">
        <v>162</v>
      </c>
      <c r="D26" s="155"/>
      <c r="E26" s="160">
        <f>IF(D26="Yes",D23*G26,0)</f>
        <v>0</v>
      </c>
      <c r="F26" s="115"/>
      <c r="G26" s="54">
        <f>'Customer Prices'!Q28</f>
        <v>1.3431000000000002</v>
      </c>
      <c r="H26" s="167" t="str">
        <f>IF(D26="Yes",VLOOKUP(E6,Variables!H3:I21,2,FALSE),"")</f>
        <v/>
      </c>
      <c r="I26" s="116"/>
      <c r="J26" s="115"/>
      <c r="K26" s="116"/>
      <c r="L26" s="115"/>
      <c r="M26" s="115"/>
      <c r="N26" s="115"/>
      <c r="O26" s="115"/>
      <c r="P26" s="115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  <c r="AZ26" s="116"/>
      <c r="BA26" s="116"/>
      <c r="BB26" s="116"/>
      <c r="BC26" s="116"/>
      <c r="BD26" s="116"/>
      <c r="BE26" s="116"/>
      <c r="BF26" s="116"/>
      <c r="BG26" s="116"/>
      <c r="BH26" s="116"/>
    </row>
    <row r="27" spans="1:60" s="118" customFormat="1">
      <c r="A27" s="115"/>
      <c r="B27" s="237"/>
      <c r="C27" s="150" t="s">
        <v>86</v>
      </c>
      <c r="D27" s="155"/>
      <c r="E27" s="160">
        <f>IFERROR(D27*'Customer Prices'!Q29,0)</f>
        <v>0</v>
      </c>
      <c r="F27" s="115"/>
      <c r="G27" s="54"/>
      <c r="H27" s="116"/>
      <c r="I27" s="115"/>
      <c r="J27" s="115"/>
      <c r="K27" s="116"/>
      <c r="L27" s="115"/>
      <c r="M27" s="115"/>
      <c r="N27" s="115"/>
      <c r="O27" s="115"/>
      <c r="P27" s="115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  <c r="AZ27" s="116"/>
      <c r="BA27" s="116"/>
      <c r="BB27" s="116"/>
      <c r="BC27" s="116"/>
      <c r="BD27" s="116"/>
      <c r="BE27" s="116"/>
      <c r="BF27" s="116"/>
      <c r="BG27" s="116"/>
      <c r="BH27" s="116"/>
    </row>
    <row r="28" spans="1:60" s="118" customFormat="1">
      <c r="A28" s="115"/>
      <c r="B28" s="237"/>
      <c r="C28" s="150" t="s">
        <v>174</v>
      </c>
      <c r="D28" s="155"/>
      <c r="E28" s="160">
        <f>IFERROR(D28*'Customer Prices'!Q30,0)</f>
        <v>0</v>
      </c>
      <c r="F28" s="115"/>
      <c r="G28" s="54"/>
      <c r="H28" s="116"/>
      <c r="I28" s="115"/>
      <c r="J28" s="115"/>
      <c r="K28" s="116"/>
      <c r="L28" s="115"/>
      <c r="M28" s="115"/>
      <c r="N28" s="115"/>
      <c r="O28" s="115"/>
      <c r="P28" s="168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  <c r="AZ28" s="116"/>
      <c r="BA28" s="116"/>
      <c r="BB28" s="116"/>
      <c r="BC28" s="116"/>
      <c r="BD28" s="116"/>
      <c r="BE28" s="116"/>
      <c r="BF28" s="116"/>
      <c r="BG28" s="116"/>
      <c r="BH28" s="116"/>
    </row>
    <row r="29" spans="1:60" s="118" customFormat="1">
      <c r="A29" s="115"/>
      <c r="B29" s="237"/>
      <c r="C29" s="150" t="s">
        <v>110</v>
      </c>
      <c r="D29" s="155"/>
      <c r="E29" s="160">
        <f>IF(D29="Yes",'Customer Prices'!Q31,0)</f>
        <v>0</v>
      </c>
      <c r="F29" s="115"/>
      <c r="G29" s="54"/>
      <c r="H29" s="116"/>
      <c r="I29" s="115"/>
      <c r="J29" s="115"/>
      <c r="K29" s="116"/>
      <c r="L29" s="115"/>
      <c r="M29" s="115"/>
      <c r="N29" s="115"/>
      <c r="O29" s="115"/>
      <c r="P29" s="115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/>
      <c r="AX29" s="116"/>
      <c r="AY29" s="116"/>
      <c r="AZ29" s="116"/>
      <c r="BA29" s="116"/>
      <c r="BB29" s="116"/>
      <c r="BC29" s="116"/>
      <c r="BD29" s="116"/>
      <c r="BE29" s="116"/>
      <c r="BF29" s="116"/>
      <c r="BG29" s="116"/>
      <c r="BH29" s="116"/>
    </row>
    <row r="30" spans="1:60" s="118" customFormat="1">
      <c r="A30" s="115"/>
      <c r="B30" s="237"/>
      <c r="C30" s="150" t="s">
        <v>121</v>
      </c>
      <c r="D30" s="155"/>
      <c r="E30" s="160">
        <f>IF(D30="Yes",'Customer Prices'!Q32,0)</f>
        <v>0</v>
      </c>
      <c r="F30" s="115"/>
      <c r="G30" s="54"/>
      <c r="H30" s="116"/>
      <c r="I30" s="115"/>
      <c r="J30" s="115"/>
      <c r="K30" s="116"/>
      <c r="L30" s="115"/>
      <c r="M30" s="115"/>
      <c r="N30" s="115"/>
      <c r="O30" s="115"/>
      <c r="P30" s="115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16"/>
      <c r="AZ30" s="116"/>
      <c r="BA30" s="116"/>
      <c r="BB30" s="116"/>
      <c r="BC30" s="116"/>
      <c r="BD30" s="116"/>
      <c r="BE30" s="116"/>
      <c r="BF30" s="116"/>
      <c r="BG30" s="116"/>
      <c r="BH30" s="116"/>
    </row>
    <row r="31" spans="1:60" s="118" customFormat="1">
      <c r="A31" s="115"/>
      <c r="B31" s="237"/>
      <c r="C31" s="150" t="s">
        <v>129</v>
      </c>
      <c r="D31" s="155"/>
      <c r="E31" s="160">
        <f>IFERROR(VLOOKUP(D31,'Customer Prices'!O33:Q36,3,FALSE),0)</f>
        <v>0</v>
      </c>
      <c r="F31" s="115"/>
      <c r="G31" s="54"/>
      <c r="H31" s="116"/>
      <c r="I31" s="115"/>
      <c r="J31" s="115"/>
      <c r="K31" s="116"/>
      <c r="L31" s="115"/>
      <c r="M31" s="115"/>
      <c r="N31" s="115"/>
      <c r="O31" s="115"/>
      <c r="P31" s="115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16"/>
      <c r="AL31" s="116"/>
      <c r="AM31" s="116"/>
      <c r="AN31" s="116"/>
      <c r="AO31" s="116"/>
      <c r="AP31" s="116"/>
      <c r="AQ31" s="116"/>
      <c r="AR31" s="116"/>
      <c r="AS31" s="116"/>
      <c r="AT31" s="116"/>
      <c r="AU31" s="116"/>
      <c r="AV31" s="116"/>
      <c r="AW31" s="116"/>
      <c r="AX31" s="116"/>
      <c r="AY31" s="116"/>
      <c r="AZ31" s="116"/>
      <c r="BA31" s="116"/>
      <c r="BB31" s="116"/>
      <c r="BC31" s="116"/>
      <c r="BD31" s="116"/>
      <c r="BE31" s="116"/>
      <c r="BF31" s="116"/>
      <c r="BG31" s="116"/>
      <c r="BH31" s="116"/>
    </row>
    <row r="32" spans="1:60" s="118" customFormat="1">
      <c r="A32" s="115"/>
      <c r="B32" s="238"/>
      <c r="C32" s="145" t="s">
        <v>214</v>
      </c>
      <c r="D32" s="154"/>
      <c r="E32" s="175">
        <f>SUM(E25:E31)</f>
        <v>0</v>
      </c>
      <c r="F32" s="115"/>
      <c r="G32" s="54"/>
      <c r="H32" s="116"/>
      <c r="I32" s="115"/>
      <c r="J32" s="115"/>
      <c r="K32" s="116"/>
      <c r="L32" s="115"/>
      <c r="M32" s="115"/>
      <c r="N32" s="115"/>
      <c r="O32" s="115"/>
      <c r="P32" s="115"/>
      <c r="Q32" s="116"/>
      <c r="R32" s="116"/>
      <c r="S32" s="116"/>
      <c r="T32" s="116"/>
      <c r="U32" s="116"/>
      <c r="V32" s="116"/>
      <c r="W32" s="116"/>
      <c r="X32" s="116"/>
      <c r="Y32" s="116"/>
      <c r="Z32" s="116"/>
      <c r="AA32" s="116"/>
      <c r="AB32" s="116"/>
      <c r="AC32" s="116"/>
      <c r="AD32" s="116"/>
      <c r="AE32" s="116"/>
      <c r="AF32" s="116"/>
      <c r="AG32" s="116"/>
      <c r="AH32" s="116"/>
      <c r="AI32" s="116"/>
      <c r="AJ32" s="116"/>
      <c r="AK32" s="116"/>
      <c r="AL32" s="116"/>
      <c r="AM32" s="116"/>
      <c r="AN32" s="116"/>
      <c r="AO32" s="116"/>
      <c r="AP32" s="116"/>
      <c r="AQ32" s="116"/>
      <c r="AR32" s="116"/>
      <c r="AS32" s="116"/>
      <c r="AT32" s="116"/>
      <c r="AU32" s="116"/>
      <c r="AV32" s="116"/>
      <c r="AW32" s="116"/>
      <c r="AX32" s="116"/>
      <c r="AY32" s="116"/>
      <c r="AZ32" s="116"/>
      <c r="BA32" s="116"/>
      <c r="BB32" s="116"/>
      <c r="BC32" s="116"/>
      <c r="BD32" s="116"/>
      <c r="BE32" s="116"/>
      <c r="BF32" s="116"/>
      <c r="BG32" s="116"/>
      <c r="BH32" s="116"/>
    </row>
    <row r="33" spans="1:60" s="118" customFormat="1" ht="12.95" customHeight="1" thickBot="1">
      <c r="A33" s="115"/>
      <c r="B33" s="117"/>
      <c r="C33" s="172"/>
      <c r="D33" s="173"/>
      <c r="E33" s="174"/>
      <c r="F33" s="115"/>
      <c r="G33" s="54"/>
      <c r="H33" s="115"/>
      <c r="I33" s="115"/>
      <c r="J33" s="115"/>
      <c r="K33" s="116"/>
      <c r="L33" s="115"/>
      <c r="M33" s="115"/>
      <c r="N33" s="115"/>
      <c r="O33" s="115"/>
      <c r="P33" s="115"/>
      <c r="Q33" s="116"/>
      <c r="R33" s="116"/>
      <c r="S33" s="116"/>
      <c r="T33" s="116"/>
      <c r="U33" s="116"/>
      <c r="V33" s="116"/>
      <c r="W33" s="116"/>
      <c r="X33" s="116"/>
      <c r="Y33" s="116"/>
      <c r="Z33" s="116"/>
      <c r="AA33" s="116"/>
      <c r="AB33" s="116"/>
      <c r="AC33" s="116"/>
      <c r="AD33" s="116"/>
      <c r="AE33" s="116"/>
      <c r="AF33" s="116"/>
      <c r="AG33" s="116"/>
      <c r="AH33" s="116"/>
      <c r="AI33" s="116"/>
      <c r="AJ33" s="116"/>
      <c r="AK33" s="116"/>
      <c r="AL33" s="116"/>
      <c r="AM33" s="116"/>
      <c r="AN33" s="116"/>
      <c r="AO33" s="116"/>
      <c r="AP33" s="116"/>
      <c r="AQ33" s="116"/>
      <c r="AR33" s="116"/>
      <c r="AS33" s="116"/>
      <c r="AT33" s="116"/>
      <c r="AU33" s="116"/>
      <c r="AV33" s="116"/>
      <c r="AW33" s="116"/>
      <c r="AX33" s="116"/>
      <c r="AY33" s="116"/>
      <c r="AZ33" s="116"/>
      <c r="BA33" s="116"/>
      <c r="BB33" s="116"/>
      <c r="BC33" s="116"/>
      <c r="BD33" s="116"/>
      <c r="BE33" s="116"/>
      <c r="BF33" s="116"/>
      <c r="BG33" s="116"/>
      <c r="BH33" s="116"/>
    </row>
    <row r="34" spans="1:60" s="118" customFormat="1" ht="15" customHeight="1">
      <c r="A34" s="115"/>
      <c r="B34" s="224" t="s">
        <v>215</v>
      </c>
      <c r="C34" s="162" t="s">
        <v>216</v>
      </c>
      <c r="D34" s="156">
        <v>0.2</v>
      </c>
      <c r="E34" s="169">
        <f>IF(D23&lt;50,(E9+E23+E32)*D34,0)</f>
        <v>0</v>
      </c>
      <c r="F34" s="115"/>
      <c r="G34" s="54"/>
      <c r="H34" s="115"/>
      <c r="I34" s="115"/>
      <c r="J34" s="115"/>
      <c r="K34" s="116"/>
      <c r="L34" s="115"/>
      <c r="M34" s="115"/>
      <c r="N34" s="115"/>
      <c r="O34" s="115"/>
      <c r="P34" s="115"/>
      <c r="Q34" s="116"/>
      <c r="R34" s="116"/>
      <c r="S34" s="116"/>
      <c r="T34" s="116"/>
      <c r="U34" s="116"/>
      <c r="V34" s="116"/>
      <c r="W34" s="116"/>
      <c r="X34" s="116"/>
      <c r="Y34" s="116"/>
      <c r="Z34" s="116"/>
      <c r="AA34" s="116"/>
      <c r="AB34" s="116"/>
      <c r="AC34" s="116"/>
      <c r="AD34" s="116"/>
      <c r="AE34" s="116"/>
      <c r="AF34" s="116"/>
      <c r="AG34" s="116"/>
      <c r="AH34" s="116"/>
      <c r="AI34" s="116"/>
      <c r="AJ34" s="116"/>
      <c r="AK34" s="116"/>
      <c r="AL34" s="116"/>
      <c r="AM34" s="116"/>
      <c r="AN34" s="116"/>
      <c r="AO34" s="116"/>
      <c r="AP34" s="116"/>
      <c r="AQ34" s="116"/>
      <c r="AR34" s="116"/>
      <c r="AS34" s="116"/>
      <c r="AT34" s="116"/>
      <c r="AU34" s="116"/>
      <c r="AV34" s="116"/>
      <c r="AW34" s="116"/>
      <c r="AX34" s="116"/>
      <c r="AY34" s="116"/>
      <c r="AZ34" s="116"/>
      <c r="BA34" s="116"/>
      <c r="BB34" s="116"/>
      <c r="BC34" s="116"/>
      <c r="BD34" s="116"/>
      <c r="BE34" s="116"/>
      <c r="BF34" s="116"/>
      <c r="BG34" s="116"/>
      <c r="BH34" s="116"/>
    </row>
    <row r="35" spans="1:60" s="118" customFormat="1" ht="29.1" customHeight="1" thickBot="1">
      <c r="A35" s="117"/>
      <c r="B35" s="225"/>
      <c r="C35" s="222" t="s">
        <v>217</v>
      </c>
      <c r="D35" s="223"/>
      <c r="E35" s="151">
        <f>E34+E23+E32+E9</f>
        <v>0</v>
      </c>
      <c r="F35" s="115"/>
      <c r="G35" s="54"/>
      <c r="H35" s="115"/>
      <c r="I35" s="115"/>
      <c r="J35" s="115"/>
      <c r="K35" s="116"/>
      <c r="L35" s="115"/>
      <c r="M35" s="115"/>
      <c r="N35" s="115"/>
      <c r="O35" s="115"/>
      <c r="P35" s="115"/>
      <c r="Q35" s="116"/>
      <c r="R35" s="116"/>
      <c r="S35" s="116"/>
      <c r="T35" s="116"/>
      <c r="U35" s="116"/>
      <c r="V35" s="116"/>
      <c r="W35" s="116"/>
      <c r="X35" s="116"/>
      <c r="Y35" s="116"/>
      <c r="Z35" s="116"/>
      <c r="AA35" s="116"/>
      <c r="AB35" s="116"/>
      <c r="AC35" s="116"/>
      <c r="AD35" s="116"/>
      <c r="AE35" s="116"/>
      <c r="AF35" s="116"/>
      <c r="AG35" s="116"/>
      <c r="AH35" s="116"/>
      <c r="AI35" s="116"/>
      <c r="AJ35" s="116"/>
      <c r="AK35" s="116"/>
      <c r="AL35" s="116"/>
      <c r="AM35" s="116"/>
      <c r="AN35" s="116"/>
      <c r="AO35" s="116"/>
      <c r="AP35" s="116"/>
      <c r="AQ35" s="116"/>
      <c r="AR35" s="116"/>
      <c r="AS35" s="116"/>
      <c r="AT35" s="116"/>
      <c r="AU35" s="116"/>
      <c r="AV35" s="116"/>
      <c r="AW35" s="116"/>
      <c r="AX35" s="116"/>
      <c r="AY35" s="116"/>
      <c r="AZ35" s="116"/>
      <c r="BA35" s="116"/>
      <c r="BB35" s="116"/>
      <c r="BC35" s="116"/>
      <c r="BD35" s="116"/>
      <c r="BE35" s="116"/>
      <c r="BF35" s="116"/>
      <c r="BG35" s="116"/>
      <c r="BH35" s="116"/>
    </row>
    <row r="36" spans="1:60" s="115" customFormat="1" ht="13.5" thickBot="1">
      <c r="E36" s="116"/>
      <c r="K36" s="116"/>
      <c r="Q36" s="116"/>
    </row>
    <row r="37" spans="1:60" s="115" customFormat="1">
      <c r="B37" s="213" t="s">
        <v>218</v>
      </c>
      <c r="C37" s="214"/>
      <c r="D37" s="214"/>
      <c r="E37" s="215"/>
      <c r="K37" s="116"/>
      <c r="Q37" s="116"/>
    </row>
    <row r="38" spans="1:60" s="115" customFormat="1">
      <c r="B38" s="216"/>
      <c r="C38" s="217"/>
      <c r="D38" s="217"/>
      <c r="E38" s="218"/>
      <c r="K38" s="116"/>
      <c r="Q38" s="116"/>
    </row>
    <row r="39" spans="1:60" s="115" customFormat="1" ht="13.5" thickBot="1">
      <c r="B39" s="219"/>
      <c r="C39" s="220"/>
      <c r="D39" s="220"/>
      <c r="E39" s="221"/>
      <c r="K39" s="116"/>
      <c r="Q39" s="116"/>
    </row>
    <row r="40" spans="1:60" s="115" customFormat="1">
      <c r="E40" s="116"/>
      <c r="K40" s="116"/>
      <c r="Q40" s="116"/>
    </row>
    <row r="41" spans="1:60" s="115" customFormat="1">
      <c r="E41" s="116"/>
      <c r="K41" s="116"/>
      <c r="Q41" s="116"/>
    </row>
    <row r="42" spans="1:60" s="115" customFormat="1">
      <c r="E42" s="116"/>
      <c r="K42" s="116"/>
      <c r="Q42" s="116"/>
    </row>
    <row r="43" spans="1:60" s="115" customFormat="1">
      <c r="E43" s="116"/>
      <c r="K43" s="116"/>
      <c r="Q43" s="116"/>
    </row>
    <row r="44" spans="1:60" s="115" customFormat="1">
      <c r="E44" s="116"/>
      <c r="K44" s="116"/>
      <c r="Q44" s="116"/>
    </row>
    <row r="45" spans="1:60" s="115" customFormat="1">
      <c r="E45" s="116"/>
      <c r="K45" s="116"/>
      <c r="Q45" s="116"/>
    </row>
    <row r="46" spans="1:60" s="115" customFormat="1">
      <c r="E46" s="116"/>
      <c r="K46" s="116"/>
      <c r="Q46" s="116"/>
    </row>
    <row r="47" spans="1:60" s="115" customFormat="1">
      <c r="E47" s="116"/>
      <c r="K47" s="116"/>
      <c r="Q47" s="116"/>
    </row>
    <row r="48" spans="1:60" s="115" customFormat="1">
      <c r="E48" s="116"/>
      <c r="K48" s="116"/>
      <c r="Q48" s="116"/>
    </row>
    <row r="49" spans="5:17" s="115" customFormat="1">
      <c r="E49" s="116"/>
      <c r="K49" s="116"/>
      <c r="Q49" s="116"/>
    </row>
    <row r="50" spans="5:17" s="115" customFormat="1">
      <c r="E50" s="116"/>
      <c r="K50" s="116"/>
      <c r="Q50" s="116"/>
    </row>
    <row r="51" spans="5:17" s="115" customFormat="1">
      <c r="E51" s="116"/>
      <c r="K51" s="116"/>
      <c r="Q51" s="116"/>
    </row>
    <row r="52" spans="5:17" s="115" customFormat="1">
      <c r="E52" s="116"/>
      <c r="K52" s="116"/>
      <c r="Q52" s="116"/>
    </row>
    <row r="53" spans="5:17" s="115" customFormat="1">
      <c r="E53" s="116"/>
      <c r="K53" s="116"/>
      <c r="Q53" s="116"/>
    </row>
    <row r="54" spans="5:17" s="115" customFormat="1">
      <c r="E54" s="116"/>
      <c r="K54" s="116"/>
      <c r="Q54" s="116"/>
    </row>
    <row r="55" spans="5:17" s="115" customFormat="1">
      <c r="E55" s="116"/>
      <c r="K55" s="116"/>
      <c r="Q55" s="116"/>
    </row>
    <row r="56" spans="5:17" s="115" customFormat="1">
      <c r="E56" s="116"/>
      <c r="K56" s="116"/>
      <c r="Q56" s="116"/>
    </row>
    <row r="57" spans="5:17" s="115" customFormat="1">
      <c r="E57" s="116"/>
      <c r="K57" s="116"/>
      <c r="Q57" s="116"/>
    </row>
    <row r="58" spans="5:17" s="115" customFormat="1">
      <c r="E58" s="116"/>
      <c r="K58" s="116"/>
      <c r="Q58" s="116"/>
    </row>
    <row r="59" spans="5:17" s="115" customFormat="1">
      <c r="E59" s="116"/>
      <c r="K59" s="116"/>
      <c r="Q59" s="116"/>
    </row>
    <row r="60" spans="5:17" s="115" customFormat="1">
      <c r="E60" s="116"/>
      <c r="K60" s="116"/>
      <c r="Q60" s="116"/>
    </row>
    <row r="61" spans="5:17" s="115" customFormat="1">
      <c r="E61" s="116"/>
      <c r="K61" s="116"/>
      <c r="Q61" s="116"/>
    </row>
    <row r="62" spans="5:17" s="115" customFormat="1">
      <c r="E62" s="116"/>
      <c r="K62" s="116"/>
      <c r="Q62" s="116"/>
    </row>
    <row r="63" spans="5:17" s="115" customFormat="1">
      <c r="E63" s="116"/>
      <c r="K63" s="116"/>
      <c r="Q63" s="116"/>
    </row>
    <row r="64" spans="5:17" s="115" customFormat="1">
      <c r="E64" s="116"/>
      <c r="K64" s="116"/>
      <c r="Q64" s="116"/>
    </row>
    <row r="65" spans="5:17" s="115" customFormat="1">
      <c r="E65" s="116"/>
      <c r="K65" s="116"/>
      <c r="Q65" s="116"/>
    </row>
    <row r="66" spans="5:17" s="115" customFormat="1">
      <c r="E66" s="116"/>
      <c r="K66" s="116"/>
      <c r="Q66" s="116"/>
    </row>
    <row r="67" spans="5:17" s="115" customFormat="1">
      <c r="E67" s="116"/>
      <c r="K67" s="116"/>
      <c r="Q67" s="116"/>
    </row>
    <row r="68" spans="5:17" s="115" customFormat="1">
      <c r="E68" s="116"/>
      <c r="K68" s="116"/>
      <c r="Q68" s="116"/>
    </row>
    <row r="69" spans="5:17" s="115" customFormat="1">
      <c r="E69" s="116"/>
      <c r="K69" s="116"/>
      <c r="Q69" s="116"/>
    </row>
    <row r="70" spans="5:17" s="115" customFormat="1">
      <c r="E70" s="116"/>
      <c r="K70" s="116"/>
      <c r="Q70" s="116"/>
    </row>
    <row r="71" spans="5:17" s="115" customFormat="1">
      <c r="E71" s="116"/>
      <c r="K71" s="116"/>
      <c r="Q71" s="116"/>
    </row>
    <row r="72" spans="5:17" s="115" customFormat="1">
      <c r="E72" s="116"/>
      <c r="K72" s="116"/>
      <c r="Q72" s="116"/>
    </row>
    <row r="73" spans="5:17" s="115" customFormat="1">
      <c r="E73" s="116"/>
      <c r="K73" s="116"/>
      <c r="Q73" s="116"/>
    </row>
    <row r="74" spans="5:17" s="115" customFormat="1">
      <c r="E74" s="116"/>
      <c r="K74" s="116"/>
      <c r="Q74" s="116"/>
    </row>
    <row r="75" spans="5:17" s="115" customFormat="1">
      <c r="E75" s="116"/>
      <c r="K75" s="116"/>
      <c r="Q75" s="116"/>
    </row>
    <row r="76" spans="5:17" s="115" customFormat="1">
      <c r="E76" s="116"/>
      <c r="K76" s="116"/>
      <c r="Q76" s="116"/>
    </row>
    <row r="77" spans="5:17" s="115" customFormat="1">
      <c r="E77" s="116"/>
      <c r="K77" s="116"/>
      <c r="Q77" s="116"/>
    </row>
    <row r="78" spans="5:17" s="115" customFormat="1">
      <c r="E78" s="116"/>
      <c r="K78" s="116"/>
      <c r="Q78" s="116"/>
    </row>
    <row r="79" spans="5:17" s="115" customFormat="1">
      <c r="E79" s="116"/>
      <c r="K79" s="116"/>
      <c r="Q79" s="116"/>
    </row>
    <row r="80" spans="5:17" s="115" customFormat="1">
      <c r="E80" s="116"/>
      <c r="K80" s="116"/>
      <c r="Q80" s="116"/>
    </row>
    <row r="81" spans="5:17" s="115" customFormat="1">
      <c r="E81" s="116"/>
      <c r="K81" s="116"/>
      <c r="Q81" s="116"/>
    </row>
    <row r="82" spans="5:17" s="115" customFormat="1">
      <c r="E82" s="116"/>
      <c r="K82" s="116"/>
      <c r="Q82" s="116"/>
    </row>
    <row r="83" spans="5:17" s="115" customFormat="1">
      <c r="E83" s="116"/>
      <c r="K83" s="116"/>
      <c r="Q83" s="116"/>
    </row>
    <row r="84" spans="5:17" s="115" customFormat="1">
      <c r="E84" s="116"/>
      <c r="K84" s="116"/>
      <c r="Q84" s="116"/>
    </row>
    <row r="85" spans="5:17" s="115" customFormat="1">
      <c r="E85" s="116"/>
      <c r="K85" s="116"/>
      <c r="Q85" s="116"/>
    </row>
    <row r="86" spans="5:17" s="115" customFormat="1">
      <c r="E86" s="116"/>
      <c r="K86" s="116"/>
      <c r="Q86" s="116"/>
    </row>
    <row r="87" spans="5:17" s="115" customFormat="1">
      <c r="E87" s="116"/>
      <c r="K87" s="116"/>
      <c r="Q87" s="116"/>
    </row>
    <row r="88" spans="5:17" s="115" customFormat="1">
      <c r="E88" s="116"/>
      <c r="K88" s="116"/>
      <c r="Q88" s="116"/>
    </row>
    <row r="89" spans="5:17" s="115" customFormat="1">
      <c r="E89" s="116"/>
      <c r="K89" s="116"/>
      <c r="Q89" s="116"/>
    </row>
    <row r="90" spans="5:17" s="115" customFormat="1">
      <c r="E90" s="116"/>
      <c r="K90" s="116"/>
      <c r="Q90" s="116"/>
    </row>
    <row r="91" spans="5:17" s="115" customFormat="1">
      <c r="E91" s="116"/>
      <c r="K91" s="116"/>
      <c r="Q91" s="116"/>
    </row>
    <row r="92" spans="5:17" s="115" customFormat="1">
      <c r="E92" s="116"/>
      <c r="K92" s="116"/>
      <c r="Q92" s="116"/>
    </row>
    <row r="93" spans="5:17" s="115" customFormat="1">
      <c r="E93" s="116"/>
      <c r="K93" s="116"/>
      <c r="Q93" s="116"/>
    </row>
    <row r="94" spans="5:17" s="115" customFormat="1">
      <c r="E94" s="116"/>
      <c r="K94" s="116"/>
      <c r="Q94" s="116"/>
    </row>
    <row r="95" spans="5:17" s="115" customFormat="1">
      <c r="E95" s="116"/>
      <c r="K95" s="116"/>
      <c r="Q95" s="116"/>
    </row>
    <row r="96" spans="5:17" s="115" customFormat="1">
      <c r="E96" s="116"/>
      <c r="K96" s="116"/>
      <c r="Q96" s="116"/>
    </row>
    <row r="97" spans="5:17" s="115" customFormat="1">
      <c r="E97" s="116"/>
      <c r="K97" s="116"/>
      <c r="Q97" s="116"/>
    </row>
    <row r="98" spans="5:17" s="115" customFormat="1">
      <c r="E98" s="116"/>
      <c r="K98" s="116"/>
      <c r="Q98" s="116"/>
    </row>
    <row r="99" spans="5:17" s="115" customFormat="1">
      <c r="E99" s="116"/>
      <c r="K99" s="116"/>
      <c r="Q99" s="116"/>
    </row>
    <row r="100" spans="5:17" s="115" customFormat="1">
      <c r="E100" s="116"/>
      <c r="K100" s="116"/>
      <c r="Q100" s="116"/>
    </row>
    <row r="101" spans="5:17" s="115" customFormat="1">
      <c r="E101" s="116"/>
      <c r="K101" s="116"/>
      <c r="Q101" s="116"/>
    </row>
    <row r="102" spans="5:17" s="115" customFormat="1">
      <c r="E102" s="116"/>
      <c r="K102" s="116"/>
      <c r="Q102" s="116"/>
    </row>
    <row r="103" spans="5:17" s="115" customFormat="1">
      <c r="E103" s="116"/>
      <c r="K103" s="116"/>
      <c r="Q103" s="116"/>
    </row>
    <row r="104" spans="5:17" s="115" customFormat="1">
      <c r="E104" s="116"/>
      <c r="K104" s="116"/>
      <c r="Q104" s="116"/>
    </row>
    <row r="105" spans="5:17" s="115" customFormat="1">
      <c r="E105" s="116"/>
      <c r="K105" s="116"/>
      <c r="Q105" s="116"/>
    </row>
    <row r="106" spans="5:17" s="115" customFormat="1">
      <c r="E106" s="116"/>
      <c r="K106" s="116"/>
      <c r="Q106" s="116"/>
    </row>
    <row r="107" spans="5:17" s="115" customFormat="1">
      <c r="E107" s="116"/>
      <c r="K107" s="116"/>
      <c r="Q107" s="116"/>
    </row>
    <row r="108" spans="5:17" s="115" customFormat="1">
      <c r="E108" s="116"/>
      <c r="K108" s="116"/>
      <c r="Q108" s="116"/>
    </row>
    <row r="109" spans="5:17" s="115" customFormat="1">
      <c r="E109" s="116"/>
      <c r="K109" s="116"/>
      <c r="Q109" s="116"/>
    </row>
    <row r="110" spans="5:17" s="115" customFormat="1">
      <c r="E110" s="116"/>
      <c r="K110" s="116"/>
      <c r="Q110" s="116"/>
    </row>
    <row r="111" spans="5:17" s="115" customFormat="1">
      <c r="E111" s="116"/>
      <c r="K111" s="116"/>
      <c r="Q111" s="116"/>
    </row>
    <row r="112" spans="5:17" s="115" customFormat="1">
      <c r="E112" s="116"/>
      <c r="K112" s="116"/>
      <c r="Q112" s="116"/>
    </row>
    <row r="113" spans="5:17" s="115" customFormat="1">
      <c r="E113" s="116"/>
      <c r="K113" s="116"/>
      <c r="Q113" s="116"/>
    </row>
    <row r="114" spans="5:17" s="115" customFormat="1">
      <c r="E114" s="116"/>
      <c r="K114" s="116"/>
      <c r="Q114" s="116"/>
    </row>
    <row r="115" spans="5:17" s="115" customFormat="1">
      <c r="E115" s="116"/>
      <c r="K115" s="116"/>
      <c r="Q115" s="116"/>
    </row>
    <row r="116" spans="5:17" s="115" customFormat="1">
      <c r="E116" s="116"/>
      <c r="K116" s="116"/>
      <c r="Q116" s="116"/>
    </row>
    <row r="117" spans="5:17" s="115" customFormat="1">
      <c r="E117" s="116"/>
      <c r="K117" s="116"/>
      <c r="Q117" s="116"/>
    </row>
    <row r="118" spans="5:17" s="115" customFormat="1">
      <c r="E118" s="116"/>
      <c r="K118" s="116"/>
      <c r="Q118" s="116"/>
    </row>
    <row r="119" spans="5:17" s="115" customFormat="1">
      <c r="E119" s="116"/>
      <c r="K119" s="116"/>
      <c r="Q119" s="116"/>
    </row>
    <row r="120" spans="5:17" s="115" customFormat="1">
      <c r="E120" s="116"/>
      <c r="K120" s="116"/>
      <c r="Q120" s="116"/>
    </row>
    <row r="121" spans="5:17" s="115" customFormat="1">
      <c r="E121" s="116"/>
      <c r="K121" s="116"/>
      <c r="Q121" s="116"/>
    </row>
    <row r="122" spans="5:17" s="115" customFormat="1">
      <c r="E122" s="116"/>
      <c r="K122" s="116"/>
      <c r="Q122" s="116"/>
    </row>
    <row r="123" spans="5:17" s="115" customFormat="1">
      <c r="E123" s="116"/>
      <c r="K123" s="116"/>
      <c r="Q123" s="116"/>
    </row>
    <row r="124" spans="5:17" s="115" customFormat="1">
      <c r="E124" s="116"/>
      <c r="K124" s="116"/>
      <c r="Q124" s="116"/>
    </row>
    <row r="125" spans="5:17" s="115" customFormat="1">
      <c r="E125" s="116"/>
      <c r="K125" s="116"/>
      <c r="Q125" s="116"/>
    </row>
    <row r="126" spans="5:17" s="115" customFormat="1">
      <c r="E126" s="116"/>
      <c r="K126" s="116"/>
      <c r="Q126" s="116"/>
    </row>
    <row r="127" spans="5:17" s="115" customFormat="1">
      <c r="E127" s="116"/>
      <c r="K127" s="116"/>
      <c r="Q127" s="116"/>
    </row>
    <row r="128" spans="5:17" s="115" customFormat="1">
      <c r="E128" s="116"/>
      <c r="K128" s="116"/>
      <c r="Q128" s="116"/>
    </row>
    <row r="129" spans="5:17" s="115" customFormat="1">
      <c r="E129" s="116"/>
      <c r="K129" s="116"/>
      <c r="Q129" s="116"/>
    </row>
    <row r="130" spans="5:17" s="115" customFormat="1">
      <c r="E130" s="116"/>
      <c r="K130" s="116"/>
      <c r="Q130" s="116"/>
    </row>
    <row r="131" spans="5:17" s="115" customFormat="1">
      <c r="E131" s="116"/>
      <c r="K131" s="116"/>
      <c r="Q131" s="116"/>
    </row>
    <row r="132" spans="5:17" s="115" customFormat="1">
      <c r="E132" s="116"/>
      <c r="K132" s="116"/>
      <c r="Q132" s="116"/>
    </row>
    <row r="133" spans="5:17" s="115" customFormat="1">
      <c r="E133" s="116"/>
      <c r="K133" s="116"/>
      <c r="Q133" s="116"/>
    </row>
    <row r="134" spans="5:17" s="115" customFormat="1">
      <c r="E134" s="116"/>
      <c r="K134" s="116"/>
      <c r="Q134" s="116"/>
    </row>
    <row r="135" spans="5:17" s="115" customFormat="1">
      <c r="E135" s="116"/>
      <c r="K135" s="116"/>
      <c r="Q135" s="116"/>
    </row>
    <row r="136" spans="5:17" s="115" customFormat="1">
      <c r="E136" s="116"/>
      <c r="K136" s="116"/>
      <c r="Q136" s="116"/>
    </row>
    <row r="137" spans="5:17" s="115" customFormat="1">
      <c r="E137" s="116"/>
      <c r="K137" s="116"/>
      <c r="Q137" s="116"/>
    </row>
    <row r="138" spans="5:17" s="115" customFormat="1">
      <c r="E138" s="116"/>
      <c r="K138" s="116"/>
      <c r="Q138" s="116"/>
    </row>
    <row r="139" spans="5:17" s="115" customFormat="1">
      <c r="E139" s="116"/>
      <c r="K139" s="116"/>
      <c r="Q139" s="116"/>
    </row>
    <row r="140" spans="5:17" s="115" customFormat="1">
      <c r="E140" s="116"/>
      <c r="K140" s="116"/>
      <c r="Q140" s="116"/>
    </row>
    <row r="141" spans="5:17" s="115" customFormat="1">
      <c r="E141" s="116"/>
      <c r="K141" s="116"/>
      <c r="Q141" s="116"/>
    </row>
    <row r="142" spans="5:17" s="115" customFormat="1">
      <c r="E142" s="116"/>
      <c r="K142" s="116"/>
      <c r="Q142" s="116"/>
    </row>
    <row r="143" spans="5:17" s="115" customFormat="1">
      <c r="E143" s="116"/>
      <c r="K143" s="116"/>
      <c r="Q143" s="116"/>
    </row>
    <row r="144" spans="5:17" s="115" customFormat="1">
      <c r="E144" s="116"/>
      <c r="K144" s="116"/>
      <c r="Q144" s="116"/>
    </row>
    <row r="145" spans="5:17" s="115" customFormat="1">
      <c r="E145" s="116"/>
      <c r="K145" s="116"/>
      <c r="Q145" s="116"/>
    </row>
    <row r="146" spans="5:17" s="115" customFormat="1">
      <c r="E146" s="116"/>
      <c r="K146" s="116"/>
      <c r="Q146" s="116"/>
    </row>
    <row r="147" spans="5:17" s="115" customFormat="1">
      <c r="E147" s="116"/>
      <c r="K147" s="116"/>
      <c r="Q147" s="116"/>
    </row>
    <row r="148" spans="5:17" s="115" customFormat="1">
      <c r="E148" s="116"/>
      <c r="K148" s="116"/>
      <c r="Q148" s="116"/>
    </row>
    <row r="149" spans="5:17" s="115" customFormat="1">
      <c r="E149" s="116"/>
      <c r="K149" s="116"/>
      <c r="Q149" s="116"/>
    </row>
    <row r="150" spans="5:17" s="115" customFormat="1">
      <c r="E150" s="116"/>
      <c r="K150" s="116"/>
      <c r="Q150" s="116"/>
    </row>
    <row r="151" spans="5:17" s="115" customFormat="1">
      <c r="E151" s="116"/>
      <c r="K151" s="116"/>
      <c r="Q151" s="116"/>
    </row>
    <row r="152" spans="5:17" s="115" customFormat="1">
      <c r="E152" s="116"/>
      <c r="K152" s="116"/>
      <c r="Q152" s="116"/>
    </row>
    <row r="153" spans="5:17" s="115" customFormat="1">
      <c r="E153" s="116"/>
      <c r="K153" s="116"/>
      <c r="Q153" s="116"/>
    </row>
    <row r="154" spans="5:17" s="115" customFormat="1">
      <c r="E154" s="116"/>
      <c r="K154" s="116"/>
      <c r="Q154" s="116"/>
    </row>
    <row r="155" spans="5:17" s="115" customFormat="1">
      <c r="E155" s="116"/>
      <c r="K155" s="116"/>
      <c r="Q155" s="116"/>
    </row>
    <row r="156" spans="5:17" s="115" customFormat="1">
      <c r="E156" s="116"/>
      <c r="K156" s="116"/>
      <c r="Q156" s="116"/>
    </row>
    <row r="157" spans="5:17" s="115" customFormat="1">
      <c r="E157" s="116"/>
      <c r="K157" s="116"/>
      <c r="Q157" s="116"/>
    </row>
    <row r="158" spans="5:17" s="115" customFormat="1">
      <c r="E158" s="116"/>
      <c r="K158" s="116"/>
      <c r="Q158" s="116"/>
    </row>
    <row r="159" spans="5:17" s="115" customFormat="1">
      <c r="E159" s="116"/>
      <c r="K159" s="116"/>
      <c r="Q159" s="116"/>
    </row>
    <row r="160" spans="5:17" s="115" customFormat="1">
      <c r="E160" s="116"/>
      <c r="K160" s="116"/>
      <c r="Q160" s="116"/>
    </row>
    <row r="161" spans="5:17" s="115" customFormat="1">
      <c r="E161" s="116"/>
      <c r="K161" s="116"/>
      <c r="Q161" s="116"/>
    </row>
    <row r="162" spans="5:17" s="115" customFormat="1">
      <c r="E162" s="116"/>
      <c r="K162" s="116"/>
      <c r="Q162" s="116"/>
    </row>
    <row r="163" spans="5:17" s="115" customFormat="1">
      <c r="E163" s="116"/>
      <c r="K163" s="116"/>
      <c r="Q163" s="116"/>
    </row>
    <row r="164" spans="5:17" s="115" customFormat="1">
      <c r="E164" s="116"/>
      <c r="K164" s="116"/>
      <c r="Q164" s="116"/>
    </row>
    <row r="165" spans="5:17" s="115" customFormat="1">
      <c r="E165" s="116"/>
      <c r="K165" s="116"/>
      <c r="Q165" s="116"/>
    </row>
    <row r="166" spans="5:17" s="115" customFormat="1">
      <c r="E166" s="116"/>
      <c r="K166" s="116"/>
      <c r="Q166" s="116"/>
    </row>
    <row r="167" spans="5:17" s="115" customFormat="1">
      <c r="E167" s="116"/>
      <c r="K167" s="116"/>
      <c r="Q167" s="116"/>
    </row>
    <row r="168" spans="5:17" s="115" customFormat="1">
      <c r="E168" s="116"/>
      <c r="K168" s="116"/>
      <c r="Q168" s="116"/>
    </row>
    <row r="169" spans="5:17" s="115" customFormat="1">
      <c r="E169" s="116"/>
      <c r="K169" s="116"/>
      <c r="Q169" s="116"/>
    </row>
    <row r="170" spans="5:17" s="115" customFormat="1">
      <c r="E170" s="116"/>
      <c r="K170" s="116"/>
      <c r="Q170" s="116"/>
    </row>
    <row r="171" spans="5:17" s="115" customFormat="1">
      <c r="E171" s="116"/>
      <c r="K171" s="116"/>
      <c r="Q171" s="116"/>
    </row>
    <row r="172" spans="5:17" s="115" customFormat="1">
      <c r="E172" s="116"/>
      <c r="K172" s="116"/>
      <c r="Q172" s="116"/>
    </row>
    <row r="173" spans="5:17" s="115" customFormat="1">
      <c r="E173" s="116"/>
      <c r="K173" s="116"/>
      <c r="Q173" s="116"/>
    </row>
    <row r="174" spans="5:17" s="115" customFormat="1">
      <c r="E174" s="116"/>
      <c r="K174" s="116"/>
      <c r="Q174" s="116"/>
    </row>
    <row r="175" spans="5:17" s="115" customFormat="1">
      <c r="E175" s="116"/>
      <c r="K175" s="116"/>
      <c r="Q175" s="116"/>
    </row>
    <row r="176" spans="5:17" s="115" customFormat="1">
      <c r="E176" s="116"/>
      <c r="K176" s="116"/>
      <c r="Q176" s="116"/>
    </row>
    <row r="177" spans="5:17" s="115" customFormat="1">
      <c r="E177" s="116"/>
      <c r="K177" s="116"/>
      <c r="Q177" s="116"/>
    </row>
    <row r="178" spans="5:17" s="115" customFormat="1">
      <c r="E178" s="116"/>
      <c r="K178" s="116"/>
      <c r="Q178" s="116"/>
    </row>
    <row r="179" spans="5:17" s="115" customFormat="1">
      <c r="E179" s="116"/>
      <c r="K179" s="116"/>
      <c r="Q179" s="116"/>
    </row>
    <row r="180" spans="5:17" s="115" customFormat="1">
      <c r="E180" s="116"/>
      <c r="K180" s="116"/>
      <c r="Q180" s="116"/>
    </row>
    <row r="181" spans="5:17" s="115" customFormat="1">
      <c r="E181" s="116"/>
      <c r="K181" s="116"/>
      <c r="Q181" s="116"/>
    </row>
    <row r="182" spans="5:17" s="115" customFormat="1">
      <c r="E182" s="116"/>
      <c r="K182" s="116"/>
      <c r="Q182" s="116"/>
    </row>
    <row r="183" spans="5:17" s="115" customFormat="1">
      <c r="E183" s="116"/>
      <c r="K183" s="116"/>
      <c r="Q183" s="116"/>
    </row>
    <row r="184" spans="5:17" s="115" customFormat="1">
      <c r="E184" s="116"/>
      <c r="K184" s="116"/>
      <c r="Q184" s="116"/>
    </row>
    <row r="185" spans="5:17" s="115" customFormat="1">
      <c r="E185" s="116"/>
      <c r="K185" s="116"/>
      <c r="Q185" s="116"/>
    </row>
    <row r="186" spans="5:17" s="115" customFormat="1">
      <c r="E186" s="116"/>
      <c r="K186" s="116"/>
      <c r="Q186" s="116"/>
    </row>
    <row r="187" spans="5:17" s="115" customFormat="1">
      <c r="E187" s="116"/>
      <c r="K187" s="116"/>
      <c r="Q187" s="116"/>
    </row>
    <row r="188" spans="5:17" s="115" customFormat="1">
      <c r="E188" s="116"/>
      <c r="K188" s="116"/>
      <c r="Q188" s="116"/>
    </row>
    <row r="189" spans="5:17" s="115" customFormat="1">
      <c r="E189" s="116"/>
      <c r="K189" s="116"/>
      <c r="Q189" s="116"/>
    </row>
    <row r="190" spans="5:17" s="115" customFormat="1">
      <c r="E190" s="116"/>
      <c r="K190" s="116"/>
      <c r="Q190" s="116"/>
    </row>
    <row r="191" spans="5:17" s="115" customFormat="1">
      <c r="E191" s="116"/>
      <c r="K191" s="116"/>
      <c r="Q191" s="116"/>
    </row>
    <row r="192" spans="5:17" s="115" customFormat="1">
      <c r="E192" s="116"/>
      <c r="K192" s="116"/>
      <c r="Q192" s="116"/>
    </row>
    <row r="193" spans="5:17" s="115" customFormat="1">
      <c r="E193" s="116"/>
      <c r="K193" s="116"/>
      <c r="Q193" s="116"/>
    </row>
    <row r="194" spans="5:17" s="115" customFormat="1">
      <c r="E194" s="116"/>
      <c r="K194" s="116"/>
      <c r="Q194" s="116"/>
    </row>
    <row r="195" spans="5:17" s="115" customFormat="1">
      <c r="E195" s="116"/>
      <c r="K195" s="116"/>
      <c r="Q195" s="116"/>
    </row>
    <row r="196" spans="5:17" s="115" customFormat="1">
      <c r="E196" s="116"/>
      <c r="K196" s="116"/>
      <c r="Q196" s="116"/>
    </row>
    <row r="197" spans="5:17" s="115" customFormat="1">
      <c r="E197" s="116"/>
      <c r="K197" s="116"/>
      <c r="Q197" s="116"/>
    </row>
    <row r="198" spans="5:17" s="115" customFormat="1">
      <c r="E198" s="116"/>
      <c r="K198" s="116"/>
      <c r="Q198" s="116"/>
    </row>
    <row r="199" spans="5:17" s="115" customFormat="1">
      <c r="E199" s="116"/>
      <c r="K199" s="116"/>
      <c r="Q199" s="116"/>
    </row>
    <row r="200" spans="5:17" s="115" customFormat="1">
      <c r="E200" s="116"/>
      <c r="K200" s="116"/>
      <c r="Q200" s="116"/>
    </row>
    <row r="201" spans="5:17" s="115" customFormat="1">
      <c r="E201" s="116"/>
      <c r="K201" s="116"/>
      <c r="Q201" s="116"/>
    </row>
    <row r="202" spans="5:17" s="115" customFormat="1">
      <c r="E202" s="116"/>
      <c r="K202" s="116"/>
      <c r="Q202" s="116"/>
    </row>
    <row r="203" spans="5:17" s="115" customFormat="1">
      <c r="E203" s="116"/>
      <c r="K203" s="116"/>
      <c r="Q203" s="116"/>
    </row>
    <row r="204" spans="5:17" s="115" customFormat="1">
      <c r="E204" s="116"/>
      <c r="K204" s="116"/>
      <c r="Q204" s="116"/>
    </row>
    <row r="205" spans="5:17" s="115" customFormat="1">
      <c r="E205" s="116"/>
      <c r="K205" s="116"/>
      <c r="Q205" s="116"/>
    </row>
    <row r="206" spans="5:17" s="115" customFormat="1">
      <c r="E206" s="116"/>
      <c r="K206" s="116"/>
      <c r="Q206" s="116"/>
    </row>
    <row r="207" spans="5:17" s="115" customFormat="1">
      <c r="E207" s="116"/>
      <c r="K207" s="116"/>
      <c r="Q207" s="116"/>
    </row>
    <row r="208" spans="5:17" s="115" customFormat="1">
      <c r="E208" s="116"/>
      <c r="K208" s="116"/>
      <c r="Q208" s="116"/>
    </row>
    <row r="209" spans="5:17" s="115" customFormat="1">
      <c r="E209" s="116"/>
      <c r="K209" s="116"/>
      <c r="Q209" s="116"/>
    </row>
    <row r="210" spans="5:17" s="115" customFormat="1">
      <c r="E210" s="116"/>
      <c r="K210" s="116"/>
      <c r="Q210" s="116"/>
    </row>
    <row r="211" spans="5:17" s="115" customFormat="1">
      <c r="E211" s="116"/>
      <c r="K211" s="116"/>
      <c r="Q211" s="116"/>
    </row>
    <row r="212" spans="5:17" s="115" customFormat="1">
      <c r="E212" s="116"/>
      <c r="K212" s="116"/>
      <c r="Q212" s="116"/>
    </row>
    <row r="213" spans="5:17" s="115" customFormat="1">
      <c r="E213" s="116"/>
      <c r="K213" s="116"/>
      <c r="Q213" s="116"/>
    </row>
  </sheetData>
  <sheetProtection algorithmName="SHA-512" hashValue="UtuGczhyDPfrz2TzbkzVzPdxwvpJik7spgOzzHbLPVgJNh9DZfGms8gT26qT5e0qtw/y58sKauyk0g0+FP59xQ==" saltValue="GRVaN85zf+tW4HIh+jJ6TA==" spinCount="100000" sheet="1" selectLockedCells="1"/>
  <protectedRanges>
    <protectedRange sqref="E6" name="Range1"/>
    <protectedRange sqref="D8:D9 D23" name="Range2"/>
    <protectedRange sqref="D11:D21" name="Range3"/>
    <protectedRange sqref="D34" name="Range5"/>
  </protectedRanges>
  <mergeCells count="11">
    <mergeCell ref="B37:E39"/>
    <mergeCell ref="C35:D35"/>
    <mergeCell ref="B34:B35"/>
    <mergeCell ref="C4:E4"/>
    <mergeCell ref="C10:E10"/>
    <mergeCell ref="B10:B23"/>
    <mergeCell ref="C24:E24"/>
    <mergeCell ref="B24:B32"/>
    <mergeCell ref="C6:D6"/>
    <mergeCell ref="C7:D7"/>
    <mergeCell ref="B7:B9"/>
  </mergeCells>
  <conditionalFormatting sqref="E7">
    <cfRule type="cellIs" dxfId="15" priority="51" stopIfTrue="1" operator="equal">
      <formula>#VALUE!</formula>
    </cfRule>
  </conditionalFormatting>
  <conditionalFormatting sqref="G11:G35">
    <cfRule type="expression" dxfId="14" priority="22">
      <formula>$B$3="USD"</formula>
    </cfRule>
    <cfRule type="expression" dxfId="13" priority="23">
      <formula>$B$3="EUR"</formula>
    </cfRule>
    <cfRule type="expression" dxfId="12" priority="24">
      <formula>$B$3="GBP"</formula>
    </cfRule>
  </conditionalFormatting>
  <pageMargins left="0.74803149606299213" right="0.74803149606299213" top="0.98425196850393704" bottom="0.98425196850393704" header="0.51181102362204722" footer="0.51181102362204722"/>
  <pageSetup paperSize="9" scale="65" orientation="landscape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" stopIfTrue="1" id="{273C7A9C-8318-A24D-8AD5-9492C611DE02}">
            <xm:f>'Customer Prices'!$B$3="USD"</xm:f>
            <x14:dxf>
              <numFmt numFmtId="171" formatCode="_([$$-409]* #,##0.00_);_([$$-409]* \(#,##0.00\);_([$$-409]* &quot;-&quot;??_);_(@_)"/>
            </x14:dxf>
          </x14:cfRule>
          <x14:cfRule type="expression" priority="20" id="{ED1DF0EE-39F8-8342-BEFE-890ADD263F71}">
            <xm:f>'Customer Prices'!$B$3="EUR"</xm:f>
            <x14:dxf>
              <numFmt numFmtId="170" formatCode="_([$€-2]\ * #,##0.00_);_([$€-2]\ * \(#,##0.00\);_([$€-2]\ * &quot;-&quot;??_);_(@_)"/>
            </x14:dxf>
          </x14:cfRule>
          <x14:cfRule type="expression" priority="21" stopIfTrue="1" id="{28F167E4-0B66-2247-A040-A38417DAFB50}">
            <xm:f>'Customer Prices'!$B$3="GBP"</xm:f>
            <x14:dxf>
              <numFmt numFmtId="164" formatCode="_(&quot;£&quot;* #,##0.00_);_(&quot;£&quot;* \(#,##0.00\);_(&quot;£&quot;* &quot;-&quot;??_);_(@_)"/>
            </x14:dxf>
          </x14:cfRule>
          <xm:sqref>E8:E9</xm:sqref>
        </x14:conditionalFormatting>
        <x14:conditionalFormatting xmlns:xm="http://schemas.microsoft.com/office/excel/2006/main">
          <x14:cfRule type="expression" priority="7" stopIfTrue="1" id="{9829A309-DAC2-8240-A4FB-A712E157E0DA}">
            <xm:f>'Customer Prices'!$B$3="USD"</xm:f>
            <x14:dxf>
              <numFmt numFmtId="171" formatCode="_([$$-409]* #,##0.00_);_([$$-409]* \(#,##0.00\);_([$$-409]* &quot;-&quot;??_);_(@_)"/>
            </x14:dxf>
          </x14:cfRule>
          <x14:cfRule type="expression" priority="8" id="{894C235E-019F-4D47-AA65-48FF803A39A6}">
            <xm:f>'Customer Prices'!$B$3="EUR"</xm:f>
            <x14:dxf>
              <numFmt numFmtId="170" formatCode="_([$€-2]\ * #,##0.00_);_([$€-2]\ * \(#,##0.00\);_([$€-2]\ * &quot;-&quot;??_);_(@_)"/>
            </x14:dxf>
          </x14:cfRule>
          <x14:cfRule type="expression" priority="9" stopIfTrue="1" id="{3700AF69-3C9E-F44A-BC3A-6AF3FD0993F8}">
            <xm:f>'Customer Prices'!$B$3="GBP"</xm:f>
            <x14:dxf>
              <numFmt numFmtId="164" formatCode="_(&quot;£&quot;* #,##0.00_);_(&quot;£&quot;* \(#,##0.00\);_(&quot;£&quot;* &quot;-&quot;??_);_(@_)"/>
            </x14:dxf>
          </x14:cfRule>
          <xm:sqref>E11:E23</xm:sqref>
        </x14:conditionalFormatting>
        <x14:conditionalFormatting xmlns:xm="http://schemas.microsoft.com/office/excel/2006/main">
          <x14:cfRule type="expression" priority="4" stopIfTrue="1" id="{7A6CE74F-3DC2-3E4F-9F73-4B897369A22D}">
            <xm:f>'Customer Prices'!$B$3="USD"</xm:f>
            <x14:dxf>
              <numFmt numFmtId="171" formatCode="_([$$-409]* #,##0.00_);_([$$-409]* \(#,##0.00\);_([$$-409]* &quot;-&quot;??_);_(@_)"/>
            </x14:dxf>
          </x14:cfRule>
          <x14:cfRule type="expression" priority="5" id="{94F717F1-3E76-3B44-A664-89116D9F431D}">
            <xm:f>'Customer Prices'!$B$3="EUR"</xm:f>
            <x14:dxf>
              <numFmt numFmtId="170" formatCode="_([$€-2]\ * #,##0.00_);_([$€-2]\ * \(#,##0.00\);_([$€-2]\ * &quot;-&quot;??_);_(@_)"/>
            </x14:dxf>
          </x14:cfRule>
          <x14:cfRule type="expression" priority="6" stopIfTrue="1" id="{4197B6AA-57B1-C34C-9420-225DA7A315B3}">
            <xm:f>'Customer Prices'!$B$3="GBP"</xm:f>
            <x14:dxf>
              <numFmt numFmtId="164" formatCode="_(&quot;£&quot;* #,##0.00_);_(&quot;£&quot;* \(#,##0.00\);_(&quot;£&quot;* &quot;-&quot;??_);_(@_)"/>
            </x14:dxf>
          </x14:cfRule>
          <xm:sqref>E25:E32</xm:sqref>
        </x14:conditionalFormatting>
        <x14:conditionalFormatting xmlns:xm="http://schemas.microsoft.com/office/excel/2006/main">
          <x14:cfRule type="expression" priority="1" stopIfTrue="1" id="{C47BB23A-05CA-954F-86F6-F22932915863}">
            <xm:f>'Customer Prices'!$B$3="USD"</xm:f>
            <x14:dxf>
              <numFmt numFmtId="171" formatCode="_([$$-409]* #,##0.00_);_([$$-409]* \(#,##0.00\);_([$$-409]* &quot;-&quot;??_);_(@_)"/>
            </x14:dxf>
          </x14:cfRule>
          <x14:cfRule type="expression" priority="2" id="{BD204A97-8B37-F649-8D86-4FC2AFCE648C}">
            <xm:f>'Customer Prices'!$B$3="EUR"</xm:f>
            <x14:dxf>
              <numFmt numFmtId="170" formatCode="_([$€-2]\ * #,##0.00_);_([$€-2]\ * \(#,##0.00\);_([$€-2]\ * &quot;-&quot;??_);_(@_)"/>
            </x14:dxf>
          </x14:cfRule>
          <x14:cfRule type="expression" priority="3" stopIfTrue="1" id="{3797B207-58B3-2842-952A-FB78DB3D3595}">
            <xm:f>'Customer Prices'!$B$3="GBP"</xm:f>
            <x14:dxf>
              <numFmt numFmtId="164" formatCode="_(&quot;£&quot;* #,##0.00_);_(&quot;£&quot;* \(#,##0.00\);_(&quot;£&quot;* &quot;-&quot;??_);_(@_)"/>
            </x14:dxf>
          </x14:cfRule>
          <xm:sqref>E34:E35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4207147-F993-5C44-8255-0AC515245EB6}">
          <x14:formula1>
            <xm:f>Variables!$A$2:$A$10</xm:f>
          </x14:formula1>
          <xm:sqref>D8</xm:sqref>
        </x14:dataValidation>
        <x14:dataValidation type="list" allowBlank="1" showInputMessage="1" showErrorMessage="1" xr:uid="{149B0DD6-EFBE-BA48-ABF5-49EDA2976359}">
          <x14:formula1>
            <xm:f>Variables!$H$3:$H$21</xm:f>
          </x14:formula1>
          <xm:sqref>E6</xm:sqref>
        </x14:dataValidation>
        <x14:dataValidation type="list" allowBlank="1" showInputMessage="1" showErrorMessage="1" xr:uid="{E17608D3-3063-3948-A49D-D32888A7E85E}">
          <x14:formula1>
            <xm:f>Variables!$F$3:$F$4</xm:f>
          </x14:formula1>
          <xm:sqref>D20:D21 D25:D26 D29:D30</xm:sqref>
        </x14:dataValidation>
        <x14:dataValidation type="list" allowBlank="1" showInputMessage="1" showErrorMessage="1" xr:uid="{5AC25312-4878-7949-B9C0-A686C3A5F3D9}">
          <x14:formula1>
            <xm:f>Variables!$D$8:$D$12</xm:f>
          </x14:formula1>
          <xm:sqref>D31:D32</xm:sqref>
        </x14:dataValidation>
        <x14:dataValidation type="list" allowBlank="1" showInputMessage="1" showErrorMessage="1" xr:uid="{0B119229-1774-0848-B1BE-7C0D32E1ABE0}">
          <x14:formula1>
            <xm:f>Variables!$F$8:$F$12</xm:f>
          </x14:formula1>
          <xm:sqref>D27:D28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8BC76-9087-064F-A8FB-E755E4768028}">
  <sheetPr codeName="Sheet4"/>
  <dimension ref="B2:AQ68"/>
  <sheetViews>
    <sheetView zoomScale="140" zoomScaleNormal="140" workbookViewId="0">
      <pane ySplit="4" topLeftCell="A5" activePane="bottomLeft" state="frozen"/>
      <selection pane="bottomLeft" activeCell="K46" sqref="K46"/>
    </sheetView>
  </sheetViews>
  <sheetFormatPr defaultColWidth="10.625" defaultRowHeight="15.75"/>
  <cols>
    <col min="1" max="1" width="6.875" customWidth="1"/>
    <col min="2" max="2" width="7" bestFit="1" customWidth="1"/>
    <col min="3" max="3" width="6.5" style="1" bestFit="1" customWidth="1"/>
    <col min="4" max="4" width="9.125" bestFit="1" customWidth="1"/>
    <col min="5" max="7" width="8.375" bestFit="1" customWidth="1"/>
    <col min="8" max="8" width="9" bestFit="1" customWidth="1"/>
    <col min="9" max="11" width="8" bestFit="1" customWidth="1"/>
    <col min="12" max="12" width="0.625" customWidth="1"/>
    <col min="13" max="13" width="7" bestFit="1" customWidth="1"/>
    <col min="14" max="14" width="6.5" style="1" bestFit="1" customWidth="1"/>
    <col min="15" max="28" width="9.875" customWidth="1"/>
  </cols>
  <sheetData>
    <row r="2" spans="2:34" ht="16.5" thickBot="1">
      <c r="B2" s="244" t="s">
        <v>0</v>
      </c>
      <c r="C2" s="244"/>
      <c r="D2" s="244"/>
      <c r="E2" s="244"/>
      <c r="F2" s="244"/>
      <c r="G2" s="244"/>
      <c r="H2" s="244"/>
      <c r="I2" s="244"/>
      <c r="J2" s="244"/>
      <c r="K2" s="244"/>
      <c r="L2" s="3"/>
      <c r="M2" s="244" t="s">
        <v>2</v>
      </c>
      <c r="N2" s="244"/>
      <c r="O2" s="244"/>
      <c r="P2" s="244"/>
      <c r="Q2" s="244"/>
      <c r="R2" s="244"/>
      <c r="S2" s="244"/>
      <c r="T2" s="244"/>
      <c r="U2" s="244"/>
      <c r="V2" s="244"/>
      <c r="W2" s="244"/>
      <c r="X2" s="244"/>
      <c r="Y2" s="244"/>
      <c r="Z2" s="3"/>
      <c r="AA2" s="3"/>
      <c r="AB2" s="3"/>
    </row>
    <row r="3" spans="2:34" s="2" customFormat="1" ht="14.1" customHeight="1">
      <c r="B3" s="244" t="s">
        <v>149</v>
      </c>
      <c r="C3" s="244"/>
      <c r="D3" s="245" t="s">
        <v>5</v>
      </c>
      <c r="E3" s="245" t="s">
        <v>6</v>
      </c>
      <c r="F3" s="245" t="s">
        <v>7</v>
      </c>
      <c r="G3" s="245" t="s">
        <v>8</v>
      </c>
      <c r="H3" s="245" t="s">
        <v>9</v>
      </c>
      <c r="I3" s="245" t="s">
        <v>10</v>
      </c>
      <c r="J3" s="245" t="s">
        <v>11</v>
      </c>
      <c r="K3" s="245" t="s">
        <v>12</v>
      </c>
      <c r="L3" s="4"/>
      <c r="M3" s="244" t="s">
        <v>149</v>
      </c>
      <c r="N3" s="244"/>
      <c r="O3" s="245" t="s">
        <v>15</v>
      </c>
      <c r="P3" s="245" t="s">
        <v>16</v>
      </c>
      <c r="Q3" s="245" t="s">
        <v>17</v>
      </c>
      <c r="R3" s="245" t="s">
        <v>18</v>
      </c>
      <c r="S3" s="245" t="s">
        <v>19</v>
      </c>
      <c r="T3" s="245" t="s">
        <v>20</v>
      </c>
      <c r="U3" s="245" t="s">
        <v>220</v>
      </c>
      <c r="V3" s="245" t="s">
        <v>22</v>
      </c>
      <c r="W3" s="245" t="s">
        <v>23</v>
      </c>
      <c r="X3" s="245" t="s">
        <v>24</v>
      </c>
      <c r="Y3" s="245" t="s">
        <v>25</v>
      </c>
      <c r="Z3" s="250" t="s">
        <v>224</v>
      </c>
      <c r="AA3" s="248" t="s">
        <v>202</v>
      </c>
      <c r="AB3" s="248" t="s">
        <v>203</v>
      </c>
      <c r="AC3" s="248" t="s">
        <v>204</v>
      </c>
      <c r="AD3" s="248" t="s">
        <v>205</v>
      </c>
      <c r="AE3" s="248" t="s">
        <v>225</v>
      </c>
      <c r="AF3" s="248" t="s">
        <v>226</v>
      </c>
      <c r="AG3" s="248" t="s">
        <v>227</v>
      </c>
      <c r="AH3" s="246" t="s">
        <v>209</v>
      </c>
    </row>
    <row r="4" spans="2:34" s="2" customFormat="1">
      <c r="B4" s="4" t="s">
        <v>3</v>
      </c>
      <c r="C4" s="4" t="s">
        <v>4</v>
      </c>
      <c r="D4" s="245"/>
      <c r="E4" s="245"/>
      <c r="F4" s="245"/>
      <c r="G4" s="245"/>
      <c r="H4" s="245"/>
      <c r="I4" s="245"/>
      <c r="J4" s="245"/>
      <c r="K4" s="245"/>
      <c r="L4" s="4"/>
      <c r="M4" s="4" t="s">
        <v>3</v>
      </c>
      <c r="N4" s="4" t="s">
        <v>4</v>
      </c>
      <c r="O4" s="245"/>
      <c r="P4" s="245"/>
      <c r="Q4" s="245"/>
      <c r="R4" s="245"/>
      <c r="S4" s="245"/>
      <c r="T4" s="245"/>
      <c r="U4" s="245"/>
      <c r="V4" s="245"/>
      <c r="W4" s="245"/>
      <c r="X4" s="245"/>
      <c r="Y4" s="245"/>
      <c r="Z4" s="251"/>
      <c r="AA4" s="249"/>
      <c r="AB4" s="249"/>
      <c r="AC4" s="249"/>
      <c r="AD4" s="249"/>
      <c r="AE4" s="249"/>
      <c r="AF4" s="249"/>
      <c r="AG4" s="249"/>
      <c r="AH4" s="247"/>
    </row>
    <row r="5" spans="2:34">
      <c r="B5" s="5" t="s">
        <v>26</v>
      </c>
      <c r="C5" s="6" t="s">
        <v>27</v>
      </c>
      <c r="D5" s="8"/>
      <c r="E5" s="8"/>
      <c r="F5" s="8"/>
      <c r="G5" s="8"/>
      <c r="H5" s="8"/>
      <c r="I5" s="8"/>
      <c r="J5" s="8"/>
      <c r="K5" s="8"/>
      <c r="L5" s="7"/>
      <c r="M5" s="6" t="s">
        <v>26</v>
      </c>
      <c r="N5" s="5" t="s">
        <v>27</v>
      </c>
      <c r="T5" s="8"/>
      <c r="U5" s="8"/>
      <c r="V5" s="8"/>
      <c r="W5" s="8"/>
      <c r="X5" s="8"/>
      <c r="Y5" s="8"/>
      <c r="Z5" s="125"/>
      <c r="AA5" s="126"/>
      <c r="AB5" s="126"/>
      <c r="AC5" s="126"/>
      <c r="AD5" s="127"/>
      <c r="AE5" s="127"/>
      <c r="AF5" s="127"/>
      <c r="AG5" s="127"/>
      <c r="AH5" s="128"/>
    </row>
    <row r="6" spans="2:34">
      <c r="B6" s="5" t="s">
        <v>28</v>
      </c>
      <c r="C6" s="6" t="s">
        <v>27</v>
      </c>
      <c r="D6" s="8">
        <v>3.7000000000000002E-3</v>
      </c>
      <c r="E6" s="8">
        <v>3.7000000000000002E-3</v>
      </c>
      <c r="F6" s="8">
        <v>4.4999999999999997E-3</v>
      </c>
      <c r="G6" s="8">
        <v>4.4999999999999997E-3</v>
      </c>
      <c r="H6" s="8">
        <v>4.4999999999999997E-3</v>
      </c>
      <c r="I6" s="8"/>
      <c r="J6" s="8">
        <v>4.5999999999999999E-3</v>
      </c>
      <c r="K6" s="8">
        <v>4.4999999999999997E-3</v>
      </c>
      <c r="L6" s="7"/>
      <c r="M6" s="6" t="s">
        <v>28</v>
      </c>
      <c r="N6" s="5" t="s">
        <v>27</v>
      </c>
      <c r="T6" s="8"/>
      <c r="U6" s="8"/>
      <c r="V6" s="8"/>
      <c r="W6" s="8"/>
      <c r="X6" s="8"/>
      <c r="Y6" s="8"/>
      <c r="Z6" s="125"/>
      <c r="AA6" s="126"/>
      <c r="AB6" s="126"/>
      <c r="AC6" s="126"/>
      <c r="AD6" s="127"/>
      <c r="AE6" s="127"/>
      <c r="AF6" s="127"/>
      <c r="AG6" s="127"/>
      <c r="AH6" s="128"/>
    </row>
    <row r="7" spans="2:34">
      <c r="B7" s="5" t="s">
        <v>29</v>
      </c>
      <c r="C7" s="6" t="s">
        <v>30</v>
      </c>
      <c r="D7" s="8">
        <v>5.3E-3</v>
      </c>
      <c r="E7" s="8">
        <v>5.3E-3</v>
      </c>
      <c r="F7" s="8">
        <v>6.7999999999999996E-3</v>
      </c>
      <c r="G7" s="8">
        <v>6.7999999999999996E-3</v>
      </c>
      <c r="H7" s="8">
        <v>6.7999999999999996E-3</v>
      </c>
      <c r="I7" s="8">
        <v>6.7999999999999996E-3</v>
      </c>
      <c r="J7" s="8">
        <v>7.1999999999999998E-3</v>
      </c>
      <c r="K7" s="8">
        <v>6.7000000000000002E-3</v>
      </c>
      <c r="L7" s="7"/>
      <c r="M7" s="6" t="s">
        <v>29</v>
      </c>
      <c r="N7" s="5" t="s">
        <v>30</v>
      </c>
      <c r="O7" s="8">
        <v>1.04E-2</v>
      </c>
      <c r="P7" s="8">
        <f>O7</f>
        <v>1.04E-2</v>
      </c>
      <c r="Q7" s="8">
        <v>1.04E-2</v>
      </c>
      <c r="R7" s="8">
        <f>(R8/O8)*O7</f>
        <v>1.2984615384615386E-2</v>
      </c>
      <c r="S7" s="8">
        <f t="shared" ref="S7:S8" si="0">(AB7/2)+(R7/2)</f>
        <v>1.1692307692307693E-2</v>
      </c>
      <c r="T7" s="8">
        <f t="shared" ref="T7:T8" si="1">(O7/2)+(R7/2)</f>
        <v>1.1692307692307693E-2</v>
      </c>
      <c r="U7" s="8">
        <f t="shared" ref="U7:U8" si="2">(AB7/2)+(AC7/2)</f>
        <v>8.9142857142857149E-3</v>
      </c>
      <c r="V7" s="8">
        <f t="shared" ref="V7:V8" si="3">(O7/2)+(AF7*2)</f>
        <v>2.69048E-2</v>
      </c>
      <c r="W7" s="8">
        <f t="shared" ref="W7:W8" si="4">T7</f>
        <v>1.1692307692307693E-2</v>
      </c>
      <c r="X7" s="8">
        <f t="shared" ref="X7:X8" si="5">U7</f>
        <v>8.9142857142857149E-3</v>
      </c>
      <c r="Y7" s="8">
        <f t="shared" ref="Y7:Y8" si="6">(AE7*0.75)+(O7*0.25)</f>
        <v>1.07393E-2</v>
      </c>
      <c r="Z7" s="125">
        <f>O7</f>
        <v>1.04E-2</v>
      </c>
      <c r="AA7" s="126">
        <f>R7</f>
        <v>1.2984615384615386E-2</v>
      </c>
      <c r="AB7" s="126">
        <f t="shared" ref="AB7:AB8" si="7">O7</f>
        <v>1.04E-2</v>
      </c>
      <c r="AC7" s="126">
        <f t="shared" ref="AC7:AC8" si="8">O7/1.4</f>
        <v>7.4285714285714285E-3</v>
      </c>
      <c r="AD7" s="126">
        <f t="shared" ref="AD7:AD8" si="9">O7*1.025</f>
        <v>1.0659999999999999E-2</v>
      </c>
      <c r="AE7" s="126">
        <f t="shared" ref="AE7:AE8" si="10">O7*1.0435</f>
        <v>1.08524E-2</v>
      </c>
      <c r="AF7" s="126">
        <f t="shared" ref="AF7:AF16" si="11">P7*1.0435</f>
        <v>1.08524E-2</v>
      </c>
      <c r="AG7" s="126">
        <f t="shared" ref="AG7:AG16" si="12">Q7*1.0435</f>
        <v>1.08524E-2</v>
      </c>
      <c r="AH7" s="129">
        <f t="shared" ref="AH7:AH16" si="13">R7*1.0435</f>
        <v>1.3549446153846156E-2</v>
      </c>
    </row>
    <row r="8" spans="2:34">
      <c r="B8" s="5" t="s">
        <v>31</v>
      </c>
      <c r="C8" s="6" t="s">
        <v>32</v>
      </c>
      <c r="D8" s="8">
        <v>7.4000000000000003E-3</v>
      </c>
      <c r="E8" s="8">
        <v>7.4000000000000003E-3</v>
      </c>
      <c r="L8" s="7"/>
      <c r="M8" s="6" t="s">
        <v>31</v>
      </c>
      <c r="N8" s="5" t="s">
        <v>32</v>
      </c>
      <c r="O8" s="8">
        <v>1.49E-2</v>
      </c>
      <c r="P8" s="8">
        <f t="shared" ref="P8:P26" si="14">O8</f>
        <v>1.49E-2</v>
      </c>
      <c r="Q8" s="8">
        <v>1.49E-2</v>
      </c>
      <c r="R8" s="8">
        <f>(R9/O9)*O8</f>
        <v>1.8602958579881659E-2</v>
      </c>
      <c r="S8" s="8">
        <f t="shared" si="0"/>
        <v>1.6751479289940828E-2</v>
      </c>
      <c r="T8" s="8">
        <f t="shared" si="1"/>
        <v>1.6751479289940828E-2</v>
      </c>
      <c r="U8" s="8">
        <f t="shared" si="2"/>
        <v>1.2771428571428572E-2</v>
      </c>
      <c r="V8" s="8">
        <f t="shared" si="3"/>
        <v>3.8546300000000006E-2</v>
      </c>
      <c r="W8" s="8">
        <f t="shared" si="4"/>
        <v>1.6751479289940828E-2</v>
      </c>
      <c r="X8" s="8">
        <f t="shared" si="5"/>
        <v>1.2771428571428572E-2</v>
      </c>
      <c r="Y8" s="8">
        <f t="shared" si="6"/>
        <v>1.53861125E-2</v>
      </c>
      <c r="Z8" s="125">
        <f t="shared" ref="Z8:Z26" si="15">O8</f>
        <v>1.49E-2</v>
      </c>
      <c r="AA8" s="126">
        <f t="shared" ref="AA8:AA26" si="16">R8</f>
        <v>1.8602958579881659E-2</v>
      </c>
      <c r="AB8" s="126">
        <f t="shared" si="7"/>
        <v>1.49E-2</v>
      </c>
      <c r="AC8" s="126">
        <f t="shared" si="8"/>
        <v>1.0642857142857143E-2</v>
      </c>
      <c r="AD8" s="126">
        <f t="shared" si="9"/>
        <v>1.5272499999999998E-2</v>
      </c>
      <c r="AE8" s="126">
        <f t="shared" si="10"/>
        <v>1.5548150000000002E-2</v>
      </c>
      <c r="AF8" s="126">
        <f t="shared" si="11"/>
        <v>1.5548150000000002E-2</v>
      </c>
      <c r="AG8" s="126">
        <f t="shared" si="12"/>
        <v>1.5548150000000002E-2</v>
      </c>
      <c r="AH8" s="129">
        <f t="shared" si="13"/>
        <v>1.9412187278106514E-2</v>
      </c>
    </row>
    <row r="9" spans="2:34">
      <c r="B9" s="5" t="s">
        <v>30</v>
      </c>
      <c r="C9" s="6" t="s">
        <v>33</v>
      </c>
      <c r="D9" s="8">
        <v>9.8000000000000014E-3</v>
      </c>
      <c r="E9" s="8">
        <v>9.8000000000000014E-3</v>
      </c>
      <c r="F9" s="8">
        <v>1.11E-2</v>
      </c>
      <c r="G9" s="8">
        <v>1.11E-2</v>
      </c>
      <c r="H9" s="8">
        <v>1.11E-2</v>
      </c>
      <c r="I9" s="8">
        <v>1.37E-2</v>
      </c>
      <c r="J9" s="8">
        <v>1.44E-2</v>
      </c>
      <c r="K9" s="8">
        <v>1.34E-2</v>
      </c>
      <c r="L9" s="7"/>
      <c r="M9" s="6" t="s">
        <v>30</v>
      </c>
      <c r="N9" s="5" t="s">
        <v>33</v>
      </c>
      <c r="O9" s="8">
        <v>1.6899999999999998E-2</v>
      </c>
      <c r="P9" s="8">
        <f t="shared" si="14"/>
        <v>1.6899999999999998E-2</v>
      </c>
      <c r="Q9" s="8">
        <v>1.6899999999999998E-2</v>
      </c>
      <c r="R9" s="8">
        <v>2.1100000000000001E-2</v>
      </c>
      <c r="S9" s="8">
        <f t="shared" ref="S9:S16" si="17">(AB9/2)+(R9/2)</f>
        <v>1.9E-2</v>
      </c>
      <c r="T9" s="8">
        <f>(O9/2)+(R9/2)</f>
        <v>1.9E-2</v>
      </c>
      <c r="U9" s="8">
        <f>(AB9/2)+(AC9/2)</f>
        <v>1.4485714285714286E-2</v>
      </c>
      <c r="V9" s="8">
        <f>(O9/2)+(AF9*2)</f>
        <v>4.3720299999999997E-2</v>
      </c>
      <c r="W9" s="8">
        <f>T9</f>
        <v>1.9E-2</v>
      </c>
      <c r="X9" s="8">
        <f>U9</f>
        <v>1.4485714285714286E-2</v>
      </c>
      <c r="Y9" s="8">
        <f t="shared" ref="Y9:Y16" si="18">(AE9*0.75)+(O9*0.25)</f>
        <v>1.7451362499999998E-2</v>
      </c>
      <c r="Z9" s="125">
        <f t="shared" si="15"/>
        <v>1.6899999999999998E-2</v>
      </c>
      <c r="AA9" s="126">
        <f t="shared" si="16"/>
        <v>2.1100000000000001E-2</v>
      </c>
      <c r="AB9" s="126">
        <f t="shared" ref="AB9:AB16" si="19">O9</f>
        <v>1.6899999999999998E-2</v>
      </c>
      <c r="AC9" s="126">
        <f t="shared" ref="AC9:AC16" si="20">O9/1.4</f>
        <v>1.2071428571428571E-2</v>
      </c>
      <c r="AD9" s="126">
        <f t="shared" ref="AD9:AD16" si="21">O9*1.025</f>
        <v>1.7322499999999998E-2</v>
      </c>
      <c r="AE9" s="126">
        <f t="shared" ref="AE9:AE16" si="22">O9*1.0435</f>
        <v>1.7635149999999999E-2</v>
      </c>
      <c r="AF9" s="126">
        <f t="shared" si="11"/>
        <v>1.7635149999999999E-2</v>
      </c>
      <c r="AG9" s="126">
        <f t="shared" si="12"/>
        <v>1.7635149999999999E-2</v>
      </c>
      <c r="AH9" s="129">
        <f t="shared" si="13"/>
        <v>2.2017850000000002E-2</v>
      </c>
    </row>
    <row r="10" spans="2:34">
      <c r="B10" s="5" t="s">
        <v>32</v>
      </c>
      <c r="C10" s="6" t="s">
        <v>34</v>
      </c>
      <c r="D10" s="8">
        <v>1.2800000000000001E-2</v>
      </c>
      <c r="E10" s="8">
        <v>1.2800000000000001E-2</v>
      </c>
      <c r="F10" s="8">
        <v>1.5599999999999999E-2</v>
      </c>
      <c r="G10" s="8">
        <v>1.5599999999999999E-2</v>
      </c>
      <c r="H10" s="8">
        <v>1.5599999999999999E-2</v>
      </c>
      <c r="I10" s="8">
        <v>1.8200000000000001E-2</v>
      </c>
      <c r="J10" s="8">
        <v>1.8699999999999998E-2</v>
      </c>
      <c r="K10" s="8">
        <v>1.7899999999999999E-2</v>
      </c>
      <c r="L10" s="7"/>
      <c r="M10" s="6" t="s">
        <v>32</v>
      </c>
      <c r="N10" s="5" t="s">
        <v>34</v>
      </c>
      <c r="O10" s="8">
        <v>1.9599999999999999E-2</v>
      </c>
      <c r="P10" s="8">
        <f t="shared" si="14"/>
        <v>1.9599999999999999E-2</v>
      </c>
      <c r="Q10" s="8">
        <v>1.9599999999999999E-2</v>
      </c>
      <c r="R10" s="8">
        <v>2.53E-2</v>
      </c>
      <c r="S10" s="8">
        <f t="shared" si="17"/>
        <v>2.2449999999999998E-2</v>
      </c>
      <c r="T10" s="8">
        <f t="shared" ref="T10:T20" si="23">(O10/2)+(R10/2)</f>
        <v>2.2449999999999998E-2</v>
      </c>
      <c r="U10" s="8">
        <f t="shared" ref="U10:U16" si="24">(O10/2)+(AC10/2)</f>
        <v>1.6799999999999999E-2</v>
      </c>
      <c r="V10" s="8">
        <f t="shared" ref="V10:V20" si="25">T10</f>
        <v>2.2449999999999998E-2</v>
      </c>
      <c r="W10" s="8">
        <f t="shared" ref="W10:W20" si="26">T10</f>
        <v>2.2449999999999998E-2</v>
      </c>
      <c r="X10" s="8">
        <f t="shared" ref="X10:X20" si="27">U10</f>
        <v>1.6799999999999999E-2</v>
      </c>
      <c r="Y10" s="8">
        <f t="shared" si="18"/>
        <v>2.0239449999999999E-2</v>
      </c>
      <c r="Z10" s="125">
        <f t="shared" si="15"/>
        <v>1.9599999999999999E-2</v>
      </c>
      <c r="AA10" s="126">
        <f t="shared" si="16"/>
        <v>2.53E-2</v>
      </c>
      <c r="AB10" s="126">
        <f t="shared" si="19"/>
        <v>1.9599999999999999E-2</v>
      </c>
      <c r="AC10" s="126">
        <f t="shared" si="20"/>
        <v>1.4E-2</v>
      </c>
      <c r="AD10" s="126">
        <f t="shared" si="21"/>
        <v>2.0089999999999997E-2</v>
      </c>
      <c r="AE10" s="126">
        <f t="shared" si="22"/>
        <v>2.0452600000000001E-2</v>
      </c>
      <c r="AF10" s="126">
        <f t="shared" si="11"/>
        <v>2.0452600000000001E-2</v>
      </c>
      <c r="AG10" s="126">
        <f t="shared" si="12"/>
        <v>2.0452600000000001E-2</v>
      </c>
      <c r="AH10" s="129">
        <f t="shared" si="13"/>
        <v>2.6400550000000002E-2</v>
      </c>
    </row>
    <row r="11" spans="2:34">
      <c r="B11" s="5" t="s">
        <v>33</v>
      </c>
      <c r="C11" s="6" t="s">
        <v>35</v>
      </c>
      <c r="D11" s="8">
        <v>1.77E-2</v>
      </c>
      <c r="E11" s="8">
        <v>1.77E-2</v>
      </c>
      <c r="F11" s="8">
        <v>2.23E-2</v>
      </c>
      <c r="G11" s="8">
        <v>2.23E-2</v>
      </c>
      <c r="H11" s="8">
        <v>2.23E-2</v>
      </c>
      <c r="I11" s="8">
        <v>1.6799999999999999E-2</v>
      </c>
      <c r="J11" s="8">
        <v>2.5899999999999999E-2</v>
      </c>
      <c r="K11" s="8">
        <v>2.24E-2</v>
      </c>
      <c r="L11" s="7"/>
      <c r="M11" s="6" t="s">
        <v>33</v>
      </c>
      <c r="N11" s="5" t="s">
        <v>35</v>
      </c>
      <c r="O11" s="8">
        <v>3.1699999999999999E-2</v>
      </c>
      <c r="P11" s="8">
        <f t="shared" si="14"/>
        <v>3.1699999999999999E-2</v>
      </c>
      <c r="Q11" s="8">
        <v>3.1699999999999999E-2</v>
      </c>
      <c r="R11" s="8">
        <v>3.3799999999999997E-2</v>
      </c>
      <c r="S11" s="8">
        <f t="shared" si="17"/>
        <v>3.2750000000000001E-2</v>
      </c>
      <c r="T11" s="8">
        <f t="shared" si="23"/>
        <v>3.2750000000000001E-2</v>
      </c>
      <c r="U11" s="8">
        <f t="shared" si="24"/>
        <v>2.7171428571428572E-2</v>
      </c>
      <c r="V11" s="8">
        <f t="shared" si="25"/>
        <v>3.2750000000000001E-2</v>
      </c>
      <c r="W11" s="8">
        <f t="shared" si="26"/>
        <v>3.2750000000000001E-2</v>
      </c>
      <c r="X11" s="8">
        <f t="shared" si="27"/>
        <v>2.7171428571428572E-2</v>
      </c>
      <c r="Y11" s="8">
        <f t="shared" si="18"/>
        <v>3.2734212500000005E-2</v>
      </c>
      <c r="Z11" s="125">
        <f t="shared" si="15"/>
        <v>3.1699999999999999E-2</v>
      </c>
      <c r="AA11" s="126">
        <f t="shared" si="16"/>
        <v>3.3799999999999997E-2</v>
      </c>
      <c r="AB11" s="126">
        <f t="shared" si="19"/>
        <v>3.1699999999999999E-2</v>
      </c>
      <c r="AC11" s="126">
        <f t="shared" si="20"/>
        <v>2.2642857142857145E-2</v>
      </c>
      <c r="AD11" s="126">
        <f t="shared" si="21"/>
        <v>3.2492499999999994E-2</v>
      </c>
      <c r="AE11" s="126">
        <f t="shared" si="22"/>
        <v>3.3078950000000003E-2</v>
      </c>
      <c r="AF11" s="126">
        <f t="shared" si="11"/>
        <v>3.3078950000000003E-2</v>
      </c>
      <c r="AG11" s="126">
        <f t="shared" si="12"/>
        <v>3.3078950000000003E-2</v>
      </c>
      <c r="AH11" s="129">
        <f t="shared" si="13"/>
        <v>3.5270299999999997E-2</v>
      </c>
    </row>
    <row r="12" spans="2:34">
      <c r="B12" s="5" t="s">
        <v>36</v>
      </c>
      <c r="C12" s="6" t="s">
        <v>37</v>
      </c>
      <c r="D12" s="8">
        <v>2.1999999999999999E-2</v>
      </c>
      <c r="E12" s="8">
        <v>2.1999999999999999E-2</v>
      </c>
      <c r="I12" s="8"/>
      <c r="J12" s="8"/>
      <c r="K12" s="8"/>
      <c r="L12" s="7"/>
      <c r="M12" s="6" t="s">
        <v>36</v>
      </c>
      <c r="N12" s="5" t="s">
        <v>37</v>
      </c>
      <c r="O12" s="8">
        <v>4.2099999999999999E-2</v>
      </c>
      <c r="P12" s="8">
        <f t="shared" si="14"/>
        <v>4.2099999999999999E-2</v>
      </c>
      <c r="Q12" s="8">
        <v>4.2099999999999999E-2</v>
      </c>
      <c r="R12" s="8">
        <v>5.0700000000000002E-2</v>
      </c>
      <c r="S12" s="8">
        <f t="shared" si="17"/>
        <v>4.6399999999999997E-2</v>
      </c>
      <c r="T12" s="8">
        <f t="shared" si="23"/>
        <v>4.6399999999999997E-2</v>
      </c>
      <c r="U12" s="8">
        <f t="shared" si="24"/>
        <v>3.6085714285714283E-2</v>
      </c>
      <c r="V12" s="8">
        <f t="shared" si="25"/>
        <v>4.6399999999999997E-2</v>
      </c>
      <c r="W12" s="8">
        <f t="shared" si="26"/>
        <v>4.6399999999999997E-2</v>
      </c>
      <c r="X12" s="8">
        <f t="shared" si="27"/>
        <v>3.6085714285714283E-2</v>
      </c>
      <c r="Y12" s="8">
        <f t="shared" si="18"/>
        <v>4.3473512499999999E-2</v>
      </c>
      <c r="Z12" s="125">
        <f t="shared" si="15"/>
        <v>4.2099999999999999E-2</v>
      </c>
      <c r="AA12" s="126">
        <f t="shared" si="16"/>
        <v>5.0700000000000002E-2</v>
      </c>
      <c r="AB12" s="126">
        <f t="shared" si="19"/>
        <v>4.2099999999999999E-2</v>
      </c>
      <c r="AC12" s="126">
        <f t="shared" si="20"/>
        <v>3.0071428571428572E-2</v>
      </c>
      <c r="AD12" s="126">
        <f t="shared" si="21"/>
        <v>4.3152499999999996E-2</v>
      </c>
      <c r="AE12" s="126">
        <f t="shared" si="22"/>
        <v>4.3931350000000001E-2</v>
      </c>
      <c r="AF12" s="126">
        <f t="shared" si="11"/>
        <v>4.3931350000000001E-2</v>
      </c>
      <c r="AG12" s="126">
        <f t="shared" si="12"/>
        <v>4.3931350000000001E-2</v>
      </c>
      <c r="AH12" s="129">
        <f t="shared" si="13"/>
        <v>5.2905450000000007E-2</v>
      </c>
    </row>
    <row r="13" spans="2:34">
      <c r="B13" s="5" t="s">
        <v>34</v>
      </c>
      <c r="C13" s="6" t="s">
        <v>38</v>
      </c>
      <c r="D13" s="8">
        <v>2.8000000000000001E-2</v>
      </c>
      <c r="E13" s="8">
        <v>2.8000000000000001E-2</v>
      </c>
      <c r="F13" s="8">
        <v>3.56E-2</v>
      </c>
      <c r="G13" s="8">
        <v>3.56E-2</v>
      </c>
      <c r="H13" s="8">
        <v>3.56E-2</v>
      </c>
      <c r="I13" s="8">
        <v>2.9600000000000001E-2</v>
      </c>
      <c r="J13" s="8">
        <v>3.8899999999999997E-2</v>
      </c>
      <c r="K13" s="8">
        <v>3.3600000000000005E-2</v>
      </c>
      <c r="L13" s="7"/>
      <c r="M13" s="6" t="s">
        <v>34</v>
      </c>
      <c r="N13" s="5" t="s">
        <v>38</v>
      </c>
      <c r="O13" s="8">
        <v>4.2099999999999999E-2</v>
      </c>
      <c r="P13" s="8">
        <f t="shared" si="14"/>
        <v>4.2099999999999999E-2</v>
      </c>
      <c r="Q13" s="8">
        <v>4.2099999999999999E-2</v>
      </c>
      <c r="R13" s="8">
        <v>5.0700000000000002E-2</v>
      </c>
      <c r="S13" s="8">
        <f t="shared" si="17"/>
        <v>4.6399999999999997E-2</v>
      </c>
      <c r="T13" s="8">
        <f t="shared" si="23"/>
        <v>4.6399999999999997E-2</v>
      </c>
      <c r="U13" s="8">
        <f t="shared" si="24"/>
        <v>3.6085714285714283E-2</v>
      </c>
      <c r="V13" s="8">
        <f t="shared" si="25"/>
        <v>4.6399999999999997E-2</v>
      </c>
      <c r="W13" s="8">
        <f t="shared" si="26"/>
        <v>4.6399999999999997E-2</v>
      </c>
      <c r="X13" s="8">
        <f t="shared" si="27"/>
        <v>3.6085714285714283E-2</v>
      </c>
      <c r="Y13" s="8">
        <f t="shared" si="18"/>
        <v>4.3473512499999999E-2</v>
      </c>
      <c r="Z13" s="125">
        <f t="shared" si="15"/>
        <v>4.2099999999999999E-2</v>
      </c>
      <c r="AA13" s="126">
        <f t="shared" si="16"/>
        <v>5.0700000000000002E-2</v>
      </c>
      <c r="AB13" s="126">
        <f t="shared" si="19"/>
        <v>4.2099999999999999E-2</v>
      </c>
      <c r="AC13" s="126">
        <f t="shared" si="20"/>
        <v>3.0071428571428572E-2</v>
      </c>
      <c r="AD13" s="126">
        <f t="shared" si="21"/>
        <v>4.3152499999999996E-2</v>
      </c>
      <c r="AE13" s="126">
        <f t="shared" si="22"/>
        <v>4.3931350000000001E-2</v>
      </c>
      <c r="AF13" s="126">
        <f t="shared" si="11"/>
        <v>4.3931350000000001E-2</v>
      </c>
      <c r="AG13" s="126">
        <f t="shared" si="12"/>
        <v>4.3931350000000001E-2</v>
      </c>
      <c r="AH13" s="129">
        <f t="shared" si="13"/>
        <v>5.2905450000000007E-2</v>
      </c>
    </row>
    <row r="14" spans="2:34">
      <c r="B14" s="5" t="s">
        <v>35</v>
      </c>
      <c r="C14" s="6" t="s">
        <v>39</v>
      </c>
      <c r="D14" s="8">
        <v>3.3000000000000002E-2</v>
      </c>
      <c r="E14" s="8">
        <v>3.3000000000000002E-2</v>
      </c>
      <c r="F14" s="8">
        <v>4.4499999999999998E-2</v>
      </c>
      <c r="G14" s="8">
        <v>4.4499999999999998E-2</v>
      </c>
      <c r="H14" s="8">
        <v>4.4499999999999998E-2</v>
      </c>
      <c r="I14" s="8">
        <v>3.8800000000000001E-2</v>
      </c>
      <c r="J14" s="8"/>
      <c r="K14" s="8"/>
      <c r="L14" s="7"/>
      <c r="M14" s="6" t="s">
        <v>35</v>
      </c>
      <c r="N14" s="5" t="s">
        <v>39</v>
      </c>
      <c r="O14" s="8">
        <v>5.0799999999999998E-2</v>
      </c>
      <c r="P14" s="8">
        <f t="shared" si="14"/>
        <v>5.0799999999999998E-2</v>
      </c>
      <c r="Q14" s="8">
        <v>5.0799999999999998E-2</v>
      </c>
      <c r="R14" s="8">
        <v>5.91E-2</v>
      </c>
      <c r="S14" s="8">
        <f t="shared" si="17"/>
        <v>5.4949999999999999E-2</v>
      </c>
      <c r="T14" s="8">
        <f t="shared" si="23"/>
        <v>5.4949999999999999E-2</v>
      </c>
      <c r="U14" s="8">
        <f t="shared" si="24"/>
        <v>4.3542857142857147E-2</v>
      </c>
      <c r="V14" s="8">
        <f t="shared" si="25"/>
        <v>5.4949999999999999E-2</v>
      </c>
      <c r="W14" s="8">
        <f t="shared" si="26"/>
        <v>5.4949999999999999E-2</v>
      </c>
      <c r="X14" s="8">
        <f t="shared" si="27"/>
        <v>4.3542857142857147E-2</v>
      </c>
      <c r="Y14" s="8">
        <f t="shared" si="18"/>
        <v>5.245735E-2</v>
      </c>
      <c r="Z14" s="125">
        <f t="shared" si="15"/>
        <v>5.0799999999999998E-2</v>
      </c>
      <c r="AA14" s="126">
        <f t="shared" si="16"/>
        <v>5.91E-2</v>
      </c>
      <c r="AB14" s="126">
        <f t="shared" si="19"/>
        <v>5.0799999999999998E-2</v>
      </c>
      <c r="AC14" s="126">
        <f t="shared" si="20"/>
        <v>3.6285714285714289E-2</v>
      </c>
      <c r="AD14" s="126">
        <f t="shared" si="21"/>
        <v>5.2069999999999991E-2</v>
      </c>
      <c r="AE14" s="126">
        <f t="shared" si="22"/>
        <v>5.3009800000000003E-2</v>
      </c>
      <c r="AF14" s="126">
        <f t="shared" si="11"/>
        <v>5.3009800000000003E-2</v>
      </c>
      <c r="AG14" s="126">
        <f t="shared" si="12"/>
        <v>5.3009800000000003E-2</v>
      </c>
      <c r="AH14" s="129">
        <f t="shared" si="13"/>
        <v>6.1670850000000006E-2</v>
      </c>
    </row>
    <row r="15" spans="2:34">
      <c r="B15" s="5" t="s">
        <v>37</v>
      </c>
      <c r="C15" s="6" t="s">
        <v>41</v>
      </c>
      <c r="D15" s="8">
        <v>3.7600000000000001E-2</v>
      </c>
      <c r="E15" s="8">
        <v>3.7600000000000001E-2</v>
      </c>
      <c r="F15" s="8">
        <v>5.3999999999999999E-2</v>
      </c>
      <c r="G15" s="8">
        <v>5.3999999999999999E-2</v>
      </c>
      <c r="H15" s="8">
        <v>5.3999999999999999E-2</v>
      </c>
      <c r="I15" s="8">
        <v>5.0099999999999999E-2</v>
      </c>
      <c r="J15" s="8">
        <v>6.1600000000000002E-2</v>
      </c>
      <c r="K15" s="8">
        <v>5.3800000000000001E-2</v>
      </c>
      <c r="L15" s="7"/>
      <c r="M15" s="6" t="s">
        <v>37</v>
      </c>
      <c r="N15" s="5" t="s">
        <v>41</v>
      </c>
      <c r="O15" s="8">
        <v>7.1800000000000003E-2</v>
      </c>
      <c r="P15" s="8">
        <f t="shared" si="14"/>
        <v>7.1800000000000003E-2</v>
      </c>
      <c r="Q15" s="8">
        <v>7.1800000000000003E-2</v>
      </c>
      <c r="R15" s="8">
        <v>7.5999999999999998E-2</v>
      </c>
      <c r="S15" s="8">
        <f t="shared" si="17"/>
        <v>7.3899999999999993E-2</v>
      </c>
      <c r="T15" s="8">
        <f t="shared" si="23"/>
        <v>7.3899999999999993E-2</v>
      </c>
      <c r="U15" s="8">
        <f t="shared" si="24"/>
        <v>6.1542857142857149E-2</v>
      </c>
      <c r="V15" s="8">
        <f t="shared" si="25"/>
        <v>7.3899999999999993E-2</v>
      </c>
      <c r="W15" s="8">
        <f t="shared" si="26"/>
        <v>7.3899999999999993E-2</v>
      </c>
      <c r="X15" s="8">
        <f t="shared" si="27"/>
        <v>6.1542857142857149E-2</v>
      </c>
      <c r="Y15" s="8">
        <f t="shared" si="18"/>
        <v>7.4142475000000013E-2</v>
      </c>
      <c r="Z15" s="125">
        <f t="shared" si="15"/>
        <v>7.1800000000000003E-2</v>
      </c>
      <c r="AA15" s="126">
        <f t="shared" si="16"/>
        <v>7.5999999999999998E-2</v>
      </c>
      <c r="AB15" s="126">
        <f t="shared" si="19"/>
        <v>7.1800000000000003E-2</v>
      </c>
      <c r="AC15" s="126">
        <f t="shared" si="20"/>
        <v>5.1285714285714289E-2</v>
      </c>
      <c r="AD15" s="126">
        <f t="shared" si="21"/>
        <v>7.3594999999999994E-2</v>
      </c>
      <c r="AE15" s="126">
        <f t="shared" si="22"/>
        <v>7.4923300000000012E-2</v>
      </c>
      <c r="AF15" s="126">
        <f t="shared" si="11"/>
        <v>7.4923300000000012E-2</v>
      </c>
      <c r="AG15" s="126">
        <f t="shared" si="12"/>
        <v>7.4923300000000012E-2</v>
      </c>
      <c r="AH15" s="129">
        <f t="shared" si="13"/>
        <v>7.9306000000000001E-2</v>
      </c>
    </row>
    <row r="16" spans="2:34">
      <c r="B16" s="5" t="s">
        <v>38</v>
      </c>
      <c r="C16" s="6" t="s">
        <v>42</v>
      </c>
      <c r="D16" s="8">
        <v>4.8299999999999996E-2</v>
      </c>
      <c r="E16" s="8">
        <v>4.8299999999999996E-2</v>
      </c>
      <c r="F16" s="8">
        <v>6.3E-2</v>
      </c>
      <c r="G16" s="8">
        <v>6.3E-2</v>
      </c>
      <c r="H16" s="8">
        <v>6.3E-2</v>
      </c>
      <c r="I16" s="8">
        <v>6.1600000000000002E-2</v>
      </c>
      <c r="J16" s="8">
        <v>7.5600000000000001E-2</v>
      </c>
      <c r="K16" s="8">
        <v>6.720000000000001E-2</v>
      </c>
      <c r="L16" s="7"/>
      <c r="M16" s="6" t="s">
        <v>38</v>
      </c>
      <c r="N16" s="5" t="s">
        <v>42</v>
      </c>
      <c r="O16" s="8">
        <v>8.4500000000000006E-2</v>
      </c>
      <c r="P16" s="8">
        <f t="shared" si="14"/>
        <v>8.4500000000000006E-2</v>
      </c>
      <c r="Q16" s="8">
        <v>8.4500000000000006E-2</v>
      </c>
      <c r="R16" s="8">
        <v>9.2899999999999996E-2</v>
      </c>
      <c r="S16" s="8">
        <f t="shared" si="17"/>
        <v>8.8700000000000001E-2</v>
      </c>
      <c r="T16" s="8">
        <f t="shared" si="23"/>
        <v>8.8700000000000001E-2</v>
      </c>
      <c r="U16" s="8">
        <f t="shared" si="24"/>
        <v>7.2428571428571439E-2</v>
      </c>
      <c r="V16" s="8">
        <f t="shared" si="25"/>
        <v>8.8700000000000001E-2</v>
      </c>
      <c r="W16" s="8">
        <f t="shared" si="26"/>
        <v>8.8700000000000001E-2</v>
      </c>
      <c r="X16" s="8">
        <f t="shared" si="27"/>
        <v>7.2428571428571439E-2</v>
      </c>
      <c r="Y16" s="8">
        <f t="shared" si="18"/>
        <v>8.7256812500000017E-2</v>
      </c>
      <c r="Z16" s="125">
        <f t="shared" si="15"/>
        <v>8.4500000000000006E-2</v>
      </c>
      <c r="AA16" s="126">
        <f t="shared" si="16"/>
        <v>9.2899999999999996E-2</v>
      </c>
      <c r="AB16" s="126">
        <f t="shared" si="19"/>
        <v>8.4500000000000006E-2</v>
      </c>
      <c r="AC16" s="126">
        <f t="shared" si="20"/>
        <v>6.0357142857142866E-2</v>
      </c>
      <c r="AD16" s="126">
        <f t="shared" si="21"/>
        <v>8.6612499999999995E-2</v>
      </c>
      <c r="AE16" s="126">
        <f t="shared" si="22"/>
        <v>8.8175750000000011E-2</v>
      </c>
      <c r="AF16" s="126">
        <f t="shared" si="11"/>
        <v>8.8175750000000011E-2</v>
      </c>
      <c r="AG16" s="126">
        <f t="shared" si="12"/>
        <v>8.8175750000000011E-2</v>
      </c>
      <c r="AH16" s="129">
        <f t="shared" si="13"/>
        <v>9.6941150000000004E-2</v>
      </c>
    </row>
    <row r="17" spans="2:43">
      <c r="B17" s="5" t="s">
        <v>39</v>
      </c>
      <c r="D17" s="8">
        <v>5.8200000000000002E-2</v>
      </c>
      <c r="E17" s="8">
        <v>5.8200000000000002E-2</v>
      </c>
      <c r="F17" s="8">
        <v>7.5499999999999998E-2</v>
      </c>
      <c r="G17" s="8">
        <v>7.5499999999999998E-2</v>
      </c>
      <c r="H17" s="8">
        <v>7.5499999999999998E-2</v>
      </c>
      <c r="I17" s="8">
        <v>7.2999999999999995E-2</v>
      </c>
      <c r="J17" s="8">
        <v>9.0700000000000003E-2</v>
      </c>
      <c r="K17" s="8">
        <v>8.9599999999999999E-2</v>
      </c>
      <c r="L17" s="7"/>
      <c r="M17" s="6" t="s">
        <v>39</v>
      </c>
      <c r="N17" s="5" t="s">
        <v>27</v>
      </c>
      <c r="P17" s="8"/>
      <c r="R17" s="8"/>
      <c r="S17" s="8"/>
      <c r="T17" s="8"/>
      <c r="U17" s="8"/>
      <c r="V17" s="8"/>
      <c r="W17" s="8"/>
      <c r="X17" s="8"/>
      <c r="Y17" s="8"/>
      <c r="Z17" s="125"/>
      <c r="AA17" s="126"/>
      <c r="AB17" s="126"/>
      <c r="AC17" s="126"/>
      <c r="AD17" s="126"/>
      <c r="AE17" s="126"/>
      <c r="AF17" s="126"/>
      <c r="AG17" s="126"/>
      <c r="AH17" s="129"/>
    </row>
    <row r="18" spans="2:43" s="22" customFormat="1">
      <c r="B18" s="19" t="s">
        <v>41</v>
      </c>
      <c r="C18" s="20" t="s">
        <v>43</v>
      </c>
      <c r="D18" s="21">
        <v>6.5000000000000002E-2</v>
      </c>
      <c r="E18" s="21">
        <v>6.5000000000000002E-2</v>
      </c>
      <c r="I18" s="21">
        <v>0.11899999999999999</v>
      </c>
      <c r="J18" s="21">
        <v>0.1221</v>
      </c>
      <c r="K18" s="21">
        <v>0.1075</v>
      </c>
      <c r="L18" s="23"/>
      <c r="M18" s="20" t="s">
        <v>41</v>
      </c>
      <c r="N18" s="19" t="s">
        <v>43</v>
      </c>
      <c r="O18" s="21">
        <v>0.112</v>
      </c>
      <c r="P18" s="21">
        <f t="shared" si="14"/>
        <v>0.112</v>
      </c>
      <c r="Q18" s="21">
        <v>0.112</v>
      </c>
      <c r="R18" s="21">
        <v>0.12670000000000001</v>
      </c>
      <c r="S18" s="21">
        <f>(AB18/2)+(R18/2)</f>
        <v>0.11935000000000001</v>
      </c>
      <c r="T18" s="21">
        <f t="shared" si="23"/>
        <v>0.11935000000000001</v>
      </c>
      <c r="U18" s="21">
        <f>(O18/2)+(AC18/2)</f>
        <v>9.6000000000000002E-2</v>
      </c>
      <c r="V18" s="21">
        <f t="shared" si="25"/>
        <v>0.11935000000000001</v>
      </c>
      <c r="W18" s="21">
        <f t="shared" si="26"/>
        <v>0.11935000000000001</v>
      </c>
      <c r="X18" s="21">
        <f t="shared" si="27"/>
        <v>9.6000000000000002E-2</v>
      </c>
      <c r="Y18" s="21">
        <f>(AE18*0.75)+(O18*0.25)</f>
        <v>0.11565400000000001</v>
      </c>
      <c r="Z18" s="125">
        <f t="shared" si="15"/>
        <v>0.112</v>
      </c>
      <c r="AA18" s="126">
        <f t="shared" si="16"/>
        <v>0.12670000000000001</v>
      </c>
      <c r="AB18" s="126">
        <f t="shared" ref="AB18:AB26" si="28">O18</f>
        <v>0.112</v>
      </c>
      <c r="AC18" s="126">
        <f>O18/1.4</f>
        <v>0.08</v>
      </c>
      <c r="AD18" s="126">
        <f>O18*1.025</f>
        <v>0.1148</v>
      </c>
      <c r="AE18" s="126">
        <f t="shared" ref="AE18:AH20" si="29">O18*1.0435</f>
        <v>0.11687200000000002</v>
      </c>
      <c r="AF18" s="126">
        <f t="shared" si="29"/>
        <v>0.11687200000000002</v>
      </c>
      <c r="AG18" s="126">
        <f t="shared" si="29"/>
        <v>0.11687200000000002</v>
      </c>
      <c r="AH18" s="129">
        <f t="shared" si="29"/>
        <v>0.13221145000000001</v>
      </c>
    </row>
    <row r="19" spans="2:43" s="22" customFormat="1">
      <c r="B19" s="19" t="s">
        <v>44</v>
      </c>
      <c r="C19" s="20" t="s">
        <v>45</v>
      </c>
      <c r="D19" s="21">
        <v>0.08</v>
      </c>
      <c r="E19" s="21">
        <v>0.08</v>
      </c>
      <c r="F19" s="21">
        <v>0.107</v>
      </c>
      <c r="G19" s="21">
        <v>0.107</v>
      </c>
      <c r="H19" s="21">
        <v>0.107</v>
      </c>
      <c r="I19" s="21"/>
      <c r="J19" s="21">
        <v>0.154</v>
      </c>
      <c r="K19" s="21">
        <v>0.12039999999999999</v>
      </c>
      <c r="L19" s="23"/>
      <c r="M19" s="20" t="s">
        <v>44</v>
      </c>
      <c r="N19" s="19" t="s">
        <v>45</v>
      </c>
      <c r="O19" s="21">
        <v>0.128</v>
      </c>
      <c r="P19" s="21">
        <f t="shared" si="14"/>
        <v>0.128</v>
      </c>
      <c r="Q19" s="21">
        <v>0.128</v>
      </c>
      <c r="R19" s="21">
        <v>0.16039999999999999</v>
      </c>
      <c r="S19" s="21">
        <f>(AB19/2)+(R19/2)</f>
        <v>0.14419999999999999</v>
      </c>
      <c r="T19" s="21">
        <f t="shared" si="23"/>
        <v>0.14419999999999999</v>
      </c>
      <c r="U19" s="21">
        <f>(O19/2)+(AC19/2)</f>
        <v>0.10971428571428572</v>
      </c>
      <c r="V19" s="21">
        <f t="shared" si="25"/>
        <v>0.14419999999999999</v>
      </c>
      <c r="W19" s="21">
        <f t="shared" si="26"/>
        <v>0.14419999999999999</v>
      </c>
      <c r="X19" s="21">
        <f t="shared" si="27"/>
        <v>0.10971428571428572</v>
      </c>
      <c r="Y19" s="21">
        <f>(AE19*0.75)+(O19*0.25)</f>
        <v>0.13217600000000002</v>
      </c>
      <c r="Z19" s="125">
        <f t="shared" si="15"/>
        <v>0.128</v>
      </c>
      <c r="AA19" s="126">
        <f t="shared" si="16"/>
        <v>0.16039999999999999</v>
      </c>
      <c r="AB19" s="126">
        <f t="shared" si="28"/>
        <v>0.128</v>
      </c>
      <c r="AC19" s="126">
        <f>O19/1.4</f>
        <v>9.1428571428571442E-2</v>
      </c>
      <c r="AD19" s="126">
        <f>O19*1.025</f>
        <v>0.13119999999999998</v>
      </c>
      <c r="AE19" s="126">
        <f t="shared" si="29"/>
        <v>0.13356800000000002</v>
      </c>
      <c r="AF19" s="126">
        <f t="shared" si="29"/>
        <v>0.13356800000000002</v>
      </c>
      <c r="AG19" s="126">
        <f t="shared" si="29"/>
        <v>0.13356800000000002</v>
      </c>
      <c r="AH19" s="129">
        <f t="shared" si="29"/>
        <v>0.16737740000000001</v>
      </c>
    </row>
    <row r="20" spans="2:43" s="22" customFormat="1">
      <c r="B20" s="19" t="s">
        <v>46</v>
      </c>
      <c r="C20" s="20" t="s">
        <v>47</v>
      </c>
      <c r="D20" s="21">
        <v>9.8000000000000004E-2</v>
      </c>
      <c r="E20" s="21">
        <v>9.8000000000000004E-2</v>
      </c>
      <c r="F20" s="21">
        <v>0.13400000000000001</v>
      </c>
      <c r="G20" s="21">
        <v>0.13400000000000001</v>
      </c>
      <c r="H20" s="21">
        <v>0.13400000000000001</v>
      </c>
      <c r="I20" s="21">
        <v>0.20200000000000001</v>
      </c>
      <c r="J20" s="21">
        <v>0.18480000000000002</v>
      </c>
      <c r="K20" s="21">
        <v>0.1338</v>
      </c>
      <c r="L20" s="23"/>
      <c r="M20" s="20" t="s">
        <v>46</v>
      </c>
      <c r="N20" s="19" t="s">
        <v>47</v>
      </c>
      <c r="O20" s="21">
        <v>0.156</v>
      </c>
      <c r="P20" s="21">
        <f t="shared" si="14"/>
        <v>0.156</v>
      </c>
      <c r="Q20" s="21">
        <v>0.156</v>
      </c>
      <c r="R20" s="21">
        <v>0.18159999999999998</v>
      </c>
      <c r="S20" s="21">
        <f>(AB20/2)+(R20/2)</f>
        <v>0.16880000000000001</v>
      </c>
      <c r="T20" s="21">
        <f t="shared" si="23"/>
        <v>0.16880000000000001</v>
      </c>
      <c r="U20" s="21">
        <f>(O20/2)+(AC20/2)</f>
        <v>0.13371428571428573</v>
      </c>
      <c r="V20" s="21">
        <f t="shared" si="25"/>
        <v>0.16880000000000001</v>
      </c>
      <c r="W20" s="21">
        <f t="shared" si="26"/>
        <v>0.16880000000000001</v>
      </c>
      <c r="X20" s="21">
        <f t="shared" si="27"/>
        <v>0.13371428571428573</v>
      </c>
      <c r="Y20" s="21">
        <f>(AE20*0.75)+(O20*0.25)</f>
        <v>0.16108950000000002</v>
      </c>
      <c r="Z20" s="125">
        <f t="shared" si="15"/>
        <v>0.156</v>
      </c>
      <c r="AA20" s="126">
        <f t="shared" si="16"/>
        <v>0.18159999999999998</v>
      </c>
      <c r="AB20" s="126">
        <f t="shared" si="28"/>
        <v>0.156</v>
      </c>
      <c r="AC20" s="126">
        <f>O20/1.4</f>
        <v>0.11142857142857143</v>
      </c>
      <c r="AD20" s="126">
        <f>O20*1.025</f>
        <v>0.15989999999999999</v>
      </c>
      <c r="AE20" s="126">
        <f t="shared" si="29"/>
        <v>0.16278600000000001</v>
      </c>
      <c r="AF20" s="126">
        <f t="shared" si="29"/>
        <v>0.16278600000000001</v>
      </c>
      <c r="AG20" s="126">
        <f t="shared" si="29"/>
        <v>0.16278600000000001</v>
      </c>
      <c r="AH20" s="129">
        <f t="shared" si="29"/>
        <v>0.18949959999999999</v>
      </c>
    </row>
    <row r="21" spans="2:43">
      <c r="B21" s="5" t="s">
        <v>43</v>
      </c>
      <c r="C21" s="6" t="s">
        <v>48</v>
      </c>
      <c r="D21" s="17">
        <v>0.11799999999999999</v>
      </c>
      <c r="E21" s="17">
        <v>0.11799999999999999</v>
      </c>
      <c r="F21" s="194">
        <v>0.16</v>
      </c>
      <c r="G21" s="193">
        <v>0.16</v>
      </c>
      <c r="I21" s="17"/>
      <c r="K21" s="21">
        <v>0.17019999999999999</v>
      </c>
      <c r="L21" s="18"/>
      <c r="M21" s="6" t="s">
        <v>43</v>
      </c>
      <c r="N21" s="5" t="s">
        <v>48</v>
      </c>
      <c r="O21" s="17">
        <v>0.19</v>
      </c>
      <c r="P21" s="8">
        <f t="shared" si="14"/>
        <v>0.19</v>
      </c>
      <c r="Q21" s="17">
        <v>0.19</v>
      </c>
      <c r="R21" s="17">
        <f>($R$19/$O$19)*O21</f>
        <v>0.23809374999999997</v>
      </c>
      <c r="S21" s="17">
        <f t="shared" ref="S21:S26" si="30">(AB21/2)+(R21/2)</f>
        <v>0.21404687499999997</v>
      </c>
      <c r="T21" s="17">
        <f t="shared" ref="T21:T26" si="31">(O21/2)+(R21/2)</f>
        <v>0.21404687499999997</v>
      </c>
      <c r="U21" s="17">
        <f t="shared" ref="U21:U26" si="32">(O21/2)+(AC21/2)</f>
        <v>0.16285714285714287</v>
      </c>
      <c r="V21" s="17">
        <f t="shared" ref="V21:V26" si="33">T21</f>
        <v>0.21404687499999997</v>
      </c>
      <c r="W21" s="17">
        <f t="shared" ref="W21:W26" si="34">T21</f>
        <v>0.21404687499999997</v>
      </c>
      <c r="X21" s="17">
        <f t="shared" ref="X21:X26" si="35">U21</f>
        <v>0.16285714285714287</v>
      </c>
      <c r="Y21" s="17">
        <f t="shared" ref="Y21:Y26" si="36">(AE21*0.75)+(O21*0.25)</f>
        <v>0.19619875000000003</v>
      </c>
      <c r="Z21" s="125">
        <f t="shared" si="15"/>
        <v>0.19</v>
      </c>
      <c r="AA21" s="126">
        <f t="shared" si="16"/>
        <v>0.23809374999999997</v>
      </c>
      <c r="AB21" s="126">
        <f t="shared" si="28"/>
        <v>0.19</v>
      </c>
      <c r="AC21" s="126">
        <f t="shared" ref="AC21:AC26" si="37">O21/1.4</f>
        <v>0.13571428571428573</v>
      </c>
      <c r="AD21" s="126">
        <f t="shared" ref="AD21:AD26" si="38">O21*1.025</f>
        <v>0.19474999999999998</v>
      </c>
      <c r="AE21" s="126">
        <f t="shared" ref="AE21:AE26" si="39">O21*1.0435</f>
        <v>0.19826500000000002</v>
      </c>
      <c r="AF21" s="126">
        <f t="shared" ref="AF21:AH26" si="40">P21*1.0435</f>
        <v>0.19826500000000002</v>
      </c>
      <c r="AG21" s="126">
        <f t="shared" si="40"/>
        <v>0.19826500000000002</v>
      </c>
      <c r="AH21" s="129">
        <f t="shared" si="40"/>
        <v>0.248450828125</v>
      </c>
    </row>
    <row r="22" spans="2:43">
      <c r="B22" s="5" t="s">
        <v>49</v>
      </c>
      <c r="C22" s="6" t="s">
        <v>50</v>
      </c>
      <c r="D22" s="193">
        <v>0.12759999999999999</v>
      </c>
      <c r="E22" s="193">
        <v>0.12759999999999999</v>
      </c>
      <c r="F22" s="17">
        <v>0.184</v>
      </c>
      <c r="G22" s="17">
        <v>0.184</v>
      </c>
      <c r="H22" s="17">
        <v>0.184</v>
      </c>
      <c r="I22" s="17"/>
      <c r="J22" s="17">
        <v>0.21759999999999999</v>
      </c>
      <c r="K22" s="17"/>
      <c r="L22" s="18"/>
      <c r="M22" s="6" t="s">
        <v>49</v>
      </c>
      <c r="N22" s="5" t="s">
        <v>50</v>
      </c>
      <c r="O22" s="17">
        <v>0.24</v>
      </c>
      <c r="P22" s="8">
        <f t="shared" si="14"/>
        <v>0.24</v>
      </c>
      <c r="Q22" s="17">
        <v>0.24</v>
      </c>
      <c r="R22" s="17">
        <f t="shared" ref="R22:R26" si="41">($R$19/$O$19)*O22</f>
        <v>0.30074999999999996</v>
      </c>
      <c r="S22" s="17">
        <f t="shared" si="30"/>
        <v>0.27037499999999998</v>
      </c>
      <c r="T22" s="17">
        <f t="shared" si="31"/>
        <v>0.27037499999999998</v>
      </c>
      <c r="U22" s="17">
        <f t="shared" si="32"/>
        <v>0.20571428571428571</v>
      </c>
      <c r="V22" s="17">
        <f t="shared" si="33"/>
        <v>0.27037499999999998</v>
      </c>
      <c r="W22" s="17">
        <f t="shared" si="34"/>
        <v>0.27037499999999998</v>
      </c>
      <c r="X22" s="17">
        <f t="shared" si="35"/>
        <v>0.20571428571428571</v>
      </c>
      <c r="Y22" s="17">
        <f t="shared" si="36"/>
        <v>0.24782999999999999</v>
      </c>
      <c r="Z22" s="125">
        <f t="shared" si="15"/>
        <v>0.24</v>
      </c>
      <c r="AA22" s="126">
        <f t="shared" si="16"/>
        <v>0.30074999999999996</v>
      </c>
      <c r="AB22" s="126">
        <f t="shared" si="28"/>
        <v>0.24</v>
      </c>
      <c r="AC22" s="126">
        <f t="shared" si="37"/>
        <v>0.17142857142857143</v>
      </c>
      <c r="AD22" s="126">
        <f t="shared" si="38"/>
        <v>0.24599999999999997</v>
      </c>
      <c r="AE22" s="126">
        <f t="shared" si="39"/>
        <v>0.25044</v>
      </c>
      <c r="AF22" s="126">
        <f t="shared" si="40"/>
        <v>0.25044</v>
      </c>
      <c r="AG22" s="126">
        <f t="shared" si="40"/>
        <v>0.25044</v>
      </c>
      <c r="AH22" s="129">
        <f t="shared" si="40"/>
        <v>0.31383262499999998</v>
      </c>
    </row>
    <row r="23" spans="2:43">
      <c r="B23" s="5" t="s">
        <v>45</v>
      </c>
      <c r="C23" s="6" t="s">
        <v>51</v>
      </c>
      <c r="D23" s="17">
        <v>0.14299999999999999</v>
      </c>
      <c r="E23" s="17">
        <v>0.14299999999999999</v>
      </c>
      <c r="F23" s="17">
        <v>0.1953</v>
      </c>
      <c r="G23" s="17">
        <v>0.1953</v>
      </c>
      <c r="H23" s="17">
        <v>0.1953</v>
      </c>
      <c r="I23" s="17"/>
      <c r="J23" s="17"/>
      <c r="K23" s="17">
        <v>0.18820000000000001</v>
      </c>
      <c r="L23" s="18"/>
      <c r="M23" s="6" t="s">
        <v>45</v>
      </c>
      <c r="N23" s="5" t="s">
        <v>51</v>
      </c>
      <c r="O23" s="17">
        <v>0.26600000000000001</v>
      </c>
      <c r="P23" s="8">
        <f t="shared" si="14"/>
        <v>0.26600000000000001</v>
      </c>
      <c r="Q23" s="17">
        <v>0.26600000000000001</v>
      </c>
      <c r="R23" s="17">
        <f t="shared" si="41"/>
        <v>0.33333124999999997</v>
      </c>
      <c r="S23" s="17">
        <f t="shared" si="30"/>
        <v>0.29966562499999999</v>
      </c>
      <c r="T23" s="17">
        <f t="shared" si="31"/>
        <v>0.29966562499999999</v>
      </c>
      <c r="U23" s="17">
        <f t="shared" si="32"/>
        <v>0.22800000000000004</v>
      </c>
      <c r="V23" s="17">
        <f t="shared" si="33"/>
        <v>0.29966562499999999</v>
      </c>
      <c r="W23" s="17">
        <f t="shared" si="34"/>
        <v>0.29966562499999999</v>
      </c>
      <c r="X23" s="17">
        <f t="shared" si="35"/>
        <v>0.22800000000000004</v>
      </c>
      <c r="Y23" s="17">
        <f t="shared" si="36"/>
        <v>0.27467825000000001</v>
      </c>
      <c r="Z23" s="125">
        <f t="shared" si="15"/>
        <v>0.26600000000000001</v>
      </c>
      <c r="AA23" s="126">
        <f t="shared" si="16"/>
        <v>0.33333124999999997</v>
      </c>
      <c r="AB23" s="126">
        <f t="shared" si="28"/>
        <v>0.26600000000000001</v>
      </c>
      <c r="AC23" s="126">
        <f t="shared" si="37"/>
        <v>0.19000000000000003</v>
      </c>
      <c r="AD23" s="126">
        <f t="shared" si="38"/>
        <v>0.27265</v>
      </c>
      <c r="AE23" s="126">
        <f t="shared" si="39"/>
        <v>0.27757100000000001</v>
      </c>
      <c r="AF23" s="126">
        <f t="shared" si="40"/>
        <v>0.27757100000000001</v>
      </c>
      <c r="AG23" s="126">
        <f t="shared" si="40"/>
        <v>0.27757100000000001</v>
      </c>
      <c r="AH23" s="129">
        <f t="shared" si="40"/>
        <v>0.34783115937499998</v>
      </c>
    </row>
    <row r="24" spans="2:43">
      <c r="B24" s="5" t="s">
        <v>52</v>
      </c>
      <c r="C24" s="6" t="s">
        <v>53</v>
      </c>
      <c r="D24" s="17">
        <v>0.157</v>
      </c>
      <c r="E24" s="17">
        <v>0.157</v>
      </c>
      <c r="I24" s="17">
        <v>0.28799999999999998</v>
      </c>
      <c r="J24" s="17"/>
      <c r="K24" s="17"/>
      <c r="L24" s="18"/>
      <c r="M24" s="6" t="s">
        <v>52</v>
      </c>
      <c r="N24" s="5" t="s">
        <v>53</v>
      </c>
      <c r="O24" s="17">
        <v>0.3</v>
      </c>
      <c r="P24" s="8">
        <f t="shared" si="14"/>
        <v>0.3</v>
      </c>
      <c r="Q24" s="17">
        <v>0.3</v>
      </c>
      <c r="R24" s="17">
        <f t="shared" si="41"/>
        <v>0.37593749999999992</v>
      </c>
      <c r="S24" s="17">
        <f t="shared" si="30"/>
        <v>0.33796874999999993</v>
      </c>
      <c r="T24" s="17">
        <f t="shared" si="31"/>
        <v>0.33796874999999993</v>
      </c>
      <c r="U24" s="17">
        <f t="shared" si="32"/>
        <v>0.25714285714285712</v>
      </c>
      <c r="V24" s="17">
        <f t="shared" si="33"/>
        <v>0.33796874999999993</v>
      </c>
      <c r="W24" s="17">
        <f t="shared" si="34"/>
        <v>0.33796874999999993</v>
      </c>
      <c r="X24" s="17">
        <f t="shared" si="35"/>
        <v>0.25714285714285712</v>
      </c>
      <c r="Y24" s="17">
        <f t="shared" si="36"/>
        <v>0.30978749999999999</v>
      </c>
      <c r="Z24" s="125">
        <f t="shared" si="15"/>
        <v>0.3</v>
      </c>
      <c r="AA24" s="126">
        <f t="shared" si="16"/>
        <v>0.37593749999999992</v>
      </c>
      <c r="AB24" s="126">
        <f t="shared" si="28"/>
        <v>0.3</v>
      </c>
      <c r="AC24" s="126">
        <f t="shared" si="37"/>
        <v>0.2142857142857143</v>
      </c>
      <c r="AD24" s="126">
        <f t="shared" si="38"/>
        <v>0.30749999999999994</v>
      </c>
      <c r="AE24" s="126">
        <f t="shared" si="39"/>
        <v>0.31304999999999999</v>
      </c>
      <c r="AF24" s="126">
        <f t="shared" si="40"/>
        <v>0.31304999999999999</v>
      </c>
      <c r="AG24" s="126">
        <f t="shared" si="40"/>
        <v>0.31304999999999999</v>
      </c>
      <c r="AH24" s="129">
        <f t="shared" si="40"/>
        <v>0.39229078124999994</v>
      </c>
    </row>
    <row r="25" spans="2:43">
      <c r="B25" s="5" t="s">
        <v>47</v>
      </c>
      <c r="C25" s="6" t="s">
        <v>54</v>
      </c>
      <c r="D25" s="17">
        <v>0.18</v>
      </c>
      <c r="E25" s="17">
        <v>0.18</v>
      </c>
      <c r="F25" s="17">
        <v>0.2387</v>
      </c>
      <c r="G25" s="17">
        <v>0.2387</v>
      </c>
      <c r="H25" s="17">
        <v>0.2387</v>
      </c>
      <c r="I25" s="17"/>
      <c r="J25" s="17"/>
      <c r="K25" s="17"/>
      <c r="L25" s="18"/>
      <c r="M25" s="6" t="s">
        <v>47</v>
      </c>
      <c r="N25" s="5" t="s">
        <v>54</v>
      </c>
      <c r="O25" s="17">
        <v>0.34</v>
      </c>
      <c r="P25" s="8">
        <f t="shared" si="14"/>
        <v>0.34</v>
      </c>
      <c r="Q25" s="17">
        <v>0.34</v>
      </c>
      <c r="R25" s="17">
        <f t="shared" si="41"/>
        <v>0.42606249999999996</v>
      </c>
      <c r="S25" s="17">
        <f t="shared" si="30"/>
        <v>0.38303124999999999</v>
      </c>
      <c r="T25" s="17">
        <f t="shared" si="31"/>
        <v>0.38303124999999999</v>
      </c>
      <c r="U25" s="17">
        <f t="shared" si="32"/>
        <v>0.29142857142857148</v>
      </c>
      <c r="V25" s="17">
        <f t="shared" si="33"/>
        <v>0.38303124999999999</v>
      </c>
      <c r="W25" s="17">
        <f t="shared" si="34"/>
        <v>0.38303124999999999</v>
      </c>
      <c r="X25" s="17">
        <f t="shared" si="35"/>
        <v>0.29142857142857148</v>
      </c>
      <c r="Y25" s="17">
        <f t="shared" si="36"/>
        <v>0.35109250000000009</v>
      </c>
      <c r="Z25" s="125">
        <f t="shared" si="15"/>
        <v>0.34</v>
      </c>
      <c r="AA25" s="126">
        <f t="shared" si="16"/>
        <v>0.42606249999999996</v>
      </c>
      <c r="AB25" s="126">
        <f t="shared" si="28"/>
        <v>0.34</v>
      </c>
      <c r="AC25" s="126">
        <f t="shared" si="37"/>
        <v>0.24285714285714288</v>
      </c>
      <c r="AD25" s="126">
        <f t="shared" si="38"/>
        <v>0.34849999999999998</v>
      </c>
      <c r="AE25" s="126">
        <f t="shared" si="39"/>
        <v>0.35479000000000005</v>
      </c>
      <c r="AF25" s="126">
        <f t="shared" si="40"/>
        <v>0.35479000000000005</v>
      </c>
      <c r="AG25" s="126">
        <f t="shared" si="40"/>
        <v>0.35479000000000005</v>
      </c>
      <c r="AH25" s="129">
        <f t="shared" si="40"/>
        <v>0.44459621874999999</v>
      </c>
    </row>
    <row r="26" spans="2:43" ht="16.5" thickBot="1">
      <c r="B26" s="5" t="s">
        <v>48</v>
      </c>
      <c r="C26" s="6" t="s">
        <v>55</v>
      </c>
      <c r="D26" s="17">
        <v>0.216</v>
      </c>
      <c r="E26" s="17">
        <v>0.216</v>
      </c>
      <c r="F26" s="17">
        <v>0.2893</v>
      </c>
      <c r="G26" s="17">
        <v>0.2893</v>
      </c>
      <c r="H26" s="17">
        <v>0.2893</v>
      </c>
      <c r="I26" s="17"/>
      <c r="J26" s="17"/>
      <c r="K26" s="17"/>
      <c r="L26" s="18"/>
      <c r="M26" s="6" t="s">
        <v>48</v>
      </c>
      <c r="N26" s="5" t="s">
        <v>55</v>
      </c>
      <c r="O26" s="17">
        <v>0.41170000000000001</v>
      </c>
      <c r="P26" s="8">
        <f t="shared" si="14"/>
        <v>0.41170000000000001</v>
      </c>
      <c r="Q26" s="17">
        <v>0.41170000000000001</v>
      </c>
      <c r="R26" s="17">
        <f t="shared" si="41"/>
        <v>0.51591156249999992</v>
      </c>
      <c r="S26" s="17">
        <f t="shared" si="30"/>
        <v>0.46380578124999994</v>
      </c>
      <c r="T26" s="17">
        <f t="shared" si="31"/>
        <v>0.46380578124999994</v>
      </c>
      <c r="U26" s="17">
        <f t="shared" si="32"/>
        <v>0.3528857142857143</v>
      </c>
      <c r="V26" s="17">
        <f t="shared" si="33"/>
        <v>0.46380578124999994</v>
      </c>
      <c r="W26" s="17">
        <f t="shared" si="34"/>
        <v>0.46380578124999994</v>
      </c>
      <c r="X26" s="17">
        <f t="shared" si="35"/>
        <v>0.3528857142857143</v>
      </c>
      <c r="Y26" s="17">
        <f t="shared" si="36"/>
        <v>0.42513171250000004</v>
      </c>
      <c r="Z26" s="125">
        <f t="shared" si="15"/>
        <v>0.41170000000000001</v>
      </c>
      <c r="AA26" s="126">
        <f t="shared" si="16"/>
        <v>0.51591156249999992</v>
      </c>
      <c r="AB26" s="126">
        <f t="shared" si="28"/>
        <v>0.41170000000000001</v>
      </c>
      <c r="AC26" s="126">
        <f t="shared" si="37"/>
        <v>0.29407142857142859</v>
      </c>
      <c r="AD26" s="126">
        <f t="shared" si="38"/>
        <v>0.42199249999999999</v>
      </c>
      <c r="AE26" s="126">
        <f t="shared" si="39"/>
        <v>0.42960895000000004</v>
      </c>
      <c r="AF26" s="126">
        <f t="shared" si="40"/>
        <v>0.42960895000000004</v>
      </c>
      <c r="AG26" s="126">
        <f t="shared" si="40"/>
        <v>0.42960895000000004</v>
      </c>
      <c r="AH26" s="129">
        <f t="shared" si="40"/>
        <v>0.53835371546874999</v>
      </c>
    </row>
    <row r="27" spans="2:43" ht="16.5" thickBot="1">
      <c r="B27" s="5"/>
      <c r="M27" s="120"/>
      <c r="N27" s="121" t="s">
        <v>228</v>
      </c>
      <c r="O27" s="123"/>
      <c r="P27" s="122"/>
      <c r="Q27" s="122"/>
      <c r="R27" s="123"/>
      <c r="S27" s="122"/>
      <c r="T27" s="122"/>
      <c r="U27" s="122"/>
      <c r="V27" s="122"/>
      <c r="W27" s="122"/>
      <c r="X27" s="122"/>
      <c r="Y27" s="122"/>
      <c r="Z27" s="130">
        <v>18.02</v>
      </c>
      <c r="AA27" s="123">
        <v>387.46</v>
      </c>
      <c r="AB27" s="123">
        <v>149.7531282478005</v>
      </c>
      <c r="AC27" s="123">
        <v>275.14228773099796</v>
      </c>
      <c r="AD27" s="123">
        <v>139.18949634524336</v>
      </c>
      <c r="AE27" s="123">
        <v>117.90169102185321</v>
      </c>
      <c r="AF27" s="123">
        <v>412.37594999999999</v>
      </c>
      <c r="AG27" s="123">
        <v>200.46053124999997</v>
      </c>
      <c r="AH27" s="124">
        <v>26.20037578263404</v>
      </c>
    </row>
    <row r="28" spans="2:43">
      <c r="B28" s="5" t="s">
        <v>26</v>
      </c>
      <c r="C28" s="6" t="s">
        <v>27</v>
      </c>
      <c r="D28" s="7" t="str">
        <f>IFERROR('Customer Prices'!E4/Weights!D5,"-")</f>
        <v>-</v>
      </c>
      <c r="E28" s="7" t="str">
        <f>IFERROR('Customer Prices'!F4/Weights!E5,"-")</f>
        <v>-</v>
      </c>
      <c r="F28" s="7" t="str">
        <f>IFERROR('Customer Prices'!G4/Weights!F5,"-")</f>
        <v>-</v>
      </c>
      <c r="G28" s="7" t="str">
        <f>IFERROR('Customer Prices'!H4/Weights!G5,"-")</f>
        <v>-</v>
      </c>
      <c r="H28" s="7" t="str">
        <f>IFERROR('Customer Prices'!I4/Weights!H5,"-")</f>
        <v>-</v>
      </c>
      <c r="I28" s="7" t="str">
        <f>IFERROR('Customer Prices'!J4/Weights!I5,"-")</f>
        <v>-</v>
      </c>
      <c r="J28" s="7" t="str">
        <f>IFERROR('Customer Prices'!K4/Weights!J5,"-")</f>
        <v>-</v>
      </c>
      <c r="K28" s="7" t="str">
        <f>IFERROR('Customer Prices'!L4/Weights!K5,"-")</f>
        <v>-</v>
      </c>
      <c r="L28" s="7"/>
      <c r="M28" s="6" t="s">
        <v>26</v>
      </c>
      <c r="N28" s="5" t="s">
        <v>27</v>
      </c>
      <c r="O28" s="7" t="str">
        <f>IFERROR('Customer Prices'!Q4/Weights!O5,"-")</f>
        <v>-</v>
      </c>
      <c r="P28" s="7" t="str">
        <f>IFERROR('Customer Prices'!R4/Weights!P5,"-")</f>
        <v>-</v>
      </c>
      <c r="Q28" s="7" t="str">
        <f>IFERROR('Customer Prices'!S4/Weights!Q5,"-")</f>
        <v>-</v>
      </c>
      <c r="R28" s="7" t="str">
        <f>IFERROR('Customer Prices'!T4/Weights!R5,"-")</f>
        <v>-</v>
      </c>
      <c r="S28" s="7" t="str">
        <f>IFERROR('Customer Prices'!U4/Weights!S5,"-")</f>
        <v>-</v>
      </c>
      <c r="T28" s="7" t="str">
        <f>IFERROR('Customer Prices'!V4/Weights!T5,"-")</f>
        <v>-</v>
      </c>
      <c r="U28" s="7" t="str">
        <f>IFERROR('Customer Prices'!W4/Weights!U5,"-")</f>
        <v>-</v>
      </c>
      <c r="V28" s="7" t="str">
        <f>IFERROR('Customer Prices'!X4/Weights!V5,"-")</f>
        <v>-</v>
      </c>
      <c r="W28" s="7" t="str">
        <f>IFERROR('Customer Prices'!Y4/Weights!W5,"-")</f>
        <v>-</v>
      </c>
      <c r="X28" s="7" t="str">
        <f>IFERROR('Customer Prices'!Z4/Weights!X5,"-")</f>
        <v>-</v>
      </c>
      <c r="Y28" s="7" t="str">
        <f>IFERROR('Customer Prices'!AA4/Weights!Y5,"-")</f>
        <v>-</v>
      </c>
      <c r="Z28" s="140">
        <v>34.801381755074637</v>
      </c>
      <c r="AA28" s="141">
        <v>422.98059141333977</v>
      </c>
      <c r="AB28" s="141">
        <v>147.34526271381074</v>
      </c>
      <c r="AC28" s="141">
        <v>213.28564445795723</v>
      </c>
      <c r="AD28" s="142">
        <v>116.24708108179072</v>
      </c>
      <c r="AE28" s="142">
        <v>117.90169102185318</v>
      </c>
      <c r="AF28" s="142">
        <v>414.65120059486378</v>
      </c>
      <c r="AG28" s="142">
        <v>200.46053124999995</v>
      </c>
      <c r="AH28" s="143">
        <v>26.20037578263404</v>
      </c>
    </row>
    <row r="29" spans="2:43">
      <c r="B29" s="5" t="s">
        <v>28</v>
      </c>
      <c r="C29" s="6" t="s">
        <v>27</v>
      </c>
      <c r="D29" s="7">
        <f>IFERROR('Customer Prices'!E5/Weights!D6,"-")</f>
        <v>239.41444256756756</v>
      </c>
      <c r="E29" s="7">
        <f>IFERROR('Customer Prices'!F5/Weights!E6,"-")</f>
        <v>340.22052364864868</v>
      </c>
      <c r="F29" s="7">
        <f>IFERROR('Customer Prices'!G5/Weights!F6,"-")</f>
        <v>360.54975000000002</v>
      </c>
      <c r="G29" s="7">
        <f>IFERROR('Customer Prices'!H5/Weights!G6,"-")</f>
        <v>472.44449999999995</v>
      </c>
      <c r="H29" s="7">
        <f>IFERROR('Customer Prices'!I5/Weights!H6,"-")</f>
        <v>420.64137499999998</v>
      </c>
      <c r="I29" s="7" t="str">
        <f>IFERROR('Customer Prices'!J5/Weights!I6,"-")</f>
        <v>-</v>
      </c>
      <c r="J29" s="7">
        <f>IFERROR('Customer Prices'!K5/Weights!J6,"-")</f>
        <v>597.99607384169883</v>
      </c>
      <c r="K29" s="7">
        <f>IFERROR('Customer Prices'!L5/Weights!K6,"-")</f>
        <v>155.40937500000001</v>
      </c>
      <c r="L29" s="7"/>
      <c r="M29" s="6" t="s">
        <v>28</v>
      </c>
      <c r="N29" s="5" t="s">
        <v>27</v>
      </c>
      <c r="O29" s="7" t="str">
        <f>IFERROR('Customer Prices'!Q5/Weights!O6,"-")</f>
        <v>-</v>
      </c>
      <c r="P29" s="7" t="str">
        <f>IFERROR('Customer Prices'!R5/Weights!P6,"-")</f>
        <v>-</v>
      </c>
      <c r="Q29" s="7" t="str">
        <f>IFERROR('Customer Prices'!S5/Weights!Q6,"-")</f>
        <v>-</v>
      </c>
      <c r="R29" s="7" t="str">
        <f>IFERROR('Customer Prices'!T5/Weights!R6,"-")</f>
        <v>-</v>
      </c>
      <c r="S29" s="7" t="str">
        <f>IFERROR('Customer Prices'!U5/Weights!S6,"-")</f>
        <v>-</v>
      </c>
      <c r="T29" s="7" t="str">
        <f>IFERROR('Customer Prices'!V5/Weights!T6,"-")</f>
        <v>-</v>
      </c>
      <c r="U29" s="7" t="str">
        <f>IFERROR('Customer Prices'!W5/Weights!U6,"-")</f>
        <v>-</v>
      </c>
      <c r="V29" s="7" t="str">
        <f>IFERROR('Customer Prices'!X5/Weights!V6,"-")</f>
        <v>-</v>
      </c>
      <c r="W29" s="7" t="str">
        <f>IFERROR('Customer Prices'!Y5/Weights!W6,"-")</f>
        <v>-</v>
      </c>
      <c r="X29" s="7" t="str">
        <f>IFERROR('Customer Prices'!Z5/Weights!X6,"-")</f>
        <v>-</v>
      </c>
      <c r="Y29" s="7" t="str">
        <f>IFERROR('Customer Prices'!AA5/Weights!Y6,"-")</f>
        <v>-</v>
      </c>
      <c r="Z29" s="131"/>
      <c r="AA29" s="134"/>
      <c r="AB29" s="134"/>
      <c r="AC29" s="132"/>
      <c r="AH29" s="133"/>
    </row>
    <row r="30" spans="2:43">
      <c r="B30" s="5" t="s">
        <v>29</v>
      </c>
      <c r="C30" s="6" t="s">
        <v>30</v>
      </c>
      <c r="D30" s="7">
        <f>IFERROR('Customer Prices'!E6/Weights!D7,"-")</f>
        <v>269.18076650943397</v>
      </c>
      <c r="E30" s="7">
        <f>IFERROR('Customer Prices'!F6/Weights!E7,"-")</f>
        <v>346.59222877358491</v>
      </c>
      <c r="F30" s="7">
        <f>IFERROR('Customer Prices'!G6/Weights!F7,"-")</f>
        <v>253.68295036764709</v>
      </c>
      <c r="G30" s="7">
        <f>IFERROR('Customer Prices'!H6/Weights!G7,"-")</f>
        <v>330.47346507352944</v>
      </c>
      <c r="H30" s="7">
        <f>IFERROR('Customer Prices'!I6/Weights!H7,"-")</f>
        <v>311.27583639705881</v>
      </c>
      <c r="I30" s="7">
        <f>IFERROR('Customer Prices'!J6/Weights!I7,"-")</f>
        <v>196.09006433823532</v>
      </c>
      <c r="J30" s="7">
        <f>IFERROR('Customer Prices'!K6/Weights!J7,"-")</f>
        <v>597.99607384169883</v>
      </c>
      <c r="K30" s="7">
        <f>IFERROR('Customer Prices'!L6/Weights!K7,"-")</f>
        <v>260.25271455223884</v>
      </c>
      <c r="L30" s="7"/>
      <c r="M30" s="6" t="s">
        <v>29</v>
      </c>
      <c r="N30" s="5" t="s">
        <v>30</v>
      </c>
      <c r="O30" s="7">
        <f>IFERROR('Customer Prices'!Q6/Weights!O7,"-")</f>
        <v>47.519405048076926</v>
      </c>
      <c r="P30" s="7">
        <f>IFERROR('Customer Prices'!R6/Weights!P7,"-")</f>
        <v>51.10577524038461</v>
      </c>
      <c r="Q30" s="7">
        <f>IFERROR('Customer Prices'!S6/Weights!Q7,"-")</f>
        <v>127.31614182692309</v>
      </c>
      <c r="R30" s="7">
        <f>IFERROR('Customer Prices'!T6/Weights!R7,"-")</f>
        <v>561.46174314753284</v>
      </c>
      <c r="S30" s="7">
        <f>IFERROR('Customer Prices'!U6/Weights!S7,"-")</f>
        <v>417.25153235138634</v>
      </c>
      <c r="T30" s="7">
        <f>IFERROR('Customer Prices'!V6/Weights!T7,"-")</f>
        <v>391.63673715049327</v>
      </c>
      <c r="U30" s="7">
        <f>IFERROR('Customer Prices'!W6/Weights!U7,"-")</f>
        <v>257.28255208333331</v>
      </c>
      <c r="V30" s="7">
        <f>IFERROR('Customer Prices'!X6/Weights!V7,"-")</f>
        <v>285.38425299574794</v>
      </c>
      <c r="W30" s="7">
        <f>IFERROR('Customer Prices'!Y6/Weights!W7,"-")</f>
        <v>109.19991638275377</v>
      </c>
      <c r="X30" s="7">
        <f>IFERROR('Customer Prices'!Z6/Weights!X7,"-")</f>
        <v>172.40727539062496</v>
      </c>
      <c r="Y30" s="7">
        <f>IFERROR('Customer Prices'!AA6/Weights!Y7,"-")</f>
        <v>139.63040443842735</v>
      </c>
      <c r="Z30" s="131">
        <f>(O30*O7)</f>
        <v>0.4942018125</v>
      </c>
      <c r="AA30" s="134">
        <f>(R30*R7)</f>
        <v>7.2903647879464275</v>
      </c>
      <c r="AB30" s="134">
        <f>((Q30*Q7)-((Q7/2)*O30))*2</f>
        <v>2.1539739375</v>
      </c>
      <c r="AC30" s="134">
        <f t="shared" ref="AC30:AC31" si="42">((U30*U7)-(AB30/2))*2</f>
        <v>2.4330064196428571</v>
      </c>
      <c r="AD30" s="134">
        <f t="shared" ref="AD30:AD31" si="43">((W30*W7)-(Z30/2))*2</f>
        <v>2.0593962321428574</v>
      </c>
      <c r="AE30" s="134">
        <f t="shared" ref="AE30:AE31" si="44">$AE$27*AE7</f>
        <v>1.2795163116455597</v>
      </c>
      <c r="AF30" s="134">
        <f t="shared" ref="AF30:AF31" si="45">((V30*V7)-(Z30/2))</f>
        <v>7.4311053437499988</v>
      </c>
      <c r="AG30" s="134">
        <f t="shared" ref="AG30:AG31" si="46">$AG$27*AG7</f>
        <v>2.1754778693374996</v>
      </c>
      <c r="AH30" s="135">
        <f t="shared" ref="AH30:AH31" si="47">$AH$27*AH7</f>
        <v>0.35500058087733477</v>
      </c>
      <c r="AJ30" s="13"/>
      <c r="AK30" s="13"/>
      <c r="AL30" s="13"/>
      <c r="AM30" s="13"/>
    </row>
    <row r="31" spans="2:43">
      <c r="B31" s="5" t="s">
        <v>31</v>
      </c>
      <c r="C31" s="6" t="s">
        <v>32</v>
      </c>
      <c r="D31" s="7">
        <f>IFERROR('Customer Prices'!E7/Weights!D8,"-")</f>
        <v>219.25322635135134</v>
      </c>
      <c r="E31" s="7">
        <f>IFERROR('Customer Prices'!F7/Weights!E8,"-")</f>
        <v>282.25702702702705</v>
      </c>
      <c r="F31" s="7" t="str">
        <f>IFERROR('Customer Prices'!G7/Weights!F8,"-")</f>
        <v>-</v>
      </c>
      <c r="G31" s="7" t="str">
        <f>IFERROR('Customer Prices'!H7/Weights!G8,"-")</f>
        <v>-</v>
      </c>
      <c r="H31" s="7" t="str">
        <f>IFERROR('Customer Prices'!I7/Weights!H8,"-")</f>
        <v>-</v>
      </c>
      <c r="I31" s="7" t="str">
        <f>IFERROR('Customer Prices'!J7/Weights!I8,"-")</f>
        <v>-</v>
      </c>
      <c r="J31" s="7" t="str">
        <f>IFERROR('Customer Prices'!K7/Weights!J8,"-")</f>
        <v>-</v>
      </c>
      <c r="K31" s="7" t="str">
        <f>IFERROR('Customer Prices'!L7/Weights!K8,"-")</f>
        <v>-</v>
      </c>
      <c r="L31" s="7"/>
      <c r="M31" s="6" t="s">
        <v>31</v>
      </c>
      <c r="N31" s="5" t="s">
        <v>32</v>
      </c>
      <c r="O31" s="7">
        <f>IFERROR('Customer Prices'!Q7/Weights!O8,"-")</f>
        <v>36.922764261744966</v>
      </c>
      <c r="P31" s="7">
        <f>IFERROR('Customer Prices'!R7/Weights!P8,"-")</f>
        <v>39.426002516778524</v>
      </c>
      <c r="Q31" s="7">
        <f>IFERROR('Customer Prices'!S7/Weights!Q8,"-")</f>
        <v>96.374672818791936</v>
      </c>
      <c r="R31" s="7">
        <f>IFERROR('Customer Prices'!T7/Weights!R8,"-")</f>
        <v>425.01045837276143</v>
      </c>
      <c r="S31" s="7">
        <f>IFERROR('Customer Prices'!U7/Weights!S8,"-")</f>
        <v>315.84745921825333</v>
      </c>
      <c r="T31" s="7">
        <f>IFERROR('Customer Prices'!V7/Weights!T8,"-")</f>
        <v>296.45779290113916</v>
      </c>
      <c r="U31" s="7">
        <f>IFERROR('Customer Prices'!W7/Weights!U8,"-")</f>
        <v>194.75552293064877</v>
      </c>
      <c r="V31" s="7">
        <f>IFERROR('Customer Prices'!X7/Weights!V8,"-")</f>
        <v>216.02770564230548</v>
      </c>
      <c r="W31" s="7">
        <f>IFERROR('Customer Prices'!Y7/Weights!W8,"-")</f>
        <v>82.661209036117995</v>
      </c>
      <c r="X31" s="7">
        <f>IFERROR('Customer Prices'!Z7/Weights!X8,"-")</f>
        <v>130.50736944211405</v>
      </c>
      <c r="Y31" s="7">
        <f>IFERROR('Customer Prices'!AA7/Weights!Y8,"-")</f>
        <v>105.69621691491882</v>
      </c>
      <c r="Z31" s="131">
        <f t="shared" ref="Z31:Z49" si="48">(O31*O8)</f>
        <v>0.55014918749999997</v>
      </c>
      <c r="AA31" s="134">
        <f t="shared" ref="AA31:AA49" si="49">(R31*R8)</f>
        <v>7.906451953124999</v>
      </c>
      <c r="AB31" s="134">
        <f t="shared" ref="AB31:AB49" si="50">((Q31*Q8)-((Q8/2)*O31))*2</f>
        <v>2.3218160624999999</v>
      </c>
      <c r="AC31" s="134">
        <f t="shared" si="42"/>
        <v>2.6527964375000002</v>
      </c>
      <c r="AD31" s="134">
        <f t="shared" si="43"/>
        <v>2.2192458750000004</v>
      </c>
      <c r="AE31" s="134">
        <f t="shared" si="44"/>
        <v>1.8331531772614271</v>
      </c>
      <c r="AF31" s="134">
        <f t="shared" si="45"/>
        <v>8.0519941562500001</v>
      </c>
      <c r="AG31" s="134">
        <f t="shared" si="46"/>
        <v>3.1167904089546874</v>
      </c>
      <c r="AH31" s="135">
        <f t="shared" si="47"/>
        <v>0.50860660144925851</v>
      </c>
      <c r="AJ31" s="13"/>
      <c r="AK31" s="13"/>
      <c r="AL31" s="13"/>
      <c r="AM31" s="13"/>
    </row>
    <row r="32" spans="2:43">
      <c r="B32" s="5" t="s">
        <v>30</v>
      </c>
      <c r="C32" s="6" t="s">
        <v>33</v>
      </c>
      <c r="D32" s="7">
        <f>IFERROR('Customer Prices'!E8/Weights!D9,"-")</f>
        <v>182.68530612244896</v>
      </c>
      <c r="E32" s="7">
        <f>IFERROR('Customer Prices'!F8/Weights!E9,"-")</f>
        <v>235.96852040816324</v>
      </c>
      <c r="F32" s="7">
        <f>IFERROR('Customer Prices'!G8/Weights!F9,"-")</f>
        <v>205.81241554054057</v>
      </c>
      <c r="G32" s="7">
        <f>IFERROR('Customer Prices'!H8/Weights!G9,"-")</f>
        <v>267.97616554054048</v>
      </c>
      <c r="H32" s="7">
        <f>IFERROR('Customer Prices'!I8/Weights!H9,"-")</f>
        <v>254.5353547297297</v>
      </c>
      <c r="I32" s="7">
        <f>IFERROR('Customer Prices'!J8/Weights!I9,"-")</f>
        <v>191.25562500000001</v>
      </c>
      <c r="J32" s="7">
        <f>IFERROR('Customer Prices'!K8/Weights!J9,"-")</f>
        <v>597.99607384169883</v>
      </c>
      <c r="K32" s="7">
        <f>IFERROR('Customer Prices'!L8/Weights!K9,"-")</f>
        <v>157.96087220149252</v>
      </c>
      <c r="L32" s="7"/>
      <c r="M32" s="6" t="s">
        <v>30</v>
      </c>
      <c r="N32" s="5" t="s">
        <v>33</v>
      </c>
      <c r="O32" s="7">
        <f>IFERROR('Customer Prices'!Q8/Weights!O9,"-")</f>
        <v>39.174197485207102</v>
      </c>
      <c r="P32" s="7">
        <f>IFERROR('Customer Prices'!R8/Weights!P9,"-")</f>
        <v>40.829445266272188</v>
      </c>
      <c r="Q32" s="7">
        <f>IFERROR('Customer Prices'!S8/Weights!Q9,"-")</f>
        <v>92.693875739644966</v>
      </c>
      <c r="R32" s="7">
        <f>IFERROR('Customer Prices'!T8/Weights!R9,"-")</f>
        <v>408.7782138625592</v>
      </c>
      <c r="S32" s="7">
        <f>IFERROR('Customer Prices'!U8/Weights!S9,"-")</f>
        <v>303.78443092105266</v>
      </c>
      <c r="T32" s="7">
        <f>IFERROR('Customer Prices'!V8/Weights!T9,"-")</f>
        <v>285.13530592105258</v>
      </c>
      <c r="U32" s="7">
        <f>IFERROR('Customer Prices'!W8/Weights!U9,"-")</f>
        <v>187.31730769230768</v>
      </c>
      <c r="V32" s="7">
        <f>IFERROR('Customer Prices'!X8/Weights!V9,"-")</f>
        <v>207.77705093514913</v>
      </c>
      <c r="W32" s="7">
        <f>IFERROR('Customer Prices'!Y8/Weights!W9,"-")</f>
        <v>79.504164473684227</v>
      </c>
      <c r="X32" s="7">
        <f>IFERROR('Customer Prices'!Z8/Weights!X9,"-")</f>
        <v>125.52295673076924</v>
      </c>
      <c r="Y32" s="7">
        <f>IFERROR('Customer Prices'!AA8/Weights!Y9,"-")</f>
        <v>101.65940604834583</v>
      </c>
      <c r="Z32" s="131">
        <f t="shared" si="48"/>
        <v>0.66204393750000001</v>
      </c>
      <c r="AA32" s="134">
        <f t="shared" si="49"/>
        <v>8.6252203124999998</v>
      </c>
      <c r="AB32" s="134">
        <f t="shared" si="50"/>
        <v>2.4710090624999994</v>
      </c>
      <c r="AC32" s="134">
        <f>((U32*U9)-(AB32/2))*2</f>
        <v>2.9558409375000005</v>
      </c>
      <c r="AD32" s="134">
        <f>((W32*W9)-(Z32/2))*2</f>
        <v>2.3591143125000005</v>
      </c>
      <c r="AE32" s="134">
        <f>$AE$27*AE9</f>
        <v>2.0792140064240345</v>
      </c>
      <c r="AF32" s="134">
        <f>((V32*V9)-(Z32/2))</f>
        <v>8.7530530312500012</v>
      </c>
      <c r="AG32" s="134">
        <f>$AG$27*AG9</f>
        <v>3.5351515376734368</v>
      </c>
      <c r="AH32" s="135">
        <f>$AH$27*AH9</f>
        <v>0.57687594392566899</v>
      </c>
      <c r="AI32" s="13"/>
      <c r="AJ32" s="13"/>
      <c r="AK32" s="13"/>
      <c r="AL32" s="13"/>
      <c r="AM32" s="13"/>
      <c r="AN32" s="13"/>
      <c r="AO32" s="13"/>
      <c r="AP32" s="13"/>
      <c r="AQ32" s="13"/>
    </row>
    <row r="33" spans="2:43">
      <c r="B33" s="5" t="s">
        <v>32</v>
      </c>
      <c r="C33" s="6" t="s">
        <v>34</v>
      </c>
      <c r="D33" s="7">
        <f>IFERROR('Customer Prices'!E9/Weights!D10,"-")</f>
        <v>207.61721191406252</v>
      </c>
      <c r="E33" s="7">
        <f>IFERROR('Customer Prices'!F9/Weights!E10,"-")</f>
        <v>266.624208984375</v>
      </c>
      <c r="F33" s="7">
        <f>IFERROR('Customer Prices'!G9/Weights!F10,"-")</f>
        <v>197.25036057692304</v>
      </c>
      <c r="G33" s="7">
        <f>IFERROR('Customer Prices'!H9/Weights!G10,"-")</f>
        <v>239.09134615384619</v>
      </c>
      <c r="H33" s="7">
        <f>IFERROR('Customer Prices'!I9/Weights!H10,"-")</f>
        <v>225.94132211538462</v>
      </c>
      <c r="I33" s="7">
        <f>IFERROR('Customer Prices'!J9/Weights!I10,"-")</f>
        <v>175.21980082417579</v>
      </c>
      <c r="J33" s="7">
        <f>IFERROR('Customer Prices'!K9/Weights!J10,"-")</f>
        <v>597.99607384169883</v>
      </c>
      <c r="K33" s="7">
        <f>IFERROR('Customer Prices'!L9/Weights!K10,"-")</f>
        <v>140.12890013966478</v>
      </c>
      <c r="L33" s="7"/>
      <c r="M33" s="6" t="s">
        <v>32</v>
      </c>
      <c r="N33" s="5" t="s">
        <v>34</v>
      </c>
      <c r="O33" s="7">
        <f>IFERROR('Customer Prices'!Q9/Weights!O10,"-")</f>
        <v>36.156466836734694</v>
      </c>
      <c r="P33" s="7">
        <f>IFERROR('Customer Prices'!R9/Weights!P10,"-")</f>
        <v>39.486667729591829</v>
      </c>
      <c r="Q33" s="7">
        <f>IFERROR('Customer Prices'!S9/Weights!Q10,"-")</f>
        <v>103.71197066326533</v>
      </c>
      <c r="R33" s="7">
        <f>IFERROR('Customer Prices'!T9/Weights!R10,"-")</f>
        <v>408.7327989130435</v>
      </c>
      <c r="S33" s="7">
        <f>IFERROR('Customer Prices'!U9/Weights!S10,"-")</f>
        <v>311.51099665924278</v>
      </c>
      <c r="T33" s="7">
        <f>IFERROR('Customer Prices'!V9/Weights!T10,"-")</f>
        <v>273.29898106904233</v>
      </c>
      <c r="U33" s="7">
        <f>IFERROR('Customer Prices'!W9/Weights!U10,"-")</f>
        <v>193.92410714285714</v>
      </c>
      <c r="V33" s="7">
        <f>IFERROR('Customer Prices'!X9/Weights!V10,"-")</f>
        <v>485.07795100222722</v>
      </c>
      <c r="W33" s="7">
        <f>IFERROR('Customer Prices'!Y9/Weights!W10,"-")</f>
        <v>83.069599109131417</v>
      </c>
      <c r="X33" s="7">
        <f>IFERROR('Customer Prices'!Z9/Weights!X10,"-")</f>
        <v>129.32280133928572</v>
      </c>
      <c r="Y33" s="7">
        <f>IFERROR('Customer Prices'!AA9/Weights!Y10,"-")</f>
        <v>104.73685065321069</v>
      </c>
      <c r="Z33" s="131">
        <f t="shared" si="48"/>
        <v>0.70866675000000001</v>
      </c>
      <c r="AA33" s="134">
        <f t="shared" si="49"/>
        <v>10.3409398125</v>
      </c>
      <c r="AB33" s="134">
        <f t="shared" si="50"/>
        <v>3.3568425000000008</v>
      </c>
      <c r="AC33" s="134">
        <f t="shared" ref="AC33:AC48" si="51">((U33*U10)-(AB33/2))*2</f>
        <v>3.1590074999999986</v>
      </c>
      <c r="AD33" s="134">
        <f t="shared" ref="AD33:AD48" si="52">((W33*W10)-(Z33/2))*2</f>
        <v>3.0211582500000005</v>
      </c>
      <c r="AE33" s="134">
        <f t="shared" ref="AE33:AE49" si="53">$AE$27*AE10</f>
        <v>2.411396125793555</v>
      </c>
      <c r="AF33" s="134">
        <f t="shared" ref="AF33:AF49" si="54">((V33*V10)-(Z33/2))</f>
        <v>10.535666625000001</v>
      </c>
      <c r="AG33" s="134">
        <f t="shared" ref="AG33:AG49" si="55">$AG$27*AG10</f>
        <v>4.0999390614437496</v>
      </c>
      <c r="AH33" s="135">
        <f t="shared" ref="AH33:AH49" si="56">$AH$27*AH10</f>
        <v>0.69170433086821914</v>
      </c>
      <c r="AI33" s="13"/>
      <c r="AJ33" s="13"/>
      <c r="AK33" s="13"/>
      <c r="AL33" s="13"/>
      <c r="AM33" s="13"/>
      <c r="AN33" s="13"/>
      <c r="AO33" s="13"/>
      <c r="AP33" s="13"/>
      <c r="AQ33" s="13"/>
    </row>
    <row r="34" spans="2:43">
      <c r="B34" s="5" t="s">
        <v>33</v>
      </c>
      <c r="C34" s="6" t="s">
        <v>35</v>
      </c>
      <c r="D34" s="7">
        <f>IFERROR('Customer Prices'!E10/Weights!D11,"-")</f>
        <v>214.93906779661015</v>
      </c>
      <c r="E34" s="7">
        <f>IFERROR('Customer Prices'!F10/Weights!E11,"-")</f>
        <v>278.68325211864408</v>
      </c>
      <c r="F34" s="7">
        <f>IFERROR('Customer Prices'!G10/Weights!F11,"-")</f>
        <v>201.1262135650224</v>
      </c>
      <c r="G34" s="7">
        <f>IFERROR('Customer Prices'!H10/Weights!G11,"-")</f>
        <v>259.66606782511207</v>
      </c>
      <c r="H34" s="7">
        <f>IFERROR('Customer Prices'!I10/Weights!H11,"-")</f>
        <v>246.70367152466372</v>
      </c>
      <c r="I34" s="7">
        <f>IFERROR('Customer Prices'!J10/Weights!I11,"-")</f>
        <v>215.90802455357144</v>
      </c>
      <c r="J34" s="7">
        <f>IFERROR('Customer Prices'!K10/Weights!J11,"-")</f>
        <v>597.99607384169883</v>
      </c>
      <c r="K34" s="7">
        <f>IFERROR('Customer Prices'!L10/Weights!K11,"-")</f>
        <v>129.46155970982142</v>
      </c>
      <c r="L34" s="7"/>
      <c r="M34" s="6" t="s">
        <v>33</v>
      </c>
      <c r="N34" s="5" t="s">
        <v>35</v>
      </c>
      <c r="O34" s="7">
        <f>IFERROR('Customer Prices'!Q10/Weights!O11,"-")</f>
        <v>30.591624605678234</v>
      </c>
      <c r="P34" s="7">
        <f>IFERROR('Customer Prices'!R10/Weights!P11,"-")</f>
        <v>33.238976735015768</v>
      </c>
      <c r="Q34" s="7">
        <f>IFERROR('Customer Prices'!S10/Weights!Q11,"-")</f>
        <v>80.008864353312319</v>
      </c>
      <c r="R34" s="7">
        <f>IFERROR('Customer Prices'!T10/Weights!R11,"-")</f>
        <v>408.84620192307699</v>
      </c>
      <c r="S34" s="7">
        <f>IFERROR('Customer Prices'!U10/Weights!S11,"-")</f>
        <v>293.26104961832067</v>
      </c>
      <c r="T34" s="7">
        <f>IFERROR('Customer Prices'!V10/Weights!T11,"-")</f>
        <v>226.63669465648857</v>
      </c>
      <c r="U34" s="7">
        <f>IFERROR('Customer Prices'!W10/Weights!U11,"-")</f>
        <v>160.6494479495268</v>
      </c>
      <c r="V34" s="7">
        <f>IFERROR('Customer Prices'!X10/Weights!V11,"-")</f>
        <v>444.73180534351144</v>
      </c>
      <c r="W34" s="7">
        <f>IFERROR('Customer Prices'!Y10/Weights!W11,"-")</f>
        <v>72.603463740457997</v>
      </c>
      <c r="X34" s="7">
        <f>IFERROR('Customer Prices'!Z10/Weights!X11,"-")</f>
        <v>98.834479495268141</v>
      </c>
      <c r="Y34" s="7">
        <f>IFERROR('Customer Prices'!AA10/Weights!Y11,"-")</f>
        <v>80.04475630809813</v>
      </c>
      <c r="Z34" s="131">
        <f t="shared" si="48"/>
        <v>0.96975449999999996</v>
      </c>
      <c r="AA34" s="134">
        <f t="shared" si="49"/>
        <v>13.819001625</v>
      </c>
      <c r="AB34" s="134">
        <f t="shared" si="50"/>
        <v>4.1028075000000008</v>
      </c>
      <c r="AC34" s="134">
        <f t="shared" si="51"/>
        <v>4.6273424999999992</v>
      </c>
      <c r="AD34" s="134">
        <f t="shared" si="52"/>
        <v>3.7857723749999992</v>
      </c>
      <c r="AE34" s="134">
        <f t="shared" si="53"/>
        <v>3.9000641422273317</v>
      </c>
      <c r="AF34" s="134">
        <f t="shared" si="54"/>
        <v>14.080089375</v>
      </c>
      <c r="AG34" s="134">
        <f t="shared" si="55"/>
        <v>6.6310238901921874</v>
      </c>
      <c r="AH34" s="135">
        <f t="shared" si="56"/>
        <v>0.92409511396623734</v>
      </c>
      <c r="AI34" s="13"/>
      <c r="AJ34" s="13"/>
      <c r="AK34" s="13"/>
      <c r="AL34" s="13"/>
      <c r="AM34" s="13"/>
      <c r="AN34" s="13"/>
      <c r="AO34" s="13"/>
      <c r="AP34" s="13"/>
      <c r="AQ34" s="13"/>
    </row>
    <row r="35" spans="2:43">
      <c r="B35" s="5" t="s">
        <v>36</v>
      </c>
      <c r="C35" s="6" t="s">
        <v>37</v>
      </c>
      <c r="D35" s="7">
        <f>IFERROR('Customer Prices'!E11/Weights!D12,"-")</f>
        <v>193.27274999999997</v>
      </c>
      <c r="E35" s="7">
        <f>IFERROR('Customer Prices'!F11/Weights!E12,"-")</f>
        <v>249.220125</v>
      </c>
      <c r="F35" s="7" t="str">
        <f>IFERROR('Customer Prices'!G11/Weights!F12,"-")</f>
        <v>-</v>
      </c>
      <c r="G35" s="7" t="str">
        <f>IFERROR('Customer Prices'!H11/Weights!G12,"-")</f>
        <v>-</v>
      </c>
      <c r="H35" s="7" t="str">
        <f>IFERROR('Customer Prices'!I11/Weights!H12,"-")</f>
        <v>-</v>
      </c>
      <c r="I35" s="7" t="str">
        <f>IFERROR('Customer Prices'!J11/Weights!I12,"-")</f>
        <v>-</v>
      </c>
      <c r="J35" s="7" t="str">
        <f>IFERROR('Customer Prices'!K11/Weights!J12,"-")</f>
        <v>-</v>
      </c>
      <c r="K35" s="7" t="str">
        <f>IFERROR('Customer Prices'!L11/Weights!K12,"-")</f>
        <v>-</v>
      </c>
      <c r="L35" s="7"/>
      <c r="M35" s="6" t="s">
        <v>36</v>
      </c>
      <c r="N35" s="5" t="s">
        <v>37</v>
      </c>
      <c r="O35" s="7">
        <f>IFERROR('Customer Prices'!Q11/Weights!O12,"-")</f>
        <v>26.135353325415675</v>
      </c>
      <c r="P35" s="7">
        <f>IFERROR('Customer Prices'!R11/Weights!P12,"-")</f>
        <v>28.571699821852732</v>
      </c>
      <c r="Q35" s="7">
        <f>IFERROR('Customer Prices'!S11/Weights!Q12,"-")</f>
        <v>67.553243764845604</v>
      </c>
      <c r="R35" s="7">
        <f>IFERROR('Customer Prices'!T11/Weights!R12,"-")</f>
        <v>409.03011834319523</v>
      </c>
      <c r="S35" s="7">
        <f>IFERROR('Customer Prices'!U11/Weights!S12,"-")</f>
        <v>300.0338752693965</v>
      </c>
      <c r="T35" s="7">
        <f>IFERROR('Customer Prices'!V11/Weights!T12,"-")</f>
        <v>232.51118130387931</v>
      </c>
      <c r="U35" s="7">
        <f>IFERROR('Customer Prices'!W11/Weights!U12,"-")</f>
        <v>137.05908551068885</v>
      </c>
      <c r="V35" s="7">
        <f>IFERROR('Customer Prices'!X11/Weights!V12,"-")</f>
        <v>353.18790072737067</v>
      </c>
      <c r="W35" s="7">
        <f>IFERROR('Customer Prices'!Y11/Weights!W12,"-")</f>
        <v>58.077555226293114</v>
      </c>
      <c r="X35" s="7">
        <f>IFERROR('Customer Prices'!Z11/Weights!X12,"-")</f>
        <v>83.850925252375305</v>
      </c>
      <c r="Y35" s="7">
        <f>IFERROR('Customer Prices'!AA11/Weights!Y12,"-")</f>
        <v>69.279741026216826</v>
      </c>
      <c r="Z35" s="131">
        <f t="shared" si="48"/>
        <v>1.1002983749999999</v>
      </c>
      <c r="AA35" s="134">
        <f t="shared" si="49"/>
        <v>20.737826999999999</v>
      </c>
      <c r="AB35" s="134">
        <f t="shared" si="50"/>
        <v>4.5876847499999993</v>
      </c>
      <c r="AC35" s="134">
        <f t="shared" si="51"/>
        <v>5.3040652500000007</v>
      </c>
      <c r="AD35" s="134">
        <f t="shared" si="52"/>
        <v>4.2892987500000004</v>
      </c>
      <c r="AE35" s="134">
        <f t="shared" si="53"/>
        <v>5.1795804538728909</v>
      </c>
      <c r="AF35" s="134">
        <f t="shared" si="54"/>
        <v>15.837769406249997</v>
      </c>
      <c r="AG35" s="134">
        <f t="shared" si="55"/>
        <v>8.8065017595296862</v>
      </c>
      <c r="AH35" s="135">
        <f t="shared" si="56"/>
        <v>1.3861426709493563</v>
      </c>
      <c r="AI35" s="13"/>
      <c r="AJ35" s="13"/>
      <c r="AK35" s="13"/>
      <c r="AL35" s="13"/>
      <c r="AM35" s="13"/>
      <c r="AN35" s="13"/>
      <c r="AO35" s="13"/>
      <c r="AP35" s="13"/>
      <c r="AQ35" s="13"/>
    </row>
    <row r="36" spans="2:43">
      <c r="B36" s="5" t="s">
        <v>34</v>
      </c>
      <c r="C36" s="6" t="s">
        <v>38</v>
      </c>
      <c r="D36" s="7">
        <f>IFERROR('Customer Prices'!E12/Weights!D13,"-")</f>
        <v>167.17608482142853</v>
      </c>
      <c r="E36" s="7">
        <f>IFERROR('Customer Prices'!F12/Weights!E13,"-")</f>
        <v>215.79701785714289</v>
      </c>
      <c r="F36" s="7">
        <f>IFERROR('Customer Prices'!G12/Weights!F13,"-")</f>
        <v>174.96650983146063</v>
      </c>
      <c r="G36" s="7">
        <f>IFERROR('Customer Prices'!H12/Weights!G13,"-")</f>
        <v>226.82784058988761</v>
      </c>
      <c r="H36" s="7">
        <f>IFERROR('Customer Prices'!I12/Weights!H13,"-")</f>
        <v>214.51732268258425</v>
      </c>
      <c r="I36" s="7">
        <f>IFERROR('Customer Prices'!J12/Weights!I13,"-")</f>
        <v>171.68535684121619</v>
      </c>
      <c r="J36" s="7">
        <f>IFERROR('Customer Prices'!K12/Weights!J13,"-")</f>
        <v>557.07669023136248</v>
      </c>
      <c r="K36" s="7">
        <f>IFERROR('Customer Prices'!L12/Weights!K13,"-")</f>
        <v>121.82984933035711</v>
      </c>
      <c r="L36" s="7"/>
      <c r="M36" s="6" t="s">
        <v>34</v>
      </c>
      <c r="N36" s="5" t="s">
        <v>38</v>
      </c>
      <c r="O36" s="7">
        <f>IFERROR('Customer Prices'!Q12/Weights!O13,"-")</f>
        <v>28.571699821852732</v>
      </c>
      <c r="P36" s="7">
        <f>IFERROR('Customer Prices'!R12/Weights!P13,"-")</f>
        <v>30.786560273159147</v>
      </c>
      <c r="Q36" s="7">
        <f>IFERROR('Customer Prices'!S12/Weights!Q13,"-")</f>
        <v>74.419311163895472</v>
      </c>
      <c r="R36" s="7">
        <f>IFERROR('Customer Prices'!T12/Weights!R13,"-")</f>
        <v>409.03011834319523</v>
      </c>
      <c r="S36" s="7">
        <f>IFERROR('Customer Prices'!U12/Weights!S13,"-")</f>
        <v>300.0338752693965</v>
      </c>
      <c r="T36" s="7">
        <f>IFERROR('Customer Prices'!V12/Weights!T13,"-")</f>
        <v>232.51118130387931</v>
      </c>
      <c r="U36" s="7">
        <f>IFERROR('Customer Prices'!W12/Weights!U13,"-")</f>
        <v>151.3937054631829</v>
      </c>
      <c r="V36" s="7">
        <f>IFERROR('Customer Prices'!X12/Weights!V13,"-")</f>
        <v>392.47565867456905</v>
      </c>
      <c r="W36" s="7">
        <f>IFERROR('Customer Prices'!Y12/Weights!W13,"-")</f>
        <v>64.508287984913792</v>
      </c>
      <c r="X36" s="7">
        <f>IFERROR('Customer Prices'!Z12/Weights!X13,"-")</f>
        <v>93.282539340855109</v>
      </c>
      <c r="Y36" s="7">
        <f>IFERROR('Customer Prices'!AA12/Weights!Y13,"-")</f>
        <v>78.28825224324811</v>
      </c>
      <c r="Z36" s="131">
        <f t="shared" si="48"/>
        <v>1.2028685625</v>
      </c>
      <c r="AA36" s="134">
        <f t="shared" si="49"/>
        <v>20.737826999999999</v>
      </c>
      <c r="AB36" s="134">
        <f t="shared" si="50"/>
        <v>5.0632374374999989</v>
      </c>
      <c r="AC36" s="134">
        <f t="shared" si="51"/>
        <v>5.8630625625000006</v>
      </c>
      <c r="AD36" s="134">
        <f t="shared" si="52"/>
        <v>4.7835005624999996</v>
      </c>
      <c r="AE36" s="134">
        <f t="shared" si="53"/>
        <v>5.1795804538728909</v>
      </c>
      <c r="AF36" s="134">
        <f t="shared" si="54"/>
        <v>17.609436281250002</v>
      </c>
      <c r="AG36" s="134">
        <f t="shared" si="55"/>
        <v>8.8065017595296862</v>
      </c>
      <c r="AH36" s="135">
        <f t="shared" si="56"/>
        <v>1.3861426709493563</v>
      </c>
      <c r="AI36" s="13"/>
      <c r="AJ36" s="13"/>
      <c r="AK36" s="13"/>
      <c r="AL36" s="13"/>
      <c r="AM36" s="13"/>
      <c r="AN36" s="13"/>
      <c r="AO36" s="13"/>
      <c r="AP36" s="13"/>
      <c r="AQ36" s="13"/>
    </row>
    <row r="37" spans="2:43">
      <c r="B37" s="5" t="s">
        <v>35</v>
      </c>
      <c r="C37" s="6" t="s">
        <v>39</v>
      </c>
      <c r="D37" s="7">
        <f>IFERROR('Customer Prices'!E13/Weights!D14,"-")</f>
        <v>156.539625</v>
      </c>
      <c r="E37" s="7">
        <f>IFERROR('Customer Prices'!F13/Weights!E14,"-")</f>
        <v>204.57524999999998</v>
      </c>
      <c r="F37" s="7">
        <f>IFERROR('Customer Prices'!G13/Weights!F14,"-")</f>
        <v>186.70079073033708</v>
      </c>
      <c r="G37" s="7">
        <f>IFERROR('Customer Prices'!H13/Weights!G14,"-")</f>
        <v>228.18985533707863</v>
      </c>
      <c r="H37" s="7">
        <f>IFERROR('Customer Prices'!I13/Weights!H14,"-")</f>
        <v>216.0364929775281</v>
      </c>
      <c r="I37" s="7">
        <f>IFERROR('Customer Prices'!J13/Weights!I14,"-")</f>
        <v>159.57498711340202</v>
      </c>
      <c r="J37" s="7" t="str">
        <f>IFERROR('Customer Prices'!K13/Weights!J14,"-")</f>
        <v>-</v>
      </c>
      <c r="K37" s="7" t="str">
        <f>IFERROR('Customer Prices'!L13/Weights!K14,"-")</f>
        <v>-</v>
      </c>
      <c r="L37" s="7"/>
      <c r="M37" s="6" t="s">
        <v>35</v>
      </c>
      <c r="N37" s="5" t="s">
        <v>39</v>
      </c>
      <c r="O37" s="7">
        <f>IFERROR('Customer Prices'!Q13/Weights!O14,"-")</f>
        <v>25.514058809055118</v>
      </c>
      <c r="P37" s="7">
        <f>IFERROR('Customer Prices'!R13/Weights!P14,"-")</f>
        <v>28.083820127952759</v>
      </c>
      <c r="Q37" s="7">
        <f>IFERROR('Customer Prices'!S13/Weights!Q14,"-")</f>
        <v>80.580372785433056</v>
      </c>
      <c r="R37" s="7">
        <f>IFERROR('Customer Prices'!T13/Weights!R14,"-")</f>
        <v>409.11320748730964</v>
      </c>
      <c r="S37" s="7">
        <f>IFERROR('Customer Prices'!U13/Weights!S14,"-")</f>
        <v>315.28729981801632</v>
      </c>
      <c r="T37" s="7">
        <f>IFERROR('Customer Prices'!V13/Weights!T14,"-")</f>
        <v>264.04038671519561</v>
      </c>
      <c r="U37" s="7">
        <f>IFERROR('Customer Prices'!W13/Weights!U14,"-")</f>
        <v>169.02485236220468</v>
      </c>
      <c r="V37" s="7">
        <f>IFERROR('Customer Prices'!X13/Weights!V14,"-")</f>
        <v>430.84739194722482</v>
      </c>
      <c r="W37" s="7">
        <f>IFERROR('Customer Prices'!Y13/Weights!W14,"-")</f>
        <v>70.846311988171067</v>
      </c>
      <c r="X37" s="7">
        <f>IFERROR('Customer Prices'!Z13/Weights!X14,"-")</f>
        <v>100.43483821358265</v>
      </c>
      <c r="Y37" s="7">
        <f>IFERROR('Customer Prices'!AA13/Weights!Y14,"-")</f>
        <v>84.255926481227135</v>
      </c>
      <c r="Z37" s="131">
        <f t="shared" si="48"/>
        <v>1.2961141875</v>
      </c>
      <c r="AA37" s="134">
        <f t="shared" si="49"/>
        <v>24.178590562499998</v>
      </c>
      <c r="AB37" s="134">
        <f t="shared" si="50"/>
        <v>6.8908516874999988</v>
      </c>
      <c r="AC37" s="134">
        <f t="shared" si="51"/>
        <v>7.8287983124999991</v>
      </c>
      <c r="AD37" s="134">
        <f t="shared" si="52"/>
        <v>6.4898955000000003</v>
      </c>
      <c r="AE37" s="134">
        <f t="shared" si="53"/>
        <v>6.2499450607302345</v>
      </c>
      <c r="AF37" s="134">
        <f t="shared" si="54"/>
        <v>23.027007093750001</v>
      </c>
      <c r="AG37" s="134">
        <f t="shared" si="55"/>
        <v>10.626372669456249</v>
      </c>
      <c r="AH37" s="135">
        <f t="shared" si="56"/>
        <v>1.6157994448344566</v>
      </c>
      <c r="AI37" s="13"/>
      <c r="AJ37" s="13"/>
      <c r="AK37" s="13"/>
      <c r="AL37" s="13"/>
      <c r="AM37" s="13"/>
      <c r="AN37" s="13"/>
      <c r="AO37" s="13"/>
      <c r="AP37" s="13"/>
      <c r="AQ37" s="13"/>
    </row>
    <row r="38" spans="2:43">
      <c r="B38" s="5" t="s">
        <v>37</v>
      </c>
      <c r="C38" s="6" t="s">
        <v>41</v>
      </c>
      <c r="D38" s="7">
        <f>IFERROR('Customer Prices'!E14/Weights!D15,"-")</f>
        <v>150.53216589095746</v>
      </c>
      <c r="E38" s="7">
        <f>IFERROR('Customer Prices'!F14/Weights!E15,"-")</f>
        <v>194.42704787234044</v>
      </c>
      <c r="F38" s="7">
        <f>IFERROR('Customer Prices'!G14/Weights!F15,"-")</f>
        <v>175.43991666666668</v>
      </c>
      <c r="G38" s="7">
        <f>IFERROR('Customer Prices'!H14/Weights!G15,"-")</f>
        <v>226.55233333333328</v>
      </c>
      <c r="H38" s="7">
        <f>IFERROR('Customer Prices'!I14/Weights!H15,"-")</f>
        <v>214.63761458333335</v>
      </c>
      <c r="I38" s="7">
        <f>IFERROR('Customer Prices'!J14/Weights!I15,"-")</f>
        <v>0</v>
      </c>
      <c r="J38" s="7">
        <f>IFERROR('Customer Prices'!K14/Weights!J15,"-")</f>
        <v>554.47844866071432</v>
      </c>
      <c r="K38" s="7">
        <f>IFERROR('Customer Prices'!L14/Weights!K15,"-")</f>
        <v>121.49662290892194</v>
      </c>
      <c r="L38" s="7"/>
      <c r="M38" s="6" t="s">
        <v>37</v>
      </c>
      <c r="N38" s="5" t="s">
        <v>41</v>
      </c>
      <c r="O38" s="7">
        <f>IFERROR('Customer Prices'!Q14/Weights!O15,"-")</f>
        <v>24.025683321727019</v>
      </c>
      <c r="P38" s="7">
        <f>IFERROR('Customer Prices'!R14/Weights!P15,"-")</f>
        <v>26.233448816155992</v>
      </c>
      <c r="Q38" s="7">
        <f>IFERROR('Customer Prices'!S14/Weights!Q15,"-")</f>
        <v>70.258890146239537</v>
      </c>
      <c r="R38" s="7">
        <f>IFERROR('Customer Prices'!T14/Weights!R15,"-")</f>
        <v>408.93114226973682</v>
      </c>
      <c r="S38" s="7">
        <f>IFERROR('Customer Prices'!U14/Weights!S15,"-")</f>
        <v>260.17926759133968</v>
      </c>
      <c r="T38" s="7">
        <f>IFERROR('Customer Prices'!V14/Weights!T15,"-")</f>
        <v>246.42585334912047</v>
      </c>
      <c r="U38" s="7">
        <f>IFERROR('Customer Prices'!W14/Weights!U15,"-")</f>
        <v>142.00226323119776</v>
      </c>
      <c r="V38" s="7">
        <f>IFERROR('Customer Prices'!X14/Weights!V15,"-")</f>
        <v>394.30660098105551</v>
      </c>
      <c r="W38" s="7">
        <f>IFERROR('Customer Prices'!Y14/Weights!W15,"-")</f>
        <v>64.855549729364</v>
      </c>
      <c r="X38" s="7">
        <f>IFERROR('Customer Prices'!Z14/Weights!X15,"-")</f>
        <v>87.423184627437308</v>
      </c>
      <c r="Y38" s="7">
        <f>IFERROR('Customer Prices'!AA14/Weights!Y15,"-")</f>
        <v>73.321263385124382</v>
      </c>
      <c r="Z38" s="131">
        <f t="shared" si="48"/>
        <v>1.7250440625000001</v>
      </c>
      <c r="AA38" s="134">
        <f t="shared" si="49"/>
        <v>31.0787668125</v>
      </c>
      <c r="AB38" s="134">
        <f t="shared" si="50"/>
        <v>8.3641325624999983</v>
      </c>
      <c r="AC38" s="134">
        <f t="shared" si="51"/>
        <v>9.1143174375000005</v>
      </c>
      <c r="AD38" s="134">
        <f t="shared" si="52"/>
        <v>7.8606061874999984</v>
      </c>
      <c r="AE38" s="134">
        <f t="shared" si="53"/>
        <v>8.8335837669376165</v>
      </c>
      <c r="AF38" s="134">
        <f t="shared" si="54"/>
        <v>28.27673578125</v>
      </c>
      <c r="AG38" s="134">
        <f t="shared" si="55"/>
        <v>15.019164521003125</v>
      </c>
      <c r="AH38" s="135">
        <f t="shared" si="56"/>
        <v>2.0778470018175752</v>
      </c>
      <c r="AI38" s="13"/>
      <c r="AJ38" s="13"/>
      <c r="AK38" s="13"/>
      <c r="AL38" s="13"/>
      <c r="AM38" s="13"/>
      <c r="AN38" s="13"/>
      <c r="AO38" s="13"/>
      <c r="AP38" s="13"/>
      <c r="AQ38" s="13"/>
    </row>
    <row r="39" spans="2:43">
      <c r="B39" s="5" t="s">
        <v>38</v>
      </c>
      <c r="C39" s="6" t="s">
        <v>42</v>
      </c>
      <c r="D39" s="7">
        <f>IFERROR('Customer Prices'!E15/Weights!D16,"-")</f>
        <v>150.38994177018637</v>
      </c>
      <c r="E39" s="7">
        <f>IFERROR('Customer Prices'!F15/Weights!E16,"-")</f>
        <v>194.79262034161493</v>
      </c>
      <c r="F39" s="7">
        <f>IFERROR('Customer Prices'!G15/Weights!F16,"-")</f>
        <v>180.42288392857142</v>
      </c>
      <c r="G39" s="7">
        <f>IFERROR('Customer Prices'!H15/Weights!G16,"-")</f>
        <v>232.67003571428572</v>
      </c>
      <c r="H39" s="7">
        <f>IFERROR('Customer Prices'!I15/Weights!H16,"-")</f>
        <v>220.68131249999996</v>
      </c>
      <c r="I39" s="7">
        <f>IFERROR('Customer Prices'!J15/Weights!I16,"-")</f>
        <v>138.65745535714285</v>
      </c>
      <c r="J39" s="7">
        <f>IFERROR('Customer Prices'!K15/Weights!J16,"-")</f>
        <v>554.47844866071432</v>
      </c>
      <c r="K39" s="7">
        <f>IFERROR('Customer Prices'!L15/Weights!K16,"-")</f>
        <v>122.52364118303569</v>
      </c>
      <c r="L39" s="7"/>
      <c r="M39" s="6" t="s">
        <v>38</v>
      </c>
      <c r="N39" s="5" t="s">
        <v>42</v>
      </c>
      <c r="O39" s="7">
        <f>IFERROR('Customer Prices'!Q15/Weights!O16,"-")</f>
        <v>33.6567048816568</v>
      </c>
      <c r="P39" s="7">
        <f>IFERROR('Customer Prices'!R15/Weights!P16,"-")</f>
        <v>36.084401627218931</v>
      </c>
      <c r="Q39" s="7">
        <f>IFERROR('Customer Prices'!S15/Weights!Q16,"-")</f>
        <v>74.596499999999978</v>
      </c>
      <c r="R39" s="7">
        <f>IFERROR('Customer Prices'!T15/Weights!R16,"-")</f>
        <v>408.91569025834229</v>
      </c>
      <c r="S39" s="7">
        <f>IFERROR('Customer Prices'!U15/Weights!S16,"-")</f>
        <v>314.32290727170232</v>
      </c>
      <c r="T39" s="7">
        <f>IFERROR('Customer Prices'!V15/Weights!T16,"-")</f>
        <v>250.93270222660649</v>
      </c>
      <c r="U39" s="7">
        <f>IFERROR('Customer Prices'!W15/Weights!U16,"-")</f>
        <v>150.85621301775146</v>
      </c>
      <c r="V39" s="7">
        <f>IFERROR('Customer Prices'!X15/Weights!V16,"-")</f>
        <v>410.72227381623446</v>
      </c>
      <c r="W39" s="7">
        <f>IFERROR('Customer Prices'!Y15/Weights!W16,"-")</f>
        <v>67.069570180383309</v>
      </c>
      <c r="X39" s="7">
        <f>IFERROR('Customer Prices'!Z15/Weights!X16,"-")</f>
        <v>92.822617233727797</v>
      </c>
      <c r="Y39" s="7">
        <f>IFERROR('Customer Prices'!AA15/Weights!Y16,"-")</f>
        <v>77.796578920413793</v>
      </c>
      <c r="Z39" s="131">
        <f t="shared" si="48"/>
        <v>2.8439915624999998</v>
      </c>
      <c r="AA39" s="134">
        <f t="shared" si="49"/>
        <v>37.988267624999999</v>
      </c>
      <c r="AB39" s="134">
        <f t="shared" si="50"/>
        <v>9.7628169374999985</v>
      </c>
      <c r="AC39" s="134">
        <f t="shared" si="51"/>
        <v>12.0897830625</v>
      </c>
      <c r="AD39" s="134">
        <f t="shared" si="52"/>
        <v>9.0541501874999994</v>
      </c>
      <c r="AE39" s="134">
        <f t="shared" si="53"/>
        <v>10.396070032120175</v>
      </c>
      <c r="AF39" s="134">
        <f t="shared" si="54"/>
        <v>35.009069906249998</v>
      </c>
      <c r="AG39" s="134">
        <f t="shared" si="55"/>
        <v>17.675757688367188</v>
      </c>
      <c r="AH39" s="135">
        <f t="shared" si="56"/>
        <v>2.539894558800694</v>
      </c>
      <c r="AI39" s="13"/>
      <c r="AJ39" s="13"/>
      <c r="AK39" s="13"/>
      <c r="AL39" s="13"/>
      <c r="AM39" s="13"/>
      <c r="AN39" s="13"/>
      <c r="AO39" s="13"/>
      <c r="AP39" s="13"/>
      <c r="AQ39" s="13"/>
    </row>
    <row r="40" spans="2:43">
      <c r="B40" s="5" t="s">
        <v>39</v>
      </c>
      <c r="C40" s="6" t="s">
        <v>27</v>
      </c>
      <c r="D40" s="7">
        <f>IFERROR('Customer Prices'!E16/Weights!D17,"-")</f>
        <v>152.6857055412371</v>
      </c>
      <c r="E40" s="7">
        <f>IFERROR('Customer Prices'!F16/Weights!E17,"-")</f>
        <v>197.22571198453608</v>
      </c>
      <c r="F40" s="7">
        <f>IFERROR('Customer Prices'!G16/Weights!F17,"-")</f>
        <v>175.6228857615894</v>
      </c>
      <c r="G40" s="7">
        <f>IFERROR('Customer Prices'!H16/Weights!G17,"-")</f>
        <v>226.63009519867555</v>
      </c>
      <c r="H40" s="7">
        <f>IFERROR('Customer Prices'!I16/Weights!H17,"-")</f>
        <v>214.52668956953647</v>
      </c>
      <c r="I40" s="7">
        <f>IFERROR('Customer Prices'!J16/Weights!I17,"-")</f>
        <v>0</v>
      </c>
      <c r="J40" s="7">
        <f>IFERROR('Customer Prices'!K16/Weights!J17,"-")</f>
        <v>554.47844866071421</v>
      </c>
      <c r="K40" s="7">
        <f>IFERROR('Customer Prices'!L16/Weights!K17,"-")</f>
        <v>110.52104213169642</v>
      </c>
      <c r="L40" s="7"/>
      <c r="M40" s="6" t="s">
        <v>39</v>
      </c>
      <c r="N40" s="5" t="s">
        <v>27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131">
        <f t="shared" si="48"/>
        <v>0</v>
      </c>
      <c r="AA40" s="134">
        <f t="shared" si="49"/>
        <v>0</v>
      </c>
      <c r="AB40" s="134">
        <f t="shared" si="50"/>
        <v>0</v>
      </c>
      <c r="AC40" s="134">
        <f t="shared" si="51"/>
        <v>0</v>
      </c>
      <c r="AD40" s="134">
        <f t="shared" si="52"/>
        <v>0</v>
      </c>
      <c r="AE40" s="134">
        <f t="shared" si="53"/>
        <v>0</v>
      </c>
      <c r="AF40" s="134">
        <f t="shared" si="54"/>
        <v>0</v>
      </c>
      <c r="AG40" s="134">
        <f t="shared" si="55"/>
        <v>0</v>
      </c>
      <c r="AH40" s="135">
        <f t="shared" si="56"/>
        <v>0</v>
      </c>
      <c r="AI40" s="13"/>
      <c r="AJ40" s="13"/>
      <c r="AK40" s="13"/>
      <c r="AL40" s="13"/>
      <c r="AM40" s="13"/>
      <c r="AN40" s="13"/>
      <c r="AO40" s="13"/>
      <c r="AP40" s="13"/>
      <c r="AQ40" s="13"/>
    </row>
    <row r="41" spans="2:43">
      <c r="B41" s="5" t="s">
        <v>41</v>
      </c>
      <c r="C41" s="6" t="s">
        <v>43</v>
      </c>
      <c r="D41" s="7">
        <f>IFERROR('Customer Prices'!E17/Weights!D18,"-")</f>
        <v>152.49246057692309</v>
      </c>
      <c r="E41" s="7">
        <f>IFERROR('Customer Prices'!F17/Weights!E18,"-")</f>
        <v>197.10690576923074</v>
      </c>
      <c r="F41" s="7" t="str">
        <f>IFERROR('Customer Prices'!G17/Weights!F18,"-")</f>
        <v>-</v>
      </c>
      <c r="G41" s="7" t="str">
        <f>IFERROR('Customer Prices'!H17/Weights!G18,"-")</f>
        <v>-</v>
      </c>
      <c r="H41" s="7" t="str">
        <f>IFERROR('Customer Prices'!I17/Weights!H18,"-")</f>
        <v>-</v>
      </c>
      <c r="I41" s="7">
        <f>IFERROR('Customer Prices'!J17/Weights!I18,"-")</f>
        <v>87.838945903361349</v>
      </c>
      <c r="J41" s="7">
        <f>IFERROR('Customer Prices'!K17/Weights!J18,"-")</f>
        <v>540.82462500000008</v>
      </c>
      <c r="K41" s="7">
        <f>IFERROR('Customer Prices'!L17/Weights!K18,"-")</f>
        <v>0</v>
      </c>
      <c r="L41" s="7"/>
      <c r="M41" s="6" t="s">
        <v>41</v>
      </c>
      <c r="N41" s="5" t="s">
        <v>43</v>
      </c>
      <c r="O41" s="7">
        <f>IFERROR('Customer Prices'!Q17/Weights!O18,"-")</f>
        <v>34.717344308035713</v>
      </c>
      <c r="P41" s="7">
        <f>IFERROR('Customer Prices'!R17/Weights!P18,"-")</f>
        <v>37.214994977678565</v>
      </c>
      <c r="Q41" s="7">
        <f>IFERROR('Customer Prices'!S17/Weights!Q18,"-")</f>
        <v>73.014654575892848</v>
      </c>
      <c r="R41" s="7">
        <f>IFERROR('Customer Prices'!T17/Weights!R18,"-")</f>
        <v>409.04434392265188</v>
      </c>
      <c r="S41" s="7">
        <f>IFERROR('Customer Prices'!U17/Weights!S18,"-")</f>
        <v>277.5102304147465</v>
      </c>
      <c r="T41" s="7">
        <f>IFERROR('Customer Prices'!V17/Weights!T18,"-")</f>
        <v>217.35176267281102</v>
      </c>
      <c r="U41" s="7">
        <f>IFERROR('Customer Prices'!W17/Weights!U18,"-")</f>
        <v>147.84687500000001</v>
      </c>
      <c r="V41" s="7">
        <f>IFERROR('Customer Prices'!X17/Weights!V18,"-")</f>
        <v>396.65524769585249</v>
      </c>
      <c r="W41" s="7">
        <f>IFERROR('Customer Prices'!Y17/Weights!W18,"-")</f>
        <v>65.236779953917051</v>
      </c>
      <c r="X41" s="7">
        <f>IFERROR('Customer Prices'!Z17/Weights!X18,"-")</f>
        <v>90.914484374999986</v>
      </c>
      <c r="Y41" s="7">
        <f>IFERROR('Customer Prices'!AA17/Weights!Y18,"-")</f>
        <v>73.449050076089009</v>
      </c>
      <c r="Z41" s="131">
        <f t="shared" si="48"/>
        <v>3.8883425625000001</v>
      </c>
      <c r="AA41" s="134">
        <f t="shared" si="49"/>
        <v>51.825918374999993</v>
      </c>
      <c r="AB41" s="134">
        <f t="shared" si="50"/>
        <v>12.466940062499997</v>
      </c>
      <c r="AC41" s="134">
        <f t="shared" si="51"/>
        <v>15.919659937500004</v>
      </c>
      <c r="AD41" s="134">
        <f t="shared" si="52"/>
        <v>11.683676812500002</v>
      </c>
      <c r="AE41" s="134">
        <f t="shared" si="53"/>
        <v>13.779406433106031</v>
      </c>
      <c r="AF41" s="134">
        <f t="shared" si="54"/>
        <v>45.396632531249999</v>
      </c>
      <c r="AG41" s="134">
        <f t="shared" si="55"/>
        <v>23.428223208249999</v>
      </c>
      <c r="AH41" s="135">
        <f t="shared" si="56"/>
        <v>3.4639896727669317</v>
      </c>
      <c r="AI41" s="13"/>
      <c r="AJ41" s="13"/>
      <c r="AK41" s="13"/>
      <c r="AL41" s="13"/>
      <c r="AM41" s="13"/>
      <c r="AN41" s="13"/>
      <c r="AO41" s="13"/>
      <c r="AP41" s="13"/>
      <c r="AQ41" s="13"/>
    </row>
    <row r="42" spans="2:43">
      <c r="B42" s="5" t="s">
        <v>44</v>
      </c>
      <c r="C42" s="6" t="s">
        <v>45</v>
      </c>
      <c r="D42" s="7">
        <f>IFERROR('Customer Prices'!E18/Weights!D19,"-")</f>
        <v>150.591684375</v>
      </c>
      <c r="E42" s="7">
        <f>IFERROR('Customer Prices'!F18/Weights!E19,"-")</f>
        <v>194.417128125</v>
      </c>
      <c r="F42" s="7">
        <f>IFERROR('Customer Prices'!G18/Weights!F19,"-")</f>
        <v>172.11225175233642</v>
      </c>
      <c r="G42" s="7">
        <f>IFERROR('Customer Prices'!H18/Weights!G19,"-")</f>
        <v>222.4823183411215</v>
      </c>
      <c r="H42" s="7">
        <f>IFERROR('Customer Prices'!I18/Weights!H19,"-")</f>
        <v>0</v>
      </c>
      <c r="I42" s="7" t="str">
        <f>IFERROR('Customer Prices'!J18/Weights!I19,"-")</f>
        <v>-</v>
      </c>
      <c r="J42" s="7">
        <f>IFERROR('Customer Prices'!K18/Weights!J19,"-")</f>
        <v>540.82462499999997</v>
      </c>
      <c r="K42" s="7">
        <f>IFERROR('Customer Prices'!L18/Weights!K19,"-")</f>
        <v>107.41834042774087</v>
      </c>
      <c r="L42" s="7"/>
      <c r="M42" s="6" t="s">
        <v>44</v>
      </c>
      <c r="N42" s="5" t="s">
        <v>45</v>
      </c>
      <c r="O42" s="7">
        <f>IFERROR('Customer Prices'!Q18/Weights!O19,"-")</f>
        <v>39.629390625000006</v>
      </c>
      <c r="P42" s="7">
        <f>IFERROR('Customer Prices'!R18/Weights!P19,"-")</f>
        <v>42.397620117187508</v>
      </c>
      <c r="Q42" s="7">
        <f>IFERROR('Customer Prices'!S18/Weights!Q19,"-")</f>
        <v>83.629669921875006</v>
      </c>
      <c r="R42" s="7">
        <f>IFERROR('Customer Prices'!T18/Weights!R19,"-")</f>
        <v>408.90880688902746</v>
      </c>
      <c r="S42" s="7">
        <f>IFERROR('Customer Prices'!U18/Weights!S19,"-")</f>
        <v>289.95380201109572</v>
      </c>
      <c r="T42" s="7">
        <f>IFERROR('Customer Prices'!V18/Weights!T19,"-")</f>
        <v>229.68686546463246</v>
      </c>
      <c r="U42" s="7">
        <f>IFERROR('Customer Prices'!W18/Weights!U19,"-")</f>
        <v>167.66298828124999</v>
      </c>
      <c r="V42" s="7">
        <f>IFERROR('Customer Prices'!X18/Weights!V19,"-")</f>
        <v>429.30492675104028</v>
      </c>
      <c r="W42" s="7">
        <f>IFERROR('Customer Prices'!Y18/Weights!W19,"-")</f>
        <v>62.530179871705968</v>
      </c>
      <c r="X42" s="7">
        <f>IFERROR('Customer Prices'!Z18/Weights!X19,"-")</f>
        <v>96.718053222656238</v>
      </c>
      <c r="Y42" s="7">
        <f>IFERROR('Customer Prices'!AA18/Weights!Y19,"-")</f>
        <v>84.162049558921424</v>
      </c>
      <c r="Z42" s="131">
        <f t="shared" si="48"/>
        <v>5.0725620000000013</v>
      </c>
      <c r="AA42" s="134">
        <f t="shared" si="49"/>
        <v>65.588972624999997</v>
      </c>
      <c r="AB42" s="134">
        <f t="shared" si="50"/>
        <v>16.336633500000001</v>
      </c>
      <c r="AC42" s="134">
        <f t="shared" si="51"/>
        <v>20.453416499999999</v>
      </c>
      <c r="AD42" s="134">
        <f t="shared" si="52"/>
        <v>12.961141874999999</v>
      </c>
      <c r="AE42" s="134">
        <f t="shared" si="53"/>
        <v>15.747893066406892</v>
      </c>
      <c r="AF42" s="134">
        <f t="shared" si="54"/>
        <v>59.369489437500008</v>
      </c>
      <c r="AG42" s="134">
        <f t="shared" si="55"/>
        <v>26.775112238000002</v>
      </c>
      <c r="AH42" s="135">
        <f t="shared" si="56"/>
        <v>4.3853507775202507</v>
      </c>
      <c r="AI42" s="13"/>
      <c r="AJ42" s="13"/>
      <c r="AK42" s="13"/>
      <c r="AL42" s="13"/>
      <c r="AM42" s="13"/>
      <c r="AN42" s="13"/>
      <c r="AO42" s="13"/>
      <c r="AP42" s="13"/>
      <c r="AQ42" s="13"/>
    </row>
    <row r="43" spans="2:43">
      <c r="B43" s="5" t="s">
        <v>46</v>
      </c>
      <c r="C43" s="6" t="s">
        <v>47</v>
      </c>
      <c r="D43" s="7">
        <f>IFERROR('Customer Prices'!E19/Weights!D20,"-")</f>
        <v>143.2875363520408</v>
      </c>
      <c r="E43" s="7">
        <f>IFERROR('Customer Prices'!F19/Weights!E20,"-")</f>
        <v>189.14916007653062</v>
      </c>
      <c r="F43" s="7">
        <f>IFERROR('Customer Prices'!G19/Weights!F20,"-")</f>
        <v>164.66756809701496</v>
      </c>
      <c r="G43" s="7">
        <f>IFERROR('Customer Prices'!H19/Weights!G20,"-")</f>
        <v>213.86507322761187</v>
      </c>
      <c r="H43" s="7">
        <f>IFERROR('Customer Prices'!I19/Weights!H20,"-")</f>
        <v>206.04211847014921</v>
      </c>
      <c r="I43" s="7">
        <f>IFERROR('Customer Prices'!J19/Weights!I20,"-")</f>
        <v>0</v>
      </c>
      <c r="J43" s="7">
        <f>IFERROR('Customer Prices'!K19/Weights!J20,"-")</f>
        <v>540.82462499999997</v>
      </c>
      <c r="K43" s="7">
        <f>IFERROR('Customer Prices'!L19/Weights!K20,"-")</f>
        <v>124.32749999999999</v>
      </c>
      <c r="L43" s="7"/>
      <c r="M43" s="6" t="s">
        <v>46</v>
      </c>
      <c r="N43" s="5" t="s">
        <v>47</v>
      </c>
      <c r="O43" s="7">
        <f>IFERROR('Customer Prices'!Q19/Weights!O20,"-")</f>
        <v>35.80392908653846</v>
      </c>
      <c r="P43" s="7">
        <f>IFERROR('Customer Prices'!R19/Weights!P20,"-")</f>
        <v>38.493706730769233</v>
      </c>
      <c r="Q43" s="7">
        <f>IFERROR('Customer Prices'!S19/Weights!Q20,"-")</f>
        <v>80.753102163461534</v>
      </c>
      <c r="R43" s="7">
        <f>IFERROR('Customer Prices'!T19/Weights!R20,"-")</f>
        <v>414.67602835903085</v>
      </c>
      <c r="S43" s="7">
        <f>IFERROR('Customer Prices'!U19/Weights!S20,"-")</f>
        <v>298.96049911137442</v>
      </c>
      <c r="T43" s="7">
        <f>IFERROR('Customer Prices'!V19/Weights!T20,"-")</f>
        <v>241.51058797393364</v>
      </c>
      <c r="U43" s="7">
        <f>IFERROR('Customer Prices'!W19/Weights!U20,"-")</f>
        <v>152.70432692307691</v>
      </c>
      <c r="V43" s="7">
        <f>IFERROR('Customer Prices'!X19/Weights!V20,"-")</f>
        <v>431.48197682168245</v>
      </c>
      <c r="W43" s="7">
        <f>IFERROR('Customer Prices'!Y19/Weights!W20,"-")</f>
        <v>62.863460456161135</v>
      </c>
      <c r="X43" s="7">
        <f>IFERROR('Customer Prices'!Z19/Weights!X20,"-")</f>
        <v>93.026457932692281</v>
      </c>
      <c r="Y43" s="7">
        <f>IFERROR('Customer Prices'!AA19/Weights!Y20,"-")</f>
        <v>81.211756120045052</v>
      </c>
      <c r="Z43" s="131">
        <f t="shared" si="48"/>
        <v>5.5854129375000001</v>
      </c>
      <c r="AA43" s="134">
        <f t="shared" si="49"/>
        <v>75.305166749999998</v>
      </c>
      <c r="AB43" s="134">
        <f t="shared" si="50"/>
        <v>19.6095549375</v>
      </c>
      <c r="AC43" s="134">
        <f t="shared" si="51"/>
        <v>21.227945062499998</v>
      </c>
      <c r="AD43" s="134">
        <f t="shared" si="52"/>
        <v>15.6372913125</v>
      </c>
      <c r="AE43" s="134">
        <f t="shared" si="53"/>
        <v>19.1927446746834</v>
      </c>
      <c r="AF43" s="134">
        <f t="shared" si="54"/>
        <v>70.041451218749998</v>
      </c>
      <c r="AG43" s="134">
        <f t="shared" si="55"/>
        <v>32.632168040062496</v>
      </c>
      <c r="AH43" s="135">
        <f t="shared" si="56"/>
        <v>4.964960730658837</v>
      </c>
      <c r="AI43" s="13"/>
      <c r="AJ43" s="13"/>
      <c r="AK43" s="13"/>
      <c r="AL43" s="13"/>
      <c r="AM43" s="13"/>
      <c r="AN43" s="13"/>
      <c r="AO43" s="13"/>
      <c r="AP43" s="13"/>
      <c r="AQ43" s="13"/>
    </row>
    <row r="44" spans="2:43">
      <c r="B44" s="5" t="s">
        <v>43</v>
      </c>
      <c r="C44" s="6" t="s">
        <v>48</v>
      </c>
      <c r="D44" s="7">
        <f>IFERROR('Customer Prices'!E20/Weights!D21,"-")</f>
        <v>140.66249999999999</v>
      </c>
      <c r="E44" s="7">
        <f>IFERROR('Customer Prices'!F20/Weights!E21,"-")</f>
        <v>186.15439830508475</v>
      </c>
      <c r="F44" s="7">
        <f>IFERROR('Customer Prices'!G20/Weights!F21,"-")</f>
        <v>148.60312499999998</v>
      </c>
      <c r="G44" s="7">
        <f>IFERROR('Customer Prices'!H20/Weights!G21,"-")</f>
        <v>210.99375000000001</v>
      </c>
      <c r="H44" s="7" t="str">
        <f>IFERROR('Customer Prices'!I20/Weights!H21,"-")</f>
        <v>-</v>
      </c>
      <c r="I44" s="7" t="str">
        <f>IFERROR('Customer Prices'!J20/Weights!I21,"-")</f>
        <v>-</v>
      </c>
      <c r="J44" s="7" t="str">
        <f>IFERROR('Customer Prices'!K20/Weights!J21,"-")</f>
        <v>-</v>
      </c>
      <c r="K44" s="7">
        <f>IFERROR('Customer Prices'!L20/Weights!K21,"-")</f>
        <v>112.82432432432434</v>
      </c>
      <c r="L44" s="7"/>
      <c r="M44" s="6" t="s">
        <v>43</v>
      </c>
      <c r="N44" s="5" t="s">
        <v>48</v>
      </c>
      <c r="O44" s="7">
        <f>IFERROR('Customer Prices'!Q20/Weights!O21,"-")</f>
        <v>37.347326644736839</v>
      </c>
      <c r="P44" s="7">
        <f>IFERROR('Customer Prices'!R20/Weights!P21,"-")</f>
        <v>40.144695394736836</v>
      </c>
      <c r="Q44" s="7">
        <f>IFERROR('Customer Prices'!S20/Weights!Q21,"-")</f>
        <v>83.871985855263162</v>
      </c>
      <c r="R44" s="7">
        <f>IFERROR('Customer Prices'!T20/Weights!R21,"-")</f>
        <v>404.28385326158298</v>
      </c>
      <c r="S44" s="7">
        <f>IFERROR('Customer Prices'!U20/Weights!S21,"-")</f>
        <v>303.50467362581213</v>
      </c>
      <c r="T44" s="7">
        <f>IFERROR('Customer Prices'!V20/Weights!T21,"-")</f>
        <v>242.34196919483176</v>
      </c>
      <c r="U44" s="7">
        <f>IFERROR('Customer Prices'!W20/Weights!U21,"-")</f>
        <v>174.63802631578943</v>
      </c>
      <c r="V44" s="7">
        <f>IFERROR('Customer Prices'!X20/Weights!V21,"-")</f>
        <v>360.13680735820139</v>
      </c>
      <c r="W44" s="7">
        <f>IFERROR('Customer Prices'!Y20/Weights!W21,"-")</f>
        <v>64.473506095335438</v>
      </c>
      <c r="X44" s="7">
        <f>IFERROR('Customer Prices'!Z20/Weights!X21,"-")</f>
        <v>281.6580342077267</v>
      </c>
      <c r="Y44" s="7">
        <f>IFERROR('Customer Prices'!AA20/Weights!Y21,"-")</f>
        <v>86.735142616861708</v>
      </c>
      <c r="Z44" s="131">
        <f t="shared" si="48"/>
        <v>7.0959920624999997</v>
      </c>
      <c r="AA44" s="134">
        <f t="shared" si="49"/>
        <v>96.257458687500005</v>
      </c>
      <c r="AB44" s="134">
        <f t="shared" si="50"/>
        <v>24.775362562500003</v>
      </c>
      <c r="AC44" s="134">
        <f t="shared" si="51"/>
        <v>32.106737437499987</v>
      </c>
      <c r="AD44" s="134">
        <f t="shared" si="52"/>
        <v>20.504712937500003</v>
      </c>
      <c r="AE44" s="134">
        <f t="shared" si="53"/>
        <v>23.375778770447731</v>
      </c>
      <c r="AF44" s="134">
        <f t="shared" si="54"/>
        <v>73.53816215625001</v>
      </c>
      <c r="AG44" s="134">
        <f t="shared" si="55"/>
        <v>39.744307228281251</v>
      </c>
      <c r="AH44" s="135">
        <f t="shared" si="56"/>
        <v>6.5095050603816222</v>
      </c>
      <c r="AI44" s="13"/>
      <c r="AJ44" s="13"/>
      <c r="AK44" s="13"/>
      <c r="AL44" s="13"/>
      <c r="AM44" s="13"/>
      <c r="AN44" s="13"/>
      <c r="AO44" s="13"/>
      <c r="AP44" s="13"/>
      <c r="AQ44" s="13"/>
    </row>
    <row r="45" spans="2:43">
      <c r="B45" s="5" t="s">
        <v>49</v>
      </c>
      <c r="C45" s="6" t="s">
        <v>50</v>
      </c>
      <c r="D45" s="7">
        <f>IFERROR('Customer Prices'!E21/Weights!D22,"-")</f>
        <v>138.82758620689657</v>
      </c>
      <c r="E45" s="7">
        <f>IFERROR('Customer Prices'!F21/Weights!E22,"-")</f>
        <v>186.05172413793105</v>
      </c>
      <c r="F45" s="7">
        <f>IFERROR('Customer Prices'!G21/Weights!F22,"-")</f>
        <v>142.24076086956524</v>
      </c>
      <c r="G45" s="7">
        <f>IFERROR('Customer Prices'!H21/Weights!G22,"-")</f>
        <v>211.3389945652174</v>
      </c>
      <c r="H45" s="7">
        <f>IFERROR('Customer Prices'!I21/Weights!H22,"-")</f>
        <v>193.22024515086201</v>
      </c>
      <c r="I45" s="7" t="str">
        <f>IFERROR('Customer Prices'!J21/Weights!I22,"-")</f>
        <v>-</v>
      </c>
      <c r="J45" s="7">
        <f>IFERROR('Customer Prices'!K21/Weights!J22,"-")</f>
        <v>540.82462500000008</v>
      </c>
      <c r="K45" s="7" t="str">
        <f>IFERROR('Customer Prices'!L21/Weights!K22,"-")</f>
        <v>-</v>
      </c>
      <c r="L45" s="7"/>
      <c r="M45" s="6" t="s">
        <v>49</v>
      </c>
      <c r="N45" s="5" t="s">
        <v>50</v>
      </c>
      <c r="O45" s="7">
        <f>IFERROR('Customer Prices'!Q21/Weights!O22,"-")</f>
        <v>29.916304687499998</v>
      </c>
      <c r="P45" s="7">
        <f>IFERROR('Customer Prices'!R21/Weights!P22,"-")</f>
        <v>32.519411718749993</v>
      </c>
      <c r="Q45" s="7">
        <f>IFERROR('Customer Prices'!S21/Weights!Q22,"-")</f>
        <v>79.336485937500015</v>
      </c>
      <c r="R45" s="7">
        <f>IFERROR('Customer Prices'!T21/Weights!R22,"-")</f>
        <v>404.32791209476318</v>
      </c>
      <c r="S45" s="7">
        <f>IFERROR('Customer Prices'!U21/Weights!S22,"-")</f>
        <v>305.11106588072124</v>
      </c>
      <c r="T45" s="7">
        <f>IFERROR('Customer Prices'!V21/Weights!T22,"-")</f>
        <v>219.40958529819699</v>
      </c>
      <c r="U45" s="7">
        <f>IFERROR('Customer Prices'!W21/Weights!U22,"-")</f>
        <v>164.69832285156249</v>
      </c>
      <c r="V45" s="7">
        <f>IFERROR('Customer Prices'!X21/Weights!V22,"-")</f>
        <v>330.16125031618486</v>
      </c>
      <c r="W45" s="7">
        <f>IFERROR('Customer Prices'!Y21/Weights!W22,"-")</f>
        <v>60.715274271844663</v>
      </c>
      <c r="X45" s="7">
        <f>IFERROR('Customer Prices'!Z21/Weights!X22,"-")</f>
        <v>265.23987655493681</v>
      </c>
      <c r="Y45" s="7">
        <f>IFERROR('Customer Prices'!AA21/Weights!Y22,"-")</f>
        <v>81.683513648468718</v>
      </c>
      <c r="Z45" s="131">
        <f t="shared" si="48"/>
        <v>7.1799131249999997</v>
      </c>
      <c r="AA45" s="134">
        <f t="shared" si="49"/>
        <v>121.60161956250001</v>
      </c>
      <c r="AB45" s="134">
        <f t="shared" si="50"/>
        <v>30.901600125000009</v>
      </c>
      <c r="AC45" s="134">
        <f t="shared" si="51"/>
        <v>36.859995562499982</v>
      </c>
      <c r="AD45" s="134">
        <f t="shared" si="52"/>
        <v>25.651871437499999</v>
      </c>
      <c r="AE45" s="134">
        <f t="shared" si="53"/>
        <v>29.527299499512917</v>
      </c>
      <c r="AF45" s="134">
        <f t="shared" si="54"/>
        <v>85.677391491738462</v>
      </c>
      <c r="AG45" s="134">
        <f t="shared" si="55"/>
        <v>50.203335446249994</v>
      </c>
      <c r="AH45" s="135">
        <f t="shared" si="56"/>
        <v>8.2225327078504691</v>
      </c>
      <c r="AI45" s="13"/>
      <c r="AJ45" s="13"/>
      <c r="AK45" s="13"/>
      <c r="AL45" s="13"/>
      <c r="AM45" s="13"/>
      <c r="AN45" s="13"/>
      <c r="AO45" s="13"/>
      <c r="AP45" s="13"/>
      <c r="AQ45" s="13"/>
    </row>
    <row r="46" spans="2:43">
      <c r="B46" s="5" t="s">
        <v>45</v>
      </c>
      <c r="C46" s="6" t="s">
        <v>51</v>
      </c>
      <c r="D46" s="7">
        <f>IFERROR('Customer Prices'!E22/Weights!D23,"-")</f>
        <v>138.31918269230772</v>
      </c>
      <c r="E46" s="7">
        <f>IFERROR('Customer Prices'!F22/Weights!E23,"-")</f>
        <v>185.52837980769235</v>
      </c>
      <c r="F46" s="7">
        <f>IFERROR('Customer Prices'!G22/Weights!F23,"-")</f>
        <v>150.33229095747907</v>
      </c>
      <c r="G46" s="7">
        <f>IFERROR('Customer Prices'!H22/Weights!G23,"-")</f>
        <v>184.20658947580645</v>
      </c>
      <c r="H46" s="7">
        <f>IFERROR('Customer Prices'!I22/Weights!H23,"-")</f>
        <v>193.18446123470522</v>
      </c>
      <c r="I46" s="7" t="str">
        <f>IFERROR('Customer Prices'!J22/Weights!I23,"-")</f>
        <v>-</v>
      </c>
      <c r="J46" s="7" t="str">
        <f>IFERROR('Customer Prices'!K22/Weights!J23,"-")</f>
        <v>-</v>
      </c>
      <c r="K46" s="7">
        <f>IFERROR('Customer Prices'!L22/Weights!K23,"-")</f>
        <v>112.83475026567478</v>
      </c>
      <c r="L46" s="7"/>
      <c r="M46" s="6" t="s">
        <v>45</v>
      </c>
      <c r="N46" s="5" t="s">
        <v>51</v>
      </c>
      <c r="O46" s="7">
        <f>IFERROR('Customer Prices'!Q22/Weights!O23,"-")</f>
        <v>28.850056156015036</v>
      </c>
      <c r="P46" s="7">
        <f>IFERROR('Customer Prices'!R22/Weights!P23,"-")</f>
        <v>31.584326362781951</v>
      </c>
      <c r="Q46" s="7">
        <f>IFERROR('Customer Prices'!S22/Weights!Q23,"-")</f>
        <v>81.5723945018797</v>
      </c>
      <c r="R46" s="7">
        <f>IFERROR('Customer Prices'!T22/Weights!R23,"-")</f>
        <v>404.30623235145219</v>
      </c>
      <c r="S46" s="7">
        <f>IFERROR('Customer Prices'!U22/Weights!S23,"-")</f>
        <v>302.48405055634925</v>
      </c>
      <c r="T46" s="7">
        <f>IFERROR('Customer Prices'!V22/Weights!T23,"-")</f>
        <v>229.20455883119726</v>
      </c>
      <c r="U46" s="7">
        <f>IFERROR('Customer Prices'!W22/Weights!U23,"-")</f>
        <v>170.71348684210525</v>
      </c>
      <c r="V46" s="7">
        <f>IFERROR('Customer Prices'!X22/Weights!V23,"-")</f>
        <v>315.92640317854278</v>
      </c>
      <c r="W46" s="7">
        <f>IFERROR('Customer Prices'!Y22/Weights!W23,"-")</f>
        <v>63.508892828465058</v>
      </c>
      <c r="X46" s="7">
        <f>IFERROR('Customer Prices'!Z22/Weights!X23,"-")</f>
        <v>277.44403852218636</v>
      </c>
      <c r="Y46" s="7">
        <f>IFERROR('Customer Prices'!AA22/Weights!Y23,"-")</f>
        <v>85.445148323538533</v>
      </c>
      <c r="Z46" s="131">
        <f t="shared" si="48"/>
        <v>7.6741149374999997</v>
      </c>
      <c r="AA46" s="134">
        <f t="shared" si="49"/>
        <v>134.76790181249999</v>
      </c>
      <c r="AB46" s="134">
        <f t="shared" si="50"/>
        <v>35.722398937500003</v>
      </c>
      <c r="AC46" s="134">
        <f t="shared" si="51"/>
        <v>42.122951062500007</v>
      </c>
      <c r="AD46" s="134">
        <f t="shared" si="52"/>
        <v>30.388749187499997</v>
      </c>
      <c r="AE46" s="134">
        <f t="shared" si="53"/>
        <v>32.72609027862682</v>
      </c>
      <c r="AF46" s="134">
        <f t="shared" si="54"/>
        <v>90.83522559375001</v>
      </c>
      <c r="AG46" s="134">
        <f t="shared" si="55"/>
        <v>55.642030119593748</v>
      </c>
      <c r="AH46" s="135">
        <f t="shared" si="56"/>
        <v>9.1133070845342701</v>
      </c>
      <c r="AI46" s="13"/>
      <c r="AJ46" s="13"/>
      <c r="AK46" s="13"/>
      <c r="AL46" s="13"/>
      <c r="AM46" s="13"/>
      <c r="AN46" s="13"/>
      <c r="AO46" s="13"/>
      <c r="AP46" s="13"/>
      <c r="AQ46" s="13"/>
    </row>
    <row r="47" spans="2:43">
      <c r="B47" s="5" t="s">
        <v>52</v>
      </c>
      <c r="C47" s="6" t="s">
        <v>53</v>
      </c>
      <c r="D47" s="7">
        <f>IFERROR('Customer Prices'!E23/Weights!D24,"-")</f>
        <v>138.36022452229295</v>
      </c>
      <c r="E47" s="7">
        <f>IFERROR('Customer Prices'!F23/Weights!E24,"-")</f>
        <v>185.13</v>
      </c>
      <c r="F47" s="7" t="str">
        <f>IFERROR('Customer Prices'!G23/Weights!F24,"-")</f>
        <v>-</v>
      </c>
      <c r="G47" s="7" t="str">
        <f>IFERROR('Customer Prices'!H23/Weights!G24,"-")</f>
        <v>-</v>
      </c>
      <c r="H47" s="7" t="str">
        <f>IFERROR('Customer Prices'!I23/Weights!H24,"-")</f>
        <v>-</v>
      </c>
      <c r="I47" s="7">
        <f>IFERROR('Customer Prices'!J23/Weights!I24,"-")</f>
        <v>87.819531249999997</v>
      </c>
      <c r="J47" s="7" t="str">
        <f>IFERROR('Customer Prices'!K23/Weights!J24,"-")</f>
        <v>-</v>
      </c>
      <c r="K47" s="7" t="str">
        <f>IFERROR('Customer Prices'!L23/Weights!K24,"-")</f>
        <v>-</v>
      </c>
      <c r="L47" s="7"/>
      <c r="M47" s="6" t="s">
        <v>52</v>
      </c>
      <c r="N47" s="5" t="s">
        <v>53</v>
      </c>
      <c r="O47" s="7">
        <f>IFERROR('Customer Prices'!Q23/Weights!O24,"-")</f>
        <v>28.875061874999997</v>
      </c>
      <c r="P47" s="7">
        <f>IFERROR('Customer Prices'!R23/Weights!P24,"-")</f>
        <v>31.641348749999999</v>
      </c>
      <c r="Q47" s="7">
        <f>IFERROR('Customer Prices'!S23/Weights!Q24,"-")</f>
        <v>91.784776875000006</v>
      </c>
      <c r="R47" s="7">
        <f>IFERROR('Customer Prices'!T23/Weights!R24,"-")</f>
        <v>404.29690773067335</v>
      </c>
      <c r="S47" s="7">
        <f>IFERROR('Customer Prices'!U23/Weights!S24,"-")</f>
        <v>302.46932205270468</v>
      </c>
      <c r="T47" s="7">
        <f>IFERROR('Customer Prices'!V23/Weights!T24,"-")</f>
        <v>229.21783522884888</v>
      </c>
      <c r="U47" s="7">
        <f>IFERROR('Customer Prices'!W23/Weights!U24,"-")</f>
        <v>166.24399859374998</v>
      </c>
      <c r="V47" s="7">
        <f>IFERROR('Customer Prices'!X23/Weights!V24,"-")</f>
        <v>333.25977753120679</v>
      </c>
      <c r="W47" s="7">
        <f>IFERROR('Customer Prices'!Y23/Weights!W24,"-")</f>
        <v>66.243623300970881</v>
      </c>
      <c r="X47" s="7">
        <f>IFERROR('Customer Prices'!Z23/Weights!X24,"-")</f>
        <v>289.39094284960106</v>
      </c>
      <c r="Y47" s="7">
        <f>IFERROR('Customer Prices'!AA23/Weights!Y24,"-")</f>
        <v>84.670925432756334</v>
      </c>
      <c r="Z47" s="131">
        <f t="shared" si="48"/>
        <v>8.662518562499999</v>
      </c>
      <c r="AA47" s="134">
        <f t="shared" si="49"/>
        <v>151.99036874999999</v>
      </c>
      <c r="AB47" s="134">
        <f t="shared" si="50"/>
        <v>46.408347562500005</v>
      </c>
      <c r="AC47" s="134">
        <f t="shared" si="51"/>
        <v>39.088565999999979</v>
      </c>
      <c r="AD47" s="134">
        <f t="shared" si="52"/>
        <v>36.114030562499998</v>
      </c>
      <c r="AE47" s="134">
        <f t="shared" si="53"/>
        <v>36.909124374391148</v>
      </c>
      <c r="AF47" s="134">
        <f t="shared" si="54"/>
        <v>108.30013115625002</v>
      </c>
      <c r="AG47" s="134">
        <f t="shared" si="55"/>
        <v>62.754169307812489</v>
      </c>
      <c r="AH47" s="135">
        <f t="shared" si="56"/>
        <v>10.278165884813086</v>
      </c>
      <c r="AI47" s="13"/>
      <c r="AJ47" s="13"/>
      <c r="AK47" s="13"/>
      <c r="AL47" s="13"/>
      <c r="AM47" s="13"/>
      <c r="AN47" s="13"/>
      <c r="AO47" s="13"/>
      <c r="AP47" s="13"/>
      <c r="AQ47" s="13"/>
    </row>
    <row r="48" spans="2:43">
      <c r="B48" s="5" t="s">
        <v>47</v>
      </c>
      <c r="C48" s="6" t="s">
        <v>54</v>
      </c>
      <c r="D48" s="7">
        <f>IFERROR('Customer Prices'!E24/Weights!D25,"-")</f>
        <v>136.52467812500004</v>
      </c>
      <c r="E48" s="7">
        <f>IFERROR('Customer Prices'!F24/Weights!E25,"-")</f>
        <v>182.28801250000001</v>
      </c>
      <c r="F48" s="7">
        <f>IFERROR('Customer Prices'!G24/Weights!F25,"-")</f>
        <v>137.40880015890673</v>
      </c>
      <c r="G48" s="7">
        <f>IFERROR('Customer Prices'!H24/Weights!G25,"-")</f>
        <v>191.91382672811056</v>
      </c>
      <c r="H48" s="7">
        <f>IFERROR('Customer Prices'!I24/Weights!H25,"-")</f>
        <v>188.04148569839504</v>
      </c>
      <c r="I48" s="7" t="str">
        <f>IFERROR('Customer Prices'!J24/Weights!I25,"-")</f>
        <v>-</v>
      </c>
      <c r="J48" s="7" t="str">
        <f>IFERROR('Customer Prices'!K24/Weights!J25,"-")</f>
        <v>-</v>
      </c>
      <c r="K48" s="7" t="str">
        <f>IFERROR('Customer Prices'!L24/Weights!K25,"-")</f>
        <v>-</v>
      </c>
      <c r="L48" s="7"/>
      <c r="M48" s="6" t="s">
        <v>47</v>
      </c>
      <c r="N48" s="5" t="s">
        <v>54</v>
      </c>
      <c r="O48" s="7">
        <f>IFERROR('Customer Prices'!Q24/Weights!O25,"-")</f>
        <v>28.439915624999998</v>
      </c>
      <c r="P48" s="7">
        <f>IFERROR('Customer Prices'!R24/Weights!P25,"-")</f>
        <v>31.072733272058819</v>
      </c>
      <c r="Q48" s="7">
        <f>IFERROR('Customer Prices'!S24/Weights!Q25,"-")</f>
        <v>101.25377867647059</v>
      </c>
      <c r="R48" s="7">
        <f>IFERROR('Customer Prices'!T24/Weights!R25,"-")</f>
        <v>404.31149801965688</v>
      </c>
      <c r="S48" s="7">
        <f>IFERROR('Customer Prices'!U24/Weights!S25,"-")</f>
        <v>302.42712556090402</v>
      </c>
      <c r="T48" s="7">
        <f>IFERROR('Customer Prices'!V24/Weights!T25,"-")</f>
        <v>229.22432699681812</v>
      </c>
      <c r="U48" s="7">
        <f>IFERROR('Customer Prices'!W24/Weights!U25,"-")</f>
        <v>158.57241286764705</v>
      </c>
      <c r="V48" s="7">
        <f>IFERROR('Customer Prices'!X24/Weights!V25,"-")</f>
        <v>340.93953903891651</v>
      </c>
      <c r="W48" s="7">
        <f>IFERROR('Customer Prices'!Y24/Weights!W25,"-")</f>
        <v>61.420239699763407</v>
      </c>
      <c r="X48" s="7">
        <f>IFERROR('Customer Prices'!Z24/Weights!X25,"-")</f>
        <v>268.31957841446331</v>
      </c>
      <c r="Y48" s="7">
        <f>IFERROR('Customer Prices'!AA24/Weights!Y25,"-")</f>
        <v>82.571017075272167</v>
      </c>
      <c r="Z48" s="131">
        <f t="shared" si="48"/>
        <v>9.6695713125000005</v>
      </c>
      <c r="AA48" s="134">
        <f t="shared" si="49"/>
        <v>172.26196762500004</v>
      </c>
      <c r="AB48" s="134">
        <f t="shared" si="50"/>
        <v>59.182998187500004</v>
      </c>
      <c r="AC48" s="134">
        <f t="shared" si="51"/>
        <v>33.242065312500003</v>
      </c>
      <c r="AD48" s="134">
        <f t="shared" si="52"/>
        <v>37.382171062500007</v>
      </c>
      <c r="AE48" s="134">
        <f t="shared" si="53"/>
        <v>41.830340957643308</v>
      </c>
      <c r="AF48" s="134">
        <f t="shared" si="54"/>
        <v>125.75571215624998</v>
      </c>
      <c r="AG48" s="134">
        <f t="shared" si="55"/>
        <v>71.121391882187496</v>
      </c>
      <c r="AH48" s="135">
        <f t="shared" si="56"/>
        <v>11.648588002788166</v>
      </c>
      <c r="AI48" s="13"/>
      <c r="AJ48" s="13"/>
      <c r="AK48" s="13"/>
      <c r="AL48" s="13"/>
      <c r="AM48" s="13"/>
      <c r="AN48" s="13"/>
      <c r="AO48" s="13"/>
      <c r="AP48" s="13"/>
      <c r="AQ48" s="13"/>
    </row>
    <row r="49" spans="2:43">
      <c r="B49" s="5" t="s">
        <v>48</v>
      </c>
      <c r="C49" s="6" t="s">
        <v>55</v>
      </c>
      <c r="D49" s="7">
        <f>IFERROR('Customer Prices'!E25/Weights!D26,"-")</f>
        <v>131.94010156249999</v>
      </c>
      <c r="E49" s="7">
        <f>IFERROR('Customer Prices'!F25/Weights!E26,"-")</f>
        <v>188.18493489583335</v>
      </c>
      <c r="F49" s="7">
        <f>IFERROR('Customer Prices'!G25/Weights!F26,"-")</f>
        <v>123.45512109479483</v>
      </c>
      <c r="G49" s="7">
        <f>IFERROR('Customer Prices'!H25/Weights!G26,"-")</f>
        <v>172.9241319011407</v>
      </c>
      <c r="H49" s="7">
        <f>IFERROR('Customer Prices'!I25/Weights!H26,"-")</f>
        <v>182.11457751409466</v>
      </c>
      <c r="I49" s="7" t="str">
        <f>IFERROR('Customer Prices'!J25/Weights!I26,"-")</f>
        <v>-</v>
      </c>
      <c r="J49" s="7" t="str">
        <f>IFERROR('Customer Prices'!K25/Weights!J26,"-")</f>
        <v>-</v>
      </c>
      <c r="K49" s="7" t="str">
        <f>IFERROR('Customer Prices'!L25/Weights!K26,"-")</f>
        <v>-</v>
      </c>
      <c r="L49" s="7"/>
      <c r="M49" s="6" t="s">
        <v>48</v>
      </c>
      <c r="N49" s="5" t="s">
        <v>55</v>
      </c>
      <c r="O49" s="7">
        <f>IFERROR('Customer Prices'!Q25/Weights!O26,"-")</f>
        <v>29.493198931260626</v>
      </c>
      <c r="P49" s="7">
        <f>IFERROR('Customer Prices'!R25/Weights!P26,"-")</f>
        <v>32.358756376001942</v>
      </c>
      <c r="Q49" s="7">
        <f>IFERROR('Customer Prices'!S25/Weights!Q26,"-")</f>
        <v>101.94771678406606</v>
      </c>
      <c r="R49" s="7">
        <f>IFERROR('Customer Prices'!T25/Weights!R26,"-")</f>
        <v>0</v>
      </c>
      <c r="S49" s="7">
        <f>IFERROR('Customer Prices'!U25/Weights!S26,"-")</f>
        <v>0</v>
      </c>
      <c r="T49" s="7">
        <f>IFERROR('Customer Prices'!V25/Weights!T26,"-")</f>
        <v>0</v>
      </c>
      <c r="U49" s="7">
        <f>IFERROR('Customer Prices'!W25/Weights!U26,"-")</f>
        <v>0</v>
      </c>
      <c r="V49" s="7">
        <f>IFERROR('Customer Prices'!X25/Weights!V26,"-")</f>
        <v>0</v>
      </c>
      <c r="W49" s="7">
        <f>IFERROR('Customer Prices'!Y25/Weights!W26,"-")</f>
        <v>0</v>
      </c>
      <c r="X49" s="7">
        <f>IFERROR('Customer Prices'!Z25/Weights!X26,"-")</f>
        <v>0</v>
      </c>
      <c r="Y49" s="7">
        <f>IFERROR('Customer Prices'!AA25/Weights!Y26,"-")</f>
        <v>0</v>
      </c>
      <c r="Z49" s="131">
        <f t="shared" si="48"/>
        <v>12.14235</v>
      </c>
      <c r="AA49" s="134">
        <f t="shared" si="49"/>
        <v>0</v>
      </c>
      <c r="AB49" s="134">
        <f t="shared" si="50"/>
        <v>71.801400000000001</v>
      </c>
      <c r="AC49" s="134"/>
      <c r="AD49" s="134"/>
      <c r="AE49" s="134">
        <f t="shared" si="53"/>
        <v>50.651621683122791</v>
      </c>
      <c r="AF49" s="134">
        <f t="shared" si="54"/>
        <v>-6.0711750000000002</v>
      </c>
      <c r="AG49" s="134">
        <f t="shared" si="55"/>
        <v>86.119638346754684</v>
      </c>
      <c r="AH49" s="135">
        <f t="shared" si="56"/>
        <v>14.105069649258494</v>
      </c>
      <c r="AI49" s="13"/>
      <c r="AJ49" s="13"/>
      <c r="AK49" s="13"/>
      <c r="AL49" s="13"/>
      <c r="AM49" s="13"/>
      <c r="AN49" s="13"/>
      <c r="AO49" s="13"/>
      <c r="AP49" s="13"/>
      <c r="AQ49" s="13"/>
    </row>
    <row r="50" spans="2:43">
      <c r="Z50" s="139"/>
      <c r="AH50" s="133"/>
    </row>
    <row r="51" spans="2:43" ht="16.5" thickBot="1">
      <c r="D51" s="53"/>
      <c r="E51" s="53"/>
      <c r="F51" s="53"/>
      <c r="G51" s="53"/>
      <c r="H51" s="53"/>
      <c r="N51" s="1" t="s">
        <v>229</v>
      </c>
      <c r="O51" s="7">
        <f>AVERAGE(O30:O49)</f>
        <v>32.70213085980189</v>
      </c>
      <c r="P51" s="7">
        <f t="shared" ref="P51:Y51" si="57">AVERAGE(P30:P49)</f>
        <v>35.330231150228805</v>
      </c>
      <c r="Q51" s="7">
        <f t="shared" si="57"/>
        <v>86.562021502829481</v>
      </c>
      <c r="R51" s="7">
        <f t="shared" si="57"/>
        <v>395.3686987131365</v>
      </c>
      <c r="S51" s="7">
        <f t="shared" si="57"/>
        <v>290.20702437904288</v>
      </c>
      <c r="T51" s="7">
        <f t="shared" si="57"/>
        <v>238.81759517148251</v>
      </c>
      <c r="U51" s="7">
        <f t="shared" si="57"/>
        <v>160.38660500309894</v>
      </c>
      <c r="V51" s="7">
        <f t="shared" si="57"/>
        <v>345.17918530300125</v>
      </c>
      <c r="W51" s="7">
        <f t="shared" si="57"/>
        <v>66.283557069970243</v>
      </c>
      <c r="X51" s="7">
        <f t="shared" si="57"/>
        <v>146.16423437606855</v>
      </c>
      <c r="Y51" s="7">
        <f t="shared" si="57"/>
        <v>82.875684172167567</v>
      </c>
      <c r="Z51" s="136" t="e">
        <f>Z27-(Z27*#REF!)</f>
        <v>#REF!</v>
      </c>
      <c r="AA51" s="137" t="e">
        <f>AA27-(AA27*#REF!)</f>
        <v>#REF!</v>
      </c>
      <c r="AB51" s="137" t="e">
        <f>AB27-(AB27*#REF!)</f>
        <v>#REF!</v>
      </c>
      <c r="AC51" s="137" t="e">
        <f>AC27-(AC27*#REF!)</f>
        <v>#REF!</v>
      </c>
      <c r="AD51" s="137" t="e">
        <f>AD27-(AD27*#REF!)</f>
        <v>#REF!</v>
      </c>
      <c r="AE51" s="137" t="e">
        <f>AE27-(AE27*#REF!)</f>
        <v>#REF!</v>
      </c>
      <c r="AF51" s="137" t="e">
        <f>AF27-(AF27*#REF!)</f>
        <v>#REF!</v>
      </c>
      <c r="AG51" s="137" t="e">
        <f>AG27-(AG27*#REF!)</f>
        <v>#REF!</v>
      </c>
      <c r="AH51" s="138" t="e">
        <f>AH27-(AH27*#REF!)</f>
        <v>#REF!</v>
      </c>
      <c r="AI51" s="13"/>
      <c r="AJ51" s="13"/>
      <c r="AK51" s="13"/>
      <c r="AL51" s="13"/>
      <c r="AM51" s="13"/>
      <c r="AN51" s="13"/>
      <c r="AO51" s="13"/>
      <c r="AP51" s="13"/>
      <c r="AQ51" s="13"/>
    </row>
    <row r="52" spans="2:43">
      <c r="B52" s="5"/>
      <c r="C52" s="8"/>
      <c r="D52" s="53"/>
      <c r="E52" s="53"/>
      <c r="F52" s="53"/>
      <c r="G52" s="53"/>
      <c r="H52" s="53"/>
    </row>
    <row r="53" spans="2:43">
      <c r="B53" s="5"/>
      <c r="C53" s="8"/>
      <c r="D53" s="53"/>
      <c r="E53" s="53"/>
      <c r="F53" s="53"/>
      <c r="G53" s="53"/>
      <c r="H53" s="53"/>
      <c r="N53"/>
    </row>
    <row r="54" spans="2:43">
      <c r="B54" s="5"/>
      <c r="C54"/>
      <c r="D54" s="53"/>
      <c r="E54" s="53"/>
      <c r="F54" s="53"/>
      <c r="G54" s="53"/>
      <c r="H54" s="53"/>
      <c r="N54"/>
    </row>
    <row r="55" spans="2:43">
      <c r="B55" s="5"/>
      <c r="C55" s="8"/>
      <c r="D55" s="53"/>
      <c r="E55" s="53"/>
      <c r="F55" s="53"/>
      <c r="G55" s="53"/>
      <c r="H55" s="53"/>
    </row>
    <row r="56" spans="2:43">
      <c r="B56" s="5"/>
      <c r="C56" s="8"/>
      <c r="D56" s="53"/>
      <c r="E56" s="53"/>
      <c r="F56" s="53"/>
      <c r="G56" s="53"/>
      <c r="H56" s="53"/>
    </row>
    <row r="57" spans="2:43">
      <c r="B57" s="5"/>
      <c r="C57" s="8"/>
      <c r="D57" s="53"/>
      <c r="E57" s="53"/>
      <c r="F57" s="53"/>
      <c r="G57" s="53"/>
      <c r="H57" s="53"/>
    </row>
    <row r="58" spans="2:43">
      <c r="B58" s="5"/>
      <c r="C58" s="8"/>
      <c r="D58" s="53"/>
      <c r="E58" s="53"/>
      <c r="F58" s="53"/>
      <c r="G58" s="53"/>
    </row>
    <row r="59" spans="2:43">
      <c r="B59" s="5"/>
      <c r="C59" s="8"/>
      <c r="D59" s="7"/>
      <c r="E59" s="7"/>
      <c r="F59" s="7"/>
      <c r="G59" s="7"/>
      <c r="H59" s="7"/>
    </row>
    <row r="60" spans="2:43">
      <c r="B60" s="5"/>
      <c r="C60" s="8"/>
      <c r="D60" s="7"/>
      <c r="E60" s="7"/>
      <c r="F60" s="7"/>
      <c r="G60" s="7"/>
      <c r="H60" s="7"/>
    </row>
    <row r="61" spans="2:43">
      <c r="B61" s="5"/>
      <c r="C61" s="8"/>
      <c r="D61" s="7"/>
      <c r="E61" s="7"/>
      <c r="F61" s="7"/>
      <c r="G61" s="7"/>
      <c r="H61" s="7"/>
    </row>
    <row r="62" spans="2:43">
      <c r="B62" s="5"/>
      <c r="C62" s="8"/>
      <c r="D62" s="7"/>
      <c r="E62" s="7"/>
      <c r="F62" s="7"/>
      <c r="G62" s="7"/>
      <c r="H62" s="7"/>
    </row>
    <row r="63" spans="2:43">
      <c r="B63" s="5"/>
      <c r="C63" s="8"/>
      <c r="D63" s="7"/>
      <c r="E63" s="7"/>
      <c r="F63" s="7"/>
      <c r="G63" s="7"/>
      <c r="H63" s="7"/>
    </row>
    <row r="64" spans="2:43">
      <c r="B64" s="19"/>
      <c r="C64" s="21"/>
      <c r="D64" s="7"/>
      <c r="E64" s="7"/>
      <c r="F64" s="7"/>
      <c r="G64" s="7"/>
      <c r="H64" s="7"/>
    </row>
    <row r="65" spans="2:8">
      <c r="B65" s="19"/>
      <c r="C65" s="21"/>
      <c r="D65" s="7"/>
      <c r="E65" s="7"/>
      <c r="F65" s="7"/>
      <c r="G65" s="7"/>
      <c r="H65" s="7"/>
    </row>
    <row r="66" spans="2:8">
      <c r="B66" s="19"/>
      <c r="C66" s="21"/>
    </row>
    <row r="67" spans="2:8">
      <c r="B67" s="5"/>
      <c r="C67"/>
    </row>
    <row r="68" spans="2:8">
      <c r="B68" s="5"/>
      <c r="C68" s="17"/>
    </row>
  </sheetData>
  <sheetProtection sheet="1" objects="1" scenarios="1"/>
  <mergeCells count="32">
    <mergeCell ref="R3:R4"/>
    <mergeCell ref="B2:K2"/>
    <mergeCell ref="M2:Y2"/>
    <mergeCell ref="B3:C3"/>
    <mergeCell ref="D3:D4"/>
    <mergeCell ref="E3:E4"/>
    <mergeCell ref="F3:F4"/>
    <mergeCell ref="G3:G4"/>
    <mergeCell ref="H3:H4"/>
    <mergeCell ref="I3:I4"/>
    <mergeCell ref="J3:J4"/>
    <mergeCell ref="K3:K4"/>
    <mergeCell ref="M3:N3"/>
    <mergeCell ref="O3:O4"/>
    <mergeCell ref="P3:P4"/>
    <mergeCell ref="Q3:Q4"/>
    <mergeCell ref="Y3:Y4"/>
    <mergeCell ref="S3:S4"/>
    <mergeCell ref="T3:T4"/>
    <mergeCell ref="U3:U4"/>
    <mergeCell ref="V3:V4"/>
    <mergeCell ref="W3:W4"/>
    <mergeCell ref="X3:X4"/>
    <mergeCell ref="AH3:AH4"/>
    <mergeCell ref="AB3:AB4"/>
    <mergeCell ref="Z3:Z4"/>
    <mergeCell ref="AA3:AA4"/>
    <mergeCell ref="AC3:AC4"/>
    <mergeCell ref="AD3:AD4"/>
    <mergeCell ref="AE3:AE4"/>
    <mergeCell ref="AF3:AF4"/>
    <mergeCell ref="AG3:AG4"/>
  </mergeCells>
  <phoneticPr fontId="3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ACDBF-DFCB-3B45-B5ED-5D4B31363E6F}">
  <sheetPr codeName="Sheet5"/>
  <dimension ref="A2:R24"/>
  <sheetViews>
    <sheetView workbookViewId="0">
      <selection activeCell="L2" sqref="L2:L9"/>
    </sheetView>
  </sheetViews>
  <sheetFormatPr defaultColWidth="10.625" defaultRowHeight="15.75"/>
  <cols>
    <col min="2" max="2" width="15.625" customWidth="1"/>
    <col min="3" max="3" width="26.125" bestFit="1" customWidth="1"/>
  </cols>
  <sheetData>
    <row r="2" spans="1:18">
      <c r="A2" t="s">
        <v>221</v>
      </c>
      <c r="B2" t="s">
        <v>221</v>
      </c>
    </row>
    <row r="3" spans="1:18">
      <c r="A3" s="11" t="s">
        <v>5</v>
      </c>
      <c r="B3" s="11" t="s">
        <v>15</v>
      </c>
      <c r="C3" s="9" t="s">
        <v>230</v>
      </c>
      <c r="E3" t="s">
        <v>222</v>
      </c>
      <c r="F3" t="s">
        <v>223</v>
      </c>
      <c r="G3" s="5">
        <v>1</v>
      </c>
      <c r="H3" s="7" t="s">
        <v>30</v>
      </c>
      <c r="I3" s="16">
        <v>1</v>
      </c>
      <c r="L3" s="192">
        <v>0.05</v>
      </c>
      <c r="M3" s="192">
        <v>0</v>
      </c>
      <c r="R3" s="192"/>
    </row>
    <row r="4" spans="1:18">
      <c r="A4" s="11" t="s">
        <v>6</v>
      </c>
      <c r="B4" s="11" t="s">
        <v>16</v>
      </c>
      <c r="C4" s="9" t="s">
        <v>74</v>
      </c>
      <c r="E4" t="s">
        <v>13</v>
      </c>
      <c r="F4" t="s">
        <v>231</v>
      </c>
      <c r="G4" s="5">
        <v>2</v>
      </c>
      <c r="H4" s="7" t="s">
        <v>32</v>
      </c>
      <c r="I4" s="16">
        <v>1</v>
      </c>
      <c r="L4" s="192">
        <v>0.1</v>
      </c>
      <c r="M4" s="192">
        <v>0</v>
      </c>
      <c r="R4" s="192"/>
    </row>
    <row r="5" spans="1:18">
      <c r="A5" s="11" t="s">
        <v>7</v>
      </c>
      <c r="B5" s="11" t="s">
        <v>17</v>
      </c>
      <c r="C5" s="9" t="s">
        <v>86</v>
      </c>
      <c r="E5" t="s">
        <v>14</v>
      </c>
      <c r="G5" s="5">
        <v>3</v>
      </c>
      <c r="H5" s="7" t="s">
        <v>33</v>
      </c>
      <c r="I5" s="16">
        <v>1</v>
      </c>
      <c r="L5" s="192">
        <v>0.15</v>
      </c>
      <c r="M5" s="192">
        <v>0.05</v>
      </c>
      <c r="R5" s="192"/>
    </row>
    <row r="6" spans="1:18">
      <c r="A6" s="11" t="s">
        <v>8</v>
      </c>
      <c r="B6" s="11" t="s">
        <v>18</v>
      </c>
      <c r="C6" s="9" t="s">
        <v>98</v>
      </c>
      <c r="G6" s="5">
        <v>4</v>
      </c>
      <c r="H6" s="7" t="s">
        <v>34</v>
      </c>
      <c r="I6" s="16">
        <v>1</v>
      </c>
      <c r="L6" s="192">
        <v>0.2</v>
      </c>
      <c r="M6" s="192">
        <v>0.05</v>
      </c>
      <c r="R6" s="192"/>
    </row>
    <row r="7" spans="1:18">
      <c r="A7" s="11" t="s">
        <v>9</v>
      </c>
      <c r="B7" s="11" t="s">
        <v>19</v>
      </c>
      <c r="C7" s="9" t="s">
        <v>110</v>
      </c>
      <c r="G7" s="5"/>
      <c r="H7" s="7" t="s">
        <v>35</v>
      </c>
      <c r="I7" s="16">
        <v>1</v>
      </c>
      <c r="L7" s="192">
        <v>0.25</v>
      </c>
      <c r="M7" s="192">
        <v>0.1</v>
      </c>
      <c r="R7" s="192"/>
    </row>
    <row r="8" spans="1:18">
      <c r="A8" s="11" t="s">
        <v>10</v>
      </c>
      <c r="B8" s="11" t="s">
        <v>20</v>
      </c>
      <c r="C8" s="9" t="s">
        <v>121</v>
      </c>
      <c r="D8" t="s">
        <v>223</v>
      </c>
      <c r="F8" s="1" t="s">
        <v>222</v>
      </c>
      <c r="G8" s="5"/>
      <c r="H8" s="7" t="s">
        <v>37</v>
      </c>
      <c r="I8" s="16">
        <v>1</v>
      </c>
      <c r="L8" s="192">
        <v>0.3</v>
      </c>
      <c r="M8" s="192">
        <v>0.1</v>
      </c>
      <c r="R8" s="192"/>
    </row>
    <row r="9" spans="1:18">
      <c r="A9" s="11" t="s">
        <v>11</v>
      </c>
      <c r="B9" s="11" t="s">
        <v>220</v>
      </c>
      <c r="C9" s="9" t="s">
        <v>129</v>
      </c>
      <c r="D9" s="10" t="s">
        <v>131</v>
      </c>
      <c r="F9" s="1">
        <v>1</v>
      </c>
      <c r="G9" s="5"/>
      <c r="H9" s="7" t="s">
        <v>38</v>
      </c>
      <c r="I9" s="16">
        <v>1</v>
      </c>
      <c r="L9" s="192">
        <v>0.35</v>
      </c>
      <c r="M9" s="192">
        <v>0.2</v>
      </c>
      <c r="R9" s="192"/>
    </row>
    <row r="10" spans="1:18">
      <c r="A10" s="11" t="s">
        <v>12</v>
      </c>
      <c r="B10" s="11" t="s">
        <v>22</v>
      </c>
      <c r="C10" s="9" t="s">
        <v>129</v>
      </c>
      <c r="D10" s="10" t="s">
        <v>139</v>
      </c>
      <c r="F10" s="1">
        <v>2</v>
      </c>
      <c r="G10" s="5"/>
      <c r="H10" s="7" t="s">
        <v>39</v>
      </c>
      <c r="I10" s="16">
        <v>1</v>
      </c>
      <c r="L10" s="192">
        <v>0.4</v>
      </c>
      <c r="M10" s="192">
        <v>0.2</v>
      </c>
      <c r="R10" s="192"/>
    </row>
    <row r="11" spans="1:18">
      <c r="B11" t="s">
        <v>23</v>
      </c>
      <c r="C11" s="9" t="s">
        <v>129</v>
      </c>
      <c r="D11" s="10" t="s">
        <v>141</v>
      </c>
      <c r="F11" s="1">
        <v>3</v>
      </c>
      <c r="G11" s="5"/>
      <c r="H11" s="7" t="s">
        <v>41</v>
      </c>
      <c r="I11" s="16">
        <v>1</v>
      </c>
      <c r="L11" s="192">
        <v>0.42499999999999999</v>
      </c>
      <c r="M11" s="192">
        <v>0.3</v>
      </c>
      <c r="R11" s="192"/>
    </row>
    <row r="12" spans="1:18">
      <c r="B12" t="s">
        <v>24</v>
      </c>
      <c r="C12" s="9" t="s">
        <v>129</v>
      </c>
      <c r="D12" s="10" t="s">
        <v>147</v>
      </c>
      <c r="F12" s="1">
        <v>4</v>
      </c>
      <c r="G12" s="5"/>
      <c r="H12" s="7" t="s">
        <v>42</v>
      </c>
      <c r="I12" s="16">
        <v>2</v>
      </c>
      <c r="L12" s="192">
        <v>0.45</v>
      </c>
      <c r="M12" s="192">
        <v>0.3</v>
      </c>
      <c r="R12" s="192"/>
    </row>
    <row r="13" spans="1:18">
      <c r="B13" t="s">
        <v>25</v>
      </c>
      <c r="G13" s="5"/>
      <c r="H13" s="7" t="s">
        <v>43</v>
      </c>
      <c r="I13" s="16">
        <v>2</v>
      </c>
      <c r="L13" s="192">
        <v>0.47499999999999998</v>
      </c>
      <c r="M13" s="192">
        <v>0.3</v>
      </c>
      <c r="R13" s="192"/>
    </row>
    <row r="14" spans="1:18">
      <c r="G14" s="5"/>
      <c r="H14" s="7" t="s">
        <v>45</v>
      </c>
      <c r="I14" s="16">
        <v>2</v>
      </c>
      <c r="L14" s="192">
        <v>0.5</v>
      </c>
      <c r="M14" s="192">
        <v>0.3</v>
      </c>
      <c r="R14" s="192"/>
    </row>
    <row r="15" spans="1:18">
      <c r="G15" s="5"/>
      <c r="H15" s="7" t="s">
        <v>47</v>
      </c>
      <c r="I15" s="16">
        <v>2</v>
      </c>
      <c r="L15" s="192">
        <v>0.6</v>
      </c>
      <c r="M15" s="192">
        <v>0.3</v>
      </c>
      <c r="R15" s="192"/>
    </row>
    <row r="16" spans="1:18">
      <c r="A16" t="s">
        <v>219</v>
      </c>
      <c r="B16">
        <v>1</v>
      </c>
      <c r="G16" s="5"/>
      <c r="H16" s="7" t="s">
        <v>48</v>
      </c>
      <c r="I16" s="16">
        <v>2</v>
      </c>
      <c r="L16" s="192">
        <v>0.7</v>
      </c>
      <c r="M16" s="192">
        <v>0.3</v>
      </c>
      <c r="R16" s="192"/>
    </row>
    <row r="17" spans="1:9">
      <c r="A17" t="s">
        <v>232</v>
      </c>
      <c r="B17">
        <v>1.21</v>
      </c>
      <c r="G17" s="5"/>
      <c r="H17" s="7" t="s">
        <v>50</v>
      </c>
      <c r="I17" s="16">
        <v>2</v>
      </c>
    </row>
    <row r="18" spans="1:9">
      <c r="A18" t="s">
        <v>233</v>
      </c>
      <c r="B18">
        <v>1.375</v>
      </c>
      <c r="G18" s="5"/>
      <c r="H18" s="7" t="s">
        <v>51</v>
      </c>
      <c r="I18" s="16">
        <v>2</v>
      </c>
    </row>
    <row r="19" spans="1:9">
      <c r="G19" s="5"/>
      <c r="H19" s="7" t="s">
        <v>53</v>
      </c>
      <c r="I19" s="16">
        <v>2</v>
      </c>
    </row>
    <row r="20" spans="1:9">
      <c r="G20" s="5"/>
      <c r="H20" s="7" t="s">
        <v>54</v>
      </c>
      <c r="I20" s="16">
        <v>2</v>
      </c>
    </row>
    <row r="21" spans="1:9">
      <c r="G21" s="5"/>
      <c r="H21" s="7" t="s">
        <v>55</v>
      </c>
      <c r="I21" s="16">
        <v>2</v>
      </c>
    </row>
    <row r="22" spans="1:9">
      <c r="G22" s="12"/>
    </row>
    <row r="23" spans="1:9">
      <c r="G23" s="12"/>
      <c r="H23" s="13"/>
      <c r="I23" s="13"/>
    </row>
    <row r="24" spans="1:9">
      <c r="G24" s="12"/>
      <c r="H24" s="13"/>
      <c r="I24" s="13"/>
    </row>
  </sheetData>
  <sheetProtection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6C911CBE58EBB4EB625493EB65424DC" ma:contentTypeVersion="19" ma:contentTypeDescription="Create a new document." ma:contentTypeScope="" ma:versionID="320f2864ad89abd5edde946bdd924f5e">
  <xsd:schema xmlns:xsd="http://www.w3.org/2001/XMLSchema" xmlns:xs="http://www.w3.org/2001/XMLSchema" xmlns:p="http://schemas.microsoft.com/office/2006/metadata/properties" xmlns:ns2="a238b962-bafa-45bd-ad86-2fd28997f8f2" xmlns:ns3="33517072-54d5-42a1-8b9a-509cbd83bac0" targetNamespace="http://schemas.microsoft.com/office/2006/metadata/properties" ma:root="true" ma:fieldsID="9dc3fdf74f2ad46b96aab2a752041a0a" ns2:_="" ns3:_="">
    <xsd:import namespace="a238b962-bafa-45bd-ad86-2fd28997f8f2"/>
    <xsd:import namespace="33517072-54d5-42a1-8b9a-509cbd83bac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38b962-bafa-45bd-ad86-2fd28997f8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c61bf903-3ffd-4acd-a104-dae86b6a704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3517072-54d5-42a1-8b9a-509cbd83bac0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6d7f613e-95a0-4916-ac1e-88462a15bf86}" ma:internalName="TaxCatchAll" ma:showField="CatchAllData" ma:web="33517072-54d5-42a1-8b9a-509cbd83bac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2AE1984-0254-41BC-9F16-34ED0BE1D35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E23B41C-4D13-40F2-8829-02E23AD21A4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38b962-bafa-45bd-ad86-2fd28997f8f2"/>
    <ds:schemaRef ds:uri="33517072-54d5-42a1-8b9a-509cbd83bac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Customer Prices</vt:lpstr>
      <vt:lpstr>Custom Blends</vt:lpstr>
      <vt:lpstr>Weights</vt:lpstr>
      <vt:lpstr>Variables</vt:lpstr>
      <vt:lpstr>'Custom Blends'!Print_Area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Jon Mitchell</dc:creator>
  <cp:keywords/>
  <dc:description/>
  <cp:lastModifiedBy>Camille Camus</cp:lastModifiedBy>
  <cp:revision/>
  <dcterms:created xsi:type="dcterms:W3CDTF">2023-11-24T14:59:53Z</dcterms:created>
  <dcterms:modified xsi:type="dcterms:W3CDTF">2024-02-08T10:06:02Z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Jet Reports Function Literals">
    <vt:lpwstr>,	;	,	{	}	[@[{0}]]	1033	2057</vt:lpwstr>
  </property>
</Properties>
</file>