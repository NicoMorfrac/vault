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eDrive\MORFBLOCK\MARLOW\"/>
    </mc:Choice>
  </mc:AlternateContent>
  <xr:revisionPtr revIDLastSave="137" documentId="8_{F49B5240-741A-4092-8758-8FCE4382FC3B}" xr6:coauthVersionLast="43" xr6:coauthVersionMax="43" xr10:uidLastSave="{563D96F5-8991-459B-9274-1E31EBC8974E}"/>
  <bookViews>
    <workbookView xWindow="-5583" yWindow="-41" windowWidth="12226" windowHeight="11031" activeTab="1" xr2:uid="{B325296B-1D22-42C4-AA10-6B1B1E42E1FC}"/>
  </bookViews>
  <sheets>
    <sheet name="Hoja1" sheetId="1" r:id="rId1"/>
    <sheet name="QUOTE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5" i="1" l="1"/>
  <c r="V8" i="1"/>
  <c r="V9" i="1"/>
  <c r="V10" i="1"/>
  <c r="V7" i="1"/>
  <c r="T16" i="1"/>
  <c r="K8" i="1"/>
  <c r="K9" i="1"/>
  <c r="K10" i="1"/>
  <c r="K7" i="1"/>
  <c r="T15" i="1"/>
  <c r="S15" i="1"/>
  <c r="N15" i="1"/>
  <c r="M15" i="1"/>
  <c r="T13" i="1"/>
  <c r="T12" i="1"/>
  <c r="S13" i="1"/>
  <c r="S12" i="1"/>
  <c r="M13" i="1"/>
  <c r="M12" i="1"/>
  <c r="T8" i="1"/>
  <c r="T9" i="1"/>
  <c r="T10" i="1"/>
  <c r="T7" i="1"/>
  <c r="S8" i="1"/>
  <c r="S9" i="1"/>
  <c r="S10" i="1"/>
  <c r="S7" i="1"/>
  <c r="Q8" i="1"/>
  <c r="Q9" i="1"/>
  <c r="Q10" i="1"/>
  <c r="Q7" i="1"/>
  <c r="M8" i="1"/>
  <c r="M9" i="1"/>
  <c r="M10" i="1"/>
  <c r="M7" i="1"/>
  <c r="I19" i="1"/>
  <c r="J21" i="1"/>
  <c r="I21" i="1"/>
  <c r="I20" i="1"/>
  <c r="G20" i="1"/>
  <c r="G19" i="1"/>
  <c r="F21" i="1"/>
  <c r="E21" i="1"/>
  <c r="G15" i="1"/>
  <c r="G14" i="1"/>
  <c r="J8" i="1"/>
  <c r="J9" i="1"/>
  <c r="J10" i="1"/>
  <c r="J7" i="1"/>
  <c r="I8" i="1"/>
  <c r="I9" i="1"/>
  <c r="I10" i="1"/>
  <c r="I7" i="1"/>
  <c r="G8" i="1"/>
  <c r="G9" i="1"/>
  <c r="G10" i="1"/>
  <c r="G7" i="1"/>
  <c r="F7" i="1"/>
</calcChain>
</file>

<file path=xl/sharedStrings.xml><?xml version="1.0" encoding="utf-8"?>
<sst xmlns="http://schemas.openxmlformats.org/spreadsheetml/2006/main" count="96" uniqueCount="50">
  <si>
    <t xml:space="preserve">MARLOW ROPES </t>
  </si>
  <si>
    <t>D12 SK78</t>
  </si>
  <si>
    <t>12 strand Dyneema</t>
  </si>
  <si>
    <t>Price</t>
  </si>
  <si>
    <t>Retail</t>
  </si>
  <si>
    <t>%</t>
  </si>
  <si>
    <t xml:space="preserve">BLACK DYNEEMA CS PRO </t>
  </si>
  <si>
    <t>COVER</t>
  </si>
  <si>
    <t>MGP Racing 100 + SK78</t>
  </si>
  <si>
    <t>stock (m)</t>
  </si>
  <si>
    <t>Colour Cover/Core</t>
  </si>
  <si>
    <t>RED/Black</t>
  </si>
  <si>
    <t>EURO</t>
  </si>
  <si>
    <t>STOCK (m)</t>
  </si>
  <si>
    <t>TYPE</t>
  </si>
  <si>
    <t>Dyneema 12 strand</t>
  </si>
  <si>
    <t>PVP + IVA</t>
  </si>
  <si>
    <t>PVP IVA inc</t>
  </si>
  <si>
    <t>Diameter</t>
  </si>
  <si>
    <t>Colour</t>
  </si>
  <si>
    <t>Black</t>
  </si>
  <si>
    <t>D12 SK79</t>
  </si>
  <si>
    <t>D12 SK80</t>
  </si>
  <si>
    <t>D12 SK81</t>
  </si>
  <si>
    <t>RED/ black core</t>
  </si>
  <si>
    <t>Descuento</t>
  </si>
  <si>
    <t>Green/Green core</t>
  </si>
  <si>
    <t>Core</t>
  </si>
  <si>
    <t>Cover</t>
  </si>
  <si>
    <t>MGP Tech 50</t>
  </si>
  <si>
    <t>costo</t>
  </si>
  <si>
    <t>ITEM</t>
  </si>
  <si>
    <t>Runners</t>
  </si>
  <si>
    <t xml:space="preserve"> 2x Splice</t>
  </si>
  <si>
    <t>Tack</t>
  </si>
  <si>
    <t>NOTES</t>
  </si>
  <si>
    <t>2x 11m runners</t>
  </si>
  <si>
    <t>1 splice w/Cover</t>
  </si>
  <si>
    <t>Downhaul</t>
  </si>
  <si>
    <t>Black-Blue</t>
  </si>
  <si>
    <t>Black-orange</t>
  </si>
  <si>
    <t>Black-Black</t>
  </si>
  <si>
    <t xml:space="preserve"> 1x Splice</t>
  </si>
  <si>
    <t>Dyneema chafe cover</t>
  </si>
  <si>
    <t>Unit</t>
  </si>
  <si>
    <t>Reef</t>
  </si>
  <si>
    <t>Eye splice w/Cover</t>
  </si>
  <si>
    <t>30-50 mm</t>
  </si>
  <si>
    <t>Unit Price</t>
  </si>
  <si>
    <t>TOTAL +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</si>
</sst>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&quot;£&quot;* #,##0.00_-;\-&quot;£&quot;* #,##0.00_-;_-&quot;£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43">
    <xf numFmtId="0" fontId="0" fillId="0" borderId="0" xfId="0"/>
    <xf numFmtId="2" fontId="0" fillId="0" borderId="0" xfId="0" applyNumberFormat="1"/>
    <xf numFmtId="9" fontId="0" fillId="0" borderId="0" xfId="2" applyFont="1"/>
    <xf numFmtId="9" fontId="0" fillId="0" borderId="0" xfId="0" applyNumberFormat="1"/>
    <xf numFmtId="0" fontId="5" fillId="3" borderId="0" xfId="3" applyFont="1" applyFill="1"/>
    <xf numFmtId="0" fontId="0" fillId="2" borderId="0" xfId="0" applyFill="1"/>
    <xf numFmtId="0" fontId="5" fillId="3" borderId="4" xfId="3" applyFont="1" applyFill="1" applyBorder="1"/>
    <xf numFmtId="0" fontId="5" fillId="3" borderId="3" xfId="3" applyFont="1" applyFill="1" applyBorder="1"/>
    <xf numFmtId="0" fontId="5" fillId="3" borderId="5" xfId="3" applyFont="1" applyFill="1" applyBorder="1"/>
    <xf numFmtId="0" fontId="0" fillId="2" borderId="5" xfId="0" applyFill="1" applyBorder="1"/>
    <xf numFmtId="0" fontId="2" fillId="2" borderId="2" xfId="0" applyFont="1" applyFill="1" applyBorder="1"/>
    <xf numFmtId="0" fontId="2" fillId="2" borderId="7" xfId="0" applyFont="1" applyFill="1" applyBorder="1"/>
    <xf numFmtId="0" fontId="0" fillId="0" borderId="0" xfId="0" applyAlignment="1">
      <alignment horizontal="center"/>
    </xf>
    <xf numFmtId="0" fontId="5" fillId="3" borderId="3" xfId="3" applyFont="1" applyFill="1" applyBorder="1" applyAlignment="1">
      <alignment horizontal="center"/>
    </xf>
    <xf numFmtId="0" fontId="5" fillId="3" borderId="9" xfId="3" applyFont="1" applyFill="1" applyBorder="1" applyAlignment="1">
      <alignment horizontal="center"/>
    </xf>
    <xf numFmtId="0" fontId="5" fillId="3" borderId="0" xfId="3" applyFont="1" applyFill="1" applyAlignment="1">
      <alignment horizontal="center"/>
    </xf>
    <xf numFmtId="0" fontId="5" fillId="3" borderId="10" xfId="3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43" fontId="0" fillId="0" borderId="0" xfId="1" applyFont="1"/>
    <xf numFmtId="43" fontId="0" fillId="0" borderId="0" xfId="0" applyNumberFormat="1"/>
    <xf numFmtId="0" fontId="5" fillId="3" borderId="0" xfId="3" applyFont="1" applyFill="1" applyBorder="1"/>
    <xf numFmtId="0" fontId="0" fillId="2" borderId="0" xfId="0" applyFill="1" applyBorder="1"/>
    <xf numFmtId="0" fontId="0" fillId="2" borderId="5" xfId="0" applyFill="1" applyBorder="1" applyAlignment="1">
      <alignment horizontal="right"/>
    </xf>
    <xf numFmtId="0" fontId="0" fillId="3" borderId="5" xfId="0" applyFill="1" applyBorder="1"/>
    <xf numFmtId="0" fontId="0" fillId="3" borderId="0" xfId="0" applyFill="1" applyBorder="1"/>
    <xf numFmtId="0" fontId="0" fillId="3" borderId="0" xfId="0" applyFill="1"/>
    <xf numFmtId="2" fontId="0" fillId="3" borderId="0" xfId="0" applyNumberFormat="1" applyFill="1" applyAlignment="1">
      <alignment horizontal="center"/>
    </xf>
    <xf numFmtId="2" fontId="0" fillId="3" borderId="10" xfId="0" applyNumberFormat="1" applyFill="1" applyBorder="1" applyAlignment="1">
      <alignment horizontal="center"/>
    </xf>
    <xf numFmtId="0" fontId="0" fillId="3" borderId="5" xfId="0" applyFill="1" applyBorder="1" applyAlignment="1">
      <alignment horizontal="right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0" xfId="0" applyBorder="1"/>
  </cellXfs>
  <cellStyles count="6">
    <cellStyle name="Currency 2" xfId="5" xr:uid="{02AEE08D-CCE4-40D8-BEA2-CEE732B75486}"/>
    <cellStyle name="Millares" xfId="1" builtinId="3"/>
    <cellStyle name="Normal" xfId="0" builtinId="0"/>
    <cellStyle name="Normal 2" xfId="3" xr:uid="{C3EBDBAD-12FE-4DBA-B1FD-CB2E0A4A59DA}"/>
    <cellStyle name="Porcentaje" xfId="2" builtinId="5"/>
    <cellStyle name="Porcentaje 2" xfId="4" xr:uid="{A185C37B-9B30-44E1-A05A-49278CC54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189782</xdr:colOff>
      <xdr:row>1</xdr:row>
      <xdr:rowOff>172530</xdr:rowOff>
    </xdr:from>
    <xdr:to>
      <xdr:col>15</xdr:col>
      <xdr:colOff>181156</xdr:colOff>
      <xdr:row>4</xdr:row>
      <xdr:rowOff>19400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886BA0C0-1622-4D72-91DF-9460BC164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9276" y="353685"/>
          <a:ext cx="2268748" cy="390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163903</xdr:colOff>
      <xdr:row>2</xdr:row>
      <xdr:rowOff>60387</xdr:rowOff>
    </xdr:from>
    <xdr:to>
      <xdr:col>9</xdr:col>
      <xdr:colOff>155278</xdr:colOff>
      <xdr:row>4</xdr:row>
      <xdr:rowOff>88412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69BBDD91-DD72-4859-AA82-49B0ED6AB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273" y="431323"/>
          <a:ext cx="2268748" cy="390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BBD7-A0D6-4B42-A6B2-9219F17C2AA7}">
  <dimension ref="C1:W21"/>
  <sheetViews>
    <sheetView topLeftCell="D1" workbookViewId="0">
      <selection activeCell="M2" sqref="M2:T16"/>
    </sheetView>
  </sheetViews>
  <sheetFormatPr baseColWidth="10" defaultRowHeight="14.3" x14ac:dyDescent="0.25"/>
  <cols>
    <col min="18" max="18" width="15" customWidth="1"/>
    <col min="19" max="19" width="12" style="12" customWidth="1"/>
    <col min="20" max="20" width="11" style="12"/>
  </cols>
  <sheetData>
    <row r="1" spans="3:23" ht="14.95" thickBot="1" x14ac:dyDescent="0.3"/>
    <row r="2" spans="3:23" x14ac:dyDescent="0.25">
      <c r="M2" s="6"/>
      <c r="N2" s="7"/>
      <c r="O2" s="7"/>
      <c r="P2" s="7"/>
      <c r="Q2" s="7"/>
      <c r="R2" s="7"/>
      <c r="S2" s="13"/>
      <c r="T2" s="14"/>
    </row>
    <row r="3" spans="3:23" x14ac:dyDescent="0.25">
      <c r="D3" t="s">
        <v>0</v>
      </c>
      <c r="M3" s="8"/>
      <c r="N3" s="4"/>
      <c r="O3" s="4"/>
      <c r="P3" s="4"/>
      <c r="Q3" s="4"/>
      <c r="R3" s="4"/>
      <c r="S3" s="15"/>
      <c r="T3" s="16"/>
    </row>
    <row r="4" spans="3:23" x14ac:dyDescent="0.25">
      <c r="M4" s="8"/>
      <c r="N4" s="4"/>
      <c r="O4" s="4"/>
      <c r="P4" s="4"/>
      <c r="Q4" s="4"/>
      <c r="R4" s="4"/>
      <c r="S4" s="15"/>
      <c r="T4" s="16" t="s">
        <v>12</v>
      </c>
    </row>
    <row r="5" spans="3:23" ht="14.95" thickBot="1" x14ac:dyDescent="0.3">
      <c r="D5" t="s">
        <v>1</v>
      </c>
      <c r="E5" t="s">
        <v>2</v>
      </c>
      <c r="M5" s="8"/>
      <c r="N5" s="4"/>
      <c r="O5" s="4"/>
      <c r="P5" s="4"/>
      <c r="Q5" s="4"/>
      <c r="R5" s="4"/>
      <c r="S5" s="15"/>
      <c r="T5" s="16"/>
    </row>
    <row r="6" spans="3:23" ht="14.95" thickBot="1" x14ac:dyDescent="0.3">
      <c r="C6" t="s">
        <v>9</v>
      </c>
      <c r="E6" t="s">
        <v>3</v>
      </c>
      <c r="F6" t="s">
        <v>4</v>
      </c>
      <c r="G6" t="s">
        <v>5</v>
      </c>
      <c r="M6" s="10" t="s">
        <v>13</v>
      </c>
      <c r="N6" s="11" t="s">
        <v>14</v>
      </c>
      <c r="O6" s="11"/>
      <c r="P6" s="11"/>
      <c r="Q6" s="11" t="s">
        <v>18</v>
      </c>
      <c r="R6" s="11" t="s">
        <v>19</v>
      </c>
      <c r="S6" s="17" t="s">
        <v>16</v>
      </c>
      <c r="T6" s="18" t="s">
        <v>17</v>
      </c>
      <c r="V6" t="s">
        <v>25</v>
      </c>
    </row>
    <row r="7" spans="3:23" x14ac:dyDescent="0.25">
      <c r="C7">
        <v>50</v>
      </c>
      <c r="D7">
        <v>2.5</v>
      </c>
      <c r="E7">
        <v>0.59</v>
      </c>
      <c r="F7" s="1">
        <f>E7*2.48</f>
        <v>1.4631999999999998</v>
      </c>
      <c r="G7" s="2">
        <f>F7/E7</f>
        <v>2.48</v>
      </c>
      <c r="I7">
        <f>E7*1.7</f>
        <v>1.0029999999999999</v>
      </c>
      <c r="J7">
        <f>1-I7/F7</f>
        <v>0.31451612903225801</v>
      </c>
      <c r="K7">
        <f>E7*2</f>
        <v>1.18</v>
      </c>
      <c r="M7" s="9">
        <f>C7</f>
        <v>50</v>
      </c>
      <c r="N7" s="5" t="s">
        <v>1</v>
      </c>
      <c r="O7" s="5" t="s">
        <v>15</v>
      </c>
      <c r="P7" s="5"/>
      <c r="Q7" s="5">
        <f>D7</f>
        <v>2.5</v>
      </c>
      <c r="R7" s="5" t="s">
        <v>20</v>
      </c>
      <c r="S7" s="19">
        <f>F7</f>
        <v>1.4631999999999998</v>
      </c>
      <c r="T7" s="20">
        <f>S7+1.21</f>
        <v>2.6731999999999996</v>
      </c>
      <c r="V7" s="27">
        <f>S7*0.55</f>
        <v>0.80475999999999992</v>
      </c>
      <c r="W7" s="28"/>
    </row>
    <row r="8" spans="3:23" x14ac:dyDescent="0.25">
      <c r="C8">
        <v>50</v>
      </c>
      <c r="D8">
        <v>3</v>
      </c>
      <c r="E8">
        <v>0.94</v>
      </c>
      <c r="F8" s="1">
        <v>2.35</v>
      </c>
      <c r="G8" s="2">
        <f t="shared" ref="G8:G10" si="0">F8/E8</f>
        <v>2.5000000000000004</v>
      </c>
      <c r="I8">
        <f t="shared" ref="I8:I10" si="1">E8*1.7</f>
        <v>1.5979999999999999</v>
      </c>
      <c r="J8">
        <f t="shared" ref="J8:J10" si="2">1-I8/F8</f>
        <v>0.32000000000000006</v>
      </c>
      <c r="K8">
        <f t="shared" ref="K8:K10" si="3">E8*2</f>
        <v>1.88</v>
      </c>
      <c r="M8" s="9">
        <f t="shared" ref="M8:M10" si="4">C8</f>
        <v>50</v>
      </c>
      <c r="N8" s="5" t="s">
        <v>21</v>
      </c>
      <c r="O8" s="5" t="s">
        <v>15</v>
      </c>
      <c r="P8" s="5"/>
      <c r="Q8" s="5">
        <f t="shared" ref="Q8:Q10" si="5">D8</f>
        <v>3</v>
      </c>
      <c r="R8" s="5" t="s">
        <v>20</v>
      </c>
      <c r="S8" s="19">
        <f t="shared" ref="S8:S10" si="6">F8</f>
        <v>2.35</v>
      </c>
      <c r="T8" s="20">
        <f t="shared" ref="T8:T10" si="7">S8+1.21</f>
        <v>3.56</v>
      </c>
      <c r="V8" s="27">
        <f t="shared" ref="V8:V10" si="8">S8*0.55</f>
        <v>1.2925000000000002</v>
      </c>
      <c r="W8" s="28"/>
    </row>
    <row r="9" spans="3:23" x14ac:dyDescent="0.25">
      <c r="C9">
        <v>50</v>
      </c>
      <c r="D9">
        <v>3.5</v>
      </c>
      <c r="E9">
        <v>1.0900000000000001</v>
      </c>
      <c r="F9" s="1">
        <v>2.98</v>
      </c>
      <c r="G9" s="2">
        <f t="shared" si="0"/>
        <v>2.73394495412844</v>
      </c>
      <c r="I9">
        <f t="shared" si="1"/>
        <v>1.853</v>
      </c>
      <c r="J9">
        <f t="shared" si="2"/>
        <v>0.37818791946308727</v>
      </c>
      <c r="K9">
        <f t="shared" si="3"/>
        <v>2.1800000000000002</v>
      </c>
      <c r="M9" s="9">
        <f t="shared" si="4"/>
        <v>50</v>
      </c>
      <c r="N9" s="5" t="s">
        <v>22</v>
      </c>
      <c r="O9" s="5" t="s">
        <v>15</v>
      </c>
      <c r="P9" s="5"/>
      <c r="Q9" s="5">
        <f t="shared" si="5"/>
        <v>3.5</v>
      </c>
      <c r="R9" s="5" t="s">
        <v>20</v>
      </c>
      <c r="S9" s="19">
        <f t="shared" si="6"/>
        <v>2.98</v>
      </c>
      <c r="T9" s="20">
        <f t="shared" si="7"/>
        <v>4.1899999999999995</v>
      </c>
      <c r="V9" s="27">
        <f t="shared" si="8"/>
        <v>1.639</v>
      </c>
      <c r="W9" s="28"/>
    </row>
    <row r="10" spans="3:23" x14ac:dyDescent="0.25">
      <c r="C10">
        <v>50</v>
      </c>
      <c r="D10">
        <v>4</v>
      </c>
      <c r="E10">
        <v>1.19</v>
      </c>
      <c r="F10" s="1">
        <v>4.41</v>
      </c>
      <c r="G10" s="2">
        <f t="shared" si="0"/>
        <v>3.7058823529411766</v>
      </c>
      <c r="I10">
        <f t="shared" si="1"/>
        <v>2.0229999999999997</v>
      </c>
      <c r="J10">
        <f t="shared" si="2"/>
        <v>0.54126984126984135</v>
      </c>
      <c r="K10">
        <f t="shared" si="3"/>
        <v>2.38</v>
      </c>
      <c r="M10" s="9">
        <f t="shared" si="4"/>
        <v>50</v>
      </c>
      <c r="N10" s="5" t="s">
        <v>23</v>
      </c>
      <c r="O10" s="5" t="s">
        <v>15</v>
      </c>
      <c r="P10" s="5"/>
      <c r="Q10" s="5">
        <f t="shared" si="5"/>
        <v>4</v>
      </c>
      <c r="R10" s="5" t="s">
        <v>20</v>
      </c>
      <c r="S10" s="19">
        <f t="shared" si="6"/>
        <v>4.41</v>
      </c>
      <c r="T10" s="20">
        <f t="shared" si="7"/>
        <v>5.62</v>
      </c>
      <c r="V10" s="27">
        <f t="shared" si="8"/>
        <v>2.4255000000000004</v>
      </c>
      <c r="W10" s="28"/>
    </row>
    <row r="11" spans="3:23" x14ac:dyDescent="0.25">
      <c r="M11" s="9"/>
      <c r="N11" s="5"/>
      <c r="O11" s="5"/>
      <c r="P11" s="5"/>
      <c r="Q11" s="5"/>
      <c r="R11" s="5"/>
      <c r="S11" s="21"/>
      <c r="T11" s="22"/>
      <c r="W11" s="28"/>
    </row>
    <row r="12" spans="3:23" x14ac:dyDescent="0.25">
      <c r="D12" t="s">
        <v>7</v>
      </c>
      <c r="E12" t="s">
        <v>6</v>
      </c>
      <c r="M12" s="9">
        <f>C14</f>
        <v>50</v>
      </c>
      <c r="N12" s="5" t="s">
        <v>7</v>
      </c>
      <c r="O12" s="5" t="s">
        <v>6</v>
      </c>
      <c r="P12" s="5"/>
      <c r="Q12" s="5">
        <v>5</v>
      </c>
      <c r="R12" s="5" t="s">
        <v>20</v>
      </c>
      <c r="S12" s="19">
        <f>F14</f>
        <v>1.94</v>
      </c>
      <c r="T12" s="20">
        <f>S12+1.21</f>
        <v>3.15</v>
      </c>
    </row>
    <row r="13" spans="3:23" x14ac:dyDescent="0.25">
      <c r="C13" t="s">
        <v>9</v>
      </c>
      <c r="E13" t="s">
        <v>3</v>
      </c>
      <c r="F13" t="s">
        <v>4</v>
      </c>
      <c r="G13" t="s">
        <v>5</v>
      </c>
      <c r="M13" s="9">
        <f>C15</f>
        <v>75</v>
      </c>
      <c r="N13" s="5" t="s">
        <v>7</v>
      </c>
      <c r="O13" s="5" t="s">
        <v>6</v>
      </c>
      <c r="P13" s="5"/>
      <c r="Q13" s="5">
        <v>8</v>
      </c>
      <c r="R13" s="5" t="s">
        <v>20</v>
      </c>
      <c r="S13" s="19">
        <f>F15</f>
        <v>3.86</v>
      </c>
      <c r="T13" s="20">
        <f t="shared" ref="T13:T16" si="9">S13+1.21</f>
        <v>5.07</v>
      </c>
    </row>
    <row r="14" spans="3:23" x14ac:dyDescent="0.25">
      <c r="C14">
        <v>50</v>
      </c>
      <c r="D14">
        <v>5</v>
      </c>
      <c r="E14">
        <v>0.74</v>
      </c>
      <c r="F14">
        <v>1.94</v>
      </c>
      <c r="G14" s="2">
        <f>F14/E14</f>
        <v>2.6216216216216215</v>
      </c>
      <c r="M14" s="9"/>
      <c r="N14" s="5"/>
      <c r="O14" s="5"/>
      <c r="P14" s="5"/>
      <c r="Q14" s="5"/>
      <c r="R14" s="5"/>
      <c r="S14" s="21"/>
      <c r="T14" s="22"/>
    </row>
    <row r="15" spans="3:23" x14ac:dyDescent="0.25">
      <c r="C15">
        <v>75</v>
      </c>
      <c r="D15">
        <v>8</v>
      </c>
      <c r="E15">
        <v>1.49</v>
      </c>
      <c r="F15">
        <v>3.86</v>
      </c>
      <c r="G15" s="2">
        <f t="shared" ref="G15" si="10">F15/E15</f>
        <v>2.5906040268456376</v>
      </c>
      <c r="M15" s="9">
        <f>C19</f>
        <v>54</v>
      </c>
      <c r="N15" s="5" t="str">
        <f>D17</f>
        <v>MGP Racing 100 + SK78</v>
      </c>
      <c r="O15" s="5"/>
      <c r="P15" s="5"/>
      <c r="Q15" s="5">
        <v>7</v>
      </c>
      <c r="R15" s="5" t="s">
        <v>24</v>
      </c>
      <c r="S15" s="21">
        <f>F21</f>
        <v>5.61</v>
      </c>
      <c r="T15" s="20">
        <f t="shared" si="9"/>
        <v>6.82</v>
      </c>
      <c r="V15" s="3">
        <v>0.35</v>
      </c>
      <c r="W15">
        <f>S15*0.65</f>
        <v>3.6465000000000005</v>
      </c>
    </row>
    <row r="16" spans="3:23" ht="14.95" thickBot="1" x14ac:dyDescent="0.3">
      <c r="M16" s="23">
        <v>15</v>
      </c>
      <c r="N16" s="24" t="s">
        <v>8</v>
      </c>
      <c r="O16" s="24"/>
      <c r="P16" s="24"/>
      <c r="Q16" s="24">
        <v>8</v>
      </c>
      <c r="R16" s="24" t="s">
        <v>26</v>
      </c>
      <c r="S16" s="25">
        <v>8</v>
      </c>
      <c r="T16" s="26">
        <f t="shared" si="9"/>
        <v>9.2100000000000009</v>
      </c>
      <c r="V16" s="3">
        <v>0.35</v>
      </c>
    </row>
    <row r="17" spans="3:10" x14ac:dyDescent="0.25">
      <c r="D17" t="s">
        <v>8</v>
      </c>
    </row>
    <row r="18" spans="3:10" x14ac:dyDescent="0.25">
      <c r="C18" t="s">
        <v>9</v>
      </c>
      <c r="E18" t="s">
        <v>3</v>
      </c>
      <c r="F18" t="s">
        <v>4</v>
      </c>
      <c r="G18" t="s">
        <v>5</v>
      </c>
      <c r="J18" t="s">
        <v>10</v>
      </c>
    </row>
    <row r="19" spans="3:10" x14ac:dyDescent="0.25">
      <c r="C19">
        <v>54</v>
      </c>
      <c r="D19">
        <v>7</v>
      </c>
      <c r="E19">
        <v>0.48</v>
      </c>
      <c r="F19">
        <v>1.2</v>
      </c>
      <c r="G19" s="2">
        <f>F19/E19</f>
        <v>2.5</v>
      </c>
      <c r="I19">
        <f>E19*2</f>
        <v>0.96</v>
      </c>
      <c r="J19" t="s">
        <v>11</v>
      </c>
    </row>
    <row r="20" spans="3:10" x14ac:dyDescent="0.25">
      <c r="D20">
        <v>5</v>
      </c>
      <c r="E20">
        <v>1.76</v>
      </c>
      <c r="F20">
        <v>4.41</v>
      </c>
      <c r="G20" s="2">
        <f t="shared" ref="G20" si="11">F20/E20</f>
        <v>2.5056818181818183</v>
      </c>
      <c r="I20">
        <f>E20*2</f>
        <v>3.52</v>
      </c>
    </row>
    <row r="21" spans="3:10" x14ac:dyDescent="0.25">
      <c r="E21">
        <f>E20+E19</f>
        <v>2.2400000000000002</v>
      </c>
      <c r="F21">
        <f>F20+F19</f>
        <v>5.61</v>
      </c>
      <c r="I21">
        <f>F21*0.65</f>
        <v>3.6465000000000005</v>
      </c>
      <c r="J21" s="2">
        <f>1-I21/F21</f>
        <v>0.35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739A-65E5-4F4C-B073-E43EEB067B20}">
  <dimension ref="A1:N23"/>
  <sheetViews>
    <sheetView tabSelected="1" topLeftCell="C1" workbookViewId="0">
      <selection activeCell="E34" sqref="E34"/>
    </sheetView>
  </sheetViews>
  <sheetFormatPr baseColWidth="10" defaultRowHeight="14.3" x14ac:dyDescent="0.25"/>
  <cols>
    <col min="3" max="3" width="28.25" customWidth="1"/>
    <col min="5" max="5" width="14" customWidth="1"/>
    <col min="6" max="6" width="12.625" customWidth="1"/>
    <col min="10" max="10" width="3.375" customWidth="1"/>
  </cols>
  <sheetData>
    <row r="1" spans="1:14" ht="14.95" thickBot="1" x14ac:dyDescent="0.3"/>
    <row r="2" spans="1:14" x14ac:dyDescent="0.25">
      <c r="B2" s="6"/>
      <c r="C2" s="7"/>
      <c r="D2" s="7"/>
      <c r="E2" s="7"/>
      <c r="F2" s="7"/>
      <c r="G2" s="7"/>
      <c r="H2" s="7"/>
      <c r="I2" s="13"/>
      <c r="J2" s="13"/>
      <c r="K2" s="13"/>
      <c r="L2" s="14"/>
    </row>
    <row r="3" spans="1:14" x14ac:dyDescent="0.25">
      <c r="B3" s="8"/>
      <c r="C3" s="29"/>
      <c r="D3" s="29"/>
      <c r="E3" s="4"/>
      <c r="F3" s="4"/>
      <c r="G3" s="4"/>
      <c r="H3" s="4"/>
      <c r="I3" s="15"/>
      <c r="J3" s="15"/>
      <c r="K3" s="15"/>
      <c r="L3" s="16"/>
    </row>
    <row r="4" spans="1:14" x14ac:dyDescent="0.25">
      <c r="B4" s="8"/>
      <c r="C4" s="29"/>
      <c r="D4" s="29"/>
      <c r="E4" s="4"/>
      <c r="F4" s="4"/>
      <c r="G4" s="4"/>
      <c r="H4" s="4"/>
      <c r="I4" s="15"/>
      <c r="J4" s="15"/>
      <c r="K4" s="15"/>
      <c r="L4" s="16" t="s">
        <v>12</v>
      </c>
    </row>
    <row r="5" spans="1:14" ht="14.95" thickBot="1" x14ac:dyDescent="0.3">
      <c r="B5" s="8"/>
      <c r="C5" s="29"/>
      <c r="D5" s="29"/>
      <c r="E5" s="4"/>
      <c r="F5" s="4"/>
      <c r="G5" s="4"/>
      <c r="H5" s="4"/>
      <c r="I5" s="15"/>
      <c r="J5" s="15"/>
      <c r="K5" s="15"/>
      <c r="L5" s="16"/>
    </row>
    <row r="6" spans="1:14" ht="14.95" thickBot="1" x14ac:dyDescent="0.3">
      <c r="B6" s="10" t="s">
        <v>31</v>
      </c>
      <c r="C6" s="11" t="s">
        <v>35</v>
      </c>
      <c r="D6" s="11" t="s">
        <v>44</v>
      </c>
      <c r="E6" s="11" t="s">
        <v>27</v>
      </c>
      <c r="F6" s="11" t="s">
        <v>28</v>
      </c>
      <c r="G6" s="11" t="s">
        <v>18</v>
      </c>
      <c r="H6" s="11" t="s">
        <v>19</v>
      </c>
      <c r="I6" s="17" t="s">
        <v>48</v>
      </c>
      <c r="J6" s="17"/>
      <c r="K6" s="17" t="s">
        <v>49</v>
      </c>
      <c r="L6" s="18"/>
      <c r="N6" t="s">
        <v>30</v>
      </c>
    </row>
    <row r="7" spans="1:14" x14ac:dyDescent="0.25">
      <c r="B7" s="9" t="s">
        <v>32</v>
      </c>
      <c r="C7" s="30" t="s">
        <v>36</v>
      </c>
      <c r="D7" s="30">
        <v>22</v>
      </c>
      <c r="E7" s="5" t="s">
        <v>1</v>
      </c>
      <c r="F7" s="5" t="s">
        <v>29</v>
      </c>
      <c r="G7" s="5">
        <v>8</v>
      </c>
      <c r="H7" s="5" t="s">
        <v>41</v>
      </c>
      <c r="I7" s="19"/>
      <c r="J7" s="19"/>
      <c r="K7" s="19"/>
      <c r="L7" s="20"/>
      <c r="N7">
        <v>4.9800000000000004</v>
      </c>
    </row>
    <row r="8" spans="1:14" x14ac:dyDescent="0.25">
      <c r="B8" s="31" t="s">
        <v>33</v>
      </c>
      <c r="C8" s="30" t="s">
        <v>46</v>
      </c>
      <c r="D8" s="30">
        <v>2</v>
      </c>
      <c r="E8" s="5"/>
      <c r="F8" s="5"/>
      <c r="G8" s="5" t="s">
        <v>47</v>
      </c>
      <c r="H8" s="5"/>
      <c r="I8" s="19">
        <v>17.5</v>
      </c>
      <c r="J8" s="19"/>
      <c r="K8" s="19"/>
      <c r="L8" s="20"/>
    </row>
    <row r="9" spans="1:14" x14ac:dyDescent="0.25">
      <c r="B9" s="32" t="s">
        <v>34</v>
      </c>
      <c r="C9" s="33"/>
      <c r="D9" s="33">
        <v>18</v>
      </c>
      <c r="E9" s="34" t="s">
        <v>1</v>
      </c>
      <c r="F9" s="34" t="s">
        <v>29</v>
      </c>
      <c r="G9" s="34">
        <v>7</v>
      </c>
      <c r="H9" s="34" t="s">
        <v>39</v>
      </c>
      <c r="I9" s="35"/>
      <c r="J9" s="35"/>
      <c r="K9" s="35"/>
      <c r="L9" s="36"/>
      <c r="N9">
        <v>3.66</v>
      </c>
    </row>
    <row r="10" spans="1:14" x14ac:dyDescent="0.25">
      <c r="B10" s="37" t="s">
        <v>42</v>
      </c>
      <c r="C10" s="33" t="s">
        <v>37</v>
      </c>
      <c r="D10" s="33">
        <v>1</v>
      </c>
      <c r="E10" s="34"/>
      <c r="F10" s="34"/>
      <c r="G10" s="34" t="s">
        <v>47</v>
      </c>
      <c r="H10" s="34"/>
      <c r="I10" s="35">
        <v>17.5</v>
      </c>
      <c r="J10" s="35"/>
      <c r="K10" s="35"/>
      <c r="L10" s="36"/>
    </row>
    <row r="11" spans="1:14" x14ac:dyDescent="0.25">
      <c r="B11" s="38" t="s">
        <v>43</v>
      </c>
      <c r="C11" s="39"/>
      <c r="D11" s="33">
        <v>2</v>
      </c>
      <c r="E11" s="34"/>
      <c r="F11" s="34"/>
      <c r="G11" s="34">
        <v>8</v>
      </c>
      <c r="H11" s="34"/>
      <c r="I11" s="40"/>
      <c r="J11" s="40"/>
      <c r="K11" s="40"/>
      <c r="L11" s="41"/>
    </row>
    <row r="12" spans="1:14" x14ac:dyDescent="0.25">
      <c r="B12" s="9" t="s">
        <v>38</v>
      </c>
      <c r="C12" s="30"/>
      <c r="D12" s="30">
        <v>8</v>
      </c>
      <c r="E12" s="5" t="s">
        <v>1</v>
      </c>
      <c r="F12" s="5" t="s">
        <v>29</v>
      </c>
      <c r="G12" s="5">
        <v>6</v>
      </c>
      <c r="H12" s="5" t="s">
        <v>40</v>
      </c>
      <c r="I12" s="19"/>
      <c r="J12" s="19"/>
      <c r="K12" s="19"/>
      <c r="L12" s="20"/>
      <c r="N12">
        <v>2.62</v>
      </c>
    </row>
    <row r="13" spans="1:14" x14ac:dyDescent="0.25">
      <c r="A13" s="42"/>
      <c r="B13" s="33" t="s">
        <v>45</v>
      </c>
      <c r="C13" s="33"/>
      <c r="D13" s="33">
        <v>17</v>
      </c>
      <c r="E13" s="34" t="s">
        <v>1</v>
      </c>
      <c r="F13" s="34" t="s">
        <v>29</v>
      </c>
      <c r="G13" s="34">
        <v>6</v>
      </c>
      <c r="H13" s="34" t="s">
        <v>40</v>
      </c>
      <c r="I13" s="35"/>
      <c r="J13" s="35"/>
      <c r="K13" s="35"/>
      <c r="L13" s="36"/>
      <c r="N13">
        <v>2.62</v>
      </c>
    </row>
    <row r="14" spans="1:14" x14ac:dyDescent="0.25">
      <c r="A14" s="42"/>
      <c r="B14" s="5" t="s">
        <v>1</v>
      </c>
      <c r="C14" s="30"/>
      <c r="D14" s="30">
        <v>5</v>
      </c>
      <c r="E14" s="5" t="s">
        <v>1</v>
      </c>
      <c r="F14" s="5"/>
      <c r="G14" s="5">
        <v>2.5</v>
      </c>
      <c r="H14" s="5" t="s">
        <v>20</v>
      </c>
      <c r="I14" s="19"/>
      <c r="J14" s="19"/>
      <c r="K14" s="19"/>
      <c r="L14" s="20"/>
    </row>
    <row r="15" spans="1:14" x14ac:dyDescent="0.25">
      <c r="A15" s="42"/>
      <c r="B15" s="34" t="s">
        <v>1</v>
      </c>
      <c r="C15" s="33"/>
      <c r="D15" s="33">
        <v>5</v>
      </c>
      <c r="E15" s="34" t="s">
        <v>1</v>
      </c>
      <c r="F15" s="34"/>
      <c r="G15" s="34">
        <v>3</v>
      </c>
      <c r="H15" s="34" t="s">
        <v>20</v>
      </c>
      <c r="I15" s="35"/>
      <c r="J15" s="35"/>
      <c r="K15" s="35"/>
      <c r="L15" s="36"/>
    </row>
    <row r="16" spans="1:14" x14ac:dyDescent="0.25">
      <c r="A16" s="42"/>
      <c r="B16" s="5" t="s">
        <v>1</v>
      </c>
      <c r="C16" s="30"/>
      <c r="D16" s="30">
        <v>5</v>
      </c>
      <c r="E16" s="5" t="s">
        <v>1</v>
      </c>
      <c r="F16" s="5"/>
      <c r="G16" s="5">
        <v>3.5</v>
      </c>
      <c r="H16" s="5" t="s">
        <v>20</v>
      </c>
      <c r="I16" s="19"/>
      <c r="J16" s="19"/>
      <c r="K16" s="19"/>
      <c r="L16" s="20"/>
    </row>
    <row r="17" spans="1:12" x14ac:dyDescent="0.25">
      <c r="A17" s="42"/>
      <c r="B17" s="34" t="s">
        <v>1</v>
      </c>
      <c r="C17" s="33"/>
      <c r="D17" s="33">
        <v>5</v>
      </c>
      <c r="E17" s="34" t="s">
        <v>1</v>
      </c>
      <c r="F17" s="34"/>
      <c r="G17" s="34">
        <v>4</v>
      </c>
      <c r="H17" s="34" t="s">
        <v>20</v>
      </c>
      <c r="I17" s="35"/>
      <c r="J17" s="35"/>
      <c r="K17" s="35"/>
      <c r="L17" s="36"/>
    </row>
    <row r="18" spans="1:12" x14ac:dyDescent="0.25">
      <c r="A18" s="42"/>
      <c r="B18" s="30"/>
      <c r="C18" s="30"/>
      <c r="D18" s="30"/>
      <c r="E18" s="5"/>
      <c r="F18" s="5"/>
      <c r="G18" s="5"/>
      <c r="H18" s="5"/>
      <c r="I18" s="19"/>
      <c r="J18" s="19"/>
      <c r="K18" s="19"/>
      <c r="L18" s="20"/>
    </row>
    <row r="19" spans="1:12" x14ac:dyDescent="0.25">
      <c r="A19" s="42"/>
      <c r="B19" s="30"/>
      <c r="C19" s="30"/>
      <c r="D19" s="30"/>
      <c r="E19" s="5"/>
      <c r="F19" s="5"/>
      <c r="G19" s="5"/>
      <c r="H19" s="5"/>
      <c r="I19" s="19"/>
      <c r="J19" s="19"/>
      <c r="K19" s="19"/>
      <c r="L19" s="20"/>
    </row>
    <row r="20" spans="1:12" x14ac:dyDescent="0.25">
      <c r="B20" s="9"/>
      <c r="C20" s="30"/>
      <c r="D20" s="30"/>
      <c r="E20" s="5"/>
      <c r="F20" s="5"/>
      <c r="G20" s="5"/>
      <c r="H20" s="5"/>
      <c r="I20" s="19"/>
      <c r="J20" s="19"/>
      <c r="K20" s="19"/>
      <c r="L20" s="20"/>
    </row>
    <row r="21" spans="1:12" x14ac:dyDescent="0.25">
      <c r="B21" s="9"/>
      <c r="C21" s="30"/>
      <c r="D21" s="30"/>
      <c r="E21" s="5"/>
      <c r="F21" s="5"/>
      <c r="G21" s="5"/>
      <c r="H21" s="5"/>
      <c r="I21" s="21"/>
      <c r="J21" s="21"/>
      <c r="K21" s="21"/>
      <c r="L21" s="22"/>
    </row>
    <row r="22" spans="1:12" x14ac:dyDescent="0.25">
      <c r="B22" s="9"/>
      <c r="C22" s="30"/>
      <c r="D22" s="30"/>
      <c r="E22" s="5"/>
      <c r="F22" s="5"/>
      <c r="G22" s="5"/>
      <c r="H22" s="5"/>
      <c r="I22" s="21"/>
      <c r="J22" s="21"/>
      <c r="K22" s="21"/>
      <c r="L22" s="20"/>
    </row>
    <row r="23" spans="1:12" ht="14.95" thickBot="1" x14ac:dyDescent="0.3">
      <c r="B23" s="23"/>
      <c r="C23" s="24"/>
      <c r="D23" s="24"/>
      <c r="E23" s="24"/>
      <c r="F23" s="24"/>
      <c r="G23" s="24"/>
      <c r="H23" s="24"/>
      <c r="I23" s="25"/>
      <c r="J23" s="25"/>
      <c r="K23" s="25"/>
      <c r="L23" s="26"/>
    </row>
  </sheetData>
  <mergeCells count="1">
    <mergeCell ref="B11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QUOTE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2019-03-28T08:38:41Z</dcterms:created>
  <dcterms:modified xsi:type="dcterms:W3CDTF">2019-05-20T15:09:18Z</dcterms:modified>
</cp:coreProperties>
</file>