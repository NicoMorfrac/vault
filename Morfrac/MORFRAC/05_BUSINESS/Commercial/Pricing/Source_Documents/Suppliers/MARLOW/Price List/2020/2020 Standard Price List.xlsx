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OneDrive\MORFBLOCK\SUPPLIERS\MARLOW\Price List\"/>
    </mc:Choice>
  </mc:AlternateContent>
  <xr:revisionPtr revIDLastSave="2" documentId="11_AA997456AC46CB917FE88F04CBF139AEDC059CE1" xr6:coauthVersionLast="45" xr6:coauthVersionMax="45" xr10:uidLastSave="{F3CA7E8D-AFC3-48F2-BFBE-B381EB231AA3}"/>
  <bookViews>
    <workbookView minimized="1" xWindow="1399" yWindow="1019" windowWidth="13042" windowHeight="14087" xr2:uid="{00000000-000D-0000-FFFF-FFFF00000000}"/>
  </bookViews>
  <sheets>
    <sheet name="Price List" sheetId="1" r:id="rId1"/>
    <sheet name="Product list" sheetId="2" r:id="rId2"/>
    <sheet name="Order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'Price List'!$O$9:$P$400</definedName>
    <definedName name="_xlnm.Print_Area" localSheetId="0">'Price List'!$A$1:$P$835</definedName>
    <definedName name="_xlnm.Print_Area" localSheetId="1">'Product list'!$B$1:$I$1743</definedName>
    <definedName name="ORDERLIST">'Product list'!$B$8:$E$1743</definedName>
    <definedName name="Prices">'Product list'!$B$6:$G$1743</definedName>
    <definedName name="prodgroupdiscounts">#REF!</definedName>
    <definedName name="Product_Group_Discounts">#REF!</definedName>
    <definedName name="_xlnm.Print_Titles" localSheetId="0">'Price List'!$1:$7</definedName>
    <definedName name="_xlnm.Print_Titles" localSheetId="1">'Product list'!$1:$7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02" i="3" l="1"/>
  <c r="F502" i="3" s="1"/>
  <c r="D502" i="3"/>
  <c r="C502" i="3"/>
  <c r="E501" i="3"/>
  <c r="F501" i="3" s="1"/>
  <c r="D501" i="3"/>
  <c r="C501" i="3"/>
  <c r="E500" i="3"/>
  <c r="F500" i="3" s="1"/>
  <c r="D500" i="3"/>
  <c r="C500" i="3"/>
  <c r="E499" i="3"/>
  <c r="F499" i="3" s="1"/>
  <c r="D499" i="3"/>
  <c r="C499" i="3"/>
  <c r="E498" i="3"/>
  <c r="F498" i="3" s="1"/>
  <c r="D498" i="3"/>
  <c r="C498" i="3"/>
  <c r="E497" i="3"/>
  <c r="F497" i="3" s="1"/>
  <c r="D497" i="3"/>
  <c r="C497" i="3"/>
  <c r="E496" i="3"/>
  <c r="F496" i="3" s="1"/>
  <c r="D496" i="3"/>
  <c r="C496" i="3"/>
  <c r="E495" i="3"/>
  <c r="F495" i="3" s="1"/>
  <c r="D495" i="3"/>
  <c r="C495" i="3"/>
  <c r="E494" i="3"/>
  <c r="F494" i="3" s="1"/>
  <c r="D494" i="3"/>
  <c r="C494" i="3"/>
  <c r="E493" i="3"/>
  <c r="F493" i="3" s="1"/>
  <c r="D493" i="3"/>
  <c r="C493" i="3"/>
  <c r="E492" i="3"/>
  <c r="F492" i="3" s="1"/>
  <c r="D492" i="3"/>
  <c r="C492" i="3"/>
  <c r="E491" i="3"/>
  <c r="F491" i="3" s="1"/>
  <c r="D491" i="3"/>
  <c r="C491" i="3"/>
  <c r="E490" i="3"/>
  <c r="F490" i="3" s="1"/>
  <c r="D490" i="3"/>
  <c r="C490" i="3"/>
  <c r="E489" i="3"/>
  <c r="F489" i="3" s="1"/>
  <c r="D489" i="3"/>
  <c r="C489" i="3"/>
  <c r="E488" i="3"/>
  <c r="F488" i="3" s="1"/>
  <c r="D488" i="3"/>
  <c r="C488" i="3"/>
  <c r="E487" i="3"/>
  <c r="F487" i="3" s="1"/>
  <c r="D487" i="3"/>
  <c r="C487" i="3"/>
  <c r="E486" i="3"/>
  <c r="F486" i="3" s="1"/>
  <c r="D486" i="3"/>
  <c r="C486" i="3"/>
  <c r="E485" i="3"/>
  <c r="F485" i="3" s="1"/>
  <c r="D485" i="3"/>
  <c r="C485" i="3"/>
  <c r="E484" i="3"/>
  <c r="F484" i="3" s="1"/>
  <c r="D484" i="3"/>
  <c r="C484" i="3"/>
  <c r="E483" i="3"/>
  <c r="F483" i="3" s="1"/>
  <c r="D483" i="3"/>
  <c r="C483" i="3"/>
  <c r="E482" i="3"/>
  <c r="F482" i="3" s="1"/>
  <c r="D482" i="3"/>
  <c r="C482" i="3"/>
  <c r="E481" i="3"/>
  <c r="F481" i="3" s="1"/>
  <c r="D481" i="3"/>
  <c r="C481" i="3"/>
  <c r="E480" i="3"/>
  <c r="F480" i="3" s="1"/>
  <c r="D480" i="3"/>
  <c r="C480" i="3"/>
  <c r="E479" i="3"/>
  <c r="F479" i="3" s="1"/>
  <c r="D479" i="3"/>
  <c r="C479" i="3"/>
  <c r="E478" i="3"/>
  <c r="F478" i="3" s="1"/>
  <c r="D478" i="3"/>
  <c r="C478" i="3"/>
  <c r="E477" i="3"/>
  <c r="F477" i="3" s="1"/>
  <c r="D477" i="3"/>
  <c r="C477" i="3"/>
  <c r="E476" i="3"/>
  <c r="F476" i="3" s="1"/>
  <c r="D476" i="3"/>
  <c r="C476" i="3"/>
  <c r="E475" i="3"/>
  <c r="F475" i="3" s="1"/>
  <c r="D475" i="3"/>
  <c r="C475" i="3"/>
  <c r="E474" i="3"/>
  <c r="F474" i="3" s="1"/>
  <c r="D474" i="3"/>
  <c r="C474" i="3"/>
  <c r="E473" i="3"/>
  <c r="F473" i="3" s="1"/>
  <c r="D473" i="3"/>
  <c r="C473" i="3"/>
  <c r="E472" i="3"/>
  <c r="F472" i="3" s="1"/>
  <c r="D472" i="3"/>
  <c r="C472" i="3"/>
  <c r="E471" i="3"/>
  <c r="F471" i="3" s="1"/>
  <c r="D471" i="3"/>
  <c r="C471" i="3"/>
  <c r="E470" i="3"/>
  <c r="F470" i="3" s="1"/>
  <c r="D470" i="3"/>
  <c r="C470" i="3"/>
  <c r="E469" i="3"/>
  <c r="F469" i="3" s="1"/>
  <c r="D469" i="3"/>
  <c r="C469" i="3"/>
  <c r="E468" i="3"/>
  <c r="F468" i="3" s="1"/>
  <c r="D468" i="3"/>
  <c r="C468" i="3"/>
  <c r="E467" i="3"/>
  <c r="F467" i="3" s="1"/>
  <c r="D467" i="3"/>
  <c r="C467" i="3"/>
  <c r="E466" i="3"/>
  <c r="F466" i="3" s="1"/>
  <c r="D466" i="3"/>
  <c r="C466" i="3"/>
  <c r="E465" i="3"/>
  <c r="F465" i="3" s="1"/>
  <c r="D465" i="3"/>
  <c r="C465" i="3"/>
  <c r="E464" i="3"/>
  <c r="F464" i="3" s="1"/>
  <c r="D464" i="3"/>
  <c r="C464" i="3"/>
  <c r="E463" i="3"/>
  <c r="F463" i="3" s="1"/>
  <c r="D463" i="3"/>
  <c r="C463" i="3"/>
  <c r="E462" i="3"/>
  <c r="F462" i="3" s="1"/>
  <c r="D462" i="3"/>
  <c r="C462" i="3"/>
  <c r="E461" i="3"/>
  <c r="F461" i="3" s="1"/>
  <c r="D461" i="3"/>
  <c r="C461" i="3"/>
  <c r="E460" i="3"/>
  <c r="F460" i="3" s="1"/>
  <c r="D460" i="3"/>
  <c r="C460" i="3"/>
  <c r="E459" i="3"/>
  <c r="F459" i="3" s="1"/>
  <c r="D459" i="3"/>
  <c r="C459" i="3"/>
  <c r="E458" i="3"/>
  <c r="F458" i="3" s="1"/>
  <c r="D458" i="3"/>
  <c r="C458" i="3"/>
  <c r="E457" i="3"/>
  <c r="F457" i="3" s="1"/>
  <c r="D457" i="3"/>
  <c r="C457" i="3"/>
  <c r="E456" i="3"/>
  <c r="F456" i="3" s="1"/>
  <c r="D456" i="3"/>
  <c r="C456" i="3"/>
  <c r="E455" i="3"/>
  <c r="F455" i="3" s="1"/>
  <c r="D455" i="3"/>
  <c r="C455" i="3"/>
  <c r="E454" i="3"/>
  <c r="F454" i="3" s="1"/>
  <c r="D454" i="3"/>
  <c r="C454" i="3"/>
  <c r="E453" i="3"/>
  <c r="F453" i="3" s="1"/>
  <c r="D453" i="3"/>
  <c r="C453" i="3"/>
  <c r="E452" i="3"/>
  <c r="F452" i="3" s="1"/>
  <c r="D452" i="3"/>
  <c r="C452" i="3"/>
  <c r="E451" i="3"/>
  <c r="F451" i="3" s="1"/>
  <c r="D451" i="3"/>
  <c r="C451" i="3"/>
  <c r="E450" i="3"/>
  <c r="F450" i="3" s="1"/>
  <c r="D450" i="3"/>
  <c r="C450" i="3"/>
  <c r="E449" i="3"/>
  <c r="F449" i="3" s="1"/>
  <c r="D449" i="3"/>
  <c r="C449" i="3"/>
  <c r="E448" i="3"/>
  <c r="F448" i="3" s="1"/>
  <c r="D448" i="3"/>
  <c r="C448" i="3"/>
  <c r="E447" i="3"/>
  <c r="F447" i="3" s="1"/>
  <c r="D447" i="3"/>
  <c r="C447" i="3"/>
  <c r="E446" i="3"/>
  <c r="F446" i="3" s="1"/>
  <c r="D446" i="3"/>
  <c r="C446" i="3"/>
  <c r="E445" i="3"/>
  <c r="F445" i="3" s="1"/>
  <c r="D445" i="3"/>
  <c r="C445" i="3"/>
  <c r="E444" i="3"/>
  <c r="F444" i="3" s="1"/>
  <c r="D444" i="3"/>
  <c r="C444" i="3"/>
  <c r="E443" i="3"/>
  <c r="F443" i="3" s="1"/>
  <c r="D443" i="3"/>
  <c r="C443" i="3"/>
  <c r="E442" i="3"/>
  <c r="F442" i="3" s="1"/>
  <c r="D442" i="3"/>
  <c r="C442" i="3"/>
  <c r="E441" i="3"/>
  <c r="F441" i="3" s="1"/>
  <c r="D441" i="3"/>
  <c r="C441" i="3"/>
  <c r="E440" i="3"/>
  <c r="F440" i="3" s="1"/>
  <c r="D440" i="3"/>
  <c r="C440" i="3"/>
  <c r="E439" i="3"/>
  <c r="F439" i="3" s="1"/>
  <c r="D439" i="3"/>
  <c r="C439" i="3"/>
  <c r="E438" i="3"/>
  <c r="F438" i="3" s="1"/>
  <c r="D438" i="3"/>
  <c r="C438" i="3"/>
  <c r="E437" i="3"/>
  <c r="F437" i="3" s="1"/>
  <c r="D437" i="3"/>
  <c r="C437" i="3"/>
  <c r="E436" i="3"/>
  <c r="F436" i="3" s="1"/>
  <c r="D436" i="3"/>
  <c r="C436" i="3"/>
  <c r="E435" i="3"/>
  <c r="F435" i="3" s="1"/>
  <c r="D435" i="3"/>
  <c r="C435" i="3"/>
  <c r="E434" i="3"/>
  <c r="F434" i="3" s="1"/>
  <c r="D434" i="3"/>
  <c r="C434" i="3"/>
  <c r="E433" i="3"/>
  <c r="F433" i="3" s="1"/>
  <c r="D433" i="3"/>
  <c r="C433" i="3"/>
  <c r="E432" i="3"/>
  <c r="F432" i="3" s="1"/>
  <c r="D432" i="3"/>
  <c r="C432" i="3"/>
  <c r="E431" i="3"/>
  <c r="F431" i="3" s="1"/>
  <c r="D431" i="3"/>
  <c r="C431" i="3"/>
  <c r="E430" i="3"/>
  <c r="F430" i="3" s="1"/>
  <c r="D430" i="3"/>
  <c r="C430" i="3"/>
  <c r="E429" i="3"/>
  <c r="F429" i="3" s="1"/>
  <c r="D429" i="3"/>
  <c r="C429" i="3"/>
  <c r="E428" i="3"/>
  <c r="F428" i="3" s="1"/>
  <c r="D428" i="3"/>
  <c r="C428" i="3"/>
  <c r="E427" i="3"/>
  <c r="F427" i="3" s="1"/>
  <c r="D427" i="3"/>
  <c r="C427" i="3"/>
  <c r="E426" i="3"/>
  <c r="F426" i="3" s="1"/>
  <c r="D426" i="3"/>
  <c r="C426" i="3"/>
  <c r="E425" i="3"/>
  <c r="F425" i="3" s="1"/>
  <c r="D425" i="3"/>
  <c r="C425" i="3"/>
  <c r="E424" i="3"/>
  <c r="F424" i="3" s="1"/>
  <c r="D424" i="3"/>
  <c r="C424" i="3"/>
  <c r="E423" i="3"/>
  <c r="F423" i="3" s="1"/>
  <c r="D423" i="3"/>
  <c r="C423" i="3"/>
  <c r="E422" i="3"/>
  <c r="F422" i="3" s="1"/>
  <c r="D422" i="3"/>
  <c r="C422" i="3"/>
  <c r="E421" i="3"/>
  <c r="F421" i="3" s="1"/>
  <c r="D421" i="3"/>
  <c r="C421" i="3"/>
  <c r="E420" i="3"/>
  <c r="F420" i="3" s="1"/>
  <c r="D420" i="3"/>
  <c r="C420" i="3"/>
  <c r="E419" i="3"/>
  <c r="F419" i="3" s="1"/>
  <c r="D419" i="3"/>
  <c r="C419" i="3"/>
  <c r="E418" i="3"/>
  <c r="F418" i="3" s="1"/>
  <c r="D418" i="3"/>
  <c r="C418" i="3"/>
  <c r="E417" i="3"/>
  <c r="F417" i="3" s="1"/>
  <c r="D417" i="3"/>
  <c r="C417" i="3"/>
  <c r="E416" i="3"/>
  <c r="F416" i="3" s="1"/>
  <c r="D416" i="3"/>
  <c r="C416" i="3"/>
  <c r="E415" i="3"/>
  <c r="F415" i="3" s="1"/>
  <c r="D415" i="3"/>
  <c r="C415" i="3"/>
  <c r="E414" i="3"/>
  <c r="F414" i="3" s="1"/>
  <c r="D414" i="3"/>
  <c r="C414" i="3"/>
  <c r="E413" i="3"/>
  <c r="F413" i="3" s="1"/>
  <c r="D413" i="3"/>
  <c r="C413" i="3"/>
  <c r="E412" i="3"/>
  <c r="F412" i="3" s="1"/>
  <c r="D412" i="3"/>
  <c r="C412" i="3"/>
  <c r="E411" i="3"/>
  <c r="F411" i="3" s="1"/>
  <c r="D411" i="3"/>
  <c r="C411" i="3"/>
  <c r="E410" i="3"/>
  <c r="F410" i="3" s="1"/>
  <c r="D410" i="3"/>
  <c r="C410" i="3"/>
  <c r="E409" i="3"/>
  <c r="F409" i="3" s="1"/>
  <c r="D409" i="3"/>
  <c r="C409" i="3"/>
  <c r="E408" i="3"/>
  <c r="F408" i="3" s="1"/>
  <c r="D408" i="3"/>
  <c r="C408" i="3"/>
  <c r="E407" i="3"/>
  <c r="F407" i="3" s="1"/>
  <c r="D407" i="3"/>
  <c r="C407" i="3"/>
  <c r="E406" i="3"/>
  <c r="F406" i="3" s="1"/>
  <c r="D406" i="3"/>
  <c r="C406" i="3"/>
  <c r="E405" i="3"/>
  <c r="F405" i="3" s="1"/>
  <c r="D405" i="3"/>
  <c r="C405" i="3"/>
  <c r="E404" i="3"/>
  <c r="F404" i="3" s="1"/>
  <c r="D404" i="3"/>
  <c r="C404" i="3"/>
  <c r="E403" i="3"/>
  <c r="F403" i="3" s="1"/>
  <c r="D403" i="3"/>
  <c r="C403" i="3"/>
  <c r="E402" i="3"/>
  <c r="F402" i="3" s="1"/>
  <c r="D402" i="3"/>
  <c r="C402" i="3"/>
  <c r="E401" i="3"/>
  <c r="F401" i="3" s="1"/>
  <c r="D401" i="3"/>
  <c r="C401" i="3"/>
  <c r="E400" i="3"/>
  <c r="F400" i="3" s="1"/>
  <c r="D400" i="3"/>
  <c r="C400" i="3"/>
  <c r="E399" i="3"/>
  <c r="F399" i="3" s="1"/>
  <c r="D399" i="3"/>
  <c r="C399" i="3"/>
  <c r="E398" i="3"/>
  <c r="F398" i="3" s="1"/>
  <c r="D398" i="3"/>
  <c r="C398" i="3"/>
  <c r="E397" i="3"/>
  <c r="F397" i="3" s="1"/>
  <c r="D397" i="3"/>
  <c r="C397" i="3"/>
  <c r="E396" i="3"/>
  <c r="F396" i="3" s="1"/>
  <c r="D396" i="3"/>
  <c r="C396" i="3"/>
  <c r="E395" i="3"/>
  <c r="F395" i="3" s="1"/>
  <c r="D395" i="3"/>
  <c r="C395" i="3"/>
  <c r="E394" i="3"/>
  <c r="F394" i="3" s="1"/>
  <c r="D394" i="3"/>
  <c r="C394" i="3"/>
  <c r="E393" i="3"/>
  <c r="F393" i="3" s="1"/>
  <c r="D393" i="3"/>
  <c r="C393" i="3"/>
  <c r="E392" i="3"/>
  <c r="F392" i="3" s="1"/>
  <c r="D392" i="3"/>
  <c r="C392" i="3"/>
  <c r="E391" i="3"/>
  <c r="F391" i="3" s="1"/>
  <c r="D391" i="3"/>
  <c r="C391" i="3"/>
  <c r="E390" i="3"/>
  <c r="F390" i="3" s="1"/>
  <c r="D390" i="3"/>
  <c r="C390" i="3"/>
  <c r="E389" i="3"/>
  <c r="F389" i="3" s="1"/>
  <c r="D389" i="3"/>
  <c r="C389" i="3"/>
  <c r="E388" i="3"/>
  <c r="F388" i="3" s="1"/>
  <c r="D388" i="3"/>
  <c r="C388" i="3"/>
  <c r="E387" i="3"/>
  <c r="F387" i="3" s="1"/>
  <c r="D387" i="3"/>
  <c r="C387" i="3"/>
  <c r="E386" i="3"/>
  <c r="F386" i="3" s="1"/>
  <c r="D386" i="3"/>
  <c r="C386" i="3"/>
  <c r="E385" i="3"/>
  <c r="F385" i="3" s="1"/>
  <c r="D385" i="3"/>
  <c r="C385" i="3"/>
  <c r="E384" i="3"/>
  <c r="F384" i="3" s="1"/>
  <c r="D384" i="3"/>
  <c r="C384" i="3"/>
  <c r="E383" i="3"/>
  <c r="F383" i="3" s="1"/>
  <c r="D383" i="3"/>
  <c r="C383" i="3"/>
  <c r="E382" i="3"/>
  <c r="F382" i="3" s="1"/>
  <c r="D382" i="3"/>
  <c r="C382" i="3"/>
  <c r="E381" i="3"/>
  <c r="F381" i="3" s="1"/>
  <c r="D381" i="3"/>
  <c r="C381" i="3"/>
  <c r="E380" i="3"/>
  <c r="F380" i="3" s="1"/>
  <c r="D380" i="3"/>
  <c r="C380" i="3"/>
  <c r="E379" i="3"/>
  <c r="F379" i="3" s="1"/>
  <c r="D379" i="3"/>
  <c r="C379" i="3"/>
  <c r="E378" i="3"/>
  <c r="F378" i="3" s="1"/>
  <c r="D378" i="3"/>
  <c r="C378" i="3"/>
  <c r="E377" i="3"/>
  <c r="F377" i="3" s="1"/>
  <c r="D377" i="3"/>
  <c r="C377" i="3"/>
  <c r="E376" i="3"/>
  <c r="F376" i="3" s="1"/>
  <c r="D376" i="3"/>
  <c r="C376" i="3"/>
  <c r="E375" i="3"/>
  <c r="F375" i="3" s="1"/>
  <c r="D375" i="3"/>
  <c r="C375" i="3"/>
  <c r="E374" i="3"/>
  <c r="F374" i="3" s="1"/>
  <c r="D374" i="3"/>
  <c r="C374" i="3"/>
  <c r="E373" i="3"/>
  <c r="F373" i="3" s="1"/>
  <c r="D373" i="3"/>
  <c r="C373" i="3"/>
  <c r="E372" i="3"/>
  <c r="F372" i="3" s="1"/>
  <c r="D372" i="3"/>
  <c r="C372" i="3"/>
  <c r="E371" i="3"/>
  <c r="F371" i="3" s="1"/>
  <c r="D371" i="3"/>
  <c r="C371" i="3"/>
  <c r="E370" i="3"/>
  <c r="F370" i="3" s="1"/>
  <c r="D370" i="3"/>
  <c r="C370" i="3"/>
  <c r="E369" i="3"/>
  <c r="F369" i="3" s="1"/>
  <c r="D369" i="3"/>
  <c r="C369" i="3"/>
  <c r="E368" i="3"/>
  <c r="F368" i="3" s="1"/>
  <c r="D368" i="3"/>
  <c r="C368" i="3"/>
  <c r="E367" i="3"/>
  <c r="F367" i="3" s="1"/>
  <c r="D367" i="3"/>
  <c r="C367" i="3"/>
  <c r="E366" i="3"/>
  <c r="F366" i="3" s="1"/>
  <c r="D366" i="3"/>
  <c r="C366" i="3"/>
  <c r="E365" i="3"/>
  <c r="F365" i="3" s="1"/>
  <c r="D365" i="3"/>
  <c r="C365" i="3"/>
  <c r="E364" i="3"/>
  <c r="F364" i="3" s="1"/>
  <c r="D364" i="3"/>
  <c r="C364" i="3"/>
  <c r="E363" i="3"/>
  <c r="F363" i="3" s="1"/>
  <c r="D363" i="3"/>
  <c r="C363" i="3"/>
  <c r="F362" i="3"/>
  <c r="E362" i="3"/>
  <c r="D362" i="3"/>
  <c r="C362" i="3"/>
  <c r="E361" i="3"/>
  <c r="F361" i="3" s="1"/>
  <c r="D361" i="3"/>
  <c r="C361" i="3"/>
  <c r="E360" i="3"/>
  <c r="F360" i="3" s="1"/>
  <c r="D360" i="3"/>
  <c r="C360" i="3"/>
  <c r="E359" i="3"/>
  <c r="F359" i="3" s="1"/>
  <c r="D359" i="3"/>
  <c r="C359" i="3"/>
  <c r="E358" i="3"/>
  <c r="F358" i="3" s="1"/>
  <c r="D358" i="3"/>
  <c r="C358" i="3"/>
  <c r="E357" i="3"/>
  <c r="F357" i="3" s="1"/>
  <c r="D357" i="3"/>
  <c r="C357" i="3"/>
  <c r="F356" i="3"/>
  <c r="E356" i="3"/>
  <c r="D356" i="3"/>
  <c r="C356" i="3"/>
  <c r="E355" i="3"/>
  <c r="F355" i="3" s="1"/>
  <c r="D355" i="3"/>
  <c r="C355" i="3"/>
  <c r="E354" i="3"/>
  <c r="F354" i="3" s="1"/>
  <c r="D354" i="3"/>
  <c r="C354" i="3"/>
  <c r="E353" i="3"/>
  <c r="F353" i="3" s="1"/>
  <c r="D353" i="3"/>
  <c r="C353" i="3"/>
  <c r="E352" i="3"/>
  <c r="F352" i="3" s="1"/>
  <c r="D352" i="3"/>
  <c r="C352" i="3"/>
  <c r="E351" i="3"/>
  <c r="F351" i="3" s="1"/>
  <c r="D351" i="3"/>
  <c r="C351" i="3"/>
  <c r="E350" i="3"/>
  <c r="F350" i="3" s="1"/>
  <c r="D350" i="3"/>
  <c r="C350" i="3"/>
  <c r="E349" i="3"/>
  <c r="F349" i="3" s="1"/>
  <c r="D349" i="3"/>
  <c r="C349" i="3"/>
  <c r="E348" i="3"/>
  <c r="F348" i="3" s="1"/>
  <c r="D348" i="3"/>
  <c r="C348" i="3"/>
  <c r="E347" i="3"/>
  <c r="F347" i="3" s="1"/>
  <c r="D347" i="3"/>
  <c r="C347" i="3"/>
  <c r="E346" i="3"/>
  <c r="F346" i="3" s="1"/>
  <c r="D346" i="3"/>
  <c r="C346" i="3"/>
  <c r="E345" i="3"/>
  <c r="F345" i="3" s="1"/>
  <c r="D345" i="3"/>
  <c r="C345" i="3"/>
  <c r="E344" i="3"/>
  <c r="F344" i="3" s="1"/>
  <c r="D344" i="3"/>
  <c r="C344" i="3"/>
  <c r="E343" i="3"/>
  <c r="F343" i="3" s="1"/>
  <c r="D343" i="3"/>
  <c r="C343" i="3"/>
  <c r="E342" i="3"/>
  <c r="F342" i="3" s="1"/>
  <c r="D342" i="3"/>
  <c r="C342" i="3"/>
  <c r="E341" i="3"/>
  <c r="F341" i="3" s="1"/>
  <c r="D341" i="3"/>
  <c r="C341" i="3"/>
  <c r="F340" i="3"/>
  <c r="E340" i="3"/>
  <c r="D340" i="3"/>
  <c r="C340" i="3"/>
  <c r="E339" i="3"/>
  <c r="F339" i="3" s="1"/>
  <c r="D339" i="3"/>
  <c r="C339" i="3"/>
  <c r="E338" i="3"/>
  <c r="F338" i="3" s="1"/>
  <c r="D338" i="3"/>
  <c r="C338" i="3"/>
  <c r="E337" i="3"/>
  <c r="F337" i="3" s="1"/>
  <c r="D337" i="3"/>
  <c r="C337" i="3"/>
  <c r="E336" i="3"/>
  <c r="F336" i="3" s="1"/>
  <c r="D336" i="3"/>
  <c r="C336" i="3"/>
  <c r="E335" i="3"/>
  <c r="F335" i="3" s="1"/>
  <c r="D335" i="3"/>
  <c r="C335" i="3"/>
  <c r="E334" i="3"/>
  <c r="F334" i="3" s="1"/>
  <c r="D334" i="3"/>
  <c r="C334" i="3"/>
  <c r="E333" i="3"/>
  <c r="F333" i="3" s="1"/>
  <c r="D333" i="3"/>
  <c r="C333" i="3"/>
  <c r="E332" i="3"/>
  <c r="F332" i="3" s="1"/>
  <c r="D332" i="3"/>
  <c r="C332" i="3"/>
  <c r="E331" i="3"/>
  <c r="F331" i="3" s="1"/>
  <c r="D331" i="3"/>
  <c r="C331" i="3"/>
  <c r="E330" i="3"/>
  <c r="F330" i="3" s="1"/>
  <c r="D330" i="3"/>
  <c r="C330" i="3"/>
  <c r="E329" i="3"/>
  <c r="F329" i="3" s="1"/>
  <c r="D329" i="3"/>
  <c r="C329" i="3"/>
  <c r="E328" i="3"/>
  <c r="F328" i="3" s="1"/>
  <c r="D328" i="3"/>
  <c r="C328" i="3"/>
  <c r="E327" i="3"/>
  <c r="F327" i="3" s="1"/>
  <c r="D327" i="3"/>
  <c r="C327" i="3"/>
  <c r="E326" i="3"/>
  <c r="F326" i="3" s="1"/>
  <c r="D326" i="3"/>
  <c r="C326" i="3"/>
  <c r="F325" i="3"/>
  <c r="E325" i="3"/>
  <c r="D325" i="3"/>
  <c r="C325" i="3"/>
  <c r="E324" i="3"/>
  <c r="F324" i="3" s="1"/>
  <c r="D324" i="3"/>
  <c r="C324" i="3"/>
  <c r="E323" i="3"/>
  <c r="F323" i="3" s="1"/>
  <c r="D323" i="3"/>
  <c r="C323" i="3"/>
  <c r="E322" i="3"/>
  <c r="F322" i="3" s="1"/>
  <c r="D322" i="3"/>
  <c r="C322" i="3"/>
  <c r="E321" i="3"/>
  <c r="F321" i="3" s="1"/>
  <c r="D321" i="3"/>
  <c r="C321" i="3"/>
  <c r="E320" i="3"/>
  <c r="F320" i="3" s="1"/>
  <c r="D320" i="3"/>
  <c r="C320" i="3"/>
  <c r="F319" i="3"/>
  <c r="E319" i="3"/>
  <c r="D319" i="3"/>
  <c r="C319" i="3"/>
  <c r="E318" i="3"/>
  <c r="F318" i="3" s="1"/>
  <c r="D318" i="3"/>
  <c r="C318" i="3"/>
  <c r="E317" i="3"/>
  <c r="F317" i="3" s="1"/>
  <c r="D317" i="3"/>
  <c r="C317" i="3"/>
  <c r="E316" i="3"/>
  <c r="F316" i="3" s="1"/>
  <c r="D316" i="3"/>
  <c r="C316" i="3"/>
  <c r="E315" i="3"/>
  <c r="F315" i="3" s="1"/>
  <c r="D315" i="3"/>
  <c r="C315" i="3"/>
  <c r="E314" i="3"/>
  <c r="F314" i="3" s="1"/>
  <c r="D314" i="3"/>
  <c r="C314" i="3"/>
  <c r="E313" i="3"/>
  <c r="F313" i="3" s="1"/>
  <c r="D313" i="3"/>
  <c r="C313" i="3"/>
  <c r="E312" i="3"/>
  <c r="F312" i="3" s="1"/>
  <c r="D312" i="3"/>
  <c r="C312" i="3"/>
  <c r="E311" i="3"/>
  <c r="F311" i="3" s="1"/>
  <c r="D311" i="3"/>
  <c r="C311" i="3"/>
  <c r="E310" i="3"/>
  <c r="F310" i="3" s="1"/>
  <c r="D310" i="3"/>
  <c r="C310" i="3"/>
  <c r="F309" i="3"/>
  <c r="E309" i="3"/>
  <c r="D309" i="3"/>
  <c r="C309" i="3"/>
  <c r="E308" i="3"/>
  <c r="F308" i="3" s="1"/>
  <c r="D308" i="3"/>
  <c r="C308" i="3"/>
  <c r="E307" i="3"/>
  <c r="F307" i="3" s="1"/>
  <c r="D307" i="3"/>
  <c r="C307" i="3"/>
  <c r="E306" i="3"/>
  <c r="F306" i="3" s="1"/>
  <c r="D306" i="3"/>
  <c r="C306" i="3"/>
  <c r="E305" i="3"/>
  <c r="F305" i="3" s="1"/>
  <c r="D305" i="3"/>
  <c r="C305" i="3"/>
  <c r="E304" i="3"/>
  <c r="F304" i="3" s="1"/>
  <c r="D304" i="3"/>
  <c r="C304" i="3"/>
  <c r="F303" i="3"/>
  <c r="E303" i="3"/>
  <c r="D303" i="3"/>
  <c r="C303" i="3"/>
  <c r="E302" i="3"/>
  <c r="F302" i="3" s="1"/>
  <c r="D302" i="3"/>
  <c r="C302" i="3"/>
  <c r="E301" i="3"/>
  <c r="F301" i="3" s="1"/>
  <c r="D301" i="3"/>
  <c r="C301" i="3"/>
  <c r="E300" i="3"/>
  <c r="F300" i="3" s="1"/>
  <c r="D300" i="3"/>
  <c r="C300" i="3"/>
  <c r="E299" i="3"/>
  <c r="F299" i="3" s="1"/>
  <c r="D299" i="3"/>
  <c r="C299" i="3"/>
  <c r="E298" i="3"/>
  <c r="F298" i="3" s="1"/>
  <c r="D298" i="3"/>
  <c r="C298" i="3"/>
  <c r="E297" i="3"/>
  <c r="F297" i="3" s="1"/>
  <c r="D297" i="3"/>
  <c r="C297" i="3"/>
  <c r="E296" i="3"/>
  <c r="F296" i="3" s="1"/>
  <c r="D296" i="3"/>
  <c r="C296" i="3"/>
  <c r="E295" i="3"/>
  <c r="F295" i="3" s="1"/>
  <c r="D295" i="3"/>
  <c r="C295" i="3"/>
  <c r="E294" i="3"/>
  <c r="F294" i="3" s="1"/>
  <c r="D294" i="3"/>
  <c r="C294" i="3"/>
  <c r="F293" i="3"/>
  <c r="E293" i="3"/>
  <c r="D293" i="3"/>
  <c r="C293" i="3"/>
  <c r="E292" i="3"/>
  <c r="F292" i="3" s="1"/>
  <c r="D292" i="3"/>
  <c r="C292" i="3"/>
  <c r="E291" i="3"/>
  <c r="F291" i="3" s="1"/>
  <c r="D291" i="3"/>
  <c r="C291" i="3"/>
  <c r="E290" i="3"/>
  <c r="F290" i="3" s="1"/>
  <c r="D290" i="3"/>
  <c r="C290" i="3"/>
  <c r="E289" i="3"/>
  <c r="F289" i="3" s="1"/>
  <c r="D289" i="3"/>
  <c r="C289" i="3"/>
  <c r="E288" i="3"/>
  <c r="F288" i="3" s="1"/>
  <c r="D288" i="3"/>
  <c r="C288" i="3"/>
  <c r="F287" i="3"/>
  <c r="E287" i="3"/>
  <c r="D287" i="3"/>
  <c r="C287" i="3"/>
  <c r="E286" i="3"/>
  <c r="F286" i="3" s="1"/>
  <c r="D286" i="3"/>
  <c r="C286" i="3"/>
  <c r="E285" i="3"/>
  <c r="F285" i="3" s="1"/>
  <c r="D285" i="3"/>
  <c r="C285" i="3"/>
  <c r="E284" i="3"/>
  <c r="F284" i="3" s="1"/>
  <c r="D284" i="3"/>
  <c r="C284" i="3"/>
  <c r="E283" i="3"/>
  <c r="F283" i="3" s="1"/>
  <c r="D283" i="3"/>
  <c r="C283" i="3"/>
  <c r="E282" i="3"/>
  <c r="F282" i="3" s="1"/>
  <c r="D282" i="3"/>
  <c r="C282" i="3"/>
  <c r="E281" i="3"/>
  <c r="F281" i="3" s="1"/>
  <c r="D281" i="3"/>
  <c r="C281" i="3"/>
  <c r="E280" i="3"/>
  <c r="F280" i="3" s="1"/>
  <c r="D280" i="3"/>
  <c r="C280" i="3"/>
  <c r="E279" i="3"/>
  <c r="F279" i="3" s="1"/>
  <c r="D279" i="3"/>
  <c r="C279" i="3"/>
  <c r="E278" i="3"/>
  <c r="F278" i="3" s="1"/>
  <c r="D278" i="3"/>
  <c r="C278" i="3"/>
  <c r="F277" i="3"/>
  <c r="E277" i="3"/>
  <c r="D277" i="3"/>
  <c r="C277" i="3"/>
  <c r="E276" i="3"/>
  <c r="F276" i="3" s="1"/>
  <c r="D276" i="3"/>
  <c r="C276" i="3"/>
  <c r="E275" i="3"/>
  <c r="F275" i="3" s="1"/>
  <c r="D275" i="3"/>
  <c r="C275" i="3"/>
  <c r="E274" i="3"/>
  <c r="F274" i="3" s="1"/>
  <c r="D274" i="3"/>
  <c r="C274" i="3"/>
  <c r="E273" i="3"/>
  <c r="F273" i="3" s="1"/>
  <c r="D273" i="3"/>
  <c r="C273" i="3"/>
  <c r="E272" i="3"/>
  <c r="F272" i="3" s="1"/>
  <c r="D272" i="3"/>
  <c r="C272" i="3"/>
  <c r="E271" i="3"/>
  <c r="F271" i="3" s="1"/>
  <c r="D271" i="3"/>
  <c r="C271" i="3"/>
  <c r="E270" i="3"/>
  <c r="F270" i="3" s="1"/>
  <c r="D270" i="3"/>
  <c r="C270" i="3"/>
  <c r="E269" i="3"/>
  <c r="F269" i="3" s="1"/>
  <c r="D269" i="3"/>
  <c r="C269" i="3"/>
  <c r="E268" i="3"/>
  <c r="F268" i="3" s="1"/>
  <c r="D268" i="3"/>
  <c r="C268" i="3"/>
  <c r="E267" i="3"/>
  <c r="F267" i="3" s="1"/>
  <c r="D267" i="3"/>
  <c r="C267" i="3"/>
  <c r="E266" i="3"/>
  <c r="F266" i="3" s="1"/>
  <c r="D266" i="3"/>
  <c r="C266" i="3"/>
  <c r="E265" i="3"/>
  <c r="F265" i="3" s="1"/>
  <c r="D265" i="3"/>
  <c r="C265" i="3"/>
  <c r="E264" i="3"/>
  <c r="F264" i="3" s="1"/>
  <c r="D264" i="3"/>
  <c r="C264" i="3"/>
  <c r="E263" i="3"/>
  <c r="F263" i="3" s="1"/>
  <c r="D263" i="3"/>
  <c r="C263" i="3"/>
  <c r="E262" i="3"/>
  <c r="F262" i="3" s="1"/>
  <c r="D262" i="3"/>
  <c r="C262" i="3"/>
  <c r="E261" i="3"/>
  <c r="F261" i="3" s="1"/>
  <c r="D261" i="3"/>
  <c r="C261" i="3"/>
  <c r="E260" i="3"/>
  <c r="F260" i="3" s="1"/>
  <c r="D260" i="3"/>
  <c r="C260" i="3"/>
  <c r="E259" i="3"/>
  <c r="F259" i="3" s="1"/>
  <c r="D259" i="3"/>
  <c r="C259" i="3"/>
  <c r="E258" i="3"/>
  <c r="F258" i="3" s="1"/>
  <c r="D258" i="3"/>
  <c r="C258" i="3"/>
  <c r="E257" i="3"/>
  <c r="F257" i="3" s="1"/>
  <c r="D257" i="3"/>
  <c r="C257" i="3"/>
  <c r="E256" i="3"/>
  <c r="F256" i="3" s="1"/>
  <c r="D256" i="3"/>
  <c r="C256" i="3"/>
  <c r="E255" i="3"/>
  <c r="F255" i="3" s="1"/>
  <c r="D255" i="3"/>
  <c r="C255" i="3"/>
  <c r="E254" i="3"/>
  <c r="F254" i="3" s="1"/>
  <c r="D254" i="3"/>
  <c r="C254" i="3"/>
  <c r="E253" i="3"/>
  <c r="F253" i="3" s="1"/>
  <c r="D253" i="3"/>
  <c r="C253" i="3"/>
  <c r="E252" i="3"/>
  <c r="F252" i="3" s="1"/>
  <c r="D252" i="3"/>
  <c r="C252" i="3"/>
  <c r="E251" i="3"/>
  <c r="F251" i="3" s="1"/>
  <c r="D251" i="3"/>
  <c r="C251" i="3"/>
  <c r="E250" i="3"/>
  <c r="F250" i="3" s="1"/>
  <c r="D250" i="3"/>
  <c r="C250" i="3"/>
  <c r="E249" i="3"/>
  <c r="F249" i="3" s="1"/>
  <c r="D249" i="3"/>
  <c r="C249" i="3"/>
  <c r="E248" i="3"/>
  <c r="F248" i="3" s="1"/>
  <c r="D248" i="3"/>
  <c r="C248" i="3"/>
  <c r="E247" i="3"/>
  <c r="F247" i="3" s="1"/>
  <c r="D247" i="3"/>
  <c r="C247" i="3"/>
  <c r="E246" i="3"/>
  <c r="F246" i="3" s="1"/>
  <c r="D246" i="3"/>
  <c r="C246" i="3"/>
  <c r="F245" i="3"/>
  <c r="E245" i="3"/>
  <c r="D245" i="3"/>
  <c r="C245" i="3"/>
  <c r="E244" i="3"/>
  <c r="F244" i="3" s="1"/>
  <c r="D244" i="3"/>
  <c r="C244" i="3"/>
  <c r="E243" i="3"/>
  <c r="F243" i="3" s="1"/>
  <c r="D243" i="3"/>
  <c r="C243" i="3"/>
  <c r="E242" i="3"/>
  <c r="F242" i="3" s="1"/>
  <c r="D242" i="3"/>
  <c r="C242" i="3"/>
  <c r="E241" i="3"/>
  <c r="F241" i="3" s="1"/>
  <c r="D241" i="3"/>
  <c r="C241" i="3"/>
  <c r="E240" i="3"/>
  <c r="F240" i="3" s="1"/>
  <c r="D240" i="3"/>
  <c r="C240" i="3"/>
  <c r="E239" i="3"/>
  <c r="F239" i="3" s="1"/>
  <c r="D239" i="3"/>
  <c r="C239" i="3"/>
  <c r="E238" i="3"/>
  <c r="F238" i="3" s="1"/>
  <c r="D238" i="3"/>
  <c r="C238" i="3"/>
  <c r="E237" i="3"/>
  <c r="F237" i="3" s="1"/>
  <c r="D237" i="3"/>
  <c r="C237" i="3"/>
  <c r="E236" i="3"/>
  <c r="F236" i="3" s="1"/>
  <c r="D236" i="3"/>
  <c r="C236" i="3"/>
  <c r="E235" i="3"/>
  <c r="F235" i="3" s="1"/>
  <c r="D235" i="3"/>
  <c r="C235" i="3"/>
  <c r="E234" i="3"/>
  <c r="F234" i="3" s="1"/>
  <c r="D234" i="3"/>
  <c r="C234" i="3"/>
  <c r="E233" i="3"/>
  <c r="F233" i="3" s="1"/>
  <c r="D233" i="3"/>
  <c r="C233" i="3"/>
  <c r="E232" i="3"/>
  <c r="F232" i="3" s="1"/>
  <c r="D232" i="3"/>
  <c r="C232" i="3"/>
  <c r="E231" i="3"/>
  <c r="F231" i="3" s="1"/>
  <c r="D231" i="3"/>
  <c r="C231" i="3"/>
  <c r="E230" i="3"/>
  <c r="F230" i="3" s="1"/>
  <c r="D230" i="3"/>
  <c r="C230" i="3"/>
  <c r="E229" i="3"/>
  <c r="F229" i="3" s="1"/>
  <c r="D229" i="3"/>
  <c r="C229" i="3"/>
  <c r="E228" i="3"/>
  <c r="F228" i="3" s="1"/>
  <c r="D228" i="3"/>
  <c r="C228" i="3"/>
  <c r="E227" i="3"/>
  <c r="F227" i="3" s="1"/>
  <c r="D227" i="3"/>
  <c r="C227" i="3"/>
  <c r="E226" i="3"/>
  <c r="F226" i="3" s="1"/>
  <c r="D226" i="3"/>
  <c r="C226" i="3"/>
  <c r="E225" i="3"/>
  <c r="F225" i="3" s="1"/>
  <c r="D225" i="3"/>
  <c r="C225" i="3"/>
  <c r="E224" i="3"/>
  <c r="F224" i="3" s="1"/>
  <c r="D224" i="3"/>
  <c r="C224" i="3"/>
  <c r="E223" i="3"/>
  <c r="F223" i="3" s="1"/>
  <c r="D223" i="3"/>
  <c r="C223" i="3"/>
  <c r="E222" i="3"/>
  <c r="F222" i="3" s="1"/>
  <c r="D222" i="3"/>
  <c r="C222" i="3"/>
  <c r="E221" i="3"/>
  <c r="F221" i="3" s="1"/>
  <c r="D221" i="3"/>
  <c r="C221" i="3"/>
  <c r="E220" i="3"/>
  <c r="F220" i="3" s="1"/>
  <c r="D220" i="3"/>
  <c r="C220" i="3"/>
  <c r="E219" i="3"/>
  <c r="F219" i="3" s="1"/>
  <c r="D219" i="3"/>
  <c r="C219" i="3"/>
  <c r="E218" i="3"/>
  <c r="F218" i="3" s="1"/>
  <c r="D218" i="3"/>
  <c r="C218" i="3"/>
  <c r="E217" i="3"/>
  <c r="F217" i="3" s="1"/>
  <c r="D217" i="3"/>
  <c r="C217" i="3"/>
  <c r="E216" i="3"/>
  <c r="F216" i="3" s="1"/>
  <c r="D216" i="3"/>
  <c r="C216" i="3"/>
  <c r="E215" i="3"/>
  <c r="F215" i="3" s="1"/>
  <c r="D215" i="3"/>
  <c r="C215" i="3"/>
  <c r="E214" i="3"/>
  <c r="F214" i="3" s="1"/>
  <c r="D214" i="3"/>
  <c r="C214" i="3"/>
  <c r="F213" i="3"/>
  <c r="E213" i="3"/>
  <c r="D213" i="3"/>
  <c r="C213" i="3"/>
  <c r="E212" i="3"/>
  <c r="F212" i="3" s="1"/>
  <c r="D212" i="3"/>
  <c r="C212" i="3"/>
  <c r="E211" i="3"/>
  <c r="F211" i="3" s="1"/>
  <c r="D211" i="3"/>
  <c r="C211" i="3"/>
  <c r="E210" i="3"/>
  <c r="F210" i="3" s="1"/>
  <c r="D210" i="3"/>
  <c r="C210" i="3"/>
  <c r="E209" i="3"/>
  <c r="F209" i="3" s="1"/>
  <c r="D209" i="3"/>
  <c r="C209" i="3"/>
  <c r="E208" i="3"/>
  <c r="F208" i="3" s="1"/>
  <c r="D208" i="3"/>
  <c r="C208" i="3"/>
  <c r="E207" i="3"/>
  <c r="F207" i="3" s="1"/>
  <c r="D207" i="3"/>
  <c r="C207" i="3"/>
  <c r="E206" i="3"/>
  <c r="F206" i="3" s="1"/>
  <c r="D206" i="3"/>
  <c r="C206" i="3"/>
  <c r="E205" i="3"/>
  <c r="F205" i="3" s="1"/>
  <c r="D205" i="3"/>
  <c r="C205" i="3"/>
  <c r="E204" i="3"/>
  <c r="F204" i="3" s="1"/>
  <c r="D204" i="3"/>
  <c r="C204" i="3"/>
  <c r="E203" i="3"/>
  <c r="F203" i="3" s="1"/>
  <c r="D203" i="3"/>
  <c r="C203" i="3"/>
  <c r="E202" i="3"/>
  <c r="F202" i="3" s="1"/>
  <c r="D202" i="3"/>
  <c r="C202" i="3"/>
  <c r="E201" i="3"/>
  <c r="F201" i="3" s="1"/>
  <c r="D201" i="3"/>
  <c r="C201" i="3"/>
  <c r="E200" i="3"/>
  <c r="F200" i="3" s="1"/>
  <c r="D200" i="3"/>
  <c r="C200" i="3"/>
  <c r="E199" i="3"/>
  <c r="F199" i="3" s="1"/>
  <c r="D199" i="3"/>
  <c r="C199" i="3"/>
  <c r="E198" i="3"/>
  <c r="F198" i="3" s="1"/>
  <c r="D198" i="3"/>
  <c r="C198" i="3"/>
  <c r="E197" i="3"/>
  <c r="F197" i="3" s="1"/>
  <c r="D197" i="3"/>
  <c r="C197" i="3"/>
  <c r="E196" i="3"/>
  <c r="F196" i="3" s="1"/>
  <c r="D196" i="3"/>
  <c r="C196" i="3"/>
  <c r="E195" i="3"/>
  <c r="F195" i="3" s="1"/>
  <c r="D195" i="3"/>
  <c r="C195" i="3"/>
  <c r="E194" i="3"/>
  <c r="F194" i="3" s="1"/>
  <c r="D194" i="3"/>
  <c r="C194" i="3"/>
  <c r="E193" i="3"/>
  <c r="F193" i="3" s="1"/>
  <c r="D193" i="3"/>
  <c r="C193" i="3"/>
  <c r="E192" i="3"/>
  <c r="F192" i="3" s="1"/>
  <c r="D192" i="3"/>
  <c r="C192" i="3"/>
  <c r="E191" i="3"/>
  <c r="F191" i="3" s="1"/>
  <c r="D191" i="3"/>
  <c r="C191" i="3"/>
  <c r="E190" i="3"/>
  <c r="F190" i="3" s="1"/>
  <c r="D190" i="3"/>
  <c r="C190" i="3"/>
  <c r="E189" i="3"/>
  <c r="F189" i="3" s="1"/>
  <c r="D189" i="3"/>
  <c r="C189" i="3"/>
  <c r="E188" i="3"/>
  <c r="F188" i="3" s="1"/>
  <c r="D188" i="3"/>
  <c r="C188" i="3"/>
  <c r="E187" i="3"/>
  <c r="F187" i="3" s="1"/>
  <c r="D187" i="3"/>
  <c r="C187" i="3"/>
  <c r="E186" i="3"/>
  <c r="F186" i="3" s="1"/>
  <c r="D186" i="3"/>
  <c r="C186" i="3"/>
  <c r="E185" i="3"/>
  <c r="F185" i="3" s="1"/>
  <c r="D185" i="3"/>
  <c r="C185" i="3"/>
  <c r="E184" i="3"/>
  <c r="F184" i="3" s="1"/>
  <c r="D184" i="3"/>
  <c r="C184" i="3"/>
  <c r="E183" i="3"/>
  <c r="F183" i="3" s="1"/>
  <c r="D183" i="3"/>
  <c r="C183" i="3"/>
  <c r="E182" i="3"/>
  <c r="F182" i="3" s="1"/>
  <c r="D182" i="3"/>
  <c r="C182" i="3"/>
  <c r="F181" i="3"/>
  <c r="E181" i="3"/>
  <c r="D181" i="3"/>
  <c r="C181" i="3"/>
  <c r="E180" i="3"/>
  <c r="F180" i="3" s="1"/>
  <c r="D180" i="3"/>
  <c r="C180" i="3"/>
  <c r="E179" i="3"/>
  <c r="F179" i="3" s="1"/>
  <c r="D179" i="3"/>
  <c r="C179" i="3"/>
  <c r="E178" i="3"/>
  <c r="F178" i="3" s="1"/>
  <c r="D178" i="3"/>
  <c r="C178" i="3"/>
  <c r="E177" i="3"/>
  <c r="F177" i="3" s="1"/>
  <c r="D177" i="3"/>
  <c r="C177" i="3"/>
  <c r="E176" i="3"/>
  <c r="F176" i="3" s="1"/>
  <c r="D176" i="3"/>
  <c r="C176" i="3"/>
  <c r="E175" i="3"/>
  <c r="F175" i="3" s="1"/>
  <c r="D175" i="3"/>
  <c r="C175" i="3"/>
  <c r="E174" i="3"/>
  <c r="F174" i="3" s="1"/>
  <c r="D174" i="3"/>
  <c r="C174" i="3"/>
  <c r="F173" i="3"/>
  <c r="E173" i="3"/>
  <c r="D173" i="3"/>
  <c r="C173" i="3"/>
  <c r="E172" i="3"/>
  <c r="F172" i="3" s="1"/>
  <c r="D172" i="3"/>
  <c r="C172" i="3"/>
  <c r="E171" i="3"/>
  <c r="F171" i="3" s="1"/>
  <c r="D171" i="3"/>
  <c r="C171" i="3"/>
  <c r="E170" i="3"/>
  <c r="F170" i="3" s="1"/>
  <c r="D170" i="3"/>
  <c r="C170" i="3"/>
  <c r="E169" i="3"/>
  <c r="F169" i="3" s="1"/>
  <c r="D169" i="3"/>
  <c r="C169" i="3"/>
  <c r="E168" i="3"/>
  <c r="F168" i="3" s="1"/>
  <c r="D168" i="3"/>
  <c r="C168" i="3"/>
  <c r="E167" i="3"/>
  <c r="F167" i="3" s="1"/>
  <c r="D167" i="3"/>
  <c r="C167" i="3"/>
  <c r="E166" i="3"/>
  <c r="F166" i="3" s="1"/>
  <c r="D166" i="3"/>
  <c r="C166" i="3"/>
  <c r="E165" i="3"/>
  <c r="F165" i="3" s="1"/>
  <c r="D165" i="3"/>
  <c r="C165" i="3"/>
  <c r="F164" i="3"/>
  <c r="E164" i="3"/>
  <c r="D164" i="3"/>
  <c r="C164" i="3"/>
  <c r="E163" i="3"/>
  <c r="F163" i="3" s="1"/>
  <c r="D163" i="3"/>
  <c r="C163" i="3"/>
  <c r="F162" i="3"/>
  <c r="E162" i="3"/>
  <c r="D162" i="3"/>
  <c r="C162" i="3"/>
  <c r="E161" i="3"/>
  <c r="F161" i="3" s="1"/>
  <c r="D161" i="3"/>
  <c r="C161" i="3"/>
  <c r="F160" i="3"/>
  <c r="E160" i="3"/>
  <c r="D160" i="3"/>
  <c r="C160" i="3"/>
  <c r="E159" i="3"/>
  <c r="F159" i="3" s="1"/>
  <c r="D159" i="3"/>
  <c r="C159" i="3"/>
  <c r="F158" i="3"/>
  <c r="E158" i="3"/>
  <c r="D158" i="3"/>
  <c r="C158" i="3"/>
  <c r="E157" i="3"/>
  <c r="F157" i="3" s="1"/>
  <c r="D157" i="3"/>
  <c r="C157" i="3"/>
  <c r="F156" i="3"/>
  <c r="E156" i="3"/>
  <c r="D156" i="3"/>
  <c r="C156" i="3"/>
  <c r="E155" i="3"/>
  <c r="F155" i="3" s="1"/>
  <c r="D155" i="3"/>
  <c r="C155" i="3"/>
  <c r="F154" i="3"/>
  <c r="E154" i="3"/>
  <c r="D154" i="3"/>
  <c r="C154" i="3"/>
  <c r="E153" i="3"/>
  <c r="F153" i="3" s="1"/>
  <c r="D153" i="3"/>
  <c r="C153" i="3"/>
  <c r="F152" i="3"/>
  <c r="E152" i="3"/>
  <c r="D152" i="3"/>
  <c r="C152" i="3"/>
  <c r="E151" i="3"/>
  <c r="F151" i="3" s="1"/>
  <c r="D151" i="3"/>
  <c r="C151" i="3"/>
  <c r="F150" i="3"/>
  <c r="E150" i="3"/>
  <c r="D150" i="3"/>
  <c r="C150" i="3"/>
  <c r="E149" i="3"/>
  <c r="F149" i="3" s="1"/>
  <c r="D149" i="3"/>
  <c r="C149" i="3"/>
  <c r="F148" i="3"/>
  <c r="E148" i="3"/>
  <c r="D148" i="3"/>
  <c r="C148" i="3"/>
  <c r="E147" i="3"/>
  <c r="F147" i="3" s="1"/>
  <c r="D147" i="3"/>
  <c r="C147" i="3"/>
  <c r="F146" i="3"/>
  <c r="E146" i="3"/>
  <c r="D146" i="3"/>
  <c r="C146" i="3"/>
  <c r="E145" i="3"/>
  <c r="F145" i="3" s="1"/>
  <c r="D145" i="3"/>
  <c r="C145" i="3"/>
  <c r="F144" i="3"/>
  <c r="E144" i="3"/>
  <c r="D144" i="3"/>
  <c r="C144" i="3"/>
  <c r="E143" i="3"/>
  <c r="F143" i="3" s="1"/>
  <c r="D143" i="3"/>
  <c r="C143" i="3"/>
  <c r="F142" i="3"/>
  <c r="E142" i="3"/>
  <c r="D142" i="3"/>
  <c r="C142" i="3"/>
  <c r="E141" i="3"/>
  <c r="F141" i="3" s="1"/>
  <c r="D141" i="3"/>
  <c r="C141" i="3"/>
  <c r="F140" i="3"/>
  <c r="E140" i="3"/>
  <c r="D140" i="3"/>
  <c r="C140" i="3"/>
  <c r="E139" i="3"/>
  <c r="F139" i="3" s="1"/>
  <c r="D139" i="3"/>
  <c r="C139" i="3"/>
  <c r="F138" i="3"/>
  <c r="E138" i="3"/>
  <c r="D138" i="3"/>
  <c r="C138" i="3"/>
  <c r="E137" i="3"/>
  <c r="F137" i="3" s="1"/>
  <c r="D137" i="3"/>
  <c r="C137" i="3"/>
  <c r="F136" i="3"/>
  <c r="E136" i="3"/>
  <c r="D136" i="3"/>
  <c r="C136" i="3"/>
  <c r="E135" i="3"/>
  <c r="F135" i="3" s="1"/>
  <c r="D135" i="3"/>
  <c r="C135" i="3"/>
  <c r="F134" i="3"/>
  <c r="E134" i="3"/>
  <c r="D134" i="3"/>
  <c r="C134" i="3"/>
  <c r="E133" i="3"/>
  <c r="F133" i="3" s="1"/>
  <c r="D133" i="3"/>
  <c r="C133" i="3"/>
  <c r="F132" i="3"/>
  <c r="E132" i="3"/>
  <c r="D132" i="3"/>
  <c r="C132" i="3"/>
  <c r="E131" i="3"/>
  <c r="F131" i="3" s="1"/>
  <c r="D131" i="3"/>
  <c r="C131" i="3"/>
  <c r="F130" i="3"/>
  <c r="E130" i="3"/>
  <c r="D130" i="3"/>
  <c r="C130" i="3"/>
  <c r="E129" i="3"/>
  <c r="F129" i="3" s="1"/>
  <c r="D129" i="3"/>
  <c r="C129" i="3"/>
  <c r="F128" i="3"/>
  <c r="E128" i="3"/>
  <c r="D128" i="3"/>
  <c r="C128" i="3"/>
  <c r="E127" i="3"/>
  <c r="F127" i="3" s="1"/>
  <c r="D127" i="3"/>
  <c r="C127" i="3"/>
  <c r="F126" i="3"/>
  <c r="E126" i="3"/>
  <c r="D126" i="3"/>
  <c r="C126" i="3"/>
  <c r="E125" i="3"/>
  <c r="F125" i="3" s="1"/>
  <c r="D125" i="3"/>
  <c r="C125" i="3"/>
  <c r="F124" i="3"/>
  <c r="E124" i="3"/>
  <c r="D124" i="3"/>
  <c r="C124" i="3"/>
  <c r="E123" i="3"/>
  <c r="F123" i="3" s="1"/>
  <c r="D123" i="3"/>
  <c r="C123" i="3"/>
  <c r="F122" i="3"/>
  <c r="E122" i="3"/>
  <c r="D122" i="3"/>
  <c r="C122" i="3"/>
  <c r="E121" i="3"/>
  <c r="F121" i="3" s="1"/>
  <c r="D121" i="3"/>
  <c r="C121" i="3"/>
  <c r="F120" i="3"/>
  <c r="E120" i="3"/>
  <c r="D120" i="3"/>
  <c r="C120" i="3"/>
  <c r="E119" i="3"/>
  <c r="F119" i="3" s="1"/>
  <c r="D119" i="3"/>
  <c r="C119" i="3"/>
  <c r="F118" i="3"/>
  <c r="E118" i="3"/>
  <c r="D118" i="3"/>
  <c r="C118" i="3"/>
  <c r="E117" i="3"/>
  <c r="F117" i="3" s="1"/>
  <c r="D117" i="3"/>
  <c r="C117" i="3"/>
  <c r="E116" i="3"/>
  <c r="F116" i="3" s="1"/>
  <c r="D116" i="3"/>
  <c r="C116" i="3"/>
  <c r="E115" i="3"/>
  <c r="F115" i="3" s="1"/>
  <c r="D115" i="3"/>
  <c r="C115" i="3"/>
  <c r="E114" i="3"/>
  <c r="F114" i="3" s="1"/>
  <c r="D114" i="3"/>
  <c r="C114" i="3"/>
  <c r="E113" i="3"/>
  <c r="F113" i="3" s="1"/>
  <c r="D113" i="3"/>
  <c r="C113" i="3"/>
  <c r="E112" i="3"/>
  <c r="F112" i="3" s="1"/>
  <c r="D112" i="3"/>
  <c r="C112" i="3"/>
  <c r="E111" i="3"/>
  <c r="F111" i="3" s="1"/>
  <c r="D111" i="3"/>
  <c r="C111" i="3"/>
  <c r="E110" i="3"/>
  <c r="F110" i="3" s="1"/>
  <c r="D110" i="3"/>
  <c r="C110" i="3"/>
  <c r="E109" i="3"/>
  <c r="F109" i="3" s="1"/>
  <c r="D109" i="3"/>
  <c r="C109" i="3"/>
  <c r="E108" i="3"/>
  <c r="F108" i="3" s="1"/>
  <c r="D108" i="3"/>
  <c r="C108" i="3"/>
  <c r="E107" i="3"/>
  <c r="F107" i="3" s="1"/>
  <c r="D107" i="3"/>
  <c r="C107" i="3"/>
  <c r="E106" i="3"/>
  <c r="F106" i="3" s="1"/>
  <c r="D106" i="3"/>
  <c r="C106" i="3"/>
  <c r="E105" i="3"/>
  <c r="F105" i="3" s="1"/>
  <c r="D105" i="3"/>
  <c r="C105" i="3"/>
  <c r="E104" i="3"/>
  <c r="F104" i="3" s="1"/>
  <c r="D104" i="3"/>
  <c r="C104" i="3"/>
  <c r="E103" i="3"/>
  <c r="F103" i="3" s="1"/>
  <c r="D103" i="3"/>
  <c r="C103" i="3"/>
  <c r="E102" i="3"/>
  <c r="F102" i="3" s="1"/>
  <c r="D102" i="3"/>
  <c r="C102" i="3"/>
  <c r="E101" i="3"/>
  <c r="F101" i="3" s="1"/>
  <c r="D101" i="3"/>
  <c r="C101" i="3"/>
  <c r="E100" i="3"/>
  <c r="F100" i="3" s="1"/>
  <c r="D100" i="3"/>
  <c r="C100" i="3"/>
  <c r="E99" i="3"/>
  <c r="F99" i="3" s="1"/>
  <c r="D99" i="3"/>
  <c r="C99" i="3"/>
  <c r="E98" i="3"/>
  <c r="F98" i="3" s="1"/>
  <c r="D98" i="3"/>
  <c r="C98" i="3"/>
  <c r="E97" i="3"/>
  <c r="F97" i="3" s="1"/>
  <c r="D97" i="3"/>
  <c r="C97" i="3"/>
  <c r="E96" i="3"/>
  <c r="F96" i="3" s="1"/>
  <c r="D96" i="3"/>
  <c r="C96" i="3"/>
  <c r="E95" i="3"/>
  <c r="F95" i="3" s="1"/>
  <c r="D95" i="3"/>
  <c r="C95" i="3"/>
  <c r="E94" i="3"/>
  <c r="F94" i="3" s="1"/>
  <c r="D94" i="3"/>
  <c r="C94" i="3"/>
  <c r="E93" i="3"/>
  <c r="F93" i="3" s="1"/>
  <c r="D93" i="3"/>
  <c r="C93" i="3"/>
  <c r="E92" i="3"/>
  <c r="F92" i="3" s="1"/>
  <c r="D92" i="3"/>
  <c r="C92" i="3"/>
  <c r="E91" i="3"/>
  <c r="F91" i="3" s="1"/>
  <c r="D91" i="3"/>
  <c r="C91" i="3"/>
  <c r="E90" i="3"/>
  <c r="F90" i="3" s="1"/>
  <c r="D90" i="3"/>
  <c r="C90" i="3"/>
  <c r="E89" i="3"/>
  <c r="F89" i="3" s="1"/>
  <c r="D89" i="3"/>
  <c r="C89" i="3"/>
  <c r="E88" i="3"/>
  <c r="F88" i="3" s="1"/>
  <c r="D88" i="3"/>
  <c r="C88" i="3"/>
  <c r="E87" i="3"/>
  <c r="F87" i="3" s="1"/>
  <c r="D87" i="3"/>
  <c r="C87" i="3"/>
  <c r="E86" i="3"/>
  <c r="F86" i="3" s="1"/>
  <c r="D86" i="3"/>
  <c r="C86" i="3"/>
  <c r="E85" i="3"/>
  <c r="F85" i="3" s="1"/>
  <c r="D85" i="3"/>
  <c r="C85" i="3"/>
  <c r="E84" i="3"/>
  <c r="F84" i="3" s="1"/>
  <c r="D84" i="3"/>
  <c r="C84" i="3"/>
  <c r="E83" i="3"/>
  <c r="F83" i="3" s="1"/>
  <c r="D83" i="3"/>
  <c r="C83" i="3"/>
  <c r="E82" i="3"/>
  <c r="F82" i="3" s="1"/>
  <c r="D82" i="3"/>
  <c r="C82" i="3"/>
  <c r="E81" i="3"/>
  <c r="F81" i="3" s="1"/>
  <c r="D81" i="3"/>
  <c r="C81" i="3"/>
  <c r="E80" i="3"/>
  <c r="F80" i="3" s="1"/>
  <c r="D80" i="3"/>
  <c r="C80" i="3"/>
  <c r="E79" i="3"/>
  <c r="F79" i="3" s="1"/>
  <c r="D79" i="3"/>
  <c r="C79" i="3"/>
  <c r="E78" i="3"/>
  <c r="F78" i="3" s="1"/>
  <c r="D78" i="3"/>
  <c r="C78" i="3"/>
  <c r="E77" i="3"/>
  <c r="F77" i="3" s="1"/>
  <c r="D77" i="3"/>
  <c r="C77" i="3"/>
  <c r="E76" i="3"/>
  <c r="F76" i="3" s="1"/>
  <c r="D76" i="3"/>
  <c r="C76" i="3"/>
  <c r="E75" i="3"/>
  <c r="F75" i="3" s="1"/>
  <c r="D75" i="3"/>
  <c r="C75" i="3"/>
  <c r="E74" i="3"/>
  <c r="F74" i="3" s="1"/>
  <c r="D74" i="3"/>
  <c r="C74" i="3"/>
  <c r="E73" i="3"/>
  <c r="F73" i="3" s="1"/>
  <c r="D73" i="3"/>
  <c r="C73" i="3"/>
  <c r="E72" i="3"/>
  <c r="F72" i="3" s="1"/>
  <c r="D72" i="3"/>
  <c r="C72" i="3"/>
  <c r="E71" i="3"/>
  <c r="F71" i="3" s="1"/>
  <c r="D71" i="3"/>
  <c r="C71" i="3"/>
  <c r="E70" i="3"/>
  <c r="F70" i="3" s="1"/>
  <c r="D70" i="3"/>
  <c r="C70" i="3"/>
  <c r="E69" i="3"/>
  <c r="F69" i="3" s="1"/>
  <c r="D69" i="3"/>
  <c r="C69" i="3"/>
  <c r="E68" i="3"/>
  <c r="F68" i="3" s="1"/>
  <c r="D68" i="3"/>
  <c r="C68" i="3"/>
  <c r="E67" i="3"/>
  <c r="F67" i="3" s="1"/>
  <c r="D67" i="3"/>
  <c r="C67" i="3"/>
  <c r="E66" i="3"/>
  <c r="F66" i="3" s="1"/>
  <c r="D66" i="3"/>
  <c r="C66" i="3"/>
  <c r="E65" i="3"/>
  <c r="F65" i="3" s="1"/>
  <c r="D65" i="3"/>
  <c r="C65" i="3"/>
  <c r="E64" i="3"/>
  <c r="F64" i="3" s="1"/>
  <c r="D64" i="3"/>
  <c r="C64" i="3"/>
  <c r="E63" i="3"/>
  <c r="F63" i="3" s="1"/>
  <c r="D63" i="3"/>
  <c r="C63" i="3"/>
  <c r="E62" i="3"/>
  <c r="F62" i="3" s="1"/>
  <c r="D62" i="3"/>
  <c r="C62" i="3"/>
  <c r="E61" i="3"/>
  <c r="F61" i="3" s="1"/>
  <c r="D61" i="3"/>
  <c r="C61" i="3"/>
  <c r="E60" i="3"/>
  <c r="F60" i="3" s="1"/>
  <c r="D60" i="3"/>
  <c r="C60" i="3"/>
  <c r="E59" i="3"/>
  <c r="F59" i="3" s="1"/>
  <c r="D59" i="3"/>
  <c r="C59" i="3"/>
  <c r="F58" i="3"/>
  <c r="E58" i="3"/>
  <c r="D58" i="3"/>
  <c r="C58" i="3"/>
  <c r="E57" i="3"/>
  <c r="F57" i="3" s="1"/>
  <c r="D57" i="3"/>
  <c r="C57" i="3"/>
  <c r="E56" i="3"/>
  <c r="F56" i="3" s="1"/>
  <c r="D56" i="3"/>
  <c r="C56" i="3"/>
  <c r="E55" i="3"/>
  <c r="F55" i="3" s="1"/>
  <c r="D55" i="3"/>
  <c r="C55" i="3"/>
  <c r="F54" i="3"/>
  <c r="E54" i="3"/>
  <c r="D54" i="3"/>
  <c r="C54" i="3"/>
  <c r="E53" i="3"/>
  <c r="F53" i="3" s="1"/>
  <c r="D53" i="3"/>
  <c r="C53" i="3"/>
  <c r="E52" i="3"/>
  <c r="F52" i="3" s="1"/>
  <c r="D52" i="3"/>
  <c r="C52" i="3"/>
  <c r="E51" i="3"/>
  <c r="F51" i="3" s="1"/>
  <c r="D51" i="3"/>
  <c r="C51" i="3"/>
  <c r="F50" i="3"/>
  <c r="E50" i="3"/>
  <c r="D50" i="3"/>
  <c r="C50" i="3"/>
  <c r="E49" i="3"/>
  <c r="F49" i="3" s="1"/>
  <c r="D49" i="3"/>
  <c r="C49" i="3"/>
  <c r="E48" i="3"/>
  <c r="F48" i="3" s="1"/>
  <c r="D48" i="3"/>
  <c r="C48" i="3"/>
  <c r="E47" i="3"/>
  <c r="F47" i="3" s="1"/>
  <c r="D47" i="3"/>
  <c r="C47" i="3"/>
  <c r="E46" i="3"/>
  <c r="F46" i="3" s="1"/>
  <c r="D46" i="3"/>
  <c r="C46" i="3"/>
  <c r="E45" i="3"/>
  <c r="F45" i="3" s="1"/>
  <c r="D45" i="3"/>
  <c r="C45" i="3"/>
  <c r="E44" i="3"/>
  <c r="F44" i="3" s="1"/>
  <c r="D44" i="3"/>
  <c r="C44" i="3"/>
  <c r="E43" i="3"/>
  <c r="F43" i="3" s="1"/>
  <c r="D43" i="3"/>
  <c r="C43" i="3"/>
  <c r="F42" i="3"/>
  <c r="E42" i="3"/>
  <c r="D42" i="3"/>
  <c r="C42" i="3"/>
  <c r="E41" i="3"/>
  <c r="F41" i="3" s="1"/>
  <c r="D41" i="3"/>
  <c r="C41" i="3"/>
  <c r="E40" i="3"/>
  <c r="F40" i="3" s="1"/>
  <c r="D40" i="3"/>
  <c r="C40" i="3"/>
  <c r="E39" i="3"/>
  <c r="F39" i="3" s="1"/>
  <c r="D39" i="3"/>
  <c r="C39" i="3"/>
  <c r="F38" i="3"/>
  <c r="E38" i="3"/>
  <c r="D38" i="3"/>
  <c r="C38" i="3"/>
  <c r="E37" i="3"/>
  <c r="F37" i="3" s="1"/>
  <c r="D37" i="3"/>
  <c r="C37" i="3"/>
  <c r="E36" i="3"/>
  <c r="F36" i="3" s="1"/>
  <c r="D36" i="3"/>
  <c r="C36" i="3"/>
  <c r="E35" i="3"/>
  <c r="F35" i="3" s="1"/>
  <c r="D35" i="3"/>
  <c r="C35" i="3"/>
  <c r="F34" i="3"/>
  <c r="E34" i="3"/>
  <c r="D34" i="3"/>
  <c r="C34" i="3"/>
  <c r="E33" i="3"/>
  <c r="F33" i="3" s="1"/>
  <c r="D33" i="3"/>
  <c r="C33" i="3"/>
  <c r="E32" i="3"/>
  <c r="F32" i="3" s="1"/>
  <c r="D32" i="3"/>
  <c r="C32" i="3"/>
  <c r="E31" i="3"/>
  <c r="F31" i="3" s="1"/>
  <c r="D31" i="3"/>
  <c r="C31" i="3"/>
  <c r="E30" i="3"/>
  <c r="F30" i="3" s="1"/>
  <c r="D30" i="3"/>
  <c r="C30" i="3"/>
  <c r="E29" i="3"/>
  <c r="F29" i="3" s="1"/>
  <c r="D29" i="3"/>
  <c r="C29" i="3"/>
  <c r="E28" i="3"/>
  <c r="F28" i="3" s="1"/>
  <c r="D28" i="3"/>
  <c r="C28" i="3"/>
  <c r="E27" i="3"/>
  <c r="F27" i="3" s="1"/>
  <c r="D27" i="3"/>
  <c r="C27" i="3"/>
  <c r="F26" i="3"/>
  <c r="E26" i="3"/>
  <c r="D26" i="3"/>
  <c r="C26" i="3"/>
  <c r="E25" i="3"/>
  <c r="F25" i="3" s="1"/>
  <c r="D25" i="3"/>
  <c r="C25" i="3"/>
  <c r="E24" i="3"/>
  <c r="F24" i="3" s="1"/>
  <c r="D24" i="3"/>
  <c r="C24" i="3"/>
  <c r="E23" i="3"/>
  <c r="F23" i="3" s="1"/>
  <c r="D23" i="3"/>
  <c r="C23" i="3"/>
  <c r="F22" i="3"/>
  <c r="E22" i="3"/>
  <c r="D22" i="3"/>
  <c r="C22" i="3"/>
  <c r="E21" i="3"/>
  <c r="F21" i="3" s="1"/>
  <c r="D21" i="3"/>
  <c r="C21" i="3"/>
  <c r="E20" i="3"/>
  <c r="F20" i="3" s="1"/>
  <c r="D20" i="3"/>
  <c r="C20" i="3"/>
  <c r="E19" i="3"/>
  <c r="F19" i="3" s="1"/>
  <c r="D19" i="3"/>
  <c r="C19" i="3"/>
  <c r="F18" i="3"/>
  <c r="E18" i="3"/>
  <c r="D18" i="3"/>
  <c r="C18" i="3"/>
  <c r="E17" i="3"/>
  <c r="F17" i="3" s="1"/>
  <c r="D17" i="3"/>
  <c r="C17" i="3"/>
  <c r="E16" i="3"/>
  <c r="F16" i="3" s="1"/>
  <c r="D16" i="3"/>
  <c r="C16" i="3"/>
  <c r="E15" i="3"/>
  <c r="F15" i="3" s="1"/>
  <c r="D15" i="3"/>
  <c r="C15" i="3"/>
  <c r="E14" i="3"/>
  <c r="F14" i="3" s="1"/>
  <c r="D14" i="3"/>
  <c r="C14" i="3"/>
  <c r="E13" i="3"/>
  <c r="F13" i="3" s="1"/>
  <c r="D13" i="3"/>
  <c r="C13" i="3"/>
  <c r="E12" i="3"/>
  <c r="F12" i="3" s="1"/>
  <c r="D12" i="3"/>
  <c r="C12" i="3"/>
  <c r="E11" i="3"/>
  <c r="F11" i="3" s="1"/>
  <c r="D11" i="3"/>
  <c r="C11" i="3"/>
  <c r="F10" i="3"/>
  <c r="E10" i="3"/>
  <c r="D10" i="3"/>
  <c r="C10" i="3"/>
  <c r="E9" i="3"/>
  <c r="F9" i="3" s="1"/>
  <c r="D9" i="3"/>
  <c r="C9" i="3"/>
  <c r="E8" i="3"/>
  <c r="F8" i="3" s="1"/>
  <c r="D8" i="3"/>
  <c r="C8" i="3"/>
  <c r="E7" i="3"/>
  <c r="F7" i="3" s="1"/>
  <c r="D7" i="3"/>
  <c r="C7" i="3"/>
  <c r="A4" i="3"/>
  <c r="E1" i="3"/>
  <c r="E2" i="3" l="1"/>
</calcChain>
</file>

<file path=xl/sharedStrings.xml><?xml version="1.0" encoding="utf-8"?>
<sst xmlns="http://schemas.openxmlformats.org/spreadsheetml/2006/main" count="9386" uniqueCount="5466">
  <si>
    <t>Account #</t>
  </si>
  <si>
    <t>Customer Name</t>
  </si>
  <si>
    <t>MOR007</t>
  </si>
  <si>
    <t xml:space="preserve">MORFRAC SYSTEMS S.L.                         </t>
  </si>
  <si>
    <t>Price List 2020</t>
  </si>
  <si>
    <t>Currency</t>
  </si>
  <si>
    <t>EUR</t>
  </si>
  <si>
    <t>USD</t>
  </si>
  <si>
    <t>Suggested Retail Price (SRP) inclusive of V.A.T.</t>
  </si>
  <si>
    <t>Ex Stock</t>
  </si>
  <si>
    <t>Type B</t>
  </si>
  <si>
    <t>Non-Forecast</t>
  </si>
  <si>
    <t>D2 GRAND PRIX 78</t>
  </si>
  <si>
    <t>THE DEFINITIVE ROPE GUIDE page29</t>
  </si>
  <si>
    <t>DIAMETER (mm)</t>
  </si>
  <si>
    <t>LENGTH (m)</t>
  </si>
  <si>
    <t>RED</t>
  </si>
  <si>
    <t>BLUE</t>
  </si>
  <si>
    <t>GREY</t>
  </si>
  <si>
    <t>LIME</t>
  </si>
  <si>
    <t xml:space="preserve">PRICE </t>
  </si>
  <si>
    <t>SRP / m</t>
  </si>
  <si>
    <t>DG0821</t>
  </si>
  <si>
    <t>DG0822</t>
  </si>
  <si>
    <t>DG0829</t>
  </si>
  <si>
    <t>DG0827</t>
  </si>
  <si>
    <t>DG1021</t>
  </si>
  <si>
    <t>DG1022</t>
  </si>
  <si>
    <t>DG1029</t>
  </si>
  <si>
    <t>DG1027</t>
  </si>
  <si>
    <t>DG1221</t>
  </si>
  <si>
    <t>DG1222</t>
  </si>
  <si>
    <t>DG1229</t>
  </si>
  <si>
    <t>DG1227</t>
  </si>
  <si>
    <t>D2 RACING 78</t>
  </si>
  <si>
    <t>GREEN</t>
  </si>
  <si>
    <t>RED/GREY</t>
  </si>
  <si>
    <t>BLUE/GREY</t>
  </si>
  <si>
    <t>GREEN/GREY</t>
  </si>
  <si>
    <t>LIME/GREY</t>
  </si>
  <si>
    <t>ORG./GREY</t>
  </si>
  <si>
    <t>BLK./GREY</t>
  </si>
  <si>
    <t>DR3531</t>
  </si>
  <si>
    <t>DR3530</t>
  </si>
  <si>
    <t>DR3535</t>
  </si>
  <si>
    <t>DR5012</t>
  </si>
  <si>
    <t>DR5019</t>
  </si>
  <si>
    <t>DR5040</t>
  </si>
  <si>
    <t>DR5026</t>
  </si>
  <si>
    <t>DR5033</t>
  </si>
  <si>
    <t>DR5005</t>
  </si>
  <si>
    <t>DR3501</t>
  </si>
  <si>
    <t>DR3500</t>
  </si>
  <si>
    <t>DR3521</t>
  </si>
  <si>
    <t>DR5013</t>
  </si>
  <si>
    <t>DR5020</t>
  </si>
  <si>
    <t>DR5041</t>
  </si>
  <si>
    <t>DR5027</t>
  </si>
  <si>
    <t>DR5034</t>
  </si>
  <si>
    <t>DR5006</t>
  </si>
  <si>
    <t>DR3537</t>
  </si>
  <si>
    <t>DR3536</t>
  </si>
  <si>
    <t>DR3541</t>
  </si>
  <si>
    <t>DR5054</t>
  </si>
  <si>
    <t>DR5061</t>
  </si>
  <si>
    <t>DR5082</t>
  </si>
  <si>
    <t>DR5068</t>
  </si>
  <si>
    <t>DR5075</t>
  </si>
  <si>
    <t>DR5047</t>
  </si>
  <si>
    <t>DR3505</t>
  </si>
  <si>
    <t>DR3504</t>
  </si>
  <si>
    <t>DR3523</t>
  </si>
  <si>
    <t>DR5055</t>
  </si>
  <si>
    <t>DR5062</t>
  </si>
  <si>
    <t>DR5083</t>
  </si>
  <si>
    <t>DR5069</t>
  </si>
  <si>
    <t>DR5076</t>
  </si>
  <si>
    <t>DR5048</t>
  </si>
  <si>
    <t>DR3543</t>
  </si>
  <si>
    <t>DR3542</t>
  </si>
  <si>
    <t>DR3547</t>
  </si>
  <si>
    <t>DR5096</t>
  </si>
  <si>
    <t>DR5103</t>
  </si>
  <si>
    <t>DR5124</t>
  </si>
  <si>
    <t>DR5110</t>
  </si>
  <si>
    <t>DR5117</t>
  </si>
  <si>
    <t>DR5089</t>
  </si>
  <si>
    <t>DR3509</t>
  </si>
  <si>
    <t>DR3508</t>
  </si>
  <si>
    <t>DR3513</t>
  </si>
  <si>
    <t>DR5097</t>
  </si>
  <si>
    <t>DR5104</t>
  </si>
  <si>
    <t>DR5125</t>
  </si>
  <si>
    <t>DR5111</t>
  </si>
  <si>
    <t>DR5118</t>
  </si>
  <si>
    <t>DR5090</t>
  </si>
  <si>
    <t>DR3549</t>
  </si>
  <si>
    <t>DR3548</t>
  </si>
  <si>
    <t>DR3553</t>
  </si>
  <si>
    <t>DR5138</t>
  </si>
  <si>
    <t>DR5145</t>
  </si>
  <si>
    <t>DR5166</t>
  </si>
  <si>
    <t>DR5152</t>
  </si>
  <si>
    <t>DR5159</t>
  </si>
  <si>
    <t>DR5131</t>
  </si>
  <si>
    <t>DR3515</t>
  </si>
  <si>
    <t>DR3514</t>
  </si>
  <si>
    <t>DR3519</t>
  </si>
  <si>
    <t>DR5139</t>
  </si>
  <si>
    <t>DR5146</t>
  </si>
  <si>
    <t>DR5167</t>
  </si>
  <si>
    <t>DR5153</t>
  </si>
  <si>
    <t>DR5160</t>
  </si>
  <si>
    <t>DR5132</t>
  </si>
  <si>
    <t>DR0056</t>
  </si>
  <si>
    <t>DR0058</t>
  </si>
  <si>
    <t>DR0060</t>
  </si>
  <si>
    <t>-</t>
  </si>
  <si>
    <t>DR0057</t>
  </si>
  <si>
    <t>DR0059</t>
  </si>
  <si>
    <t>DR0061</t>
  </si>
  <si>
    <t>DR0070</t>
  </si>
  <si>
    <t>DR0071</t>
  </si>
  <si>
    <t>DR0073</t>
  </si>
  <si>
    <t>D2 Racing 78 also available in Solid Black, Solid Grey &amp; Solid White</t>
  </si>
  <si>
    <t>D2 CLUB</t>
  </si>
  <si>
    <t>SOLID WHITE</t>
  </si>
  <si>
    <t>SOLID NAVY</t>
  </si>
  <si>
    <t>SOLID GREY</t>
  </si>
  <si>
    <t>SOLID BLACK</t>
  </si>
  <si>
    <t>DF0000</t>
  </si>
  <si>
    <t>DF0001</t>
  </si>
  <si>
    <t>DF0002</t>
  </si>
  <si>
    <t>DF0003</t>
  </si>
  <si>
    <t>DF0008</t>
  </si>
  <si>
    <t>DF0009</t>
  </si>
  <si>
    <t>DF0010</t>
  </si>
  <si>
    <t>DF0011</t>
  </si>
  <si>
    <t>DF1000</t>
  </si>
  <si>
    <t>DF1001</t>
  </si>
  <si>
    <t>DF1002</t>
  </si>
  <si>
    <t>DF1003</t>
  </si>
  <si>
    <t>DF0016</t>
  </si>
  <si>
    <t>DF0017</t>
  </si>
  <si>
    <t>DF0018</t>
  </si>
  <si>
    <t>DF0019</t>
  </si>
  <si>
    <t>DF0024</t>
  </si>
  <si>
    <t>DF0025</t>
  </si>
  <si>
    <t>DF0026</t>
  </si>
  <si>
    <t>DF0027</t>
  </si>
  <si>
    <t>DF1010</t>
  </si>
  <si>
    <t>DF1011</t>
  </si>
  <si>
    <t>DF1012</t>
  </si>
  <si>
    <t>DF1013</t>
  </si>
  <si>
    <t>DF0032</t>
  </si>
  <si>
    <t>DF0033</t>
  </si>
  <si>
    <t>DF0034</t>
  </si>
  <si>
    <t>DF0035</t>
  </si>
  <si>
    <t>DF0040</t>
  </si>
  <si>
    <t>DF0041</t>
  </si>
  <si>
    <t>DF0042</t>
  </si>
  <si>
    <t>DF0043</t>
  </si>
  <si>
    <t>DF1020</t>
  </si>
  <si>
    <t>DF1021</t>
  </si>
  <si>
    <t>DF1022</t>
  </si>
  <si>
    <t>DF1023</t>
  </si>
  <si>
    <t>DF0048</t>
  </si>
  <si>
    <t>DF0049</t>
  </si>
  <si>
    <t>DF0050</t>
  </si>
  <si>
    <t>DF0051</t>
  </si>
  <si>
    <t>DF0056</t>
  </si>
  <si>
    <t>DF0057</t>
  </si>
  <si>
    <t>DF0058</t>
  </si>
  <si>
    <t>DF0059</t>
  </si>
  <si>
    <t>DF1030</t>
  </si>
  <si>
    <t>DF1031</t>
  </si>
  <si>
    <t>DF1032</t>
  </si>
  <si>
    <t>DF1033</t>
  </si>
  <si>
    <t>D12</t>
  </si>
  <si>
    <t>BLACK</t>
  </si>
  <si>
    <t>WHITE</t>
  </si>
  <si>
    <t>PINK</t>
  </si>
  <si>
    <t>TY4127</t>
  </si>
  <si>
    <t>TY0014</t>
  </si>
  <si>
    <t>TY4125</t>
  </si>
  <si>
    <t>TY4126</t>
  </si>
  <si>
    <t>TY4129</t>
  </si>
  <si>
    <t>TY4452</t>
  </si>
  <si>
    <t>TY4132</t>
  </si>
  <si>
    <t>TY0019</t>
  </si>
  <si>
    <t>TY4130</t>
  </si>
  <si>
    <t>TY4131</t>
  </si>
  <si>
    <t>TY4134</t>
  </si>
  <si>
    <t>TY4439</t>
  </si>
  <si>
    <t>TY4137</t>
  </si>
  <si>
    <t>TY0029</t>
  </si>
  <si>
    <t>TY4135</t>
  </si>
  <si>
    <t>TY4434</t>
  </si>
  <si>
    <t>TY4428</t>
  </si>
  <si>
    <t>TY4136</t>
  </si>
  <si>
    <t>TY4139</t>
  </si>
  <si>
    <t>TY4440</t>
  </si>
  <si>
    <t>TY4142</t>
  </si>
  <si>
    <t>TY0034</t>
  </si>
  <si>
    <t>TY4140</t>
  </si>
  <si>
    <t>TY4436</t>
  </si>
  <si>
    <t>TY4430</t>
  </si>
  <si>
    <t>TY4141</t>
  </si>
  <si>
    <t>TY4144</t>
  </si>
  <si>
    <t>TY4441</t>
  </si>
  <si>
    <t>TY4147</t>
  </si>
  <si>
    <t>TY0039</t>
  </si>
  <si>
    <t>TY4145</t>
  </si>
  <si>
    <t>TY4438</t>
  </si>
  <si>
    <t>TY4432</t>
  </si>
  <si>
    <t>TY4146</t>
  </si>
  <si>
    <t>TY4149</t>
  </si>
  <si>
    <t>TY4442</t>
  </si>
  <si>
    <t>TY4152</t>
  </si>
  <si>
    <t>TY1005</t>
  </si>
  <si>
    <t>TY4157</t>
  </si>
  <si>
    <t>TY2024</t>
  </si>
  <si>
    <t>TY1027</t>
  </si>
  <si>
    <t>TY1013</t>
  </si>
  <si>
    <t>TY1208</t>
  </si>
  <si>
    <t>TY1209</t>
  </si>
  <si>
    <t>TY2030</t>
  </si>
  <si>
    <t>TY1250</t>
  </si>
  <si>
    <t>TY1612</t>
  </si>
  <si>
    <t>TY1610</t>
  </si>
  <si>
    <t>D12 99</t>
  </si>
  <si>
    <t/>
  </si>
  <si>
    <t>THE DEFINITIVE ROPE GUIDE Page 29</t>
  </si>
  <si>
    <t>SOLID BLUE</t>
  </si>
  <si>
    <t>TY6024</t>
  </si>
  <si>
    <t>TY6036</t>
  </si>
  <si>
    <t>TY6029</t>
  </si>
  <si>
    <t>TY6038</t>
  </si>
  <si>
    <t>TY6037</t>
  </si>
  <si>
    <t>TY6031</t>
  </si>
  <si>
    <t>TY6000</t>
  </si>
  <si>
    <t>TY6039</t>
  </si>
  <si>
    <t>TY6033</t>
  </si>
  <si>
    <t>TY6001</t>
  </si>
  <si>
    <t>TY6040</t>
  </si>
  <si>
    <t>TY6035</t>
  </si>
  <si>
    <t>TY6027</t>
  </si>
  <si>
    <t>TY6041</t>
  </si>
  <si>
    <t>TY6003</t>
  </si>
  <si>
    <t>TY6042</t>
  </si>
  <si>
    <t>TY6021</t>
  </si>
  <si>
    <t>TY6043</t>
  </si>
  <si>
    <t>TY6004</t>
  </si>
  <si>
    <t>TY6044</t>
  </si>
  <si>
    <t>TY6046</t>
  </si>
  <si>
    <t>TY6045</t>
  </si>
  <si>
    <t>TY6006</t>
  </si>
  <si>
    <t>TY6047</t>
  </si>
  <si>
    <t>DOUBLEBRAID</t>
  </si>
  <si>
    <t>GOLD</t>
  </si>
  <si>
    <t>KB2000</t>
  </si>
  <si>
    <t>KB2002</t>
  </si>
  <si>
    <t>KB2004</t>
  </si>
  <si>
    <t>KB2006</t>
  </si>
  <si>
    <t>KB2008</t>
  </si>
  <si>
    <t>KB0005</t>
  </si>
  <si>
    <t>KB2001</t>
  </si>
  <si>
    <t>KB2003</t>
  </si>
  <si>
    <t>KB2005</t>
  </si>
  <si>
    <t>KB2007</t>
  </si>
  <si>
    <t>KB2009</t>
  </si>
  <si>
    <t>KB2116</t>
  </si>
  <si>
    <t>KB2010</t>
  </si>
  <si>
    <t>KB2012</t>
  </si>
  <si>
    <t>KB2014</t>
  </si>
  <si>
    <t>KB2016</t>
  </si>
  <si>
    <t>KB2018</t>
  </si>
  <si>
    <t>KB2152</t>
  </si>
  <si>
    <t>KB2011</t>
  </si>
  <si>
    <t>KB2013</t>
  </si>
  <si>
    <t>KB2015</t>
  </si>
  <si>
    <t>KB2017</t>
  </si>
  <si>
    <t>KB2019</t>
  </si>
  <si>
    <t>KB2082</t>
  </si>
  <si>
    <t>KB2020</t>
  </si>
  <si>
    <t>KB2022</t>
  </si>
  <si>
    <t>KB2024</t>
  </si>
  <si>
    <t>KB2026</t>
  </si>
  <si>
    <t>KB2028</t>
  </si>
  <si>
    <t>KB2091</t>
  </si>
  <si>
    <t>KB2021</t>
  </si>
  <si>
    <t>KB2023</t>
  </si>
  <si>
    <t>KB2025</t>
  </si>
  <si>
    <t>KB2027</t>
  </si>
  <si>
    <t>KB2029</t>
  </si>
  <si>
    <t>KB2083</t>
  </si>
  <si>
    <t>KB2030</t>
  </si>
  <si>
    <t>KB2032</t>
  </si>
  <si>
    <t>KB2034</t>
  </si>
  <si>
    <t>KB2036</t>
  </si>
  <si>
    <t>KB2038</t>
  </si>
  <si>
    <t>KB2097</t>
  </si>
  <si>
    <t>KB2031</t>
  </si>
  <si>
    <t>KB2033</t>
  </si>
  <si>
    <t>KB2035</t>
  </si>
  <si>
    <t>KB2037</t>
  </si>
  <si>
    <t>KB2039</t>
  </si>
  <si>
    <t>KB2084</t>
  </si>
  <si>
    <t>KB2040</t>
  </si>
  <si>
    <t>KB2042</t>
  </si>
  <si>
    <t>KB2044</t>
  </si>
  <si>
    <t>KB2046</t>
  </si>
  <si>
    <t>KB2048</t>
  </si>
  <si>
    <t>KB2085</t>
  </si>
  <si>
    <t>KB2041</t>
  </si>
  <si>
    <t>KB2043</t>
  </si>
  <si>
    <t>KB2045</t>
  </si>
  <si>
    <t>KB2047</t>
  </si>
  <si>
    <t>KB2049</t>
  </si>
  <si>
    <t>KB2115</t>
  </si>
  <si>
    <t>KB2050</t>
  </si>
  <si>
    <t>KB2052</t>
  </si>
  <si>
    <t>KB2054</t>
  </si>
  <si>
    <t>KB2056</t>
  </si>
  <si>
    <t>KB2058</t>
  </si>
  <si>
    <t>KB2086</t>
  </si>
  <si>
    <t>KB2051</t>
  </si>
  <si>
    <t>KB2053</t>
  </si>
  <si>
    <t>KB2055</t>
  </si>
  <si>
    <t>KB2057</t>
  </si>
  <si>
    <t>KB2059</t>
  </si>
  <si>
    <t>KB2141</t>
  </si>
  <si>
    <t>KB2060</t>
  </si>
  <si>
    <t>KB2062</t>
  </si>
  <si>
    <t>KB2064</t>
  </si>
  <si>
    <t>KB2066</t>
  </si>
  <si>
    <t>KB2068</t>
  </si>
  <si>
    <t>KB2087</t>
  </si>
  <si>
    <t>Marble</t>
  </si>
  <si>
    <t>GRAPHITE</t>
  </si>
  <si>
    <t>KB3013</t>
  </si>
  <si>
    <t>KB3010</t>
  </si>
  <si>
    <t>KB3012</t>
  </si>
  <si>
    <t>KB3011</t>
  </si>
  <si>
    <t>KB3014</t>
  </si>
  <si>
    <t>KB3026</t>
  </si>
  <si>
    <t>KB3020</t>
  </si>
  <si>
    <t>KB3024</t>
  </si>
  <si>
    <t>KB3022</t>
  </si>
  <si>
    <t>KB3027</t>
  </si>
  <si>
    <t>KB3021</t>
  </si>
  <si>
    <t>KB3025</t>
  </si>
  <si>
    <t>KB3023</t>
  </si>
  <si>
    <t>KB3028</t>
  </si>
  <si>
    <t>KB3047</t>
  </si>
  <si>
    <t>KB3040</t>
  </si>
  <si>
    <t>KB3044</t>
  </si>
  <si>
    <t>KB3042</t>
  </si>
  <si>
    <t>KB3048</t>
  </si>
  <si>
    <t>KB3041</t>
  </si>
  <si>
    <t>KB3045</t>
  </si>
  <si>
    <t>KB3043</t>
  </si>
  <si>
    <t>KB3069</t>
  </si>
  <si>
    <t>KB3066</t>
  </si>
  <si>
    <t>KB3060</t>
  </si>
  <si>
    <t>KB3064</t>
  </si>
  <si>
    <t>KB3062</t>
  </si>
  <si>
    <t>Marble (Continued)</t>
  </si>
  <si>
    <t>Graphite</t>
  </si>
  <si>
    <t>KB3067</t>
  </si>
  <si>
    <t>KB3061</t>
  </si>
  <si>
    <t>KB3065</t>
  </si>
  <si>
    <t>KB3063</t>
  </si>
  <si>
    <t>KB3070</t>
  </si>
  <si>
    <t>KB3086</t>
  </si>
  <si>
    <t>KB3080</t>
  </si>
  <si>
    <t>KB3084</t>
  </si>
  <si>
    <t>KB3082</t>
  </si>
  <si>
    <t>KB3087</t>
  </si>
  <si>
    <t>KB3081</t>
  </si>
  <si>
    <t>KB3085</t>
  </si>
  <si>
    <t>KB3083</t>
  </si>
  <si>
    <t>KB3089</t>
  </si>
  <si>
    <t>M-RIG MAX</t>
  </si>
  <si>
    <t>THE DEFINITIVE ROPE GUIDE Page 30</t>
  </si>
  <si>
    <t>TV3016</t>
  </si>
  <si>
    <t>TV3000</t>
  </si>
  <si>
    <t>TV3008</t>
  </si>
  <si>
    <t>TV3010</t>
  </si>
  <si>
    <t>TV3004</t>
  </si>
  <si>
    <t>TV3002</t>
  </si>
  <si>
    <t>TV3012</t>
  </si>
  <si>
    <t>TV3007</t>
  </si>
  <si>
    <t>TV3011</t>
  </si>
  <si>
    <t>TV3013</t>
  </si>
  <si>
    <t>PRODRIVE 2</t>
  </si>
  <si>
    <t>THE DEFINITIVE ROPE GUIDE Page 31</t>
  </si>
  <si>
    <t>AT0098</t>
  </si>
  <si>
    <t>AT0099</t>
  </si>
  <si>
    <t>AT0100</t>
  </si>
  <si>
    <t>AT0101</t>
  </si>
  <si>
    <t>AT0103</t>
  </si>
  <si>
    <t>AT0102</t>
  </si>
  <si>
    <t>AT0104</t>
  </si>
  <si>
    <t>AT0105</t>
  </si>
  <si>
    <t>AT0106</t>
  </si>
  <si>
    <t>AT0107</t>
  </si>
  <si>
    <t>MGP FURLER 50</t>
  </si>
  <si>
    <t>FU0000</t>
  </si>
  <si>
    <t>FU0001</t>
  </si>
  <si>
    <t>FU0002</t>
  </si>
  <si>
    <t>FU0004</t>
  </si>
  <si>
    <t>FU0003</t>
  </si>
  <si>
    <t>FU0005</t>
  </si>
  <si>
    <t>FU0006</t>
  </si>
  <si>
    <t>FU0007</t>
  </si>
  <si>
    <t>FU0009</t>
  </si>
  <si>
    <t>FU0008</t>
  </si>
  <si>
    <t>FU0010</t>
  </si>
  <si>
    <t>FU0011</t>
  </si>
  <si>
    <t>FU0012</t>
  </si>
  <si>
    <t>FU0014</t>
  </si>
  <si>
    <t>FU0013</t>
  </si>
  <si>
    <t>FU0015</t>
  </si>
  <si>
    <t>FU0016</t>
  </si>
  <si>
    <t>FU0017</t>
  </si>
  <si>
    <t>FU0019</t>
  </si>
  <si>
    <t>FU0018</t>
  </si>
  <si>
    <t>FU0020</t>
  </si>
  <si>
    <t>FU0021</t>
  </si>
  <si>
    <t>FU0022</t>
  </si>
  <si>
    <t>FU0024</t>
  </si>
  <si>
    <t>FU0023</t>
  </si>
  <si>
    <t>FU0025</t>
  </si>
  <si>
    <t>FU0026</t>
  </si>
  <si>
    <t>FU0027</t>
  </si>
  <si>
    <t>FU0029</t>
  </si>
  <si>
    <t>FU0028</t>
  </si>
  <si>
    <t>MARLOWBRAID</t>
  </si>
  <si>
    <t>KA0028</t>
  </si>
  <si>
    <t>KA0017</t>
  </si>
  <si>
    <t>KA0050</t>
  </si>
  <si>
    <t>KA0039</t>
  </si>
  <si>
    <t>KA0006</t>
  </si>
  <si>
    <t>KG0370</t>
  </si>
  <si>
    <t>KA0029</t>
  </si>
  <si>
    <t>KA0018</t>
  </si>
  <si>
    <t>KA0051</t>
  </si>
  <si>
    <t>KA0040</t>
  </si>
  <si>
    <t>KA0007</t>
  </si>
  <si>
    <t>KG0359</t>
  </si>
  <si>
    <t>KA0083</t>
  </si>
  <si>
    <t>KA0072</t>
  </si>
  <si>
    <t>KA0105</t>
  </si>
  <si>
    <t>KA0094</t>
  </si>
  <si>
    <t>KA0061</t>
  </si>
  <si>
    <t>KG0349</t>
  </si>
  <si>
    <t>KA0084</t>
  </si>
  <si>
    <t>KA0073</t>
  </si>
  <si>
    <t>KA0106</t>
  </si>
  <si>
    <t>KA0095</t>
  </si>
  <si>
    <t>KA0062</t>
  </si>
  <si>
    <t>KG0338</t>
  </si>
  <si>
    <t>KA0193</t>
  </si>
  <si>
    <t>KA0182</t>
  </si>
  <si>
    <t>KA0215</t>
  </si>
  <si>
    <t>KA0204</t>
  </si>
  <si>
    <t>KA0171</t>
  </si>
  <si>
    <t>KG0318</t>
  </si>
  <si>
    <t>KA0194</t>
  </si>
  <si>
    <t>KA0183</t>
  </si>
  <si>
    <t>KA0216</t>
  </si>
  <si>
    <t>KA0205</t>
  </si>
  <si>
    <t>KA0172</t>
  </si>
  <si>
    <t>KG0319</t>
  </si>
  <si>
    <t>KA0248</t>
  </si>
  <si>
    <t>KA0237</t>
  </si>
  <si>
    <t>KA0270</t>
  </si>
  <si>
    <t>KA0259</t>
  </si>
  <si>
    <t>KA0226</t>
  </si>
  <si>
    <t>KG0321</t>
  </si>
  <si>
    <t>KA0249</t>
  </si>
  <si>
    <t>KA0238</t>
  </si>
  <si>
    <t>KA0271</t>
  </si>
  <si>
    <t>KA0260</t>
  </si>
  <si>
    <t>KA0227</t>
  </si>
  <si>
    <t>KG0322</t>
  </si>
  <si>
    <t>KA0301</t>
  </si>
  <si>
    <t>KA0291</t>
  </si>
  <si>
    <t>KA0321</t>
  </si>
  <si>
    <t>KA0311</t>
  </si>
  <si>
    <t>KA0281</t>
  </si>
  <si>
    <t>KG0324</t>
  </si>
  <si>
    <t>KA0302</t>
  </si>
  <si>
    <t>KA0292</t>
  </si>
  <si>
    <t>KA0322</t>
  </si>
  <si>
    <t>KA0312</t>
  </si>
  <si>
    <t>KA0282</t>
  </si>
  <si>
    <t>KG0325</t>
  </si>
  <si>
    <t>KA0347</t>
  </si>
  <si>
    <t>KA0339</t>
  </si>
  <si>
    <t>KA0363</t>
  </si>
  <si>
    <t>KA0355</t>
  </si>
  <si>
    <t>KA0331</t>
  </si>
  <si>
    <t>KG0327</t>
  </si>
  <si>
    <t>KA0348</t>
  </si>
  <si>
    <t>KA0340</t>
  </si>
  <si>
    <t>KA0364</t>
  </si>
  <si>
    <t>KA0356</t>
  </si>
  <si>
    <t>KA0332</t>
  </si>
  <si>
    <t>KG0328</t>
  </si>
  <si>
    <t>KA0387</t>
  </si>
  <si>
    <t>KA0379</t>
  </si>
  <si>
    <t>KA0403</t>
  </si>
  <si>
    <t>KA0395</t>
  </si>
  <si>
    <t>KA0371</t>
  </si>
  <si>
    <t>KG0334</t>
  </si>
  <si>
    <t>KA0388</t>
  </si>
  <si>
    <t>KA0380</t>
  </si>
  <si>
    <t>KA0404</t>
  </si>
  <si>
    <t>KA0396</t>
  </si>
  <si>
    <t>KA0372</t>
  </si>
  <si>
    <t>KG0332</t>
  </si>
  <si>
    <t>KA0427</t>
  </si>
  <si>
    <t>KA0419</t>
  </si>
  <si>
    <t>KA0443</t>
  </si>
  <si>
    <t>KA0435</t>
  </si>
  <si>
    <t>KA0411</t>
  </si>
  <si>
    <t>KG0343</t>
  </si>
  <si>
    <t>KA0428</t>
  </si>
  <si>
    <t>KA0420</t>
  </si>
  <si>
    <t>KA0444</t>
  </si>
  <si>
    <t>KA0436</t>
  </si>
  <si>
    <t>KA0412</t>
  </si>
  <si>
    <t>KG0340</t>
  </si>
  <si>
    <t>KA0463</t>
  </si>
  <si>
    <t>Solid Colour</t>
  </si>
  <si>
    <t>NAVY</t>
  </si>
  <si>
    <t>NATURAL</t>
  </si>
  <si>
    <t>KG0051</t>
  </si>
  <si>
    <t>KG0006</t>
  </si>
  <si>
    <t>KG0500</t>
  </si>
  <si>
    <t>KG0024</t>
  </si>
  <si>
    <t>KG0052</t>
  </si>
  <si>
    <t>KG0007</t>
  </si>
  <si>
    <t>KG0501</t>
  </si>
  <si>
    <t>KG0025</t>
  </si>
  <si>
    <t>KG0105</t>
  </si>
  <si>
    <t>KG0060</t>
  </si>
  <si>
    <t>KG0510</t>
  </si>
  <si>
    <t>KG0078</t>
  </si>
  <si>
    <t>KG0571</t>
  </si>
  <si>
    <t>KG0106</t>
  </si>
  <si>
    <t>KG0061</t>
  </si>
  <si>
    <t>KG0511</t>
  </si>
  <si>
    <t>KG0079</t>
  </si>
  <si>
    <t>KG0572</t>
  </si>
  <si>
    <t>KG0213</t>
  </si>
  <si>
    <t>KG0168</t>
  </si>
  <si>
    <t>KG0520</t>
  </si>
  <si>
    <t>KG0186</t>
  </si>
  <si>
    <t>KG0573</t>
  </si>
  <si>
    <t>KG0214</t>
  </si>
  <si>
    <t>KG0169</t>
  </si>
  <si>
    <t>KG0521</t>
  </si>
  <si>
    <t>KG0187</t>
  </si>
  <si>
    <t>KG0574</t>
  </si>
  <si>
    <t>KG0267</t>
  </si>
  <si>
    <t>KG0222</t>
  </si>
  <si>
    <t>KG0530</t>
  </si>
  <si>
    <t>KG0240</t>
  </si>
  <si>
    <t>KG0575</t>
  </si>
  <si>
    <t>KG0268</t>
  </si>
  <si>
    <t>KG0223</t>
  </si>
  <si>
    <t>KG0531</t>
  </si>
  <si>
    <t>KG0241</t>
  </si>
  <si>
    <t>KG0576</t>
  </si>
  <si>
    <t>KG0316</t>
  </si>
  <si>
    <t>KG0276</t>
  </si>
  <si>
    <t>KG0540</t>
  </si>
  <si>
    <t>KG0292</t>
  </si>
  <si>
    <t>KG0577</t>
  </si>
  <si>
    <t>KG0317</t>
  </si>
  <si>
    <t>KG0277</t>
  </si>
  <si>
    <t>KG0541</t>
  </si>
  <si>
    <t>KG0293</t>
  </si>
  <si>
    <t>KG0578</t>
  </si>
  <si>
    <t>KG0360</t>
  </si>
  <si>
    <t>KG0378</t>
  </si>
  <si>
    <t>KG0382</t>
  </si>
  <si>
    <t>KG0380</t>
  </si>
  <si>
    <t>KG0579</t>
  </si>
  <si>
    <t>KG0336</t>
  </si>
  <si>
    <t>KG0379</t>
  </si>
  <si>
    <t>KG0383</t>
  </si>
  <si>
    <t>KG0381</t>
  </si>
  <si>
    <t>KG0580</t>
  </si>
  <si>
    <t>KG0384</t>
  </si>
  <si>
    <t>KG0386</t>
  </si>
  <si>
    <t>KG0390</t>
  </si>
  <si>
    <t>KG0388</t>
  </si>
  <si>
    <t>KG0581</t>
  </si>
  <si>
    <t>KG0582</t>
  </si>
  <si>
    <t>KG0584</t>
  </si>
  <si>
    <t>MATTBRAID</t>
  </si>
  <si>
    <t>KJ1000</t>
  </si>
  <si>
    <t>KJ1001</t>
  </si>
  <si>
    <t>KJ1020</t>
  </si>
  <si>
    <t>MATTBRAID (Continued)</t>
  </si>
  <si>
    <t>KJ1031</t>
  </si>
  <si>
    <t>KJ1040</t>
  </si>
  <si>
    <t>KJ1041</t>
  </si>
  <si>
    <t>KJ1050</t>
  </si>
  <si>
    <t>KJ1051</t>
  </si>
  <si>
    <t>KJ1060</t>
  </si>
  <si>
    <t>KJ1061</t>
  </si>
  <si>
    <t>KJ0366</t>
  </si>
  <si>
    <t>KJ1004</t>
  </si>
  <si>
    <t>KJ1008</t>
  </si>
  <si>
    <t>KJ1002</t>
  </si>
  <si>
    <t>KJ1005</t>
  </si>
  <si>
    <t>KJ1009</t>
  </si>
  <si>
    <t>KJ1003</t>
  </si>
  <si>
    <t>KJ1024</t>
  </si>
  <si>
    <t>KJ1028</t>
  </si>
  <si>
    <t>KJ1022</t>
  </si>
  <si>
    <t>KJ1025</t>
  </si>
  <si>
    <t>KJ1029</t>
  </si>
  <si>
    <t>KJ1023</t>
  </si>
  <si>
    <t>KJ1034</t>
  </si>
  <si>
    <t>KJ1038</t>
  </si>
  <si>
    <t>KJ1032</t>
  </si>
  <si>
    <t>KJ1035</t>
  </si>
  <si>
    <t>KJ1039</t>
  </si>
  <si>
    <t>KJ1033</t>
  </si>
  <si>
    <t>KJ1044</t>
  </si>
  <si>
    <t>KJ1048</t>
  </si>
  <si>
    <t>KJ1042</t>
  </si>
  <si>
    <t>KJ1045</t>
  </si>
  <si>
    <t>KJ1049</t>
  </si>
  <si>
    <t>KJ1043</t>
  </si>
  <si>
    <t>KJ1054</t>
  </si>
  <si>
    <t>KJ1058</t>
  </si>
  <si>
    <t>KJ1052</t>
  </si>
  <si>
    <t>KJ1055</t>
  </si>
  <si>
    <t>KJ1059</t>
  </si>
  <si>
    <t>KJ1053</t>
  </si>
  <si>
    <t>KJ1064</t>
  </si>
  <si>
    <t>KJ1068</t>
  </si>
  <si>
    <t>KJ1062</t>
  </si>
  <si>
    <t>KJ1065</t>
  </si>
  <si>
    <t>KJ1069</t>
  </si>
  <si>
    <t>KJ1063</t>
  </si>
  <si>
    <t>KJ0382</t>
  </si>
  <si>
    <t>KJ0406</t>
  </si>
  <si>
    <t>KJ0374</t>
  </si>
  <si>
    <t>PS12</t>
  </si>
  <si>
    <t>THE DEFINITIVE ROPE GUIDE Page 37</t>
  </si>
  <si>
    <t>EP0007</t>
  </si>
  <si>
    <t>EP0026</t>
  </si>
  <si>
    <t>EP0008</t>
  </si>
  <si>
    <t>EP0024</t>
  </si>
  <si>
    <t>EP0013</t>
  </si>
  <si>
    <t>EP0022</t>
  </si>
  <si>
    <t>EP0014</t>
  </si>
  <si>
    <t>EP0021</t>
  </si>
  <si>
    <t>EP0019</t>
  </si>
  <si>
    <t>EP0020</t>
  </si>
  <si>
    <t>EP0025</t>
  </si>
  <si>
    <t>EXCEL ELITE</t>
  </si>
  <si>
    <t>THE DEFINITIVE ROPE GUIDE Page 35</t>
  </si>
  <si>
    <t>EL9401</t>
  </si>
  <si>
    <t>EL9400</t>
  </si>
  <si>
    <t>EL9405</t>
  </si>
  <si>
    <t>EL9404</t>
  </si>
  <si>
    <t>EL9409</t>
  </si>
  <si>
    <t>EL9402</t>
  </si>
  <si>
    <t>EL9407</t>
  </si>
  <si>
    <t>EL9406</t>
  </si>
  <si>
    <t>EL9408</t>
  </si>
  <si>
    <t>EL9403</t>
  </si>
  <si>
    <t>EL9410</t>
  </si>
  <si>
    <t>EL9411</t>
  </si>
  <si>
    <t>EXCEL RACING GP78</t>
  </si>
  <si>
    <t>ORANGE</t>
  </si>
  <si>
    <t>EL7000</t>
  </si>
  <si>
    <t>EL7002</t>
  </si>
  <si>
    <t>EL7006</t>
  </si>
  <si>
    <t>EL7001</t>
  </si>
  <si>
    <t>EL7003</t>
  </si>
  <si>
    <t>EL7007</t>
  </si>
  <si>
    <t>EL7030</t>
  </si>
  <si>
    <t>EL7032</t>
  </si>
  <si>
    <t>EL7034</t>
  </si>
  <si>
    <t>EL7031</t>
  </si>
  <si>
    <t>EL7033</t>
  </si>
  <si>
    <t>EL7035</t>
  </si>
  <si>
    <t>EL7060</t>
  </si>
  <si>
    <t>EL7062</t>
  </si>
  <si>
    <t>EL7064</t>
  </si>
  <si>
    <t>EL7061</t>
  </si>
  <si>
    <t>EL7063</t>
  </si>
  <si>
    <t>EL7065</t>
  </si>
  <si>
    <t>EXCEL RACING</t>
  </si>
  <si>
    <t xml:space="preserve">BLACK/GREY </t>
  </si>
  <si>
    <t xml:space="preserve">RED/GREY </t>
  </si>
  <si>
    <t xml:space="preserve">BLUE/GREY </t>
  </si>
  <si>
    <t xml:space="preserve">LIME/GREY </t>
  </si>
  <si>
    <t xml:space="preserve">WHT./GREY </t>
  </si>
  <si>
    <t xml:space="preserve">ORG./GREY </t>
  </si>
  <si>
    <t>ER0006</t>
  </si>
  <si>
    <t>ER0013</t>
  </si>
  <si>
    <t>ER0041</t>
  </si>
  <si>
    <t>ER0007</t>
  </si>
  <si>
    <t>ER0014</t>
  </si>
  <si>
    <t>ER0042</t>
  </si>
  <si>
    <t>ER0055</t>
  </si>
  <si>
    <t>ER0062</t>
  </si>
  <si>
    <t>ER0090</t>
  </si>
  <si>
    <t>ER0056</t>
  </si>
  <si>
    <t>ER0063</t>
  </si>
  <si>
    <t>ER0091</t>
  </si>
  <si>
    <t>ER1005</t>
  </si>
  <si>
    <t>ER1012</t>
  </si>
  <si>
    <t>ER1019</t>
  </si>
  <si>
    <t>ER1026</t>
  </si>
  <si>
    <t>ER1033</t>
  </si>
  <si>
    <t>ER1040</t>
  </si>
  <si>
    <t>ER1006</t>
  </si>
  <si>
    <t>ER1013</t>
  </si>
  <si>
    <t>ER1020</t>
  </si>
  <si>
    <t>ER1027</t>
  </si>
  <si>
    <t>ER1034</t>
  </si>
  <si>
    <t>ER1041</t>
  </si>
  <si>
    <t>ER1054</t>
  </si>
  <si>
    <t>ER1061</t>
  </si>
  <si>
    <t>ER1068</t>
  </si>
  <si>
    <t>ER1075</t>
  </si>
  <si>
    <t>ER1082</t>
  </si>
  <si>
    <t>ER1089</t>
  </si>
  <si>
    <t>ER1055</t>
  </si>
  <si>
    <t>ER1062</t>
  </si>
  <si>
    <t>ER1069</t>
  </si>
  <si>
    <t>ER1076</t>
  </si>
  <si>
    <t>ER1083</t>
  </si>
  <si>
    <t>ER1090</t>
  </si>
  <si>
    <t>ER1103</t>
  </si>
  <si>
    <t>ER1110</t>
  </si>
  <si>
    <t>ER1117</t>
  </si>
  <si>
    <t>ER1124</t>
  </si>
  <si>
    <t>ER1131</t>
  </si>
  <si>
    <t>ER1138</t>
  </si>
  <si>
    <t>ER1104</t>
  </si>
  <si>
    <t>ER1111</t>
  </si>
  <si>
    <t>ER1118</t>
  </si>
  <si>
    <t>ER1125</t>
  </si>
  <si>
    <t>ER1132</t>
  </si>
  <si>
    <t>ER1139</t>
  </si>
  <si>
    <t>ER1152</t>
  </si>
  <si>
    <t>ER1159</t>
  </si>
  <si>
    <t>ER1166</t>
  </si>
  <si>
    <t>ER1173</t>
  </si>
  <si>
    <t>ER1180</t>
  </si>
  <si>
    <t>ER1187</t>
  </si>
  <si>
    <t>ER1153</t>
  </si>
  <si>
    <t>ER1160</t>
  </si>
  <si>
    <t>ER1167</t>
  </si>
  <si>
    <t>ER1174</t>
  </si>
  <si>
    <t>ER1181</t>
  </si>
  <si>
    <t>ER1188</t>
  </si>
  <si>
    <t>EXCEL R8</t>
  </si>
  <si>
    <t>PURPLE</t>
  </si>
  <si>
    <t>EQ0006</t>
  </si>
  <si>
    <t>EQ0020</t>
  </si>
  <si>
    <t>EQ0013</t>
  </si>
  <si>
    <t>EQ0007</t>
  </si>
  <si>
    <t>EQ0021</t>
  </si>
  <si>
    <t>EQ0014</t>
  </si>
  <si>
    <t>EQ0027</t>
  </si>
  <si>
    <t>EQ0041</t>
  </si>
  <si>
    <t>EQ0034</t>
  </si>
  <si>
    <t>EQ0028</t>
  </si>
  <si>
    <t>EQ0042</t>
  </si>
  <si>
    <t>EQ0035</t>
  </si>
  <si>
    <t>EQ0048</t>
  </si>
  <si>
    <t>EQ0062</t>
  </si>
  <si>
    <t>EQ0055</t>
  </si>
  <si>
    <t>EQ0049</t>
  </si>
  <si>
    <t>EQ0063</t>
  </si>
  <si>
    <t>EQ0056</t>
  </si>
  <si>
    <t>EQ0069</t>
  </si>
  <si>
    <t>EQ0083</t>
  </si>
  <si>
    <t>EQ0076</t>
  </si>
  <si>
    <t>EQ0070</t>
  </si>
  <si>
    <t>EQ0084</t>
  </si>
  <si>
    <t>EQ0077</t>
  </si>
  <si>
    <t>EXCEL MATRIX</t>
  </si>
  <si>
    <t>EX0000</t>
  </si>
  <si>
    <t>EX0002</t>
  </si>
  <si>
    <t>EX0001</t>
  </si>
  <si>
    <t>EX0003</t>
  </si>
  <si>
    <t>EX0010</t>
  </si>
  <si>
    <t>EX0012</t>
  </si>
  <si>
    <t>EX0011</t>
  </si>
  <si>
    <t>EX0013</t>
  </si>
  <si>
    <t>EXCEL FUSION</t>
  </si>
  <si>
    <t>EF0002</t>
  </si>
  <si>
    <t>EF0006</t>
  </si>
  <si>
    <t>EF0000</t>
  </si>
  <si>
    <t>EF0003</t>
  </si>
  <si>
    <t>EF0007</t>
  </si>
  <si>
    <t>EF0001</t>
  </si>
  <si>
    <t>EF0010</t>
  </si>
  <si>
    <t>EF0014</t>
  </si>
  <si>
    <t>EF0008</t>
  </si>
  <si>
    <t>EF0011</t>
  </si>
  <si>
    <t>EF0015</t>
  </si>
  <si>
    <t>EF0009</t>
  </si>
  <si>
    <t>EF0018</t>
  </si>
  <si>
    <t>EF0022</t>
  </si>
  <si>
    <t>EF0016</t>
  </si>
  <si>
    <t>EF0019</t>
  </si>
  <si>
    <t>EF0023</t>
  </si>
  <si>
    <t>EF0017</t>
  </si>
  <si>
    <t>EF0026</t>
  </si>
  <si>
    <t>EF0030</t>
  </si>
  <si>
    <t>EF0024</t>
  </si>
  <si>
    <t>EF0027</t>
  </si>
  <si>
    <t>EF0031</t>
  </si>
  <si>
    <t>EF0025</t>
  </si>
  <si>
    <t>EXCEL GEMINI</t>
  </si>
  <si>
    <t>EG0010</t>
  </si>
  <si>
    <t>EG0011</t>
  </si>
  <si>
    <t>EG0012</t>
  </si>
  <si>
    <t>EG0013</t>
  </si>
  <si>
    <t>EXCEL D12</t>
  </si>
  <si>
    <t>TY4104</t>
  </si>
  <si>
    <t>TY0044</t>
  </si>
  <si>
    <t>TY4100</t>
  </si>
  <si>
    <t>TY4101</t>
  </si>
  <si>
    <t>TY4102</t>
  </si>
  <si>
    <t>TY4451</t>
  </si>
  <si>
    <t>TY4109</t>
  </si>
  <si>
    <t>TY0049</t>
  </si>
  <si>
    <t>TY4105</t>
  </si>
  <si>
    <t>TY4106</t>
  </si>
  <si>
    <t>TY4107</t>
  </si>
  <si>
    <t>TY4453</t>
  </si>
  <si>
    <t>TY4114</t>
  </si>
  <si>
    <t>TY0059</t>
  </si>
  <si>
    <t>TY4110</t>
  </si>
  <si>
    <t>TY4433</t>
  </si>
  <si>
    <t>TY4427</t>
  </si>
  <si>
    <t>TY4111</t>
  </si>
  <si>
    <t>TY4112</t>
  </si>
  <si>
    <t>TY4454</t>
  </si>
  <si>
    <t>TY4119</t>
  </si>
  <si>
    <t>TY0064</t>
  </si>
  <si>
    <t>TY4115</t>
  </si>
  <si>
    <t>TY4435</t>
  </si>
  <si>
    <t>TY4429</t>
  </si>
  <si>
    <t>TY4116</t>
  </si>
  <si>
    <t>TY4117</t>
  </si>
  <si>
    <t>TY4455</t>
  </si>
  <si>
    <t>TY4124</t>
  </si>
  <si>
    <t>TY0069</t>
  </si>
  <si>
    <t>TY4120</t>
  </si>
  <si>
    <t>TY4437</t>
  </si>
  <si>
    <t>TY4431</t>
  </si>
  <si>
    <t>TY4121</t>
  </si>
  <si>
    <t>TY4122</t>
  </si>
  <si>
    <t>TY4456</t>
  </si>
  <si>
    <t>EXCEL D12 MAX 78</t>
  </si>
  <si>
    <t>TV0006</t>
  </si>
  <si>
    <t>TV0009</t>
  </si>
  <si>
    <t>TV0000</t>
  </si>
  <si>
    <t>TV0010</t>
  </si>
  <si>
    <t>TV0001</t>
  </si>
  <si>
    <t>TV0002</t>
  </si>
  <si>
    <t>TV0018</t>
  </si>
  <si>
    <t>TV0011</t>
  </si>
  <si>
    <t>TV0017</t>
  </si>
  <si>
    <t>TV0012</t>
  </si>
  <si>
    <t>TV0016</t>
  </si>
  <si>
    <t>TV0013</t>
  </si>
  <si>
    <t>TV0029</t>
  </si>
  <si>
    <t>TV0028</t>
  </si>
  <si>
    <t>TV0039</t>
  </si>
  <si>
    <t>TV0014</t>
  </si>
  <si>
    <t>EXCEL D12 MAX 99</t>
  </si>
  <si>
    <t>THE DEFINITIVE ROPE GUIDE Page 11</t>
  </si>
  <si>
    <t>TV4001</t>
  </si>
  <si>
    <t>TV4010</t>
  </si>
  <si>
    <t>TV4007</t>
  </si>
  <si>
    <t>TV4012</t>
  </si>
  <si>
    <t>TV4004</t>
  </si>
  <si>
    <t>TV4008</t>
  </si>
  <si>
    <t>TV4018</t>
  </si>
  <si>
    <t>TV4005</t>
  </si>
  <si>
    <t>TV4021</t>
  </si>
  <si>
    <t>TV4009</t>
  </si>
  <si>
    <t>TV4022</t>
  </si>
  <si>
    <t>TV4023</t>
  </si>
  <si>
    <t>TV4019</t>
  </si>
  <si>
    <t>TV4025</t>
  </si>
  <si>
    <t>EXCEL CONTROL</t>
  </si>
  <si>
    <t>EC0003</t>
  </si>
  <si>
    <t>EC0012</t>
  </si>
  <si>
    <t>EC0009</t>
  </si>
  <si>
    <t>EC0010</t>
  </si>
  <si>
    <t>EC0001</t>
  </si>
  <si>
    <t>EC0039</t>
  </si>
  <si>
    <t>EC0004</t>
  </si>
  <si>
    <t>EC0011</t>
  </si>
  <si>
    <t>EC0013</t>
  </si>
  <si>
    <t>EC0014</t>
  </si>
  <si>
    <t>EC0002</t>
  </si>
  <si>
    <t>EC0040</t>
  </si>
  <si>
    <t>EC0007</t>
  </si>
  <si>
    <t>EC0029</t>
  </si>
  <si>
    <t>EC0025</t>
  </si>
  <si>
    <t>EC0027</t>
  </si>
  <si>
    <t>EC0005</t>
  </si>
  <si>
    <t>EC0041</t>
  </si>
  <si>
    <t>EC0008</t>
  </si>
  <si>
    <t>EC0030</t>
  </si>
  <si>
    <t>EC0026</t>
  </si>
  <si>
    <t>EC0028</t>
  </si>
  <si>
    <t>EC0006</t>
  </si>
  <si>
    <t>EC0042</t>
  </si>
  <si>
    <t>EXCEL V12</t>
  </si>
  <si>
    <t>TZ0024</t>
  </si>
  <si>
    <t>TZ2019</t>
  </si>
  <si>
    <t>TZ0018</t>
  </si>
  <si>
    <t>TZ3015</t>
  </si>
  <si>
    <t>TZ0027</t>
  </si>
  <si>
    <t>TZ3007</t>
  </si>
  <si>
    <t>TZ0019</t>
  </si>
  <si>
    <t>TZ3016</t>
  </si>
  <si>
    <t>TZ0030</t>
  </si>
  <si>
    <t>TZ3012</t>
  </si>
  <si>
    <t>TZ0020</t>
  </si>
  <si>
    <t>TZ3017</t>
  </si>
  <si>
    <t>TZ0033</t>
  </si>
  <si>
    <t>TZ3013</t>
  </si>
  <si>
    <t>TZ0021</t>
  </si>
  <si>
    <t>TZ3018</t>
  </si>
  <si>
    <t>TZ0095</t>
  </si>
  <si>
    <t>TZ3014</t>
  </si>
  <si>
    <t>TZ0094</t>
  </si>
  <si>
    <t>TZ2014</t>
  </si>
  <si>
    <t>EXCEL PRO</t>
  </si>
  <si>
    <t>ES0013</t>
  </si>
  <si>
    <t>ES0020</t>
  </si>
  <si>
    <t>ES0034</t>
  </si>
  <si>
    <t>ES0027</t>
  </si>
  <si>
    <t>ES0006</t>
  </si>
  <si>
    <t>ES0041</t>
  </si>
  <si>
    <t>ES0014</t>
  </si>
  <si>
    <t>ES0021</t>
  </si>
  <si>
    <t>ES0035</t>
  </si>
  <si>
    <t>ES0028</t>
  </si>
  <si>
    <t>ES0007</t>
  </si>
  <si>
    <t>ES0042</t>
  </si>
  <si>
    <t>ES0062</t>
  </si>
  <si>
    <t>ES0069</t>
  </si>
  <si>
    <t>ES0083</t>
  </si>
  <si>
    <t>ES0076</t>
  </si>
  <si>
    <t>ES0055</t>
  </si>
  <si>
    <t>ES0090</t>
  </si>
  <si>
    <t>ES0063</t>
  </si>
  <si>
    <t>ES0070</t>
  </si>
  <si>
    <t>ES0084</t>
  </si>
  <si>
    <t>ES0077</t>
  </si>
  <si>
    <t>ES0056</t>
  </si>
  <si>
    <t>ES0091</t>
  </si>
  <si>
    <t>ES0111</t>
  </si>
  <si>
    <t>ES0118</t>
  </si>
  <si>
    <t>ES0132</t>
  </si>
  <si>
    <t>ES0125</t>
  </si>
  <si>
    <t>ES0104</t>
  </si>
  <si>
    <t>ES0139</t>
  </si>
  <si>
    <t>ES0112</t>
  </si>
  <si>
    <t>ES0119</t>
  </si>
  <si>
    <t>ES0133</t>
  </si>
  <si>
    <t>ES0126</t>
  </si>
  <si>
    <t>ES0105</t>
  </si>
  <si>
    <t>ES0140</t>
  </si>
  <si>
    <t>ES0160</t>
  </si>
  <si>
    <t>ES0167</t>
  </si>
  <si>
    <t>ES0181</t>
  </si>
  <si>
    <t>ES0174</t>
  </si>
  <si>
    <t>ES0153</t>
  </si>
  <si>
    <t>ES0188</t>
  </si>
  <si>
    <t>ES0161</t>
  </si>
  <si>
    <t>ES0168</t>
  </si>
  <si>
    <t>ES0182</t>
  </si>
  <si>
    <t>ES0175</t>
  </si>
  <si>
    <t>ES0154</t>
  </si>
  <si>
    <t>ES0189</t>
  </si>
  <si>
    <t>ES0209</t>
  </si>
  <si>
    <t>ES0216</t>
  </si>
  <si>
    <t>ES0230</t>
  </si>
  <si>
    <t>ES0223</t>
  </si>
  <si>
    <t>ES0202</t>
  </si>
  <si>
    <t>ES0237</t>
  </si>
  <si>
    <t>ES0210</t>
  </si>
  <si>
    <t>ES0217</t>
  </si>
  <si>
    <t>ES0231</t>
  </si>
  <si>
    <t>ES0224</t>
  </si>
  <si>
    <t>ES0203</t>
  </si>
  <si>
    <t>ES0238</t>
  </si>
  <si>
    <t>MINI SPOOLS</t>
  </si>
  <si>
    <t>PACK QTY</t>
  </si>
  <si>
    <t>MIXED</t>
  </si>
  <si>
    <t>SRP / each</t>
  </si>
  <si>
    <t>ES0302</t>
  </si>
  <si>
    <t>ES0322</t>
  </si>
  <si>
    <t>ES0311</t>
  </si>
  <si>
    <t>ES0304</t>
  </si>
  <si>
    <t>ES0303</t>
  </si>
  <si>
    <t>ES0308</t>
  </si>
  <si>
    <t>ES0300</t>
  </si>
  <si>
    <t>30m each</t>
  </si>
  <si>
    <t>ES0305</t>
  </si>
  <si>
    <t>ES0329</t>
  </si>
  <si>
    <t>ES0312</t>
  </si>
  <si>
    <t>ES0310</t>
  </si>
  <si>
    <t>ES0306</t>
  </si>
  <si>
    <t>ES0307</t>
  </si>
  <si>
    <t>ES0301</t>
  </si>
  <si>
    <t>17m each</t>
  </si>
  <si>
    <t>MINI SPOOL DISPENSER</t>
  </si>
  <si>
    <t>ES0330</t>
  </si>
  <si>
    <t>ES0331</t>
  </si>
  <si>
    <t>EXCEL VECTRAN</t>
  </si>
  <si>
    <t>THE DEFINITIVE ROPE GUIDE Page 39</t>
  </si>
  <si>
    <t>PE0210</t>
  </si>
  <si>
    <t>PE0211</t>
  </si>
  <si>
    <t>PE0267</t>
  </si>
  <si>
    <t>PE0268</t>
  </si>
  <si>
    <t>PE0209</t>
  </si>
  <si>
    <t>PE0214</t>
  </si>
  <si>
    <t>PE0203</t>
  </si>
  <si>
    <t>PE0204</t>
  </si>
  <si>
    <t>PE0300</t>
  </si>
  <si>
    <t>40m each</t>
  </si>
  <si>
    <t>PE0301</t>
  </si>
  <si>
    <t>PE0303</t>
  </si>
  <si>
    <t>EXCEL MARSTRON +</t>
  </si>
  <si>
    <t>EM0000</t>
  </si>
  <si>
    <t>EM0002</t>
  </si>
  <si>
    <t>EM0012</t>
  </si>
  <si>
    <t>EM0010</t>
  </si>
  <si>
    <t>EM0001</t>
  </si>
  <si>
    <t>EM0003</t>
  </si>
  <si>
    <t>EM0013</t>
  </si>
  <si>
    <t>EM0011</t>
  </si>
  <si>
    <t>EM0014</t>
  </si>
  <si>
    <t>EM0020</t>
  </si>
  <si>
    <t>EM0018</t>
  </si>
  <si>
    <t>EM0015</t>
  </si>
  <si>
    <t>EM0021</t>
  </si>
  <si>
    <t>EM0019</t>
  </si>
  <si>
    <t>EM0004</t>
  </si>
  <si>
    <t>EM0006</t>
  </si>
  <si>
    <t>EM0026</t>
  </si>
  <si>
    <t>EM0024</t>
  </si>
  <si>
    <t>EM0005</t>
  </si>
  <si>
    <t>EM0007</t>
  </si>
  <si>
    <t>EM0027</t>
  </si>
  <si>
    <t>EM0025</t>
  </si>
  <si>
    <t>EXCEL MARSTRON</t>
  </si>
  <si>
    <t>JF0215</t>
  </si>
  <si>
    <t>JF0216</t>
  </si>
  <si>
    <t>JF0219</t>
  </si>
  <si>
    <t>JF0220</t>
  </si>
  <si>
    <t>8 PLAIT PRE-STRETCHED</t>
  </si>
  <si>
    <t>JB0006</t>
  </si>
  <si>
    <t>JB0007</t>
  </si>
  <si>
    <t>JB0056</t>
  </si>
  <si>
    <t>JB0057</t>
  </si>
  <si>
    <t>JB0100</t>
  </si>
  <si>
    <t>JB0101</t>
  </si>
  <si>
    <t>JB0180</t>
  </si>
  <si>
    <t>JB0181</t>
  </si>
  <si>
    <t>JB0048</t>
  </si>
  <si>
    <t>JB0014</t>
  </si>
  <si>
    <t>JB0017</t>
  </si>
  <si>
    <t>JB0027</t>
  </si>
  <si>
    <t>JB0049</t>
  </si>
  <si>
    <t>JB0015</t>
  </si>
  <si>
    <t>JB0018</t>
  </si>
  <si>
    <t>JB0028</t>
  </si>
  <si>
    <t>JB0092</t>
  </si>
  <si>
    <t>JB0064</t>
  </si>
  <si>
    <t>JB0305</t>
  </si>
  <si>
    <t>JB0072</t>
  </si>
  <si>
    <t>JB0093</t>
  </si>
  <si>
    <t>JB0065</t>
  </si>
  <si>
    <t>JB0289</t>
  </si>
  <si>
    <t>JB0073</t>
  </si>
  <si>
    <t>JB0132</t>
  </si>
  <si>
    <t>JB0108</t>
  </si>
  <si>
    <t>JB0332</t>
  </si>
  <si>
    <t>JB0116</t>
  </si>
  <si>
    <t>JB0133</t>
  </si>
  <si>
    <t>JB0109</t>
  </si>
  <si>
    <t>JB0278</t>
  </si>
  <si>
    <t>JB0117</t>
  </si>
  <si>
    <t>8 PLAIT MATT</t>
  </si>
  <si>
    <t>JK0062</t>
  </si>
  <si>
    <t>JK0063</t>
  </si>
  <si>
    <t>JK0126</t>
  </si>
  <si>
    <t>JK0127</t>
  </si>
  <si>
    <t>JK0190</t>
  </si>
  <si>
    <t>JK0191</t>
  </si>
  <si>
    <t>JK0254</t>
  </si>
  <si>
    <t>JK0255</t>
  </si>
  <si>
    <t>JK0006</t>
  </si>
  <si>
    <t>JK0046</t>
  </si>
  <si>
    <t>JK0014</t>
  </si>
  <si>
    <t>JK0007</t>
  </si>
  <si>
    <t>JK0047</t>
  </si>
  <si>
    <t>JK0015</t>
  </si>
  <si>
    <t>JK0070</t>
  </si>
  <si>
    <t>JK0110</t>
  </si>
  <si>
    <t>JK0078</t>
  </si>
  <si>
    <t>JK0071</t>
  </si>
  <si>
    <t>JK0111</t>
  </si>
  <si>
    <t>JK0079</t>
  </si>
  <si>
    <t>JK0134</t>
  </si>
  <si>
    <t>JK0174</t>
  </si>
  <si>
    <t>JK0142</t>
  </si>
  <si>
    <t>JK0135</t>
  </si>
  <si>
    <t>JK0175</t>
  </si>
  <si>
    <t>JK0143</t>
  </si>
  <si>
    <t>FORMULINE</t>
  </si>
  <si>
    <t>THE DEFINITIVE ROPE GUIDE Page 41</t>
  </si>
  <si>
    <t xml:space="preserve">MARBLE </t>
  </si>
  <si>
    <t>TY3009</t>
  </si>
  <si>
    <t>TY3053</t>
  </si>
  <si>
    <t>TY3008</t>
  </si>
  <si>
    <t>TY3052</t>
  </si>
  <si>
    <t>FORMULA X</t>
  </si>
  <si>
    <t>TY3030</t>
  </si>
  <si>
    <t>TY3029</t>
  </si>
  <si>
    <t>KITE LINE RACE</t>
  </si>
  <si>
    <t>YELLOW</t>
  </si>
  <si>
    <t>KL0302</t>
  </si>
  <si>
    <t>KL0308</t>
  </si>
  <si>
    <t>KL0305</t>
  </si>
  <si>
    <t>KL0311</t>
  </si>
  <si>
    <t>KL0301</t>
  </si>
  <si>
    <t>KL0307</t>
  </si>
  <si>
    <t>KL0304</t>
  </si>
  <si>
    <t>KL0310</t>
  </si>
  <si>
    <t>KL0300</t>
  </si>
  <si>
    <t>KL0306</t>
  </si>
  <si>
    <t>KL0303</t>
  </si>
  <si>
    <t>KL0309</t>
  </si>
  <si>
    <t>KL0352</t>
  </si>
  <si>
    <t>KL0358</t>
  </si>
  <si>
    <t>KL0355</t>
  </si>
  <si>
    <t>KL0361</t>
  </si>
  <si>
    <t>KL0351</t>
  </si>
  <si>
    <t>KL0357</t>
  </si>
  <si>
    <t>KL0354</t>
  </si>
  <si>
    <t>KL0360</t>
  </si>
  <si>
    <t>KL0350</t>
  </si>
  <si>
    <t>KL0356</t>
  </si>
  <si>
    <t>KL0353</t>
  </si>
  <si>
    <t>KL0359</t>
  </si>
  <si>
    <t>KITE LINE FREESTYLE</t>
  </si>
  <si>
    <t>KL0200</t>
  </si>
  <si>
    <t>KL0201</t>
  </si>
  <si>
    <t>KL0202</t>
  </si>
  <si>
    <t>KL0203</t>
  </si>
  <si>
    <t>KL0211</t>
  </si>
  <si>
    <t>KL0205</t>
  </si>
  <si>
    <t>KL0207</t>
  </si>
  <si>
    <t>KL0208</t>
  </si>
  <si>
    <t>BLUE OCEAN DOCKLINE</t>
  </si>
  <si>
    <t>THE DEFINITIVE ROPE GUIDE Page 43</t>
  </si>
  <si>
    <t>TG5000</t>
  </si>
  <si>
    <t>TG5006</t>
  </si>
  <si>
    <t>TG5001</t>
  </si>
  <si>
    <t>TG5007</t>
  </si>
  <si>
    <t>TG5002</t>
  </si>
  <si>
    <t>TG5008</t>
  </si>
  <si>
    <t>TG5003</t>
  </si>
  <si>
    <t>TG5009</t>
  </si>
  <si>
    <t>TG5004</t>
  </si>
  <si>
    <t>TG5010</t>
  </si>
  <si>
    <t>TG5005</t>
  </si>
  <si>
    <t>TG5011</t>
  </si>
  <si>
    <t xml:space="preserve">PRE-SPLICED </t>
  </si>
  <si>
    <t>WTG300</t>
  </si>
  <si>
    <t>WTG306</t>
  </si>
  <si>
    <t>WTG301</t>
  </si>
  <si>
    <t>WTG307</t>
  </si>
  <si>
    <t>WTG302</t>
  </si>
  <si>
    <t>WTG308</t>
  </si>
  <si>
    <t>WTG303</t>
  </si>
  <si>
    <t>WTG309</t>
  </si>
  <si>
    <t>WTG304</t>
  </si>
  <si>
    <t>WTG310</t>
  </si>
  <si>
    <t>WTG305</t>
  </si>
  <si>
    <t>WTG311</t>
  </si>
  <si>
    <t>MARINA GRANDE</t>
  </si>
  <si>
    <t>TG3026</t>
  </si>
  <si>
    <t>TG3028</t>
  </si>
  <si>
    <t>TG3030</t>
  </si>
  <si>
    <t>TG3024</t>
  </si>
  <si>
    <t>TG3045</t>
  </si>
  <si>
    <t>TG3027</t>
  </si>
  <si>
    <t>TG3029</t>
  </si>
  <si>
    <t>TG3031</t>
  </si>
  <si>
    <t>TG3025</t>
  </si>
  <si>
    <t>TG3046</t>
  </si>
  <si>
    <t>TG3034</t>
  </si>
  <si>
    <t>TG3036</t>
  </si>
  <si>
    <t>TG3038</t>
  </si>
  <si>
    <t>TG3032</t>
  </si>
  <si>
    <t>TG3047</t>
  </si>
  <si>
    <t>TG3035</t>
  </si>
  <si>
    <t>TG3037</t>
  </si>
  <si>
    <t>TG3039</t>
  </si>
  <si>
    <t>TG3033</t>
  </si>
  <si>
    <t>TG3078</t>
  </si>
  <si>
    <t>3 STRAND PRE-STRETCHED</t>
  </si>
  <si>
    <t>THE DEFINITIVE ROPE GUIDE Page 45</t>
  </si>
  <si>
    <t>AC0006</t>
  </si>
  <si>
    <t>AC0007</t>
  </si>
  <si>
    <t>AC0017</t>
  </si>
  <si>
    <t>AC0018</t>
  </si>
  <si>
    <t>AC0030</t>
  </si>
  <si>
    <t>AC0031</t>
  </si>
  <si>
    <t>AC0039</t>
  </si>
  <si>
    <t>AC0040</t>
  </si>
  <si>
    <t>AC0062</t>
  </si>
  <si>
    <t>AC0063</t>
  </si>
  <si>
    <t>3 STRAND PRE-STRETCHED (Continued)</t>
  </si>
  <si>
    <t>AC0089</t>
  </si>
  <si>
    <t>AC0090</t>
  </si>
  <si>
    <t>3 STRAND POLYESTER</t>
  </si>
  <si>
    <t>AB0006</t>
  </si>
  <si>
    <t>AB0007</t>
  </si>
  <si>
    <t>AB0024</t>
  </si>
  <si>
    <t>AB0025</t>
  </si>
  <si>
    <t>AB0033</t>
  </si>
  <si>
    <t>AB0034</t>
  </si>
  <si>
    <t>AB0042</t>
  </si>
  <si>
    <t>AB0043</t>
  </si>
  <si>
    <t>AB0051</t>
  </si>
  <si>
    <t>AB0052</t>
  </si>
  <si>
    <t>AB0060</t>
  </si>
  <si>
    <t>AB0061</t>
  </si>
  <si>
    <t>AB0069</t>
  </si>
  <si>
    <t>AB0070</t>
  </si>
  <si>
    <t>AB0078</t>
  </si>
  <si>
    <t>AB0079</t>
  </si>
  <si>
    <t>AB0087</t>
  </si>
  <si>
    <t>AB0088</t>
  </si>
  <si>
    <t>AB0096</t>
  </si>
  <si>
    <t>AB0097</t>
  </si>
  <si>
    <t>AB0105</t>
  </si>
  <si>
    <t>AB0106</t>
  </si>
  <si>
    <t>AB0114</t>
  </si>
  <si>
    <t>AB0115</t>
  </si>
  <si>
    <t>AA0033</t>
  </si>
  <si>
    <t>AA0042</t>
  </si>
  <si>
    <t>AA0034</t>
  </si>
  <si>
    <t>AA0043</t>
  </si>
  <si>
    <t>AA0087</t>
  </si>
  <si>
    <t>AA0096</t>
  </si>
  <si>
    <t>AA0088</t>
  </si>
  <si>
    <t>AA0097</t>
  </si>
  <si>
    <t>AA0141</t>
  </si>
  <si>
    <t>AA0150</t>
  </si>
  <si>
    <t>AA0142</t>
  </si>
  <si>
    <t>AA0151</t>
  </si>
  <si>
    <t>(continued)</t>
  </si>
  <si>
    <t>AA0168</t>
  </si>
  <si>
    <t>AA0177</t>
  </si>
  <si>
    <t>AA0169</t>
  </si>
  <si>
    <t>AA0178</t>
  </si>
  <si>
    <t>AA0195</t>
  </si>
  <si>
    <t>AA0204</t>
  </si>
  <si>
    <t>AA0196</t>
  </si>
  <si>
    <t>AA0205</t>
  </si>
  <si>
    <t>AA0222</t>
  </si>
  <si>
    <t>AA0231</t>
  </si>
  <si>
    <t>AA0223</t>
  </si>
  <si>
    <t>AA0232</t>
  </si>
  <si>
    <t>AA0378</t>
  </si>
  <si>
    <t>AA0308</t>
  </si>
  <si>
    <t>AA0373</t>
  </si>
  <si>
    <t>AA0309</t>
  </si>
  <si>
    <t>AA0376</t>
  </si>
  <si>
    <t>AA0300</t>
  </si>
  <si>
    <t>AA0380</t>
  </si>
  <si>
    <t>AA0301</t>
  </si>
  <si>
    <t>AA0377</t>
  </si>
  <si>
    <t>AA0302</t>
  </si>
  <si>
    <t>AA0381</t>
  </si>
  <si>
    <t>AA0303</t>
  </si>
  <si>
    <t>AA0383</t>
  </si>
  <si>
    <t>AA0337</t>
  </si>
  <si>
    <t>AA0384</t>
  </si>
  <si>
    <t>AA0382</t>
  </si>
  <si>
    <t>AA0386</t>
  </si>
  <si>
    <t>AA0366</t>
  </si>
  <si>
    <t>3 STRAND NYLON</t>
  </si>
  <si>
    <t>CC0023</t>
  </si>
  <si>
    <t>CC0024</t>
  </si>
  <si>
    <t>CC0043</t>
  </si>
  <si>
    <t>CC0046</t>
  </si>
  <si>
    <t>CC0054</t>
  </si>
  <si>
    <t>CC0055</t>
  </si>
  <si>
    <t>CC0064</t>
  </si>
  <si>
    <t>CC0065</t>
  </si>
  <si>
    <t>CC0075</t>
  </si>
  <si>
    <t>CC0076</t>
  </si>
  <si>
    <t>CC0084</t>
  </si>
  <si>
    <t>CC0086</t>
  </si>
  <si>
    <t>HARDY HEMP</t>
  </si>
  <si>
    <t>BEIGE</t>
  </si>
  <si>
    <t>BY0006</t>
  </si>
  <si>
    <t>BY0007</t>
  </si>
  <si>
    <t>BY0015</t>
  </si>
  <si>
    <t>BY0016</t>
  </si>
  <si>
    <t>BY0024</t>
  </si>
  <si>
    <t>BY0025</t>
  </si>
  <si>
    <t>BY0033</t>
  </si>
  <si>
    <t>BY0034</t>
  </si>
  <si>
    <t>HARDY HEMP (Continued)</t>
  </si>
  <si>
    <t>BY0051</t>
  </si>
  <si>
    <t>BY0052</t>
  </si>
  <si>
    <t>BY0060</t>
  </si>
  <si>
    <t>BY0061</t>
  </si>
  <si>
    <t>BY0069</t>
  </si>
  <si>
    <t>BY0070</t>
  </si>
  <si>
    <t>BY0087</t>
  </si>
  <si>
    <t>BY0088</t>
  </si>
  <si>
    <t>MULTIPLAIT NYLON</t>
  </si>
  <si>
    <t>GC0024</t>
  </si>
  <si>
    <t>GC0025</t>
  </si>
  <si>
    <t>GC0033</t>
  </si>
  <si>
    <t>GC0034</t>
  </si>
  <si>
    <t>GC0042</t>
  </si>
  <si>
    <t>GC0043</t>
  </si>
  <si>
    <t>GC0051</t>
  </si>
  <si>
    <t>GC0052</t>
  </si>
  <si>
    <t>GC0060</t>
  </si>
  <si>
    <t>GC0061</t>
  </si>
  <si>
    <t>GC0069</t>
  </si>
  <si>
    <t>GC0070</t>
  </si>
  <si>
    <t>GC0078</t>
  </si>
  <si>
    <t>GC0079</t>
  </si>
  <si>
    <t>GC0087</t>
  </si>
  <si>
    <t>GC0088</t>
  </si>
  <si>
    <t>MULTIPLAIT NYLON NAVY</t>
  </si>
  <si>
    <t>GC0146</t>
  </si>
  <si>
    <t>GC0147</t>
  </si>
  <si>
    <t>GC0167</t>
  </si>
  <si>
    <t>GC0168</t>
  </si>
  <si>
    <t>GC0148</t>
  </si>
  <si>
    <t>GC0149</t>
  </si>
  <si>
    <t>GC0175</t>
  </si>
  <si>
    <t>GC0176</t>
  </si>
  <si>
    <t>GC0193</t>
  </si>
  <si>
    <t>GC0194</t>
  </si>
  <si>
    <t>GC0180</t>
  </si>
  <si>
    <t>GC0195</t>
  </si>
  <si>
    <t>GC0196</t>
  </si>
  <si>
    <t>GC0197</t>
  </si>
  <si>
    <t>GC0198</t>
  </si>
  <si>
    <t>GC0199</t>
  </si>
  <si>
    <t>3 STRAND NELSON</t>
  </si>
  <si>
    <t>BA0001</t>
  </si>
  <si>
    <t>BA0002</t>
  </si>
  <si>
    <t>BA0005</t>
  </si>
  <si>
    <t>BA0006</t>
  </si>
  <si>
    <t>BA0009</t>
  </si>
  <si>
    <t>BA0010</t>
  </si>
  <si>
    <t>BA0013</t>
  </si>
  <si>
    <t>BA0014</t>
  </si>
  <si>
    <t>BA0017</t>
  </si>
  <si>
    <t>BA0018</t>
  </si>
  <si>
    <t>BA0021</t>
  </si>
  <si>
    <t>BA0022</t>
  </si>
  <si>
    <t>BA0025</t>
  </si>
  <si>
    <t>BA0026</t>
  </si>
  <si>
    <t>BA0029</t>
  </si>
  <si>
    <t>BA0030</t>
  </si>
  <si>
    <t>BA0037</t>
  </si>
  <si>
    <t>BA0038</t>
  </si>
  <si>
    <t>BA0041</t>
  </si>
  <si>
    <t>BA0042</t>
  </si>
  <si>
    <t>BA0045</t>
  </si>
  <si>
    <t>BA0046</t>
  </si>
  <si>
    <t>WHIPPING TWINE</t>
  </si>
  <si>
    <t>THE DEFINITIVE ROPE GUIDE Page 47</t>
  </si>
  <si>
    <t>RETAIL CARTONS</t>
  </si>
  <si>
    <t>SIZE</t>
  </si>
  <si>
    <t>NO. OF SPOOLS</t>
  </si>
  <si>
    <t>No. 2</t>
  </si>
  <si>
    <t>TAE000</t>
  </si>
  <si>
    <t>No. 4</t>
  </si>
  <si>
    <t>TAE001</t>
  </si>
  <si>
    <t>No. 8</t>
  </si>
  <si>
    <t>TAE005</t>
  </si>
  <si>
    <t>TAE002</t>
  </si>
  <si>
    <t>TAE003</t>
  </si>
  <si>
    <t>TAE004</t>
  </si>
  <si>
    <t>TAE015</t>
  </si>
  <si>
    <t>TAE016</t>
  </si>
  <si>
    <t>TAE035</t>
  </si>
  <si>
    <t>TAE014</t>
  </si>
  <si>
    <t>KILO COPS</t>
  </si>
  <si>
    <t>WEIGHT(kg)</t>
  </si>
  <si>
    <t>TAE007</t>
  </si>
  <si>
    <t>TAE008</t>
  </si>
  <si>
    <t>TAE012</t>
  </si>
  <si>
    <t>TAE009</t>
  </si>
  <si>
    <t>TAE010</t>
  </si>
  <si>
    <t>TAE011</t>
  </si>
  <si>
    <t>TAE017</t>
  </si>
  <si>
    <t>TAE018</t>
  </si>
  <si>
    <t>TAE033</t>
  </si>
  <si>
    <t>SHOCKCORD</t>
  </si>
  <si>
    <t>THE DEFINITIVE ROPE GUIDE Page 48</t>
  </si>
  <si>
    <t>LF0104</t>
  </si>
  <si>
    <t>LF0101</t>
  </si>
  <si>
    <t>LF0136</t>
  </si>
  <si>
    <t>LF0100</t>
  </si>
  <si>
    <t>LF0102</t>
  </si>
  <si>
    <t>LF0141</t>
  </si>
  <si>
    <t>LF0138</t>
  </si>
  <si>
    <t>LF0142</t>
  </si>
  <si>
    <t>LF0137</t>
  </si>
  <si>
    <t>LF0139</t>
  </si>
  <si>
    <t>LF0112</t>
  </si>
  <si>
    <t>LF0107</t>
  </si>
  <si>
    <t>LF0108</t>
  </si>
  <si>
    <t>LF0106</t>
  </si>
  <si>
    <t>LF0110</t>
  </si>
  <si>
    <t>LF0146</t>
  </si>
  <si>
    <t>LF0143</t>
  </si>
  <si>
    <t>LF0147</t>
  </si>
  <si>
    <t>LF0114</t>
  </si>
  <si>
    <t>LF0144</t>
  </si>
  <si>
    <t>LF0115</t>
  </si>
  <si>
    <t>LF0155</t>
  </si>
  <si>
    <t>LF0148</t>
  </si>
  <si>
    <t>LF0121</t>
  </si>
  <si>
    <t>LF0127</t>
  </si>
  <si>
    <t xml:space="preserve"> SHOCKCORD with DYNEEMA®</t>
  </si>
  <si>
    <t>LF0189</t>
  </si>
  <si>
    <t>#(523): Invalid Stock Code</t>
  </si>
  <si>
    <t>LF0184</t>
  </si>
  <si>
    <t>LF0185</t>
  </si>
  <si>
    <t>LF0186</t>
  </si>
  <si>
    <t>LF0187</t>
  </si>
  <si>
    <t>LF0188</t>
  </si>
  <si>
    <t>8 PLAIT STANDARD</t>
  </si>
  <si>
    <t>JA0018</t>
  </si>
  <si>
    <t>JA0019</t>
  </si>
  <si>
    <t>JA0039</t>
  </si>
  <si>
    <t>JA0040</t>
  </si>
  <si>
    <t>JA0051</t>
  </si>
  <si>
    <t>JA0052</t>
  </si>
  <si>
    <t>JA0100</t>
  </si>
  <si>
    <t>JA0097</t>
  </si>
  <si>
    <t>JA0225</t>
  </si>
  <si>
    <t>JA0099</t>
  </si>
  <si>
    <t>JA0069</t>
  </si>
  <si>
    <t>JA0070</t>
  </si>
  <si>
    <t>JA0071</t>
  </si>
  <si>
    <t>JA0027</t>
  </si>
  <si>
    <t>JA0028</t>
  </si>
  <si>
    <t>JA0214</t>
  </si>
  <si>
    <t>JA0077</t>
  </si>
  <si>
    <t>JA0209</t>
  </si>
  <si>
    <t>JA0078</t>
  </si>
  <si>
    <t>JA0208</t>
  </si>
  <si>
    <t>JA0060</t>
  </si>
  <si>
    <t>JA0223</t>
  </si>
  <si>
    <t>JA0061</t>
  </si>
  <si>
    <t>JA0188</t>
  </si>
  <si>
    <t>JA0169</t>
  </si>
  <si>
    <t>JA0170</t>
  </si>
  <si>
    <t>JA0171</t>
  </si>
  <si>
    <t>MARSTRON</t>
  </si>
  <si>
    <t>JF0078</t>
  </si>
  <si>
    <t>JF0062</t>
  </si>
  <si>
    <t>JF0079</t>
  </si>
  <si>
    <t>JF0063</t>
  </si>
  <si>
    <t>JF0118</t>
  </si>
  <si>
    <t>JF0102</t>
  </si>
  <si>
    <t>JF0119</t>
  </si>
  <si>
    <t>JF0103</t>
  </si>
  <si>
    <t>JF0198</t>
  </si>
  <si>
    <t>JF0182</t>
  </si>
  <si>
    <t>JF0199</t>
  </si>
  <si>
    <t>JF0183</t>
  </si>
  <si>
    <t>WEBBING</t>
  </si>
  <si>
    <t>TOESTRAP WEBBING</t>
  </si>
  <si>
    <t>THE DEFINITIVE ROPE GUIDE Page48</t>
  </si>
  <si>
    <t>BBA002</t>
  </si>
  <si>
    <t>BBA000</t>
  </si>
  <si>
    <t>BBA001</t>
  </si>
  <si>
    <t>JACKSTAY WEBBING</t>
  </si>
  <si>
    <t>BBB000</t>
  </si>
  <si>
    <t>BUOYANCY BAG WEBBING</t>
  </si>
  <si>
    <t>BBC001</t>
  </si>
  <si>
    <t>CHAFE PROTECT WEBBING</t>
  </si>
  <si>
    <t>BBD000</t>
  </si>
  <si>
    <t>TFH CHAFEGUARD</t>
  </si>
  <si>
    <t>BCH002</t>
  </si>
  <si>
    <t>BCH003</t>
  </si>
  <si>
    <t>BCH005</t>
  </si>
  <si>
    <t>SOFT SHACKLES</t>
  </si>
  <si>
    <t>2 SHACKLES PER PACK (ORDER IN PACKS OF 10)</t>
  </si>
  <si>
    <t>PACK QTY.</t>
  </si>
  <si>
    <t>BREAKLOAD</t>
  </si>
  <si>
    <t>LENGTH (EYE TO KNOT)</t>
  </si>
  <si>
    <t>PRICE  (Pack )</t>
  </si>
  <si>
    <t>SRP / EACH</t>
  </si>
  <si>
    <t>WSS200</t>
  </si>
  <si>
    <t>WSS201</t>
  </si>
  <si>
    <t>WSS202</t>
  </si>
  <si>
    <t>WSS203</t>
  </si>
  <si>
    <t>WSS204</t>
  </si>
  <si>
    <t>WSS205</t>
  </si>
  <si>
    <t xml:space="preserve">ARMOURCOAT </t>
  </si>
  <si>
    <t>THE DEFINITIVE ROPE GUIDE Page 50</t>
  </si>
  <si>
    <t>BOTTLE SIZE</t>
  </si>
  <si>
    <t>1 litre</t>
  </si>
  <si>
    <t>PAA100</t>
  </si>
  <si>
    <t>PAA101</t>
  </si>
  <si>
    <t>PAA102</t>
  </si>
  <si>
    <t>PAA103</t>
  </si>
  <si>
    <t>PAA104</t>
  </si>
  <si>
    <t>PAA105</t>
  </si>
  <si>
    <t>ACCESSORIES</t>
  </si>
  <si>
    <t>DESCRIPTION</t>
  </si>
  <si>
    <t>PART NO.</t>
  </si>
  <si>
    <t>SPLICING KIT</t>
  </si>
  <si>
    <t>FAF000</t>
  </si>
  <si>
    <t>D/BRAID SPLICING KIT</t>
  </si>
  <si>
    <t>FAF003</t>
  </si>
  <si>
    <t>YACHTSMANS SPLICING ROLL</t>
  </si>
  <si>
    <t>FAF009</t>
  </si>
  <si>
    <t>SPLICING TOOL ROLL (EMPTY)</t>
  </si>
  <si>
    <t>FAA049</t>
  </si>
  <si>
    <t>MARLINE 302 1X250g SPOOL</t>
  </si>
  <si>
    <t>EAV000</t>
  </si>
  <si>
    <t>MARLINE 304 1X250g SPOOL</t>
  </si>
  <si>
    <t>EAV001</t>
  </si>
  <si>
    <t>HOT KNIFE WITH BOX &amp; BLADE</t>
  </si>
  <si>
    <t>FAA021</t>
  </si>
  <si>
    <t>HOT KNIFE BLADES</t>
  </si>
  <si>
    <t>FAA005</t>
  </si>
  <si>
    <t>CORDLESS HOTKNIFE UK</t>
  </si>
  <si>
    <t>FAA131</t>
  </si>
  <si>
    <t>CORDLESS HOTKNIFE EUR</t>
  </si>
  <si>
    <t>FAA132</t>
  </si>
  <si>
    <t>CORDLESS HOTKNIFE US</t>
  </si>
  <si>
    <t>FAA133</t>
  </si>
  <si>
    <t>GUARD RAIL NETTING 100mR</t>
  </si>
  <si>
    <t>FAA009</t>
  </si>
  <si>
    <t>SPLICING GUIDE</t>
  </si>
  <si>
    <t>FAB019</t>
  </si>
  <si>
    <t>DEFINITIVE ROPE GUIDE</t>
  </si>
  <si>
    <t>FAV058</t>
  </si>
  <si>
    <t>POCKET ROPE GUIDE</t>
  </si>
  <si>
    <t>ACCESSORIES - RETAIL CARDED</t>
  </si>
  <si>
    <t>THE DEFINITIVE ROPE GUIDE Page 49</t>
  </si>
  <si>
    <t>RIGGERS SWEDISH FID SMALL</t>
  </si>
  <si>
    <t>FAB107</t>
  </si>
  <si>
    <t>RIGGERS SWEDISH FID LARGE</t>
  </si>
  <si>
    <t>FAB108</t>
  </si>
  <si>
    <t>DBRAID SPLICING NEEDLE 4mm</t>
  </si>
  <si>
    <t>FAB100</t>
  </si>
  <si>
    <t>DBRAID SPLICING NEEDLE 5.5mm</t>
  </si>
  <si>
    <t>FAB101</t>
  </si>
  <si>
    <t>DBRAID SPLICING NEEDLE 7.5mm</t>
  </si>
  <si>
    <t>FAB102</t>
  </si>
  <si>
    <t>DBRAID SPLICING NEEDLE 10mm</t>
  </si>
  <si>
    <t>FAB103</t>
  </si>
  <si>
    <t>RIGGERS SPLICING NEEDLE SML</t>
  </si>
  <si>
    <t>FAB105</t>
  </si>
  <si>
    <t>RIGGERS SPLICING NEEDLE LRG</t>
  </si>
  <si>
    <t>FAB106</t>
  </si>
  <si>
    <t>WIRE SPLICING NEEDLE SMALL</t>
  </si>
  <si>
    <t>FAB109</t>
  </si>
  <si>
    <t>SAILMAKERS PALM No.2</t>
  </si>
  <si>
    <t>FAB110</t>
  </si>
  <si>
    <t>NEEDLES MIXED PACK</t>
  </si>
  <si>
    <t>FAB111</t>
  </si>
  <si>
    <t>MARLOW TAPE</t>
  </si>
  <si>
    <t>FAB112</t>
  </si>
  <si>
    <t>SCISSORS EXTRA POWER TEFLON</t>
  </si>
  <si>
    <t>FAB113</t>
  </si>
  <si>
    <t>KITE LINE SPLICING NEEDLE</t>
  </si>
  <si>
    <t>FAB114</t>
  </si>
  <si>
    <t xml:space="preserve">STATIC LSK </t>
  </si>
  <si>
    <t>MAST CLIMBING</t>
  </si>
  <si>
    <t>WHITE with:-</t>
  </si>
  <si>
    <t>BLACK FLECK</t>
  </si>
  <si>
    <t>RED FLECK</t>
  </si>
  <si>
    <t>KC4117</t>
  </si>
  <si>
    <t>KC4170</t>
  </si>
  <si>
    <t>KC4002</t>
  </si>
  <si>
    <t>KC4168</t>
  </si>
  <si>
    <t>KC4003</t>
  </si>
  <si>
    <t>KC4023</t>
  </si>
  <si>
    <t>10.5mm &amp; 12mm Diameters also avaialble</t>
  </si>
  <si>
    <t>C.A.M.P. CLIMBING HARDWARE</t>
  </si>
  <si>
    <t>THE DEFINITIVE ROPE GUIDE Page 51</t>
  </si>
  <si>
    <t>ACCCESS SIT HARNESS</t>
  </si>
  <si>
    <t>GP-196201</t>
  </si>
  <si>
    <t>P.O.A</t>
  </si>
  <si>
    <t>ACCESS CHEST ATTACHMENT</t>
  </si>
  <si>
    <t>GP-1962.02</t>
  </si>
  <si>
    <t>ACCESSS SWING ATTACHMENT</t>
  </si>
  <si>
    <t>GP-1963</t>
  </si>
  <si>
    <t>DRUID BACK-UP</t>
  </si>
  <si>
    <t>GP-2232</t>
  </si>
  <si>
    <t>PILOT HAND ASSENDER R</t>
  </si>
  <si>
    <t>GP-0547</t>
  </si>
  <si>
    <t>PILOT HAND ASSENDER L</t>
  </si>
  <si>
    <t>GP-054701</t>
  </si>
  <si>
    <t>TURBO LOOP FOOT LOOP</t>
  </si>
  <si>
    <t>GP-0726</t>
  </si>
  <si>
    <t>GOBLIN BACKUP</t>
  </si>
  <si>
    <t>GP-0999</t>
  </si>
  <si>
    <t>GOBLIN LANYARD 40CM</t>
  </si>
  <si>
    <t>GP-2030040F</t>
  </si>
  <si>
    <t>HMS 3-LOCK KARABINER</t>
  </si>
  <si>
    <t>25kN</t>
  </si>
  <si>
    <t>GP-1184.03</t>
  </si>
  <si>
    <t>GUIDE 3-LOCK KARABINER</t>
  </si>
  <si>
    <t>32kN</t>
  </si>
  <si>
    <t>GP-1381.03</t>
  </si>
  <si>
    <t>OVAL 3 LOCK KARABINER</t>
  </si>
  <si>
    <t>28kN</t>
  </si>
  <si>
    <t>GP-1187.01</t>
  </si>
  <si>
    <t>ARMOUR WORK HELMET</t>
  </si>
  <si>
    <t>GP-0670.00</t>
  </si>
  <si>
    <t>Part Number</t>
  </si>
  <si>
    <t>Description</t>
  </si>
  <si>
    <t>Weight</t>
  </si>
  <si>
    <t>Price 2020</t>
  </si>
  <si>
    <t>Per Meter</t>
  </si>
  <si>
    <t>SRP 2020</t>
  </si>
  <si>
    <t>Barcode</t>
  </si>
  <si>
    <t>Average Break Load</t>
  </si>
  <si>
    <t>Kg/100</t>
  </si>
  <si>
    <t>ABL / MBL</t>
  </si>
  <si>
    <t>D2 GRAND PRIX 78 8mm BLK/BLU 200mR</t>
  </si>
  <si>
    <t xml:space="preserve">5012568258491       </t>
  </si>
  <si>
    <t>QA26-430</t>
  </si>
  <si>
    <t>D2 GRAND PRIX 78 8mm BLK/GRY 200mR</t>
  </si>
  <si>
    <t xml:space="preserve">5012568258514       </t>
  </si>
  <si>
    <t>D2 GRAND PRIX 78 8mm BLK/LIM 200mR</t>
  </si>
  <si>
    <t xml:space="preserve">5012568258507       </t>
  </si>
  <si>
    <t>D2 GRAND PRIX 78 8mm BLK/RED 200mR</t>
  </si>
  <si>
    <t xml:space="preserve">5012568265284       </t>
  </si>
  <si>
    <t>D2 GRAND PRIX 78 10mm BLK/BLU 200mR</t>
  </si>
  <si>
    <t xml:space="preserve">5012568258521       </t>
  </si>
  <si>
    <t>D2 GRAND PRIX 78 10mm BLK/GRY 200mR</t>
  </si>
  <si>
    <t xml:space="preserve">5012568258545       </t>
  </si>
  <si>
    <t>D2 GRAND PRIX 78 10mm BLK/LIM 200mR</t>
  </si>
  <si>
    <t xml:space="preserve">5012568258538       </t>
  </si>
  <si>
    <t>D2 GRAND PRIX 78 10mm BLK/RED 200mR</t>
  </si>
  <si>
    <t xml:space="preserve">5012568265338       </t>
  </si>
  <si>
    <t>D2 GRAND PRIX 78 12mm BLK/BLU 200mR</t>
  </si>
  <si>
    <t xml:space="preserve">5012568258552       </t>
  </si>
  <si>
    <t>D2 GRAND PRIX 78 12mm BLK/GRY 200mR</t>
  </si>
  <si>
    <t xml:space="preserve">5012568258576       </t>
  </si>
  <si>
    <t>D2 GRAND PRIX 78 12mm BLK/LIM 200mR</t>
  </si>
  <si>
    <t xml:space="preserve">5012568258569       </t>
  </si>
  <si>
    <t>D2 GRAND PRIX 78 12mm BLK/RED 200mR</t>
  </si>
  <si>
    <t xml:space="preserve">5012568273999       </t>
  </si>
  <si>
    <t>D2 RACING 78 8mm BLUE CMC 100mR</t>
  </si>
  <si>
    <t xml:space="preserve">5012568279342       </t>
  </si>
  <si>
    <t>D2 RACING 78 8mm BLUE CMC 200mR</t>
  </si>
  <si>
    <t xml:space="preserve">5012568279106       </t>
  </si>
  <si>
    <t>D2 RACING 78 8mm GREEN CMC 100mR</t>
  </si>
  <si>
    <t xml:space="preserve">5012568279397       </t>
  </si>
  <si>
    <t>D2 RACING 78 8mm GREEN CMC 200mR</t>
  </si>
  <si>
    <t xml:space="preserve">5012568279311       </t>
  </si>
  <si>
    <t>D2 RACING 78 8mm RED CMC 100mR</t>
  </si>
  <si>
    <t xml:space="preserve">5012568279359       </t>
  </si>
  <si>
    <t>D2 RACING 78 8mm RED CMC 200mR</t>
  </si>
  <si>
    <t xml:space="preserve">5012568279113       </t>
  </si>
  <si>
    <t>DR0126</t>
  </si>
  <si>
    <t>D2 RACING 78 8mm SOLID BLACK 100mR</t>
  </si>
  <si>
    <t xml:space="preserve">5012568248843       </t>
  </si>
  <si>
    <t>DR0128</t>
  </si>
  <si>
    <t>D2 RACING 78 8mm SOLID BLACK 200mR</t>
  </si>
  <si>
    <t xml:space="preserve">5012568248867       </t>
  </si>
  <si>
    <t>DR0178</t>
  </si>
  <si>
    <t>D2 RACING 78 8mm SOLID GREY 100mR</t>
  </si>
  <si>
    <t xml:space="preserve">5012568370650       </t>
  </si>
  <si>
    <t>DR0144</t>
  </si>
  <si>
    <t>D2 RACING 78 8mm SOLID GREY 200mR</t>
  </si>
  <si>
    <t>DR0010</t>
  </si>
  <si>
    <t>D2 RACING 78 8mm SOLID WHITE 100mR</t>
  </si>
  <si>
    <t xml:space="preserve">5012568245620       </t>
  </si>
  <si>
    <t>DR0011</t>
  </si>
  <si>
    <t>D2 RACING 78 8mm SOLID WHITE 200mR</t>
  </si>
  <si>
    <t xml:space="preserve">5012568245637       </t>
  </si>
  <si>
    <t>D2 RACING 8mm BLACK/GREY 100mR</t>
  </si>
  <si>
    <t xml:space="preserve">5012568380499       </t>
  </si>
  <si>
    <t>D2 RACING 8mm BLACK/GREY 200mR</t>
  </si>
  <si>
    <t xml:space="preserve">5012568380505       </t>
  </si>
  <si>
    <t>D2 RACING 8mm RED/GREY 100mR</t>
  </si>
  <si>
    <t xml:space="preserve">5012568380512       </t>
  </si>
  <si>
    <t>D2 RACING 8mm RED/GREY 200mR</t>
  </si>
  <si>
    <t xml:space="preserve">5012568380529       </t>
  </si>
  <si>
    <t>D2 RACING 8mm BLUE/GREY 100mR</t>
  </si>
  <si>
    <t xml:space="preserve">5012568380536       </t>
  </si>
  <si>
    <t>D2 RACING 8mm BLUE/GREY 200mR</t>
  </si>
  <si>
    <t xml:space="preserve">5012568380543       </t>
  </si>
  <si>
    <t>D2 RACING 8mm LIME/GREY 100mR</t>
  </si>
  <si>
    <t xml:space="preserve">5012568380550       </t>
  </si>
  <si>
    <t>D2 RACING 8mm LIME/GREY 200mR</t>
  </si>
  <si>
    <t xml:space="preserve">5012568380567       </t>
  </si>
  <si>
    <t>D2 RACING 8mm ORANGE/GREY 100mR</t>
  </si>
  <si>
    <t xml:space="preserve">5012568380574       </t>
  </si>
  <si>
    <t>D2 RACING 8mm ORANGE/GREY 200mR</t>
  </si>
  <si>
    <t xml:space="preserve">5012568380581       </t>
  </si>
  <si>
    <t>D2 RACING 8mm GREEN/GREY 100mR</t>
  </si>
  <si>
    <t xml:space="preserve">5012568380598       </t>
  </si>
  <si>
    <t>D2 RACING 8mm GREEN/GREY 200mR</t>
  </si>
  <si>
    <t xml:space="preserve">5012568380604       </t>
  </si>
  <si>
    <t>D2 RACING 78 10mm BLUE CMC 100mR</t>
  </si>
  <si>
    <t xml:space="preserve">5012568279403       </t>
  </si>
  <si>
    <t>D2 RACING 78 10mm BLUE CMC 200mR</t>
  </si>
  <si>
    <t xml:space="preserve">5012568279144       </t>
  </si>
  <si>
    <t>D2 RACING 78 10mm GREEN CMC 100mR</t>
  </si>
  <si>
    <t xml:space="preserve">5012568279458       </t>
  </si>
  <si>
    <t>D2 RACING 78 10mm GREEN CMC 200mR</t>
  </si>
  <si>
    <t xml:space="preserve">5012568279335       </t>
  </si>
  <si>
    <t>D2 RACING 78 10mm RED CMC 100mR</t>
  </si>
  <si>
    <t xml:space="preserve">5012568279410       </t>
  </si>
  <si>
    <t>D2 RACING 78 10mm RED CMC 200mR</t>
  </si>
  <si>
    <t xml:space="preserve">5012568279151       </t>
  </si>
  <si>
    <t>DR0163</t>
  </si>
  <si>
    <t>D2 RACING 78 10mm SOLID BLACK 100mR</t>
  </si>
  <si>
    <t xml:space="preserve">5012568295915       </t>
  </si>
  <si>
    <t>DR0138</t>
  </si>
  <si>
    <t>D2 RACING 78 10mm SOLID BLACK 200mR</t>
  </si>
  <si>
    <t xml:space="preserve">5012568254561       </t>
  </si>
  <si>
    <t>DR0145</t>
  </si>
  <si>
    <t>D2 RACING 78 10mm SOLID GREY 200mR</t>
  </si>
  <si>
    <t xml:space="preserve">5012568265482       </t>
  </si>
  <si>
    <t>DR0179</t>
  </si>
  <si>
    <t>D2 RACING 78 10mm SOLID GREY 100mR</t>
  </si>
  <si>
    <t xml:space="preserve">5012568370667       </t>
  </si>
  <si>
    <t>DR0024</t>
  </si>
  <si>
    <t>D2 RACING 78 10mm SOLID WHITE 100mR</t>
  </si>
  <si>
    <t xml:space="preserve">5012568245767       </t>
  </si>
  <si>
    <t>DR0025</t>
  </si>
  <si>
    <t>D2 RACING 78 10mm SOLID WHITE 200mR</t>
  </si>
  <si>
    <t xml:space="preserve">5012568245774       </t>
  </si>
  <si>
    <t>D2 RACING 10mm BLACK/GREY 100mR</t>
  </si>
  <si>
    <t xml:space="preserve">5012568380611       </t>
  </si>
  <si>
    <t>D2 RACING 10mm BLACK/GREY 200mR</t>
  </si>
  <si>
    <t xml:space="preserve">5012568380628       </t>
  </si>
  <si>
    <t>D2 RACING 10mm RED/GREY 100mR</t>
  </si>
  <si>
    <t xml:space="preserve">5012568380635       </t>
  </si>
  <si>
    <t>D2 RACING 10mm RED/GREY 200mR</t>
  </si>
  <si>
    <t xml:space="preserve">5012568380642       </t>
  </si>
  <si>
    <t>D2 RACING 10mm BLUE/GREY 100mR</t>
  </si>
  <si>
    <t xml:space="preserve">5012568380659       </t>
  </si>
  <si>
    <t>D2 RACING 10mm BLUE/GREY 200mR</t>
  </si>
  <si>
    <t xml:space="preserve">5012568380666       </t>
  </si>
  <si>
    <t>D2 RACING 10mm LIME/GREY 100mR</t>
  </si>
  <si>
    <t xml:space="preserve">5012568380673       </t>
  </si>
  <si>
    <t>D2 RACING 10mm LIME/GREY 200mR</t>
  </si>
  <si>
    <t xml:space="preserve">5012568380680       </t>
  </si>
  <si>
    <t>D2 RACING 10mm ORANGE/GREY 100mR</t>
  </si>
  <si>
    <t xml:space="preserve">5012568380697       </t>
  </si>
  <si>
    <t>D2 RACING 10mm ORANGE/GREY 200mR</t>
  </si>
  <si>
    <t xml:space="preserve">5012568380703       </t>
  </si>
  <si>
    <t>D2 RACING 10mm GREEN/GREY 100mR</t>
  </si>
  <si>
    <t xml:space="preserve">5012568380710       </t>
  </si>
  <si>
    <t>D2 RACING 10mm GREEN/GREY 200mR</t>
  </si>
  <si>
    <t xml:space="preserve">5012568380727       </t>
  </si>
  <si>
    <t>D2 RACING 78 12mm BLUE CMC 100mR</t>
  </si>
  <si>
    <t xml:space="preserve">5012568279465       </t>
  </si>
  <si>
    <t>D2 RACING 78 12mm BLUE CMC 200mR</t>
  </si>
  <si>
    <t xml:space="preserve">5012568279182       </t>
  </si>
  <si>
    <t>D2 RACING 78 12mm GREEN CMC 100mR</t>
  </si>
  <si>
    <t xml:space="preserve">5012568279519       </t>
  </si>
  <si>
    <t>D2 RACING 78 12mm GREEN CMC 200mR</t>
  </si>
  <si>
    <t xml:space="preserve">5012568279236       </t>
  </si>
  <si>
    <t>D2 RACING 78 12mm RED CMC 100mR</t>
  </si>
  <si>
    <t xml:space="preserve">5012568279472       </t>
  </si>
  <si>
    <t>D2 RACING 78 12mm RED CMC 200mR</t>
  </si>
  <si>
    <t xml:space="preserve">5012568279199       </t>
  </si>
  <si>
    <t>DR0162</t>
  </si>
  <si>
    <t>D2 RACING 78 12mm SOLID BLACK 100mR</t>
  </si>
  <si>
    <t xml:space="preserve">5012568275917       </t>
  </si>
  <si>
    <t>DR0139</t>
  </si>
  <si>
    <t>D2 RACING 78 12mm SOLID BLACK 200mR</t>
  </si>
  <si>
    <t xml:space="preserve">5012568254578       </t>
  </si>
  <si>
    <t>DR0180</t>
  </si>
  <si>
    <t>D2 RACING 78 12mm SOLID GREY 100mR</t>
  </si>
  <si>
    <t xml:space="preserve">5012568370674       </t>
  </si>
  <si>
    <t>DR0158</t>
  </si>
  <si>
    <t>D2 RACING 78 12mm SOLID GREY 200mR</t>
  </si>
  <si>
    <t xml:space="preserve">5012568288078       </t>
  </si>
  <si>
    <t>DR0038</t>
  </si>
  <si>
    <t>D2 RACING 78 12mm SOLID WHITE 100mR</t>
  </si>
  <si>
    <t xml:space="preserve">5012568245903       </t>
  </si>
  <si>
    <t>DR0039</t>
  </si>
  <si>
    <t>D2 RACING 78 12mm SOLID WHITE 200mR</t>
  </si>
  <si>
    <t xml:space="preserve">5012568245910       </t>
  </si>
  <si>
    <t>D2 RACING 12mm BLACK/GREY 100mR</t>
  </si>
  <si>
    <t xml:space="preserve">5012568380734       </t>
  </si>
  <si>
    <t>D2 RACING 12mm BLACK/GREY 200mR</t>
  </si>
  <si>
    <t xml:space="preserve">5012568380741       </t>
  </si>
  <si>
    <t>D2 RACING 12mm RED/GREY 100mR</t>
  </si>
  <si>
    <t xml:space="preserve">5012568380758       </t>
  </si>
  <si>
    <t>D2 RACING 12mm RED/GREY 200mR</t>
  </si>
  <si>
    <t xml:space="preserve">5012568380765       </t>
  </si>
  <si>
    <t>D2 RACING 12mm BLUE/GREY 100mR</t>
  </si>
  <si>
    <t xml:space="preserve">5012568380772       </t>
  </si>
  <si>
    <t>D2 RACING 12mm BLUE/GREY 200mR</t>
  </si>
  <si>
    <t xml:space="preserve">5012568380789       </t>
  </si>
  <si>
    <t>D2 RACING 12mm LIME/GREY 100mR</t>
  </si>
  <si>
    <t xml:space="preserve">5012568380796       </t>
  </si>
  <si>
    <t>D2 RACING 12mm LIME/GREY 200mR</t>
  </si>
  <si>
    <t xml:space="preserve">5012568380802       </t>
  </si>
  <si>
    <t>D2 RACING 12mm ORANGE/GREY 100mR</t>
  </si>
  <si>
    <t xml:space="preserve">5012568380819       </t>
  </si>
  <si>
    <t>D2 RACING 12mm ORANGE/GREY 200mR</t>
  </si>
  <si>
    <t xml:space="preserve">5012568380826       </t>
  </si>
  <si>
    <t>D2 RACING 12mm GREEN/GREY 100mR</t>
  </si>
  <si>
    <t xml:space="preserve">5012568380833       </t>
  </si>
  <si>
    <t>D2 RACING 12mm GREEN/GREY 200mR</t>
  </si>
  <si>
    <t xml:space="preserve">5012568380840       </t>
  </si>
  <si>
    <t>D2 RACING 78 14mm BLUE CMC 100mR</t>
  </si>
  <si>
    <t xml:space="preserve">5012568279526       </t>
  </si>
  <si>
    <t>D2 RACING 78 14mm BLUE CMC 200mR</t>
  </si>
  <si>
    <t xml:space="preserve">5012568279243       </t>
  </si>
  <si>
    <t>D2 RACING 78 14mm GREEN CMC 100mR</t>
  </si>
  <si>
    <t xml:space="preserve">5012568279571       </t>
  </si>
  <si>
    <t>D2 RACING 78 14mm GREEN CMC 200mR</t>
  </si>
  <si>
    <t xml:space="preserve">5012568279298       </t>
  </si>
  <si>
    <t>D2 RACING 78 14mm RED CMC 100mR</t>
  </si>
  <si>
    <t xml:space="preserve">5012568279533       </t>
  </si>
  <si>
    <t>D2 RACING 78 14mm RED CMC 200mR</t>
  </si>
  <si>
    <t xml:space="preserve">5012568279250       </t>
  </si>
  <si>
    <t>DR0174</t>
  </si>
  <si>
    <t>D2 RACING 78 14mm SOLID BLACK 200mR</t>
  </si>
  <si>
    <t xml:space="preserve">5012568270097       </t>
  </si>
  <si>
    <t>QA26-429</t>
  </si>
  <si>
    <t>DR0153</t>
  </si>
  <si>
    <t>DR0154</t>
  </si>
  <si>
    <t>D2 RACING 78 14mm SOLID GREY 200mR</t>
  </si>
  <si>
    <t xml:space="preserve">5012568270103       </t>
  </si>
  <si>
    <t>DR0181</t>
  </si>
  <si>
    <t>D2 RACING 78 14mm SOLID GREY 100mR</t>
  </si>
  <si>
    <t xml:space="preserve">5012568370681       </t>
  </si>
  <si>
    <t>DR0052</t>
  </si>
  <si>
    <t>D2 RACING 78 14mm SOLID WHITE 100mR</t>
  </si>
  <si>
    <t xml:space="preserve">5012568246047       </t>
  </si>
  <si>
    <t>DR0053</t>
  </si>
  <si>
    <t>D2 RACING 78 14mm SOLID WHITE 200mR</t>
  </si>
  <si>
    <t xml:space="preserve">5012568246054       </t>
  </si>
  <si>
    <t>D2 RACING 14mm BLACK/GREY 100mR</t>
  </si>
  <si>
    <t xml:space="preserve">5012568380857       </t>
  </si>
  <si>
    <t>D2 RACING 14mm BLACK/GREY 200mR</t>
  </si>
  <si>
    <t xml:space="preserve">5012568380864       </t>
  </si>
  <si>
    <t>D2 RACING 14mm RED/GREY 100mR</t>
  </si>
  <si>
    <t xml:space="preserve">5012568380871       </t>
  </si>
  <si>
    <t>D2 RACING 14mm RED/GREY 200mR</t>
  </si>
  <si>
    <t xml:space="preserve">5012568380888       </t>
  </si>
  <si>
    <t>D2 RACING 14mm BLUE/GREY 100mR</t>
  </si>
  <si>
    <t xml:space="preserve">5012568380895       </t>
  </si>
  <si>
    <t>D2 RACING 14mm BLUE/GREY 200mR</t>
  </si>
  <si>
    <t xml:space="preserve">5012568380901       </t>
  </si>
  <si>
    <t>D2 RACING 14mm LIME/GREY 100mR</t>
  </si>
  <si>
    <t xml:space="preserve">5012568380918       </t>
  </si>
  <si>
    <t>D2 RACING 14mm LIME/GREY 200mR</t>
  </si>
  <si>
    <t xml:space="preserve">5012568380925       </t>
  </si>
  <si>
    <t>D2 RACING 14mm ORANGE/GREY 100mR</t>
  </si>
  <si>
    <t xml:space="preserve">5012568380932       </t>
  </si>
  <si>
    <t>D2 RACING 14mm ORANGE/GREY 200mR</t>
  </si>
  <si>
    <t xml:space="preserve">5012568380949       </t>
  </si>
  <si>
    <t>D2 RACING 14mm GREEN/GREY 100mR</t>
  </si>
  <si>
    <t xml:space="preserve">5012568380956       </t>
  </si>
  <si>
    <t>D2 RACING 14mm GREEN/GREY 200mR</t>
  </si>
  <si>
    <t xml:space="preserve">5012568380963       </t>
  </si>
  <si>
    <t>D2 RACING 78 16mm RED 100mR</t>
  </si>
  <si>
    <t xml:space="preserve">5012568246337       </t>
  </si>
  <si>
    <t>D2 RACING 78 16mm RED 200mR</t>
  </si>
  <si>
    <t xml:space="preserve">5012568246344       </t>
  </si>
  <si>
    <t>D2 RACING 78 16mm BLUE 100mR</t>
  </si>
  <si>
    <t xml:space="preserve">5012568246351       </t>
  </si>
  <si>
    <t>D2 RACING 78 16mm BLUE 200mR</t>
  </si>
  <si>
    <t xml:space="preserve">5012568246368       </t>
  </si>
  <si>
    <t>D2 RACING 78 16mm GREEN 100mR</t>
  </si>
  <si>
    <t xml:space="preserve">5012568246375       </t>
  </si>
  <si>
    <t>D2 RACING 78 16mm GREEN 200mR</t>
  </si>
  <si>
    <t xml:space="preserve">5012568246382       </t>
  </si>
  <si>
    <t>DR0066</t>
  </si>
  <si>
    <t>D2 RACING 78 16mm SOLID WHITE 100mR</t>
  </si>
  <si>
    <t xml:space="preserve">5012568246436       </t>
  </si>
  <si>
    <t>DR0067</t>
  </si>
  <si>
    <t>D2 RACING 78 16mm SOLID WHITE 200mR</t>
  </si>
  <si>
    <t xml:space="preserve">5012568246443       </t>
  </si>
  <si>
    <t>DR0095</t>
  </si>
  <si>
    <t>D2 RACING 78 16mm SOLID GREY 100mR</t>
  </si>
  <si>
    <t xml:space="preserve">5012568249451       </t>
  </si>
  <si>
    <t>DR0155</t>
  </si>
  <si>
    <t>D2 RACING 78 16mm SOLID BLACK 200mR</t>
  </si>
  <si>
    <t xml:space="preserve">5012568270110       </t>
  </si>
  <si>
    <t>DR0156</t>
  </si>
  <si>
    <t>D2 RACING 78 16mm SOLID GREY 200mR</t>
  </si>
  <si>
    <t xml:space="preserve">5012568270127       </t>
  </si>
  <si>
    <t>DR0177</t>
  </si>
  <si>
    <t>D2 RACING 78 16mm SOLID BLACK 100mR</t>
  </si>
  <si>
    <t xml:space="preserve">5012568370643       </t>
  </si>
  <si>
    <t>D2 RACING 78 18mm RED 100mR</t>
  </si>
  <si>
    <t xml:space="preserve">5012568246474       </t>
  </si>
  <si>
    <t>D2 RACING 78 18mm BLUE 100mR</t>
  </si>
  <si>
    <t xml:space="preserve">5012568246481       </t>
  </si>
  <si>
    <t>D2 RACING 78 18mm GREEN 100mR</t>
  </si>
  <si>
    <t xml:space="preserve">5012568246504       </t>
  </si>
  <si>
    <t>DR0123</t>
  </si>
  <si>
    <t>D2 RACING 78 18mm SOLID BLACK 100mR</t>
  </si>
  <si>
    <t xml:space="preserve">5012568248577       </t>
  </si>
  <si>
    <t>D2 CLUB 8mm WHITE/GREY 100mR</t>
  </si>
  <si>
    <t xml:space="preserve">5012568369449       </t>
  </si>
  <si>
    <t>ABL=2190kg MBL=1970kg</t>
  </si>
  <si>
    <t>D2 CLUB 8mm WHITE/RED 100mR</t>
  </si>
  <si>
    <t xml:space="preserve">5012568369456       </t>
  </si>
  <si>
    <t>D2 CLUB 8mm WHITE/BLUE 100mR</t>
  </si>
  <si>
    <t xml:space="preserve">5012568369463       </t>
  </si>
  <si>
    <t>D2 CLUB 8mm WHITE/GREEN 100mR</t>
  </si>
  <si>
    <t xml:space="preserve">5012568369470       </t>
  </si>
  <si>
    <t>D2 CLUB 8mm WHITE/GREY 200mR</t>
  </si>
  <si>
    <t xml:space="preserve">5012568363768       </t>
  </si>
  <si>
    <t>D2 CLUB 8mm WHITE/RED 200mR</t>
  </si>
  <si>
    <t xml:space="preserve">5012568363775       </t>
  </si>
  <si>
    <t>D2 CLUB 8mm WHITE/BLUE 200mR</t>
  </si>
  <si>
    <t xml:space="preserve">5012568363782       </t>
  </si>
  <si>
    <t>D2 CLUB 8mm WHITE/GREEN 200mR</t>
  </si>
  <si>
    <t xml:space="preserve">5012568363799       </t>
  </si>
  <si>
    <t>D2 CLUB 8mm SOLID WHITE 200mR</t>
  </si>
  <si>
    <t xml:space="preserve">5012568370735       </t>
  </si>
  <si>
    <t>D2 CLUB 8mm SOLID NAVY 200mR</t>
  </si>
  <si>
    <t xml:space="preserve">5012568370742       </t>
  </si>
  <si>
    <t>D2 CLUB 8mm SOLID GREY 200mR</t>
  </si>
  <si>
    <t xml:space="preserve">5012568370759       </t>
  </si>
  <si>
    <t>D2 CLUB 8mm SOLID BLACK 200mR</t>
  </si>
  <si>
    <t xml:space="preserve">5012568370766       </t>
  </si>
  <si>
    <t>D2 CLUB 10mm WHITE/GREY 100mR</t>
  </si>
  <si>
    <t xml:space="preserve">5012568369487       </t>
  </si>
  <si>
    <t>ABL=3780kg MBL=3400kg</t>
  </si>
  <si>
    <t>D2 CLUB 10mm WHITE/RED 100mR</t>
  </si>
  <si>
    <t xml:space="preserve">5012568369494       </t>
  </si>
  <si>
    <t>D2 CLUB 10mm WHITE/BLUE 100mR</t>
  </si>
  <si>
    <t xml:space="preserve">5012568369500       </t>
  </si>
  <si>
    <t>D2 CLUB 10mm WHITE/GREEN 100mR</t>
  </si>
  <si>
    <t xml:space="preserve">5012568369517       </t>
  </si>
  <si>
    <t>D2 CLUB 10mm WHITE/GREY 200mR</t>
  </si>
  <si>
    <t xml:space="preserve">5012568363805       </t>
  </si>
  <si>
    <t>D2 CLUB 10mm WHITE/RED 200mR</t>
  </si>
  <si>
    <t xml:space="preserve">5012568363812       </t>
  </si>
  <si>
    <t>D2 CLUB 10mm WHITE/BLUE 200mR</t>
  </si>
  <si>
    <t xml:space="preserve">5012568363829       </t>
  </si>
  <si>
    <t>D2 CLUB 10mm WHITE/GREEN 200mR</t>
  </si>
  <si>
    <t xml:space="preserve">5012568363836       </t>
  </si>
  <si>
    <t>D2 CLUB 10mm SOLID WHITE 200mR</t>
  </si>
  <si>
    <t xml:space="preserve">5012568370780       </t>
  </si>
  <si>
    <t>D2 CLUB 10mm SOLID NAVY 200mR</t>
  </si>
  <si>
    <t xml:space="preserve">5012568370797       </t>
  </si>
  <si>
    <t>D2 CLUB 10mm SOLID GREY 200mR</t>
  </si>
  <si>
    <t xml:space="preserve">5012568370803       </t>
  </si>
  <si>
    <t>D2 CLUB 10mm SOLID BLACK 200mR</t>
  </si>
  <si>
    <t xml:space="preserve">5012568370810       </t>
  </si>
  <si>
    <t>D2 CLUB 12mm WHITE/GREY 100mR</t>
  </si>
  <si>
    <t xml:space="preserve">5012568369524       </t>
  </si>
  <si>
    <t>ABL=5200kg MBL=4680kg</t>
  </si>
  <si>
    <t>D2 CLUB 12mm WHITE/RED 100mR</t>
  </si>
  <si>
    <t xml:space="preserve">5012568369531       </t>
  </si>
  <si>
    <t>D2 CLUB 12mm WHITE/BLUE 100mR</t>
  </si>
  <si>
    <t xml:space="preserve">5012568369548       </t>
  </si>
  <si>
    <t>D2 CLUB 12mm WHITE/GREEN 100mR</t>
  </si>
  <si>
    <t xml:space="preserve">5012568369555       </t>
  </si>
  <si>
    <t>D2 CLUB 12mm WHITE/GREY 200mR</t>
  </si>
  <si>
    <t xml:space="preserve">5012568363843       </t>
  </si>
  <si>
    <t>D2 CLUB 12mm WHITE/RED 200mR</t>
  </si>
  <si>
    <t xml:space="preserve">5012568363850       </t>
  </si>
  <si>
    <t>D2 CLUB 12mm WHITE/BLUE 200mR</t>
  </si>
  <si>
    <t xml:space="preserve">5012568363867       </t>
  </si>
  <si>
    <t>D2 CLUB 12mm WHITE/GREEN 200mR</t>
  </si>
  <si>
    <t xml:space="preserve">5012568363874       </t>
  </si>
  <si>
    <t>D2 CLUB 12mm SOLID WHITE 200mR</t>
  </si>
  <si>
    <t xml:space="preserve">5012568370834       </t>
  </si>
  <si>
    <t>D2 CLUB 12mm SOLID NAVY 200mR</t>
  </si>
  <si>
    <t xml:space="preserve">5012568370841       </t>
  </si>
  <si>
    <t>D2 CLUB 12mm SOLID GREY 200mR</t>
  </si>
  <si>
    <t xml:space="preserve">5012568370858       </t>
  </si>
  <si>
    <t>D2 CLUB 12mm SOLID BLACK 200mR</t>
  </si>
  <si>
    <t xml:space="preserve">5012568370865       </t>
  </si>
  <si>
    <t>D2 CLUB 14mm WHITE/GREY 100mR</t>
  </si>
  <si>
    <t xml:space="preserve">5012568369562       </t>
  </si>
  <si>
    <t>ABL=7400kg MBL=6660kg</t>
  </si>
  <si>
    <t>D2 CLUB 14mm WHITE/RED 100mR</t>
  </si>
  <si>
    <t xml:space="preserve">5012568369579       </t>
  </si>
  <si>
    <t>D2 CLUB 14mm WHITE/BLUE 100mR</t>
  </si>
  <si>
    <t xml:space="preserve">5012568369586       </t>
  </si>
  <si>
    <t>D2 CLUB 14mm WHITE/GREEN 100mR</t>
  </si>
  <si>
    <t xml:space="preserve">5012568369593       </t>
  </si>
  <si>
    <t>D2 CLUB 14mm WHITE/GREY 200mR</t>
  </si>
  <si>
    <t xml:space="preserve">5012568363881       </t>
  </si>
  <si>
    <t>D2 CLUB 14mm WHITE/RED 200mR</t>
  </si>
  <si>
    <t xml:space="preserve">5012568363898       </t>
  </si>
  <si>
    <t>D2 CLUB 14mm WHITE/BLUE 200mR</t>
  </si>
  <si>
    <t xml:space="preserve">5012568363904       </t>
  </si>
  <si>
    <t>D2 CLUB 14mm WHITE/GREEN 200mR</t>
  </si>
  <si>
    <t xml:space="preserve">5012568363911       </t>
  </si>
  <si>
    <t>D2 CLUB 14mm SOLID WHITE 200mR</t>
  </si>
  <si>
    <t xml:space="preserve">5012568370889       </t>
  </si>
  <si>
    <t>D2 CLUB 14mm SOLID NAVY 200mR</t>
  </si>
  <si>
    <t xml:space="preserve">5012568370896       </t>
  </si>
  <si>
    <t>D2 CLUB 14mm SOLID GREY 200mR</t>
  </si>
  <si>
    <t xml:space="preserve">5012568370902       </t>
  </si>
  <si>
    <t>D2 CLUB 14mm SOLID BLACK 200mR</t>
  </si>
  <si>
    <t xml:space="preserve">5012568370919       </t>
  </si>
  <si>
    <t>EXCEL D12 SK78 2.5mm S/BLACK 100mR</t>
  </si>
  <si>
    <t xml:space="preserve">5012568249437       </t>
  </si>
  <si>
    <t>QA26-436</t>
  </si>
  <si>
    <t>EXCEL D12 SK78 2.5mm S/BLACK 200mR</t>
  </si>
  <si>
    <t xml:space="preserve">5012568274392       </t>
  </si>
  <si>
    <t>EXCEL D12 SK78 2.5mm S/BLUE 100mR</t>
  </si>
  <si>
    <t xml:space="preserve">5012568249079       </t>
  </si>
  <si>
    <t>EXCEL D12 SK78 2.5mm S/BLUE 200mR</t>
  </si>
  <si>
    <t xml:space="preserve">5012568249024       </t>
  </si>
  <si>
    <t>EXCEL D12 SK78 2.5mm S/GREY 100mR</t>
  </si>
  <si>
    <t xml:space="preserve">5012568362518       </t>
  </si>
  <si>
    <t>EXCEL D12 SK78 2.5mm S/GREY 200mR</t>
  </si>
  <si>
    <t xml:space="preserve">5012568362525       </t>
  </si>
  <si>
    <t>EXCEL D12 SK78 2.5mm S/LIME 100mR</t>
  </si>
  <si>
    <t xml:space="preserve">5012568264584       </t>
  </si>
  <si>
    <t>EXCEL D12 SK78 2.5mm S/LIME 200mR</t>
  </si>
  <si>
    <t xml:space="preserve">5012568264638       </t>
  </si>
  <si>
    <t>EXCEL D12 SK78 2.5mm S/RED 100mR</t>
  </si>
  <si>
    <t xml:space="preserve">5012568249055       </t>
  </si>
  <si>
    <t>EXCEL D12 SK78 2.5mm S/RED 200mR</t>
  </si>
  <si>
    <t xml:space="preserve">5012568248997       </t>
  </si>
  <si>
    <t>EXCEL D12 SK78 2.5mm WHITE 100mR</t>
  </si>
  <si>
    <t xml:space="preserve">5012568208366       </t>
  </si>
  <si>
    <t>EXCEL D12 SK78 2.5mm WHITE 200mR</t>
  </si>
  <si>
    <t xml:space="preserve">5012568205945       </t>
  </si>
  <si>
    <t>EXCEL D12 SK78 3mm S/BLACK 100mR</t>
  </si>
  <si>
    <t xml:space="preserve">5012568249048       </t>
  </si>
  <si>
    <t>EXCEL D12 SK78 3mm S/BLACK 200mR</t>
  </si>
  <si>
    <t xml:space="preserve">5012568248980       </t>
  </si>
  <si>
    <t>EXCEL D12 SK78 3mm S/BLUE 100mR</t>
  </si>
  <si>
    <t xml:space="preserve">5012568274354       </t>
  </si>
  <si>
    <t>EXCEL D12 SK78 3mm S/BLUE 200mR</t>
  </si>
  <si>
    <t xml:space="preserve">5012568249000       </t>
  </si>
  <si>
    <t>EXCEL D12 SK78 3mm S/GREY 100mR</t>
  </si>
  <si>
    <t xml:space="preserve">5012568362532       </t>
  </si>
  <si>
    <t>EXCEL D12 SK78 3mm S/GREY 200mR</t>
  </si>
  <si>
    <t xml:space="preserve">5012568275542       </t>
  </si>
  <si>
    <t>EXCEL D12 SK78 3mm S/LIME 100mR</t>
  </si>
  <si>
    <t xml:space="preserve">5012568264591       </t>
  </si>
  <si>
    <t>EXCEL D12 SK78 3mm S/LIME 200mR</t>
  </si>
  <si>
    <t xml:space="preserve">5012568264645       </t>
  </si>
  <si>
    <t>EXCEL D12 SK78 3mm S/RED 100mR</t>
  </si>
  <si>
    <t xml:space="preserve">5012568274347       </t>
  </si>
  <si>
    <t>EXCEL D12 SK78 3mm S/RED 200mR</t>
  </si>
  <si>
    <t xml:space="preserve">5012568274408       </t>
  </si>
  <si>
    <t>EXCEL D12 SK78 3mm WHITE 100mR</t>
  </si>
  <si>
    <t xml:space="preserve">5012568208403       </t>
  </si>
  <si>
    <t>EXCEL D12 SK78 3mm WHITE 200mR</t>
  </si>
  <si>
    <t xml:space="preserve">5012568205990       </t>
  </si>
  <si>
    <t>EXCEL D12 SK78 4mm S/BLACK 100mR</t>
  </si>
  <si>
    <t xml:space="preserve">5012568249239       </t>
  </si>
  <si>
    <t>EXCEL D12 SK78 4mm S/BLACK 200mR</t>
  </si>
  <si>
    <t xml:space="preserve">5012568249406       </t>
  </si>
  <si>
    <t>EXCEL D12 SK78 4mm S/BLUE 100mR</t>
  </si>
  <si>
    <t xml:space="preserve">5012568249222       </t>
  </si>
  <si>
    <t>EXCEL D12 SK78 4mm S/BLUE 200mR</t>
  </si>
  <si>
    <t xml:space="preserve">5012568248973       </t>
  </si>
  <si>
    <t>EXCEL D12 SK78 4mm S/GREEN 100mR</t>
  </si>
  <si>
    <t xml:space="preserve">5012568274651       </t>
  </si>
  <si>
    <t>EXCEL D12 SK78 4mm S/GREEN 200mR</t>
  </si>
  <si>
    <t xml:space="preserve">5012568274668       </t>
  </si>
  <si>
    <t>EXCEL D12 SK78 4mm S/GREY 100mR</t>
  </si>
  <si>
    <t xml:space="preserve">5012568362549       </t>
  </si>
  <si>
    <t>EXCEL D12 SK78 4mm S/GREY 200mR</t>
  </si>
  <si>
    <t xml:space="preserve">5012568275559       </t>
  </si>
  <si>
    <t>EXCEL D12 SK78 4mm S/LIME 100mR</t>
  </si>
  <si>
    <t xml:space="preserve">5012568264607       </t>
  </si>
  <si>
    <t>EXCEL D12 SK78 4mm S/LIME 200mR</t>
  </si>
  <si>
    <t xml:space="preserve">5012568264652       </t>
  </si>
  <si>
    <t>EXCEL D12 SK78 4mm S/PINK 100mR</t>
  </si>
  <si>
    <t xml:space="preserve">5012568274712       </t>
  </si>
  <si>
    <t>EXCEL D12 SK78 4mm S/PINK 200mR</t>
  </si>
  <si>
    <t xml:space="preserve">5012568274729       </t>
  </si>
  <si>
    <t>EXCEL D12 SK78 4mm S/RED 100mR</t>
  </si>
  <si>
    <t xml:space="preserve">5012568249215       </t>
  </si>
  <si>
    <t>EXCEL D12 SK78 4mm S/RED 200mR</t>
  </si>
  <si>
    <t xml:space="preserve">5012568249284       </t>
  </si>
  <si>
    <t>EXCEL D12 SK78 4mm WHITE 100mR</t>
  </si>
  <si>
    <t xml:space="preserve">5012568208519       </t>
  </si>
  <si>
    <t>EXCEL D12 SK78 4mm WHITE 200mR</t>
  </si>
  <si>
    <t xml:space="preserve">5012568206096       </t>
  </si>
  <si>
    <t>EXCEL D12 SK78 5mm S/BLACK 100mR</t>
  </si>
  <si>
    <t xml:space="preserve">5012568249390       </t>
  </si>
  <si>
    <t>EXCEL D12 SK78 5mm S/BLACK 200mR</t>
  </si>
  <si>
    <t xml:space="preserve">5012568302255       </t>
  </si>
  <si>
    <t>EXCEL D12 SK78 5mm S/BLUE 100mR</t>
  </si>
  <si>
    <t xml:space="preserve">5012568274361       </t>
  </si>
  <si>
    <t>EXCEL D12 SK78 5mm S/BLUE 200mR</t>
  </si>
  <si>
    <t xml:space="preserve">5012568302248       </t>
  </si>
  <si>
    <t>EXCEL D12 SK78 5mm S/GREEN 100mR</t>
  </si>
  <si>
    <t xml:space="preserve">5012568274675       </t>
  </si>
  <si>
    <t>EXCEL D12 SK78 5mm S/GREEN 200mR</t>
  </si>
  <si>
    <t xml:space="preserve">5012568274682       </t>
  </si>
  <si>
    <t>EXCEL D12 SK78 5mm S/GREY 100mR</t>
  </si>
  <si>
    <t xml:space="preserve">5012568362556       </t>
  </si>
  <si>
    <t>EXCEL D12 SK78 5mm S/GREY 200mR</t>
  </si>
  <si>
    <t xml:space="preserve">5012568275566       </t>
  </si>
  <si>
    <t>EXCEL D12 SK78 5mm S/LIME 100mR</t>
  </si>
  <si>
    <t xml:space="preserve">5012568264614       </t>
  </si>
  <si>
    <t>EXCEL D12 SK78 5mm S/LIME 200mR</t>
  </si>
  <si>
    <t xml:space="preserve">5012568264669       </t>
  </si>
  <si>
    <t>EXCEL D12 SK78 5mm S/PINK 100mR</t>
  </si>
  <si>
    <t xml:space="preserve">5012568274736       </t>
  </si>
  <si>
    <t>EXCEL D12 SK78 5mm S/PINK 200mR</t>
  </si>
  <si>
    <t xml:space="preserve">5012568274743       </t>
  </si>
  <si>
    <t>EXCEL D12 SK78 5mm S/RED 100mR</t>
  </si>
  <si>
    <t xml:space="preserve">5012568249253       </t>
  </si>
  <si>
    <t>EXCEL D12 SK78 5mm S/RED 200mR</t>
  </si>
  <si>
    <t xml:space="preserve">5012568249260       </t>
  </si>
  <si>
    <t>EXCEL D12 SK78 5mm WHITE 100mR</t>
  </si>
  <si>
    <t xml:space="preserve">5012568208564       </t>
  </si>
  <si>
    <t>EXCEL D12 SK78 5mm WHITE 200mR</t>
  </si>
  <si>
    <t xml:space="preserve">5012568206140       </t>
  </si>
  <si>
    <t>EXCEL D12 SK78 6mm S/BLACK 100mR</t>
  </si>
  <si>
    <t xml:space="preserve">5012568256343       </t>
  </si>
  <si>
    <t>EXCEL D12 SK78 6mm S/BLACK 200mR</t>
  </si>
  <si>
    <t xml:space="preserve">5012568249277       </t>
  </si>
  <si>
    <t>EXCEL D12 SK78 6mm S/BLUE 100mR</t>
  </si>
  <si>
    <t xml:space="preserve">5012568274385       </t>
  </si>
  <si>
    <t>EXCEL D12 SK78 6mm S/BLUE 200mR</t>
  </si>
  <si>
    <t xml:space="preserve">5012568302286       </t>
  </si>
  <si>
    <t>EXCEL D12 SK78 6mm S/GREEN 100mR</t>
  </si>
  <si>
    <t xml:space="preserve">5012568274699       </t>
  </si>
  <si>
    <t>EXCEL D12 SK78 6mm S/GREEN 200mR</t>
  </si>
  <si>
    <t xml:space="preserve">5012568274705       </t>
  </si>
  <si>
    <t>EXCEL D12 SK78 6mm S/GREY 100mR</t>
  </si>
  <si>
    <t xml:space="preserve">5012568362563       </t>
  </si>
  <si>
    <t>EXCEL D12 SK78 6mm S/GREY 200mR</t>
  </si>
  <si>
    <t xml:space="preserve">5012568275573       </t>
  </si>
  <si>
    <t>EXCEL D12 SK78 6mm S/LIME 100mR</t>
  </si>
  <si>
    <t xml:space="preserve">5012568264621       </t>
  </si>
  <si>
    <t>EXCEL D12 SK78 6mm S/LIME 200mR</t>
  </si>
  <si>
    <t xml:space="preserve">5012568264676       </t>
  </si>
  <si>
    <t>EXCEL D12 SK78 6mm S/PINK 100mR</t>
  </si>
  <si>
    <t xml:space="preserve">5012568274750       </t>
  </si>
  <si>
    <t>EXCEL D12 SK78 6mm S/PINK 200mR</t>
  </si>
  <si>
    <t xml:space="preserve">5012568274767       </t>
  </si>
  <si>
    <t>EXCEL D12 SK78 6mm S/RED 100mR</t>
  </si>
  <si>
    <t xml:space="preserve">5012568274378       </t>
  </si>
  <si>
    <t>EXCEL D12 SK78 6mm S/RED 200mR</t>
  </si>
  <si>
    <t xml:space="preserve">5012568302279       </t>
  </si>
  <si>
    <t>EXCEL D12 SK78 6mm WHITE 100mR</t>
  </si>
  <si>
    <t xml:space="preserve">5012568208618       </t>
  </si>
  <si>
    <t>EXCEL D12 SK78 6mm WHITE 200mR</t>
  </si>
  <si>
    <t xml:space="preserve">5012568206195       </t>
  </si>
  <si>
    <t>EXCEL D12 SK78 7mm S/BLACK 200mR</t>
  </si>
  <si>
    <t xml:space="preserve">5012568257845       </t>
  </si>
  <si>
    <t>D12 SK78 7mm WHITE 200mR</t>
  </si>
  <si>
    <t xml:space="preserve">5012568209431       </t>
  </si>
  <si>
    <t>D12 SK78 9mm S/BLACK 200mR</t>
  </si>
  <si>
    <t xml:space="preserve">5012568257852       </t>
  </si>
  <si>
    <t>D12 SK78 9mm WHITE 200mR</t>
  </si>
  <si>
    <t xml:space="preserve">5012568209691       </t>
  </si>
  <si>
    <t>D12 SK78 10mm S/BLACK 200mR</t>
  </si>
  <si>
    <t xml:space="preserve">5012568247969       </t>
  </si>
  <si>
    <t>D12 SK78 10mm WHITE 200mR</t>
  </si>
  <si>
    <t xml:space="preserve">5012568209516       </t>
  </si>
  <si>
    <t>D12 SK78 11mm S/BLACK 200mR</t>
  </si>
  <si>
    <t xml:space="preserve">5012568356715       </t>
  </si>
  <si>
    <t>D12 SK78 11mm WHITE 200mR</t>
  </si>
  <si>
    <t xml:space="preserve">5012568274637       </t>
  </si>
  <si>
    <t>D12 SK78 13mm WHITE 200mR</t>
  </si>
  <si>
    <t xml:space="preserve">5012568274644       </t>
  </si>
  <si>
    <t>D12 SK78 13mm BLACK 200mR</t>
  </si>
  <si>
    <t xml:space="preserve">5012568357651       </t>
  </si>
  <si>
    <t>D12 SK78 15mm S/BLACK 100mR</t>
  </si>
  <si>
    <t xml:space="preserve">5012568362754       </t>
  </si>
  <si>
    <t>D12 SK78 15mm WHITE 100mR</t>
  </si>
  <si>
    <t xml:space="preserve">5012568227466       </t>
  </si>
  <si>
    <t>EXCEL D12 MAX 78 2.5mm BLACK 100mR</t>
  </si>
  <si>
    <t xml:space="preserve">5012568274330       </t>
  </si>
  <si>
    <t>EXCEL D12 MAX 78 2.5mm BLACK 200mR</t>
  </si>
  <si>
    <t xml:space="preserve">5012568265413       </t>
  </si>
  <si>
    <t>EXCEL D12 MAX 78 3mm BLACK 100mR</t>
  </si>
  <si>
    <t xml:space="preserve">5012568274323       </t>
  </si>
  <si>
    <t>EXCEL D12 MAX 78 3mm BLACK 200mR</t>
  </si>
  <si>
    <t xml:space="preserve">5012568254615       </t>
  </si>
  <si>
    <t>EXCEL D12 MAX 78 4mm BLACK 100mR</t>
  </si>
  <si>
    <t xml:space="preserve">5012568247112       </t>
  </si>
  <si>
    <t>EXCEL D12 MAX 78 4mm BLACK 200mR</t>
  </si>
  <si>
    <t xml:space="preserve">5012568284063       </t>
  </si>
  <si>
    <t>EXCEL D12 MAX 78 5mm BLACK 100mR</t>
  </si>
  <si>
    <t xml:space="preserve">5012568254646       </t>
  </si>
  <si>
    <t>EXCEL D12 MAX 78 5mm BLACK 200mR</t>
  </si>
  <si>
    <t xml:space="preserve">5012568254622       </t>
  </si>
  <si>
    <t>EXCEL D12 MAX 78 6mm BLACK 100mR</t>
  </si>
  <si>
    <t xml:space="preserve">5012568288085       </t>
  </si>
  <si>
    <t>EXCEL D12 MAX 78 6mm BLACK 200mR</t>
  </si>
  <si>
    <t xml:space="preserve">5012568254639       </t>
  </si>
  <si>
    <t>EXCEL D12 MAX 78 7mm BLACK 100mR</t>
  </si>
  <si>
    <t xml:space="preserve">5012568285107       </t>
  </si>
  <si>
    <t>EXCEL D12 MAX 78 7mm BLACK 200mR</t>
  </si>
  <si>
    <t xml:space="preserve">5012568288139       </t>
  </si>
  <si>
    <t>EXCEL D12 MAX 78 8mm BLACK 100mR</t>
  </si>
  <si>
    <t xml:space="preserve">5012568282076       </t>
  </si>
  <si>
    <t>EXCEL D12 MAX 78 8mm BLACK 200mR</t>
  </si>
  <si>
    <t xml:space="preserve">5012568282069       </t>
  </si>
  <si>
    <t>EXCEL D12 MAX 78 9mm BLACK 100mR</t>
  </si>
  <si>
    <t xml:space="preserve">5012568292013       </t>
  </si>
  <si>
    <t>QA26/440</t>
  </si>
  <si>
    <t>EXCEL D12 MAX 78 9mm BLACK 200mR</t>
  </si>
  <si>
    <t xml:space="preserve">5012568254653       </t>
  </si>
  <si>
    <t>TY6023</t>
  </si>
  <si>
    <t>EXCEL D12 SK99 2.5mm S/BLACK 100mR</t>
  </si>
  <si>
    <t xml:space="preserve">5012568355084       </t>
  </si>
  <si>
    <t>EXCEL D12 SK99 2.5mm S/BLACK 200mR</t>
  </si>
  <si>
    <t xml:space="preserve">5012568355091       </t>
  </si>
  <si>
    <t>TY6028</t>
  </si>
  <si>
    <t>EXCEL D12 SK99 2.5mm S/BLUE 100mR</t>
  </si>
  <si>
    <t xml:space="preserve">5012568361641       </t>
  </si>
  <si>
    <t>EXCEL D12 SK99 2.5mm S/BLUE 200mR</t>
  </si>
  <si>
    <t xml:space="preserve">5012568361658       </t>
  </si>
  <si>
    <t>TY6025</t>
  </si>
  <si>
    <t>EXCEL D12 SK99 2.5mm WHITE 100mR</t>
  </si>
  <si>
    <t xml:space="preserve">5012568358566       </t>
  </si>
  <si>
    <t>EXCEL D12 SK99 2.5mm WHITE 200mR</t>
  </si>
  <si>
    <t xml:space="preserve">5012568362631       </t>
  </si>
  <si>
    <t>TY6016</t>
  </si>
  <si>
    <t>EXCEL D12 SK99 3mm S/BLACK 100mR</t>
  </si>
  <si>
    <t xml:space="preserve">5012568283677       </t>
  </si>
  <si>
    <t>EXCEL D12 SK99 3mm S/BLACK 200mR</t>
  </si>
  <si>
    <t xml:space="preserve">5012568362655       </t>
  </si>
  <si>
    <t>TY6030</t>
  </si>
  <si>
    <t>EXCEL D12 SK99 3mm S/BLUE 100mR</t>
  </si>
  <si>
    <t xml:space="preserve">5012568361665       </t>
  </si>
  <si>
    <t>EXCEL D12 SK99 3mm S/BLUE 200mR</t>
  </si>
  <si>
    <t xml:space="preserve">5012568361672       </t>
  </si>
  <si>
    <t>TY6012</t>
  </si>
  <si>
    <t>EXCEL D12 SK99 3mm WHITE 100mR</t>
  </si>
  <si>
    <t xml:space="preserve">5012568282496       </t>
  </si>
  <si>
    <t>EXCEL D12 SK99 3mm WHITE 200mR</t>
  </si>
  <si>
    <t xml:space="preserve">5012568362648       </t>
  </si>
  <si>
    <t>TY6010</t>
  </si>
  <si>
    <t>EXCEL D12 SK99 4mm S/BLACK 100mR</t>
  </si>
  <si>
    <t xml:space="preserve">5012568282137       </t>
  </si>
  <si>
    <t>EXCEL D12 SK99 4mm S/BLACK 200mR</t>
  </si>
  <si>
    <t xml:space="preserve">5012568275894       </t>
  </si>
  <si>
    <t>TY6032</t>
  </si>
  <si>
    <t>EXCEL D12 SK99 4mm S/BLUE 100mR</t>
  </si>
  <si>
    <t xml:space="preserve">5012568361689       </t>
  </si>
  <si>
    <t>EXCEL D12 SK99 4mm S/BLUE 200mR</t>
  </si>
  <si>
    <t xml:space="preserve">5012568361696       </t>
  </si>
  <si>
    <t>TY6013</t>
  </si>
  <si>
    <t>EXCEL D12 SK99 4mm WHITE 100mR</t>
  </si>
  <si>
    <t xml:space="preserve">5012568282502       </t>
  </si>
  <si>
    <t>EXCEL D12 SK99 4mm WHITE 200mR</t>
  </si>
  <si>
    <t xml:space="preserve">5012568362662       </t>
  </si>
  <si>
    <t>TY6018</t>
  </si>
  <si>
    <t>EXCEL D12 SK99 5mm S/BLACK 100mR</t>
  </si>
  <si>
    <t xml:space="preserve">5012568283684       </t>
  </si>
  <si>
    <t>EXCEL D12 SK99 5mm S/BLACK 200mR</t>
  </si>
  <si>
    <t xml:space="preserve">5012568275900       </t>
  </si>
  <si>
    <t>TY6034</t>
  </si>
  <si>
    <t>EXCEL D12 SK99 5mm S/BLUE 100mR</t>
  </si>
  <si>
    <t xml:space="preserve">5012568361702       </t>
  </si>
  <si>
    <t>EXCEL D12 SK99 5mm S/BLUE 200mR</t>
  </si>
  <si>
    <t xml:space="preserve">5012568361719       </t>
  </si>
  <si>
    <t>TY6014</t>
  </si>
  <si>
    <t>EXCEL D12 SK99 5mm WHITE 100mR</t>
  </si>
  <si>
    <t xml:space="preserve">5012568282519       </t>
  </si>
  <si>
    <t>EXCEL D12 SK99 5mm WHITE 200mR</t>
  </si>
  <si>
    <t xml:space="preserve">5012568362679       </t>
  </si>
  <si>
    <t>TY6011</t>
  </si>
  <si>
    <t>EXCEL D12 SK99 6mm S/BLACK 100mR</t>
  </si>
  <si>
    <t xml:space="preserve">5012568282144       </t>
  </si>
  <si>
    <t>EXCEL D12 SK99 6mm S/BLACK 200mR</t>
  </si>
  <si>
    <t xml:space="preserve">5012568358757       </t>
  </si>
  <si>
    <t>TY6015</t>
  </si>
  <si>
    <t>EXCEL D12 SK99 6mm WHITE 100mR</t>
  </si>
  <si>
    <t xml:space="preserve">5012568282526       </t>
  </si>
  <si>
    <t>EXCEL D12 SK99 6mm WHITE 200mR</t>
  </si>
  <si>
    <t xml:space="preserve">5012568362686       </t>
  </si>
  <si>
    <t>D12 SK99 7mm S/BLACK 200mR</t>
  </si>
  <si>
    <t xml:space="preserve">5012568350584       </t>
  </si>
  <si>
    <t>D12 SK99 7mm WHITE 200mR</t>
  </si>
  <si>
    <t xml:space="preserve">5012568362693       </t>
  </si>
  <si>
    <t>TY6019</t>
  </si>
  <si>
    <t>D12 SK99 8mm S/BLACK 100mR</t>
  </si>
  <si>
    <t xml:space="preserve">5012568283691       </t>
  </si>
  <si>
    <t>D12 SK99 8mm BLACK 200mR</t>
  </si>
  <si>
    <t xml:space="preserve">5012568353769       </t>
  </si>
  <si>
    <t>TY6020</t>
  </si>
  <si>
    <t>D12 SK99 8mm WHITE 100mR</t>
  </si>
  <si>
    <t xml:space="preserve">5012568283707       </t>
  </si>
  <si>
    <t>D12 SK99 8mm WHITE 200mR</t>
  </si>
  <si>
    <t xml:space="preserve">5012568362709       </t>
  </si>
  <si>
    <t>D12 SK99 9mm S/BLACK 200mR</t>
  </si>
  <si>
    <t xml:space="preserve">5012568302583       </t>
  </si>
  <si>
    <t>D12 SK99 9mm WHITE 200mR</t>
  </si>
  <si>
    <t xml:space="preserve">5012568362716       </t>
  </si>
  <si>
    <t>D12 SK99 10mm S/BLACK 200mR</t>
  </si>
  <si>
    <t xml:space="preserve">5012568362730       </t>
  </si>
  <si>
    <t>TY6026</t>
  </si>
  <si>
    <t>D12 SK99 10mm WHITE 100mR</t>
  </si>
  <si>
    <t xml:space="preserve">5012568358573       </t>
  </si>
  <si>
    <t>D12 SK99 10mm WHITE 200mR</t>
  </si>
  <si>
    <t xml:space="preserve">5012568362723       </t>
  </si>
  <si>
    <t>D12 SK99 11mm S/BLACK 200mR</t>
  </si>
  <si>
    <t xml:space="preserve">5012568350591       </t>
  </si>
  <si>
    <t>D12 SK99 11mm WHITE 200mR</t>
  </si>
  <si>
    <t xml:space="preserve">5012568362747       </t>
  </si>
  <si>
    <t>EXCEL D12 MAX 99 3mm BLACK 100mR</t>
  </si>
  <si>
    <t xml:space="preserve">5012568275948       </t>
  </si>
  <si>
    <t>EXCEL D12 MAX 99 3mm BLACK 200mR</t>
  </si>
  <si>
    <t xml:space="preserve">5012568283912       </t>
  </si>
  <si>
    <t>EXCEL D12 MAX 99 4mm BLACK 100mR</t>
  </si>
  <si>
    <t xml:space="preserve">5012568283738       </t>
  </si>
  <si>
    <t>EXCEL D12 MAX 99 4mm BLACK 200mR</t>
  </si>
  <si>
    <t xml:space="preserve">5012568284179       </t>
  </si>
  <si>
    <t>EXCEL D12 MAX 99 5mm BLACK 100mR</t>
  </si>
  <si>
    <t xml:space="preserve">5012568282878       </t>
  </si>
  <si>
    <t>QA26/478</t>
  </si>
  <si>
    <t>EXCEL D12 MAX 99 5mm BLACK 200mR</t>
  </si>
  <si>
    <t xml:space="preserve">5012568283875       </t>
  </si>
  <si>
    <t>EXCEL D12 MAX 99 6mm BLACK 100mR</t>
  </si>
  <si>
    <t xml:space="preserve">5012568291481       </t>
  </si>
  <si>
    <t>EXCEL D12 MAX 99 6mm BLACK 200mR</t>
  </si>
  <si>
    <t xml:space="preserve">5012568283073       </t>
  </si>
  <si>
    <t>D12 MAX 99 7mm BLACK 100mR</t>
  </si>
  <si>
    <t xml:space="preserve">5012568356166       </t>
  </si>
  <si>
    <t>D12 MAX 99 7mm BLACK 200mR</t>
  </si>
  <si>
    <t xml:space="preserve">5012568283882       </t>
  </si>
  <si>
    <t>D12 MAX 99 8mm BLACK 100mR</t>
  </si>
  <si>
    <t xml:space="preserve">5012568356524       </t>
  </si>
  <si>
    <t>QA26-478</t>
  </si>
  <si>
    <t>D12 MAX 99 8mm BLACK 200mR</t>
  </si>
  <si>
    <t xml:space="preserve">5012568356883       </t>
  </si>
  <si>
    <t>D12 MAX 99 9mm BLACK 200mR</t>
  </si>
  <si>
    <t xml:space="preserve">5012568353967       </t>
  </si>
  <si>
    <t>D12 MAX 99 10mm BLACK 200mR</t>
  </si>
  <si>
    <t xml:space="preserve">5012568359228       </t>
  </si>
  <si>
    <t>VR0822</t>
  </si>
  <si>
    <t>V2 RACING 8mm BLUE 200mR</t>
  </si>
  <si>
    <t xml:space="preserve">5012568223048       </t>
  </si>
  <si>
    <t>VR0823</t>
  </si>
  <si>
    <t>V2 RACING 8mm GREEN 200mR</t>
  </si>
  <si>
    <t xml:space="preserve">5012568223055       </t>
  </si>
  <si>
    <t>VR0821</t>
  </si>
  <si>
    <t>V2 RACING 8mm RED 200mR</t>
  </si>
  <si>
    <t xml:space="preserve">5012568223031       </t>
  </si>
  <si>
    <t>VR0820</t>
  </si>
  <si>
    <t>V2 RACING 8mm WHITE 200mR</t>
  </si>
  <si>
    <t xml:space="preserve">5012568223024       </t>
  </si>
  <si>
    <t>VR1022</t>
  </si>
  <si>
    <t>V2 RACING 10mm BLUE 200mR</t>
  </si>
  <si>
    <t xml:space="preserve">5012568223123       </t>
  </si>
  <si>
    <t>VR1023</t>
  </si>
  <si>
    <t>V2 RACING 10mm GREEN 200mR</t>
  </si>
  <si>
    <t xml:space="preserve">5012568223130       </t>
  </si>
  <si>
    <t>VR1021</t>
  </si>
  <si>
    <t>V2 RACING 10mm RED 200mR</t>
  </si>
  <si>
    <t xml:space="preserve">5012568223116       </t>
  </si>
  <si>
    <t>VR1020</t>
  </si>
  <si>
    <t>V2 RACING 10mm WHITE 200mR</t>
  </si>
  <si>
    <t xml:space="preserve">5012568223109       </t>
  </si>
  <si>
    <t>VR1222</t>
  </si>
  <si>
    <t>V2 RACING 12mm BLUE 200mR</t>
  </si>
  <si>
    <t xml:space="preserve">5012568223208       </t>
  </si>
  <si>
    <t>VR1223</t>
  </si>
  <si>
    <t>V2 RACING 12mm GREEN 200mR</t>
  </si>
  <si>
    <t xml:space="preserve">5012568223215       </t>
  </si>
  <si>
    <t>VR1221</t>
  </si>
  <si>
    <t>V2 RACING 12mm RED 200mR</t>
  </si>
  <si>
    <t xml:space="preserve">5012568223192       </t>
  </si>
  <si>
    <t>VR1220</t>
  </si>
  <si>
    <t>V2 RACING 12mm WHITE 200mR</t>
  </si>
  <si>
    <t xml:space="preserve">5012568223185       </t>
  </si>
  <si>
    <t>VR1422</t>
  </si>
  <si>
    <t>V2 RACING 14mm BLUE 200mR</t>
  </si>
  <si>
    <t xml:space="preserve">5012568224274       </t>
  </si>
  <si>
    <t>VR1423</t>
  </si>
  <si>
    <t>V2 RACING 14mm GREEN 200mR</t>
  </si>
  <si>
    <t xml:space="preserve">5012568224281       </t>
  </si>
  <si>
    <t>VR1421</t>
  </si>
  <si>
    <t>V2 RACING 14mm RED 200mR</t>
  </si>
  <si>
    <t xml:space="preserve">5012568224267       </t>
  </si>
  <si>
    <t>VR1420</t>
  </si>
  <si>
    <t>V2 RACING 14mm WHITE 200mR</t>
  </si>
  <si>
    <t xml:space="preserve">5012568224250       </t>
  </si>
  <si>
    <t>VR1612</t>
  </si>
  <si>
    <t>V2 RACING 16mm BLUE 100mR</t>
  </si>
  <si>
    <t xml:space="preserve">5012568224311       </t>
  </si>
  <si>
    <t>VR1613</t>
  </si>
  <si>
    <t>V2 RACING 16mm GREEN 100mR</t>
  </si>
  <si>
    <t xml:space="preserve">5012568224328       </t>
  </si>
  <si>
    <t>VR1611</t>
  </si>
  <si>
    <t>V2 RACING 16mm RED 100mR</t>
  </si>
  <si>
    <t xml:space="preserve">5012568224304       </t>
  </si>
  <si>
    <t>VR1610</t>
  </si>
  <si>
    <t>V2 RACING 16mm WHITE 100mR</t>
  </si>
  <si>
    <t xml:space="preserve">5012568224298       </t>
  </si>
  <si>
    <t>VR1812</t>
  </si>
  <si>
    <t>V2 RACING 18mm BLUE 100mR</t>
  </si>
  <si>
    <t xml:space="preserve">5012568224359       </t>
  </si>
  <si>
    <t>VR1813</t>
  </si>
  <si>
    <t>V2 RACING 18mm GREEN 100mR</t>
  </si>
  <si>
    <t xml:space="preserve">5012568224366       </t>
  </si>
  <si>
    <t>VR1811</t>
  </si>
  <si>
    <t>V2 RACING 18mm RED 100mR</t>
  </si>
  <si>
    <t xml:space="preserve">5012568224342       </t>
  </si>
  <si>
    <t>VR1810</t>
  </si>
  <si>
    <t>V2 RACING 18mm WHITE 100mR</t>
  </si>
  <si>
    <t xml:space="preserve">5012568224335       </t>
  </si>
  <si>
    <t>M-RIG MAX DM20 2.5mm BLACK 200mR</t>
  </si>
  <si>
    <t xml:space="preserve">5012568370940       </t>
  </si>
  <si>
    <t>M-RIG MAX DM20 3mm BLACK 200mR</t>
  </si>
  <si>
    <t xml:space="preserve">5012568357699       </t>
  </si>
  <si>
    <t>M-RIG MAX DM20 4mm BLACK 200mR</t>
  </si>
  <si>
    <t xml:space="preserve">5012568357705       </t>
  </si>
  <si>
    <t>M-RIG MAX DM20 5mm BLACK 200mR</t>
  </si>
  <si>
    <t xml:space="preserve">5012568357729       </t>
  </si>
  <si>
    <t>M-RIG MAX DM20 6mm BLACK 200mR</t>
  </si>
  <si>
    <t xml:space="preserve">5012568281093       </t>
  </si>
  <si>
    <t>M-RIG MAX DM20 7mm BLACK 200mR</t>
  </si>
  <si>
    <t xml:space="preserve">5012568276426       </t>
  </si>
  <si>
    <t>M-RIG MAX DM20 8mm BLACK 100mR</t>
  </si>
  <si>
    <t xml:space="preserve">5012568359419       </t>
  </si>
  <si>
    <t>M-RIG MAX DM20 9mm BLACK 100mR</t>
  </si>
  <si>
    <t xml:space="preserve">5012568353745       </t>
  </si>
  <si>
    <t>M-RIG MAX DM20 10mm BLACK 100mR</t>
  </si>
  <si>
    <t xml:space="preserve">5012568359402       </t>
  </si>
  <si>
    <t>M-RIG MAX DM20 11mm BLACK 100mR</t>
  </si>
  <si>
    <t xml:space="preserve">5012568362860       </t>
  </si>
  <si>
    <t>AT0009</t>
  </si>
  <si>
    <t>PRO-DRIVE 7mm BLACK 100mR</t>
  </si>
  <si>
    <t xml:space="preserve">5012568267707       </t>
  </si>
  <si>
    <t>AT0006</t>
  </si>
  <si>
    <t>PRO-DRIVE 7mm BLACK 200mR</t>
  </si>
  <si>
    <t xml:space="preserve">5012568267677       </t>
  </si>
  <si>
    <t>AT0010</t>
  </si>
  <si>
    <t>obsolete use AT0100</t>
  </si>
  <si>
    <t xml:space="preserve">5012568267714       </t>
  </si>
  <si>
    <t>QA26-448</t>
  </si>
  <si>
    <t>AT0001</t>
  </si>
  <si>
    <t>obsolete use AT0101</t>
  </si>
  <si>
    <t xml:space="preserve">5012568265154       </t>
  </si>
  <si>
    <t>AT0011</t>
  </si>
  <si>
    <t>obsolete use AT0103</t>
  </si>
  <si>
    <t xml:space="preserve">5012568267721       </t>
  </si>
  <si>
    <t>AT0002</t>
  </si>
  <si>
    <t>obsolete use AT0102</t>
  </si>
  <si>
    <t xml:space="preserve">5012568265161       </t>
  </si>
  <si>
    <t>AT0012</t>
  </si>
  <si>
    <t>PRO-DRIVE 13mm BLACK 100mR</t>
  </si>
  <si>
    <t xml:space="preserve">5012568267738       </t>
  </si>
  <si>
    <t>AT0007</t>
  </si>
  <si>
    <t>PRO-DRIVE 13mm BLACK 200mR</t>
  </si>
  <si>
    <t xml:space="preserve">5012568267684       </t>
  </si>
  <si>
    <t>AT0013</t>
  </si>
  <si>
    <t>PRO-DRIVE 15mm BLACK 100mR</t>
  </si>
  <si>
    <t xml:space="preserve">5012568267745       </t>
  </si>
  <si>
    <t>AT0008</t>
  </si>
  <si>
    <t>PRO-DRIVE 15mm BLACK 200mR</t>
  </si>
  <si>
    <t xml:space="preserve">5012568267691       </t>
  </si>
  <si>
    <t>PRO-DRIVE 2 7mm BLACK 100mR</t>
  </si>
  <si>
    <t xml:space="preserve">5012568379431       </t>
  </si>
  <si>
    <t>PRO-DRIVE 2 7mm BLACK 200mR</t>
  </si>
  <si>
    <t xml:space="preserve">5012568379424       </t>
  </si>
  <si>
    <t>PRO-DRIVE 2 9mm BLACK 100mR</t>
  </si>
  <si>
    <t xml:space="preserve">5012568378779       </t>
  </si>
  <si>
    <t>PRO-DRIVE 2 9mm BLACK 200mR</t>
  </si>
  <si>
    <t xml:space="preserve">5012568378786       </t>
  </si>
  <si>
    <t>PRO-DRIVE 2 11mm BLACK 200mR</t>
  </si>
  <si>
    <t xml:space="preserve">                    </t>
  </si>
  <si>
    <t>PRO-DRIVE 2 11mm BLACK 100mR</t>
  </si>
  <si>
    <t xml:space="preserve">5012568378496       </t>
  </si>
  <si>
    <t>PRO-DRIVE 2 13mm BLACK 100mR</t>
  </si>
  <si>
    <t xml:space="preserve">5012568379448       </t>
  </si>
  <si>
    <t>PRO-DRIVE 2 13mm BLACK 200mR</t>
  </si>
  <si>
    <t xml:space="preserve">5012568379455       </t>
  </si>
  <si>
    <t>PRO-DRIVE 2 15mm BLACK 100mR</t>
  </si>
  <si>
    <t xml:space="preserve">5012568379462       </t>
  </si>
  <si>
    <t>PRO-DRIVE 2 15mm BLACK 200mR</t>
  </si>
  <si>
    <t xml:space="preserve">5012568379479       </t>
  </si>
  <si>
    <t>MGP FURLER 50 6mm 200mR BLACK</t>
  </si>
  <si>
    <t xml:space="preserve">5012568275016       </t>
  </si>
  <si>
    <t>MGP FURLER 50 6mm 200mR BLUE</t>
  </si>
  <si>
    <t xml:space="preserve">5012568274897       </t>
  </si>
  <si>
    <t>MGP FURLER 50 6mm 200mR GREY</t>
  </si>
  <si>
    <t xml:space="preserve">5012568274835       </t>
  </si>
  <si>
    <t>MGP FURLER 50 6mm 200mR LIME</t>
  </si>
  <si>
    <t xml:space="preserve">5012568274958       </t>
  </si>
  <si>
    <t>MGP FURLER 50 6mm 200mR RED</t>
  </si>
  <si>
    <t xml:space="preserve">5012568274774       </t>
  </si>
  <si>
    <t>MGP FURLER 50 7mm 200mR BLACK</t>
  </si>
  <si>
    <t xml:space="preserve">5012568275023       </t>
  </si>
  <si>
    <t>MGP FURLER 50 7mm 200mR BLUE</t>
  </si>
  <si>
    <t xml:space="preserve">5012568274903       </t>
  </si>
  <si>
    <t>MGP FURLER 50 7mm 200mR GREY</t>
  </si>
  <si>
    <t xml:space="preserve">5012568274842       </t>
  </si>
  <si>
    <t>MGP FURLER 50 7mm 200mR LIME</t>
  </si>
  <si>
    <t xml:space="preserve">5012568274965       </t>
  </si>
  <si>
    <t>MGP FURLER 50 7mm 200mR RED</t>
  </si>
  <si>
    <t xml:space="preserve">5012568274781       </t>
  </si>
  <si>
    <t>MGP FURLER 50 8mm 200mR BLACK</t>
  </si>
  <si>
    <t xml:space="preserve">5012568275030       </t>
  </si>
  <si>
    <t>MGP FURLER 50 8mm 200mR BLUE</t>
  </si>
  <si>
    <t xml:space="preserve">5012568274910       </t>
  </si>
  <si>
    <t>MGP FURLER 50 8mm 200mR GREY</t>
  </si>
  <si>
    <t xml:space="preserve">5012568274859       </t>
  </si>
  <si>
    <t>MGP FURLER 50 8mm 200mR LIME</t>
  </si>
  <si>
    <t xml:space="preserve">5012568274972       </t>
  </si>
  <si>
    <t>MGP FURLER 50 8mm 200mR RED</t>
  </si>
  <si>
    <t xml:space="preserve">5012568274798       </t>
  </si>
  <si>
    <t>MGP FURLER 50 9mm 200mR BLACK</t>
  </si>
  <si>
    <t xml:space="preserve">5012568275047       </t>
  </si>
  <si>
    <t>MGP FURLER 50 9mm 200mR BLUE</t>
  </si>
  <si>
    <t xml:space="preserve">5012568274927       </t>
  </si>
  <si>
    <t>MGP FURLER 50 9mm 200mR GREY</t>
  </si>
  <si>
    <t xml:space="preserve">5012568274866       </t>
  </si>
  <si>
    <t>MGP FURLER 50 9mm 200mR LIME</t>
  </si>
  <si>
    <t xml:space="preserve">5012568274989       </t>
  </si>
  <si>
    <t>MGP FURLER 50 9mm 200mR RED</t>
  </si>
  <si>
    <t xml:space="preserve">5012568274804       </t>
  </si>
  <si>
    <t>MGP FURLER 50 10mm 200mR BLACK</t>
  </si>
  <si>
    <t xml:space="preserve">5012568275054       </t>
  </si>
  <si>
    <t>MGP FURLER 50 10mm 200mR BLUE</t>
  </si>
  <si>
    <t xml:space="preserve">5012568274934       </t>
  </si>
  <si>
    <t>MGP FURLER 50 10mm 200mR GREY</t>
  </si>
  <si>
    <t xml:space="preserve">5012568274873       </t>
  </si>
  <si>
    <t>MGP FURLER 50 10mm 200mR LIME</t>
  </si>
  <si>
    <t xml:space="preserve">5012568274996       </t>
  </si>
  <si>
    <t>MGP FURLER 50 10mm 200mR RED</t>
  </si>
  <si>
    <t xml:space="preserve">5012568274811       </t>
  </si>
  <si>
    <t>MGP FURLER 50 11mm 200mR BLACK</t>
  </si>
  <si>
    <t xml:space="preserve">5012568275061       </t>
  </si>
  <si>
    <t>MGP FURLER 50 11mm 200mR BLUE</t>
  </si>
  <si>
    <t xml:space="preserve">5012568274941       </t>
  </si>
  <si>
    <t>MGP FURLER 50 11mm 200mR GREY</t>
  </si>
  <si>
    <t xml:space="preserve">5012568274880       </t>
  </si>
  <si>
    <t>MGP FURLER 50 11mm 200mR LIME</t>
  </si>
  <si>
    <t xml:space="preserve">5012568275009       </t>
  </si>
  <si>
    <t>MGP FURLER 50 11mm 200mR RED</t>
  </si>
  <si>
    <t xml:space="preserve">5012568274828       </t>
  </si>
  <si>
    <t>D/BRAID PES 6mm BLU FLK 100mR</t>
  </si>
  <si>
    <t xml:space="preserve">5012568242674       </t>
  </si>
  <si>
    <t>QA26-203</t>
  </si>
  <si>
    <t>D/BRAID PES 6mm BLU FLK 200mR</t>
  </si>
  <si>
    <t xml:space="preserve">5012568242681       </t>
  </si>
  <si>
    <t>D/BRAID PES 6mm GLD FLK 100mR</t>
  </si>
  <si>
    <t xml:space="preserve">5012568242711       </t>
  </si>
  <si>
    <t>D/BRAID PES 6mm GLD FLK 200mR</t>
  </si>
  <si>
    <t xml:space="preserve">5012568242728       </t>
  </si>
  <si>
    <t>D/BRAID PES 6mm GRN FLK 100mR</t>
  </si>
  <si>
    <t xml:space="preserve">5012568242698       </t>
  </si>
  <si>
    <t>D/BRAID PES 6mm GRN FLK 200mR</t>
  </si>
  <si>
    <t xml:space="preserve">5012568242704       </t>
  </si>
  <si>
    <t>D/BRAID PES 6mm RED FLK 100mR</t>
  </si>
  <si>
    <t xml:space="preserve">5012568242650       </t>
  </si>
  <si>
    <t>D/BRAID PES 6mm RED FLK 200mR</t>
  </si>
  <si>
    <t xml:space="preserve">5012568242667       </t>
  </si>
  <si>
    <t>D/BRAID 6mm SOLID WHITE 100mR</t>
  </si>
  <si>
    <t xml:space="preserve">5012568030264       </t>
  </si>
  <si>
    <t>D/BRAID 6mm SOLID WHITE 200mR</t>
  </si>
  <si>
    <t xml:space="preserve">5012568310434       </t>
  </si>
  <si>
    <t>D/BRAID PES 6mm WHITE 100mR</t>
  </si>
  <si>
    <t xml:space="preserve">5012568242636       </t>
  </si>
  <si>
    <t>D/BRAID PES 6mm WHITE 200mR</t>
  </si>
  <si>
    <t xml:space="preserve">5012568242643       </t>
  </si>
  <si>
    <t>D/BRAID PES 8mm BLU FLK 100mR</t>
  </si>
  <si>
    <t xml:space="preserve">5012568242773       </t>
  </si>
  <si>
    <t>D/BRAID PES 8mm BLU FLK 200mR</t>
  </si>
  <si>
    <t xml:space="preserve">5012568242780       </t>
  </si>
  <si>
    <t>D/BRAID PES 8mm GLD FLK 100mR</t>
  </si>
  <si>
    <t xml:space="preserve">5012568242810       </t>
  </si>
  <si>
    <t>D/BRAID PES 8mm GLD FLK 200mR</t>
  </si>
  <si>
    <t xml:space="preserve">5012568242827       </t>
  </si>
  <si>
    <t>D/BRAID PES 8mm GRN FLK 100mR</t>
  </si>
  <si>
    <t xml:space="preserve">5012568242797       </t>
  </si>
  <si>
    <t>D/BRAID PES 8mm GRN FLK 200mR</t>
  </si>
  <si>
    <t xml:space="preserve">5012568242803       </t>
  </si>
  <si>
    <t>D/BRAID PES 8mm RED FLK 100mR</t>
  </si>
  <si>
    <t xml:space="preserve">5012568242759       </t>
  </si>
  <si>
    <t>D/BRAID PES 8mm RED FLK 200mR</t>
  </si>
  <si>
    <t xml:space="preserve">5012568242766       </t>
  </si>
  <si>
    <t>D/BRAID 8mm SOLID WHITE 100mR</t>
  </si>
  <si>
    <t xml:space="preserve">5012568277393       </t>
  </si>
  <si>
    <t>D/BRAID 8mm SOLID WHITE 200mR</t>
  </si>
  <si>
    <t xml:space="preserve">5012568254103       </t>
  </si>
  <si>
    <t>D/BRAID PES 8mm WHITE 100mR</t>
  </si>
  <si>
    <t xml:space="preserve">5012568242735       </t>
  </si>
  <si>
    <t>D/BRAID PES 8mm WHITE 200mR</t>
  </si>
  <si>
    <t xml:space="preserve">5012568242742       </t>
  </si>
  <si>
    <t>D/BRAID PES 10mm BLU FLK 100mR</t>
  </si>
  <si>
    <t xml:space="preserve">5012568242872       </t>
  </si>
  <si>
    <t>D/BRAID PES 10mm BLU FLK 200mR</t>
  </si>
  <si>
    <t xml:space="preserve">5012568242889       </t>
  </si>
  <si>
    <t>D/BRAID PES 10mm GLD FLK 100mR</t>
  </si>
  <si>
    <t xml:space="preserve">5012568242919       </t>
  </si>
  <si>
    <t>D/BRAID PES 10mm GLD FLK 200mR</t>
  </si>
  <si>
    <t xml:space="preserve">5012568242926       </t>
  </si>
  <si>
    <t>D/BRAID PES 10mm GRN FLK 100mR</t>
  </si>
  <si>
    <t xml:space="preserve">5012568242896       </t>
  </si>
  <si>
    <t>D/BRAID PES 10mm GRN FLK 200mR</t>
  </si>
  <si>
    <t xml:space="preserve">5012568242902       </t>
  </si>
  <si>
    <t>D/BRAID PES 10mm RED FLK 100mR</t>
  </si>
  <si>
    <t xml:space="preserve">5012568242858       </t>
  </si>
  <si>
    <t>D/BRAID PES 10mm RED FLK 200mR</t>
  </si>
  <si>
    <t xml:space="preserve">5012568242865       </t>
  </si>
  <si>
    <t>D/BRAID 10mm SOLID WHITE 200mR</t>
  </si>
  <si>
    <t xml:space="preserve">5012568254110       </t>
  </si>
  <si>
    <t>D/BRAID 10mm SOLID WHITE 100mR</t>
  </si>
  <si>
    <t xml:space="preserve">5012568259115       </t>
  </si>
  <si>
    <t>D/BRAID PES 10mm WHITE 100mR</t>
  </si>
  <si>
    <t xml:space="preserve">5012568242834       </t>
  </si>
  <si>
    <t>D/BRAID PES 10mm WHITE 200mR</t>
  </si>
  <si>
    <t xml:space="preserve">5012568242841       </t>
  </si>
  <si>
    <t>D/BRAID PES 12mm BLU FLK 100mR</t>
  </si>
  <si>
    <t xml:space="preserve">5012568242971       </t>
  </si>
  <si>
    <t>D/BRAID PES 12mm BLU FLK 200mR</t>
  </si>
  <si>
    <t xml:space="preserve">5012568242988       </t>
  </si>
  <si>
    <t>D/BRAID PES 12mm GLD FLK 100mR</t>
  </si>
  <si>
    <t xml:space="preserve">5012568243015       </t>
  </si>
  <si>
    <t>D/BRAID PES 12mm GLD FLK 200mR</t>
  </si>
  <si>
    <t xml:space="preserve">5012568243022       </t>
  </si>
  <si>
    <t>D/BRAID PES 12mm GRN FLK 100mR</t>
  </si>
  <si>
    <t xml:space="preserve">5012568242995       </t>
  </si>
  <si>
    <t>D/BRAID PES 12mm GRN FLK 200mR</t>
  </si>
  <si>
    <t xml:space="preserve">5012568243008       </t>
  </si>
  <si>
    <t>D/BRAID PES 12mm RED FLK 100mR</t>
  </si>
  <si>
    <t xml:space="preserve">5012568242957       </t>
  </si>
  <si>
    <t>D/BRAID PES 12mm RED FLK 200mR</t>
  </si>
  <si>
    <t xml:space="preserve">5012568242964       </t>
  </si>
  <si>
    <t>D/BRAID 12mm SOLID WHITE 100mR</t>
  </si>
  <si>
    <t xml:space="preserve">5012568310380       </t>
  </si>
  <si>
    <t>D/BRAID 12mm SOLID WHITE 200mR</t>
  </si>
  <si>
    <t xml:space="preserve">5012568254127       </t>
  </si>
  <si>
    <t>D/BRAID PES 12mm WHITE 100mR</t>
  </si>
  <si>
    <t xml:space="preserve">5012568242933       </t>
  </si>
  <si>
    <t>D/BRAID PES 12mm WHITE 200mR</t>
  </si>
  <si>
    <t xml:space="preserve">5012568242940       </t>
  </si>
  <si>
    <t>D/BRAID PES 14mm BLU FLK 100mR</t>
  </si>
  <si>
    <t xml:space="preserve">5012568243077       </t>
  </si>
  <si>
    <t>D/BRAID PES 14mm BLU FLK 200mR</t>
  </si>
  <si>
    <t xml:space="preserve">5012568243084       </t>
  </si>
  <si>
    <t>D/BRAID PES 14mm GOLD FLK 100mR</t>
  </si>
  <si>
    <t xml:space="preserve">5012568243114       </t>
  </si>
  <si>
    <t>D/BRAID PES 14mm GLD FLK 200mR</t>
  </si>
  <si>
    <t xml:space="preserve">5012568243121       </t>
  </si>
  <si>
    <t>D/BRAID PES 14mm GRN FLK 100mR</t>
  </si>
  <si>
    <t xml:space="preserve">5012568243091       </t>
  </si>
  <si>
    <t>D/BRAID PES 14mm GRN FLK 200mR</t>
  </si>
  <si>
    <t xml:space="preserve">5012568243107       </t>
  </si>
  <si>
    <t>D/BRAID PES 14mm RED FLK 100mR</t>
  </si>
  <si>
    <t xml:space="preserve">5012568243053       </t>
  </si>
  <si>
    <t>D/BRAID PES 14mm RED FLK 200mR</t>
  </si>
  <si>
    <t xml:space="preserve">5012568243060       </t>
  </si>
  <si>
    <t>D/BRAID 14mm SOLID WHITE 100mR</t>
  </si>
  <si>
    <t xml:space="preserve">5012568254134       </t>
  </si>
  <si>
    <t>D/BRAID 14mm SOLID WHITE 200mR</t>
  </si>
  <si>
    <t xml:space="preserve">5012568310427       </t>
  </si>
  <si>
    <t>D/BRAID PES 14mm WHITE 100mR</t>
  </si>
  <si>
    <t xml:space="preserve">5012568243039       </t>
  </si>
  <si>
    <t>D/BRAID PES 14mm WHITE 200mR</t>
  </si>
  <si>
    <t xml:space="preserve">5012568243046       </t>
  </si>
  <si>
    <t>D/BRAID PES 16mm BLU FLK 100mR</t>
  </si>
  <si>
    <t xml:space="preserve">5012568243176       </t>
  </si>
  <si>
    <t>D/BRAID PES 16mm BLU FLK 200mR</t>
  </si>
  <si>
    <t xml:space="preserve">5012568243183       </t>
  </si>
  <si>
    <t>D/BRAID PES 16mm GLD FLK 100mR</t>
  </si>
  <si>
    <t xml:space="preserve">5012568243213       </t>
  </si>
  <si>
    <t>D/BRAID PES 16mm GLD FLK 200mR</t>
  </si>
  <si>
    <t xml:space="preserve">5012568243220       </t>
  </si>
  <si>
    <t>D/BRAID PES 16mm GRN FLK 100mR</t>
  </si>
  <si>
    <t xml:space="preserve">5012568243190       </t>
  </si>
  <si>
    <t>D/BRAID PES 16mm GRN FLK 200mR</t>
  </si>
  <si>
    <t xml:space="preserve">5012568243206       </t>
  </si>
  <si>
    <t>D/BRAID PES 16mm RED FLK 100mR</t>
  </si>
  <si>
    <t xml:space="preserve">5012568243152       </t>
  </si>
  <si>
    <t>D/BRAID PES 16mm RED FLK 200mR</t>
  </si>
  <si>
    <t xml:space="preserve">5012568243169       </t>
  </si>
  <si>
    <t>D/BRAID 16mm SOLID WHITE 100mR</t>
  </si>
  <si>
    <t xml:space="preserve">5012568254141       </t>
  </si>
  <si>
    <t>D/BRAID 16mm SOLID WHITE 200mR</t>
  </si>
  <si>
    <t xml:space="preserve">5012568272220       </t>
  </si>
  <si>
    <t>D/BRAID PES 16mm WHITE 100mR</t>
  </si>
  <si>
    <t xml:space="preserve">5012568243138       </t>
  </si>
  <si>
    <t>D/BRAID PES 16mm WHITE 200mR</t>
  </si>
  <si>
    <t xml:space="preserve">5012568243145       </t>
  </si>
  <si>
    <t>D/BRAID PES 18mm BLU FLK 100mR</t>
  </si>
  <si>
    <t xml:space="preserve">5012568243275       </t>
  </si>
  <si>
    <t>D/BRAID PES 18mm GLD FLK 100mR</t>
  </si>
  <si>
    <t xml:space="preserve">5012568243312       </t>
  </si>
  <si>
    <t>D/BRAID PES 18mm GRN FLK 100mR</t>
  </si>
  <si>
    <t xml:space="preserve">5012568243299       </t>
  </si>
  <si>
    <t>D/BRAID PES 18mm RED FLK 100mR</t>
  </si>
  <si>
    <t xml:space="preserve">5012568243251       </t>
  </si>
  <si>
    <t>D/BRAID 18mm SOLID WHITE 100mR</t>
  </si>
  <si>
    <t xml:space="preserve">5012568286173       </t>
  </si>
  <si>
    <t>D/BRAID PES 18mm WHITE 100mR</t>
  </si>
  <si>
    <t xml:space="preserve">5012568243237       </t>
  </si>
  <si>
    <t>D/BRAID PES 6mm MARBLE BLUE 200mR</t>
  </si>
  <si>
    <t xml:space="preserve">5012568280904       </t>
  </si>
  <si>
    <t>D/BRAID PES 6mm MARBLE GREEN 200mR</t>
  </si>
  <si>
    <t xml:space="preserve">5012568280911       </t>
  </si>
  <si>
    <t>D/BRAID PES 6mm MARBLE GREY 200mR</t>
  </si>
  <si>
    <t xml:space="preserve">5012568280928       </t>
  </si>
  <si>
    <t>D/BRAID PES 6mm MARBLE RED 200mR</t>
  </si>
  <si>
    <t xml:space="preserve">5012568280898       </t>
  </si>
  <si>
    <t>D/BRAID PES 8mm MARBLE BLUE 100mR</t>
  </si>
  <si>
    <t xml:space="preserve">5012568269022       </t>
  </si>
  <si>
    <t>D/BRAID PES 8mm MARBLE BLUE 200mR</t>
  </si>
  <si>
    <t xml:space="preserve">5012568269039       </t>
  </si>
  <si>
    <t>D/BRAID PES 8mm MARBLE GREEN 100mR</t>
  </si>
  <si>
    <t xml:space="preserve">5012568269046       </t>
  </si>
  <si>
    <t>D/BRAID PES 8mm MARBLE GREEN 200mR</t>
  </si>
  <si>
    <t xml:space="preserve">5012568269053       </t>
  </si>
  <si>
    <t>D/BRAID PES 8mm MARBLE GREY 100mR</t>
  </si>
  <si>
    <t xml:space="preserve">5012568269060       </t>
  </si>
  <si>
    <t>D/BRAID PES 8mm MARBLE GREY 200mR</t>
  </si>
  <si>
    <t xml:space="preserve">5012568269077       </t>
  </si>
  <si>
    <t>D/BRAID PES 8mm MARBLE RED 100mR</t>
  </si>
  <si>
    <t xml:space="preserve">5012568269008       </t>
  </si>
  <si>
    <t>D/BRAID PES 8mm MARBLE RED 200mR</t>
  </si>
  <si>
    <t xml:space="preserve">5012568269015       </t>
  </si>
  <si>
    <t>D/BRAID PES 10mm MARBLE BLUE 100mR</t>
  </si>
  <si>
    <t xml:space="preserve">5012568269107       </t>
  </si>
  <si>
    <t>D/BRAID PES 10mm MARBLE BLUE 200mR</t>
  </si>
  <si>
    <t xml:space="preserve">5012568269114       </t>
  </si>
  <si>
    <t>D/BRAID PES 10mm MARBLE GREEN 100mR</t>
  </si>
  <si>
    <t xml:space="preserve">5012568269121       </t>
  </si>
  <si>
    <t>D/BRAID PES 10mm MARBLE GREEN 200mR</t>
  </si>
  <si>
    <t xml:space="preserve">5012568269138       </t>
  </si>
  <si>
    <t>D/BRAID PES 10mm MARBLE GREY 100mR</t>
  </si>
  <si>
    <t xml:space="preserve">5012568269145       </t>
  </si>
  <si>
    <t>D/BRAID PES 10mm MARBLE GREY 200mR</t>
  </si>
  <si>
    <t xml:space="preserve">5012568269152       </t>
  </si>
  <si>
    <t>D/BRAID PES 10mm MARBLE RED 100mR</t>
  </si>
  <si>
    <t xml:space="preserve">5012568269084       </t>
  </si>
  <si>
    <t>D/BRAID PES 10mm MARBLE RED 200mR</t>
  </si>
  <si>
    <t xml:space="preserve">5012568269091       </t>
  </si>
  <si>
    <t>D/BRAID PES 12mm MARBLE BLUE 100mR</t>
  </si>
  <si>
    <t xml:space="preserve">5012568269183       </t>
  </si>
  <si>
    <t>D/BRAID PES 12mm MARBLE BLUE 200mR</t>
  </si>
  <si>
    <t xml:space="preserve">5012568269190       </t>
  </si>
  <si>
    <t>D/BRAID PES 12mm MARBLE GREEN 100mR</t>
  </si>
  <si>
    <t xml:space="preserve">5012568269206       </t>
  </si>
  <si>
    <t>D/BRAID PES 12mm MARBLE GREEN 200mR</t>
  </si>
  <si>
    <t xml:space="preserve">5012568269213       </t>
  </si>
  <si>
    <t>D/BRAID PES 12mm MARBLE GREY 100mR</t>
  </si>
  <si>
    <t xml:space="preserve">5012568269220       </t>
  </si>
  <si>
    <t>D/BRAID PES 12mm MARBLE GREY 200mR</t>
  </si>
  <si>
    <t xml:space="preserve">5012568269237       </t>
  </si>
  <si>
    <t>D/BRAID PES 12mm MARBLE RED 100mR</t>
  </si>
  <si>
    <t xml:space="preserve">5012568269169       </t>
  </si>
  <si>
    <t>D/BRAID PES 12mm MARBLE RED 200mR</t>
  </si>
  <si>
    <t xml:space="preserve">5012568269176       </t>
  </si>
  <si>
    <t>D/BRAID PES 14mm MARBLE BLUE 100mR</t>
  </si>
  <si>
    <t xml:space="preserve">5012568269268       </t>
  </si>
  <si>
    <t>D/BRAID PES 14mm MARBLE BLUE 200mR</t>
  </si>
  <si>
    <t xml:space="preserve">5012568269275       </t>
  </si>
  <si>
    <t>D/BRAID PES 14mm MARBLE GREEN 100mR</t>
  </si>
  <si>
    <t xml:space="preserve">5012568269282       </t>
  </si>
  <si>
    <t>D/BRAID PES 14mm MARBLE GREEN 200mR</t>
  </si>
  <si>
    <t xml:space="preserve">5012568269299       </t>
  </si>
  <si>
    <t>D/BRAID PES 14mm MARBLE GREY 100mR</t>
  </si>
  <si>
    <t xml:space="preserve">5012568269305       </t>
  </si>
  <si>
    <t>D/BRAID PES 14mm MARBLE GREY 200mR</t>
  </si>
  <si>
    <t xml:space="preserve">5012568269312       </t>
  </si>
  <si>
    <t>D/BRAID PES 14mm MARBLE RED 100mR</t>
  </si>
  <si>
    <t xml:space="preserve">5012568269244       </t>
  </si>
  <si>
    <t>D/BRAID PES 14mm MARBLE RED 200mR</t>
  </si>
  <si>
    <t xml:space="preserve">5012568269251       </t>
  </si>
  <si>
    <t>D/BRAID PES 6mm M/DARK GREY 200mR</t>
  </si>
  <si>
    <t xml:space="preserve">5012568377123       </t>
  </si>
  <si>
    <t>D/BRAID PES 8mm M/DARK GREY 200mR</t>
  </si>
  <si>
    <t xml:space="preserve">5012568377130       </t>
  </si>
  <si>
    <t>D/BRAID PES 10mm M/DARK GREY 200mR</t>
  </si>
  <si>
    <t xml:space="preserve">5012568377147       </t>
  </si>
  <si>
    <t>D/BRAID PES 12mm M/DARK GREY 200mR</t>
  </si>
  <si>
    <t xml:space="preserve">5012568377154       </t>
  </si>
  <si>
    <t>D/BRAID PES 14mm M/DARK GREY 200mR</t>
  </si>
  <si>
    <t xml:space="preserve">5012568377161       </t>
  </si>
  <si>
    <t>M/BRAID 6mm BLUE FLK 100mR</t>
  </si>
  <si>
    <t xml:space="preserve">5012568026236       </t>
  </si>
  <si>
    <t>ABL=986kg MBL=907kg</t>
  </si>
  <si>
    <t>M/BRAID 6mm BLUE FLK 200mR</t>
  </si>
  <si>
    <t xml:space="preserve">5012568026243       </t>
  </si>
  <si>
    <t>M/BRAID 6mm GOLD FLK 100mR</t>
  </si>
  <si>
    <t xml:space="preserve">5012568026335       </t>
  </si>
  <si>
    <t>M/BRAID 6mm GOLD FLK 200mR</t>
  </si>
  <si>
    <t xml:space="preserve">5012568026342       </t>
  </si>
  <si>
    <t>M/BRAID 6mm GREEN FLK 100mR</t>
  </si>
  <si>
    <t xml:space="preserve">5012568026434       </t>
  </si>
  <si>
    <t>M/BRAID 6mm GREEN FLK 200mR</t>
  </si>
  <si>
    <t xml:space="preserve">5012568026441       </t>
  </si>
  <si>
    <t>M/BRAID 6mm RED FLK 100mR</t>
  </si>
  <si>
    <t xml:space="preserve">5012568026137       </t>
  </si>
  <si>
    <t>M/BRAID 6mm RED FLK 200mR</t>
  </si>
  <si>
    <t xml:space="preserve">5012568026144       </t>
  </si>
  <si>
    <t>M/BRAID 6mm S/WHITE 100mR</t>
  </si>
  <si>
    <t xml:space="preserve">5012568212790       </t>
  </si>
  <si>
    <t>M/BRAID 6mm S/WHITE 200mR</t>
  </si>
  <si>
    <t xml:space="preserve">5012568274187       </t>
  </si>
  <si>
    <t>M/BRAID 6mm WHITE 100mR</t>
  </si>
  <si>
    <t xml:space="preserve">5012568026038       </t>
  </si>
  <si>
    <t>M/BRAID 6mm WHITE 200mR</t>
  </si>
  <si>
    <t xml:space="preserve">5012568026045       </t>
  </si>
  <si>
    <t>M/BRAID 8mm BLUE FLK 100mR</t>
  </si>
  <si>
    <t xml:space="preserve">5012568026731       </t>
  </si>
  <si>
    <t>ABL=1580kg MBL=1450kg</t>
  </si>
  <si>
    <t>M/BRAID 8mm BLUE FLK 200mR</t>
  </si>
  <si>
    <t xml:space="preserve">5012568026748       </t>
  </si>
  <si>
    <t>M/BRAID 8mm GOLD FLK 100mR</t>
  </si>
  <si>
    <t xml:space="preserve">5012568026830       </t>
  </si>
  <si>
    <t>M/BRAID 8mm GOLD FLK 200mR</t>
  </si>
  <si>
    <t xml:space="preserve">5012568026847       </t>
  </si>
  <si>
    <t>M/BRAID 8mm GREEN FLK 100mR</t>
  </si>
  <si>
    <t xml:space="preserve">5012568026939       </t>
  </si>
  <si>
    <t>M/BRAID 8mm GREEN FLK 200mR</t>
  </si>
  <si>
    <t xml:space="preserve">5012568026946       </t>
  </si>
  <si>
    <t>M/BRAID 8mm NATURAL 100mR</t>
  </si>
  <si>
    <t xml:space="preserve">5012568246825       </t>
  </si>
  <si>
    <t>M/BRAID 8mm RED FLK 100mR</t>
  </si>
  <si>
    <t xml:space="preserve">5012568026632       </t>
  </si>
  <si>
    <t>M/BRAID 8mm RED FLK 200mR</t>
  </si>
  <si>
    <t xml:space="preserve">5012568026649       </t>
  </si>
  <si>
    <t>M/BRAID 8mm S/WHITE 100mR</t>
  </si>
  <si>
    <t xml:space="preserve">5012568113837       </t>
  </si>
  <si>
    <t>M/BRAID 8mm S/WHITE 200mR</t>
  </si>
  <si>
    <t xml:space="preserve">5012568040157       </t>
  </si>
  <si>
    <t>M/BRAID 8mm WHITE 100mR</t>
  </si>
  <si>
    <t xml:space="preserve">5012568026533       </t>
  </si>
  <si>
    <t>M/BRAID 8mm WHITE 200mR</t>
  </si>
  <si>
    <t xml:space="preserve">5012568026540       </t>
  </si>
  <si>
    <t>M/BRAID 10mm BLUE FLK 100mR</t>
  </si>
  <si>
    <t xml:space="preserve">5012568027738       </t>
  </si>
  <si>
    <t>ABL=2850kg MBL=2620kg</t>
  </si>
  <si>
    <t>M/BRAID 10mm BLUE FLK 200mR</t>
  </si>
  <si>
    <t xml:space="preserve">5012568027745       </t>
  </si>
  <si>
    <t>M/BRAID 10mm GOLD FLK 100mR</t>
  </si>
  <si>
    <t xml:space="preserve">5012568027837       </t>
  </si>
  <si>
    <t>M/BRAID 10mm GOLD FLK 200mR</t>
  </si>
  <si>
    <t xml:space="preserve">5012568027844       </t>
  </si>
  <si>
    <t>M/BRAID 10mm GREEN FLK 100mR</t>
  </si>
  <si>
    <t xml:space="preserve">5012568027936       </t>
  </si>
  <si>
    <t>M/BRAID 10mm GREEN FLK 200mR</t>
  </si>
  <si>
    <t xml:space="preserve">5012568027943       </t>
  </si>
  <si>
    <t>M/BRAID 10mm RED FLK 100mR</t>
  </si>
  <si>
    <t xml:space="preserve">5012568027639       </t>
  </si>
  <si>
    <t>M/BRAID 10mm RED FLK 200mR</t>
  </si>
  <si>
    <t xml:space="preserve">5012568027646       </t>
  </si>
  <si>
    <t>M/BRAID 10mm S/WHITE 100mR</t>
  </si>
  <si>
    <t xml:space="preserve">5012568039953       </t>
  </si>
  <si>
    <t>M/BRAID 10mm S/WHITE 200mR</t>
  </si>
  <si>
    <t xml:space="preserve">5012568039960       </t>
  </si>
  <si>
    <t>M/BRAID 10mm WHITE 100mR</t>
  </si>
  <si>
    <t xml:space="preserve">5012568027530       </t>
  </si>
  <si>
    <t>M/BRAID 10mm WHITE 200mR</t>
  </si>
  <si>
    <t xml:space="preserve">5012568027547       </t>
  </si>
  <si>
    <t>M/BRAID 12mm BLUE FLK 100mR</t>
  </si>
  <si>
    <t xml:space="preserve">5012568028230       </t>
  </si>
  <si>
    <t>ABL=4450kg MBL=4090kg</t>
  </si>
  <si>
    <t>M/BRAID 12mm BLUE FLK 200mR</t>
  </si>
  <si>
    <t xml:space="preserve">5012568028247       </t>
  </si>
  <si>
    <t>M/BRAID 12mm GOLD FLK 100mR</t>
  </si>
  <si>
    <t xml:space="preserve">5012568028339       </t>
  </si>
  <si>
    <t>M/BRAID 12mm GOLD FLK 200mR</t>
  </si>
  <si>
    <t xml:space="preserve">5012568028346       </t>
  </si>
  <si>
    <t>M/BRAID 12mm GREEN FLK 100mR</t>
  </si>
  <si>
    <t xml:space="preserve">5012568028438       </t>
  </si>
  <si>
    <t>M/BRAID 12mm GREEN FLK 200mR</t>
  </si>
  <si>
    <t xml:space="preserve">5012568028445       </t>
  </si>
  <si>
    <t>M/BRAID 12mm RED FLK 100mR</t>
  </si>
  <si>
    <t xml:space="preserve">5012568028131       </t>
  </si>
  <si>
    <t>M/BRAID 12mm RED FLK 200mR</t>
  </si>
  <si>
    <t xml:space="preserve">5012568028148       </t>
  </si>
  <si>
    <t>M/BRAID 12mm S/WHITE 100mR</t>
  </si>
  <si>
    <t xml:space="preserve">5012568039984       </t>
  </si>
  <si>
    <t>M/BRAID 12mm S/WHITE 200mR</t>
  </si>
  <si>
    <t xml:space="preserve">5012568039991       </t>
  </si>
  <si>
    <t>M/BRAID 12mm WHITE 100mR</t>
  </si>
  <si>
    <t xml:space="preserve">5012568028032       </t>
  </si>
  <si>
    <t>M/BRAID 12mm WHITE 200mR</t>
  </si>
  <si>
    <t xml:space="preserve">5012568028049       </t>
  </si>
  <si>
    <t>M/BRAID 14mm BLUE FLK 100mR</t>
  </si>
  <si>
    <t xml:space="preserve">5012568028711       </t>
  </si>
  <si>
    <t>ABL=5460kg MBL=5020kg</t>
  </si>
  <si>
    <t>M/BRAID 14mm BLUE FLK 200mR</t>
  </si>
  <si>
    <t xml:space="preserve">5012568028728       </t>
  </si>
  <si>
    <t>M/BRAID 14mm GOLD FLK 100mR</t>
  </si>
  <si>
    <t xml:space="preserve">5012568028803       </t>
  </si>
  <si>
    <t>M/BRAID 14mm GOLD FLK 200mR</t>
  </si>
  <si>
    <t xml:space="preserve">5012568028810       </t>
  </si>
  <si>
    <t>M/BRAID 14mm GREEN FLK 100mR</t>
  </si>
  <si>
    <t xml:space="preserve">5012568028896       </t>
  </si>
  <si>
    <t>M/BRAID 14mm GREEN FLK 200mR</t>
  </si>
  <si>
    <t xml:space="preserve">5012568028902       </t>
  </si>
  <si>
    <t>M/BRAID 14mm RED FLK 100mR</t>
  </si>
  <si>
    <t xml:space="preserve">5012568028629       </t>
  </si>
  <si>
    <t>M/BRAID 14mm RED FLK 200mR</t>
  </si>
  <si>
    <t xml:space="preserve">5012568028636       </t>
  </si>
  <si>
    <t>M/BRAID 14mm S/WHITE 100mR</t>
  </si>
  <si>
    <t xml:space="preserve">5012568040010       </t>
  </si>
  <si>
    <t>M/BRAID 14mm S/WHITE 200mR</t>
  </si>
  <si>
    <t xml:space="preserve">5012568040027       </t>
  </si>
  <si>
    <t>M/BRAID 14mm WHITE 100mR</t>
  </si>
  <si>
    <t xml:space="preserve">5012568028537       </t>
  </si>
  <si>
    <t>M/BRAID 14mm WHITE 200mR</t>
  </si>
  <si>
    <t xml:space="preserve">5012568028544       </t>
  </si>
  <si>
    <t>M/BRAID 16mm BLUE FLK 100mR</t>
  </si>
  <si>
    <t xml:space="preserve">5012568029121       </t>
  </si>
  <si>
    <t>ABL=7420kg MBL=6650kg</t>
  </si>
  <si>
    <t>M/BRAID 16mm BLUE FLK 200mR</t>
  </si>
  <si>
    <t xml:space="preserve">5012568029138       </t>
  </si>
  <si>
    <t>M/BRAID 16mm GOLD FLK 100mR</t>
  </si>
  <si>
    <t xml:space="preserve">5012568029190       </t>
  </si>
  <si>
    <t>M/BRAID 16mm GOLD FLK 200mR</t>
  </si>
  <si>
    <t xml:space="preserve">5012568029206       </t>
  </si>
  <si>
    <t>M/BRAID 16mm GREEN FLK 100mR</t>
  </si>
  <si>
    <t xml:space="preserve">5012568029268       </t>
  </si>
  <si>
    <t>M/BRAID 16mm GREEN FLK 200mR</t>
  </si>
  <si>
    <t xml:space="preserve">5012568029275       </t>
  </si>
  <si>
    <t>M/BRAID 16mm RED FLK 100mR</t>
  </si>
  <si>
    <t xml:space="preserve">5012568029053       </t>
  </si>
  <si>
    <t>M/BRAID 16mm RED FLK 200mR</t>
  </si>
  <si>
    <t xml:space="preserve">5012568029060       </t>
  </si>
  <si>
    <t>M/BRAID 16mm S/WHITE 100mR</t>
  </si>
  <si>
    <t xml:space="preserve">5012568040041       </t>
  </si>
  <si>
    <t>M/BRAID 16mm S/WHITE 200mR</t>
  </si>
  <si>
    <t xml:space="preserve">5012568040058       </t>
  </si>
  <si>
    <t>M/BRAID 16mm WHITE 100mR</t>
  </si>
  <si>
    <t xml:space="preserve">5012568028988       </t>
  </si>
  <si>
    <t>M/BRAID 16mm WHITE 200mR</t>
  </si>
  <si>
    <t xml:space="preserve">5012568028995       </t>
  </si>
  <si>
    <t>M/BRAID 18mm BLUE FLK 100mR</t>
  </si>
  <si>
    <t xml:space="preserve">5012568029473       </t>
  </si>
  <si>
    <t>ABL=10200kg MBL=9370kg</t>
  </si>
  <si>
    <t>M/BRAID 18mm BLUE FLK 200mR</t>
  </si>
  <si>
    <t xml:space="preserve">5012568029480       </t>
  </si>
  <si>
    <t>M/BRAID 18mm GOLD FLK 100mR</t>
  </si>
  <si>
    <t xml:space="preserve">5012568029541       </t>
  </si>
  <si>
    <t>M/BRAID 18mm GOLD FLK 200mR</t>
  </si>
  <si>
    <t xml:space="preserve">5012568029558       </t>
  </si>
  <si>
    <t>M/BRAID 18mm GREEN FLK 100mR</t>
  </si>
  <si>
    <t xml:space="preserve">5012568029619       </t>
  </si>
  <si>
    <t>M/BRAID 18mm GREEN FLK 200mR</t>
  </si>
  <si>
    <t xml:space="preserve">5012568029626       </t>
  </si>
  <si>
    <t>M/BRAID 18mm RED FLK 100mR</t>
  </si>
  <si>
    <t xml:space="preserve">5012568029404       </t>
  </si>
  <si>
    <t>M/BRAID 18mm RED FLK 200mR</t>
  </si>
  <si>
    <t xml:space="preserve">5012568029411       </t>
  </si>
  <si>
    <t>M/BRAID 18mm S/WHITE 100mR</t>
  </si>
  <si>
    <t xml:space="preserve">5012568040119       </t>
  </si>
  <si>
    <t>M/BRAID 18mm S/WHITE 200mR</t>
  </si>
  <si>
    <t xml:space="preserve">5012568040096       </t>
  </si>
  <si>
    <t>M/BRAID 18mm WHITE 100mR</t>
  </si>
  <si>
    <t xml:space="preserve">5012568029336       </t>
  </si>
  <si>
    <t>M/BRAID 18mm WHITE 200mR</t>
  </si>
  <si>
    <t xml:space="preserve">5012568029343       </t>
  </si>
  <si>
    <t>M/BRAID 20mm BLUE FLK 100mR</t>
  </si>
  <si>
    <t xml:space="preserve">5012568029824       </t>
  </si>
  <si>
    <t>ABL=11300kg MBL=10400kg</t>
  </si>
  <si>
    <t>M/BRAID 20mm BLUE FLK 200mR</t>
  </si>
  <si>
    <t xml:space="preserve">5012568029831       </t>
  </si>
  <si>
    <t>M/BRAID 20mm GOLD FLK 100mR</t>
  </si>
  <si>
    <t xml:space="preserve">5012568029893       </t>
  </si>
  <si>
    <t>M/BRAID 20mm GOLD FLK 200mR</t>
  </si>
  <si>
    <t xml:space="preserve">5012568029909       </t>
  </si>
  <si>
    <t>M/BRAID 20mm GREEN FLK 100mR</t>
  </si>
  <si>
    <t xml:space="preserve">5012568029961       </t>
  </si>
  <si>
    <t>M/BRAID 20mm GREEN FLK 200mR</t>
  </si>
  <si>
    <t xml:space="preserve">5012568029978       </t>
  </si>
  <si>
    <t>M/BRAID 20mm RED FLK 100mR</t>
  </si>
  <si>
    <t xml:space="preserve">5012568029756       </t>
  </si>
  <si>
    <t>M/BRAID 20mm RED FLK 200mR</t>
  </si>
  <si>
    <t xml:space="preserve">5012568029763       </t>
  </si>
  <si>
    <t>M/BRAID 20mm S/WHITE 100mR</t>
  </si>
  <si>
    <t xml:space="preserve">5012568040201       </t>
  </si>
  <si>
    <t>M/BRAID 20mm S/WHITE 200mR</t>
  </si>
  <si>
    <t xml:space="preserve">5012568040171       </t>
  </si>
  <si>
    <t>M/BRAID 20mm WHITE 100mR</t>
  </si>
  <si>
    <t xml:space="preserve">5012568029688       </t>
  </si>
  <si>
    <t>M/BRAID 20mm WHITE 200mR</t>
  </si>
  <si>
    <t xml:space="preserve">5012568029695       </t>
  </si>
  <si>
    <t>M/BRAID 24mm WHITE 100mR</t>
  </si>
  <si>
    <t xml:space="preserve">5012568030165       </t>
  </si>
  <si>
    <t>ABL=14000kg MBL=12600kg</t>
  </si>
  <si>
    <t>KA0445</t>
  </si>
  <si>
    <t>M/BRAID 24mm WHITE 200mC</t>
  </si>
  <si>
    <t xml:space="preserve">5012568029985       </t>
  </si>
  <si>
    <t>M/BRAID 6mm S/BLUE 100mR</t>
  </si>
  <si>
    <t xml:space="preserve">5012568037171       </t>
  </si>
  <si>
    <t>M/BRAID 6mm S/BLUE 200mR</t>
  </si>
  <si>
    <t xml:space="preserve">5012568037188       </t>
  </si>
  <si>
    <t>M/BRAID 6mm S/GREEN 100mR</t>
  </si>
  <si>
    <t xml:space="preserve">5012568037331       </t>
  </si>
  <si>
    <t>M/BRAID 6mm S/GREEN 200mR</t>
  </si>
  <si>
    <t xml:space="preserve">5012568037348       </t>
  </si>
  <si>
    <t>M/BRAID 6mm S/NAVY 100mR</t>
  </si>
  <si>
    <t xml:space="preserve">5012568224779       </t>
  </si>
  <si>
    <t>M/BRAID 6mm S/NAVY 200mR</t>
  </si>
  <si>
    <t xml:space="preserve">5012568224786       </t>
  </si>
  <si>
    <t>M/BRAID 6mm S/RED 100mR</t>
  </si>
  <si>
    <t xml:space="preserve">5012568037577       </t>
  </si>
  <si>
    <t>M/BRAID 6mm S/RED 200mR</t>
  </si>
  <si>
    <t xml:space="preserve">5012568037584       </t>
  </si>
  <si>
    <t>M/BRAID 8mm NATURAL 200mR</t>
  </si>
  <si>
    <t xml:space="preserve">5012568246832       </t>
  </si>
  <si>
    <t>M/BRAID 8mm S/BLUE 100mR</t>
  </si>
  <si>
    <t xml:space="preserve">5012568037652       </t>
  </si>
  <si>
    <t>M/BRAID 8mm S/BLUE 200mR</t>
  </si>
  <si>
    <t xml:space="preserve">5012568037669       </t>
  </si>
  <si>
    <t>M/BRAID 8mm S/GREEN 100mR</t>
  </si>
  <si>
    <t xml:space="preserve">5012568037812       </t>
  </si>
  <si>
    <t>M/BRAID 8mm S/GREEN 200mR</t>
  </si>
  <si>
    <t xml:space="preserve">5012568037829       </t>
  </si>
  <si>
    <t>M/BRAID 8mm S/NAVY 100mR</t>
  </si>
  <si>
    <t xml:space="preserve">5012568224915       </t>
  </si>
  <si>
    <t>M/BRAID 8mm S/NAVY 200mR</t>
  </si>
  <si>
    <t xml:space="preserve">5012568224922       </t>
  </si>
  <si>
    <t>M/BRAID 8mm S/RED 100mR</t>
  </si>
  <si>
    <t xml:space="preserve">5012568038055       </t>
  </si>
  <si>
    <t>M/BRAID 8mm S/RED 200mR</t>
  </si>
  <si>
    <t xml:space="preserve">5012568038062       </t>
  </si>
  <si>
    <t>M/BRAID 10mm NATURAL 100mR</t>
  </si>
  <si>
    <t xml:space="preserve">5012568246849       </t>
  </si>
  <si>
    <t>M/BRAID 10mm NATURAL 200mR</t>
  </si>
  <si>
    <t xml:space="preserve">5012568246856       </t>
  </si>
  <si>
    <t>M/BRAID 10mm S/BLUE 100mR</t>
  </si>
  <si>
    <t xml:space="preserve">5012568038628       </t>
  </si>
  <si>
    <t>M/BRAID 10mm S/BLUE 200mR</t>
  </si>
  <si>
    <t xml:space="preserve">5012568038635       </t>
  </si>
  <si>
    <t>M/BRAID 10mm S/GREEN 100mR</t>
  </si>
  <si>
    <t xml:space="preserve">5012568038789       </t>
  </si>
  <si>
    <t>M/BRAID 10mm S/GREEN 200mR</t>
  </si>
  <si>
    <t xml:space="preserve">5012568038796       </t>
  </si>
  <si>
    <t>M/BRAID 10mm S/NAVY 100mR</t>
  </si>
  <si>
    <t xml:space="preserve">5012568224939       </t>
  </si>
  <si>
    <t>M/BRAID 10mm S/NAVY 200mR</t>
  </si>
  <si>
    <t xml:space="preserve">5012568224946       </t>
  </si>
  <si>
    <t>M/BRAID 10mm S/RED 100mR</t>
  </si>
  <si>
    <t xml:space="preserve">5012568143216       </t>
  </si>
  <si>
    <t>M/BRAID 10mm S/RED 200mR</t>
  </si>
  <si>
    <t xml:space="preserve">5012568039038       </t>
  </si>
  <si>
    <t>M/BRAID 12mm NATURAL 100mR</t>
  </si>
  <si>
    <t xml:space="preserve">5012568246863       </t>
  </si>
  <si>
    <t>M/BRAID 12mm NATURAL 200mR</t>
  </si>
  <si>
    <t xml:space="preserve">5012568246870       </t>
  </si>
  <si>
    <t>M/BRAID 12mm S/BLUE 100mR</t>
  </si>
  <si>
    <t xml:space="preserve">5012568039106       </t>
  </si>
  <si>
    <t>M/BRAID 12mm S/BLUE 200mR</t>
  </si>
  <si>
    <t xml:space="preserve">5012568039113       </t>
  </si>
  <si>
    <t>M/BRAID 12mm S/GREEN 100mR</t>
  </si>
  <si>
    <t xml:space="preserve">5012568039267       </t>
  </si>
  <si>
    <t>M/BRAID 12mm S/GREEN 200mR</t>
  </si>
  <si>
    <t xml:space="preserve">5012568039274       </t>
  </si>
  <si>
    <t>M/BRAID 12mm S/NAVY 100mR</t>
  </si>
  <si>
    <t xml:space="preserve">5012568224953       </t>
  </si>
  <si>
    <t>M/BRAID 12mm S/NAVY 200mR</t>
  </si>
  <si>
    <t xml:space="preserve">5012568224960       </t>
  </si>
  <si>
    <t>M/BRAID 12mm S/RED 100mR</t>
  </si>
  <si>
    <t xml:space="preserve">5012568039502       </t>
  </si>
  <si>
    <t>M/BRAID 12mm S/RED 200mR</t>
  </si>
  <si>
    <t xml:space="preserve">5012568039519       </t>
  </si>
  <si>
    <t>M/BRAID 14mm NATURAL 100mR</t>
  </si>
  <si>
    <t xml:space="preserve">5012568246887       </t>
  </si>
  <si>
    <t>M/BRAID 14mm NATURAL 200mR</t>
  </si>
  <si>
    <t xml:space="preserve">5012568246894       </t>
  </si>
  <si>
    <t>M/BRAID 14mm S/BLUE 100mR</t>
  </si>
  <si>
    <t xml:space="preserve">5012568039588       </t>
  </si>
  <si>
    <t>M/BRAID 14mm S/BLUE 200mR</t>
  </si>
  <si>
    <t xml:space="preserve">5012568039595       </t>
  </si>
  <si>
    <t>M/BRAID 14mm S/GREEN 100mR</t>
  </si>
  <si>
    <t xml:space="preserve">5012568039724       </t>
  </si>
  <si>
    <t>M/BRAID 14mm S/GREEN 200mR</t>
  </si>
  <si>
    <t xml:space="preserve">5012568039731       </t>
  </si>
  <si>
    <t>M/BRAID 14mm S/NAVY 100mR</t>
  </si>
  <si>
    <t xml:space="preserve">5012568224977       </t>
  </si>
  <si>
    <t>M/BRAID 14mm S/NAVY 200mR</t>
  </si>
  <si>
    <t xml:space="preserve">5012568224984       </t>
  </si>
  <si>
    <t>M/BRAID 14mm S/RED 100mR</t>
  </si>
  <si>
    <t xml:space="preserve">5012568039939       </t>
  </si>
  <si>
    <t>M/BRAID 14mm S/RED 200mR</t>
  </si>
  <si>
    <t xml:space="preserve">5012568039946       </t>
  </si>
  <si>
    <t>M/BRAID 16mm NATURAL 100mR</t>
  </si>
  <si>
    <t xml:space="preserve">5012568246900       </t>
  </si>
  <si>
    <t>M/BRAID 16mm NATURAL 200mR</t>
  </si>
  <si>
    <t xml:space="preserve">5012568246917       </t>
  </si>
  <si>
    <t>M/BRAID 16mm S/BLUE 100mR</t>
  </si>
  <si>
    <t xml:space="preserve">5012568224991       </t>
  </si>
  <si>
    <t>M/BRAID 16mm S/BLUE 200mR</t>
  </si>
  <si>
    <t xml:space="preserve">5012568225004       </t>
  </si>
  <si>
    <t>M/BRAID 16mm S/GREEN 100mR</t>
  </si>
  <si>
    <t xml:space="preserve">5012568225011       </t>
  </si>
  <si>
    <t>M/BRAID 16mm S/GREEN 200mR</t>
  </si>
  <si>
    <t xml:space="preserve">5012568225028       </t>
  </si>
  <si>
    <t>M/BRAID 16mm S/NAVY 100mR</t>
  </si>
  <si>
    <t xml:space="preserve">5012568225035       </t>
  </si>
  <si>
    <t>M/BRAID 16mm S/NAVY 200mR</t>
  </si>
  <si>
    <t xml:space="preserve">5012568225042       </t>
  </si>
  <si>
    <t>M/BRAID 16mm S/RED 100mR</t>
  </si>
  <si>
    <t xml:space="preserve">5012568186435       </t>
  </si>
  <si>
    <t>M/BRAID 16mm S/RED 200mR</t>
  </si>
  <si>
    <t xml:space="preserve">5012568040133       </t>
  </si>
  <si>
    <t>M/BRAID 18mm NATURAL 100mR</t>
  </si>
  <si>
    <t xml:space="preserve">5012568246924       </t>
  </si>
  <si>
    <t>M/BRAID 18mm NATURAL 200mR</t>
  </si>
  <si>
    <t xml:space="preserve">5012568246931       </t>
  </si>
  <si>
    <t>M/BRAID 18mm S/BLUE 100mR</t>
  </si>
  <si>
    <t xml:space="preserve">5012568225066       </t>
  </si>
  <si>
    <t>M/BRAID 18mm S/GREEN 100mR</t>
  </si>
  <si>
    <t xml:space="preserve">5012568225073       </t>
  </si>
  <si>
    <t>M/BRAID 18mm S/NAVY 100mR</t>
  </si>
  <si>
    <t xml:space="preserve">5012568225080       </t>
  </si>
  <si>
    <t>M/BRAID 18mm S/RED 100mR</t>
  </si>
  <si>
    <t xml:space="preserve">5012568225059       </t>
  </si>
  <si>
    <t>KG0583</t>
  </si>
  <si>
    <t>M/BRAID 20mm NATURAL 100mR</t>
  </si>
  <si>
    <t xml:space="preserve">5012568247099       </t>
  </si>
  <si>
    <t>M/BRAID 20mm NATURAL 200mR</t>
  </si>
  <si>
    <t xml:space="preserve">5012568247105       </t>
  </si>
  <si>
    <t>KG0394</t>
  </si>
  <si>
    <t>M/BRAID 20mm S/BLUE 100mR</t>
  </si>
  <si>
    <t xml:space="preserve">5012568225103       </t>
  </si>
  <si>
    <t>KG0396</t>
  </si>
  <si>
    <t>M/BRAID 20mm S/GREEN 100mR</t>
  </si>
  <si>
    <t xml:space="preserve">5012568225110       </t>
  </si>
  <si>
    <t>KG0398</t>
  </si>
  <si>
    <t>M/BRAID 20mm S/NAVY 100mR</t>
  </si>
  <si>
    <t xml:space="preserve">5012568225127       </t>
  </si>
  <si>
    <t>KG0392</t>
  </si>
  <si>
    <t>M/BRAID 20mm S/RED 100mR</t>
  </si>
  <si>
    <t xml:space="preserve">5012568225097       </t>
  </si>
  <si>
    <t>MATTBRAID 24plt 8mm BLACK 200mR</t>
  </si>
  <si>
    <t xml:space="preserve">5012568253403       </t>
  </si>
  <si>
    <t>MATTBRAID 24plt 8mm BLUE 100mR</t>
  </si>
  <si>
    <t xml:space="preserve">5012568253373       </t>
  </si>
  <si>
    <t>MATTBRAID 24plt 8mm BLUE 200mR</t>
  </si>
  <si>
    <t xml:space="preserve">5012568253380       </t>
  </si>
  <si>
    <t>MATTBRAID 24plt 8mm RED 100mR</t>
  </si>
  <si>
    <t xml:space="preserve">5012568253410       </t>
  </si>
  <si>
    <t>MATTBRAID 24plt 8mm RED 200mR</t>
  </si>
  <si>
    <t xml:space="preserve">5012568253427       </t>
  </si>
  <si>
    <t>MATTBRAID 24plt 8mm WHITE 100mR</t>
  </si>
  <si>
    <t xml:space="preserve">5012568253359       </t>
  </si>
  <si>
    <t>MATTBRAID 24plt 8mm WHITE 200mR</t>
  </si>
  <si>
    <t xml:space="preserve">5012568253366       </t>
  </si>
  <si>
    <t>MATTBRAID 24plt 10mm BLACK 100mR</t>
  </si>
  <si>
    <t xml:space="preserve">5012568253472       </t>
  </si>
  <si>
    <t>MATTBRAID 24plt 10mm BLACK 200mR</t>
  </si>
  <si>
    <t xml:space="preserve">5012568253489       </t>
  </si>
  <si>
    <t>MATTBRAID 24plt 10mm BLUE 100mR</t>
  </si>
  <si>
    <t xml:space="preserve">5012568253458       </t>
  </si>
  <si>
    <t>MATTBRAID 24plt 10mm BLUE 200mR</t>
  </si>
  <si>
    <t xml:space="preserve">5012568253465       </t>
  </si>
  <si>
    <t>MATTBRAID 24plt 10mm RED 100mR</t>
  </si>
  <si>
    <t xml:space="preserve">5012568253496       </t>
  </si>
  <si>
    <t>MATTBRAID 24plt 10mm RED 200mR</t>
  </si>
  <si>
    <t xml:space="preserve">5012568253502       </t>
  </si>
  <si>
    <t>MATTBRAID 24plt 10mm WHITE 100mR</t>
  </si>
  <si>
    <t xml:space="preserve">5012568253434       </t>
  </si>
  <si>
    <t>KJ1021</t>
  </si>
  <si>
    <t>MATTBRAID 24plt 10mm WHITE 200mR</t>
  </si>
  <si>
    <t xml:space="preserve">5012568253441       </t>
  </si>
  <si>
    <t>MATTBRAID 24plt 12mm BLACK 100mR</t>
  </si>
  <si>
    <t xml:space="preserve">5012568253557       </t>
  </si>
  <si>
    <t>MATTBRAID 24plt 12mm BLACK 200mR</t>
  </si>
  <si>
    <t xml:space="preserve">5012568253564       </t>
  </si>
  <si>
    <t>MATTBRAID 24plt 12mm BLUE 100mR</t>
  </si>
  <si>
    <t xml:space="preserve">5012568253533       </t>
  </si>
  <si>
    <t>MATTBRAID 24plt 12mm BLUE 200mR</t>
  </si>
  <si>
    <t xml:space="preserve">5012568253540       </t>
  </si>
  <si>
    <t>MATTBRAID 24plt 12mm RED 100mR</t>
  </si>
  <si>
    <t xml:space="preserve">5012568253571       </t>
  </si>
  <si>
    <t>MATTBRAID 24plt 12mm RED 200mR</t>
  </si>
  <si>
    <t xml:space="preserve">5012568253588       </t>
  </si>
  <si>
    <t>KJ1030</t>
  </si>
  <si>
    <t>MATTBRAID 24plt 12mm WHITE 100mR</t>
  </si>
  <si>
    <t xml:space="preserve">5012568253519       </t>
  </si>
  <si>
    <t>MATTBRAID 24plt 12mm WHITE 200mR</t>
  </si>
  <si>
    <t xml:space="preserve">5012568253526       </t>
  </si>
  <si>
    <t>MATTBRAID 24plt 14mm BLACK 100mR</t>
  </si>
  <si>
    <t xml:space="preserve">5012568253632       </t>
  </si>
  <si>
    <t>MATTBRAID 24plt 14mm BLACK 200mR</t>
  </si>
  <si>
    <t xml:space="preserve">5012568253649       </t>
  </si>
  <si>
    <t>MATTBRAID 24plt 14mm BLUE 100mR</t>
  </si>
  <si>
    <t xml:space="preserve">5012568287941       </t>
  </si>
  <si>
    <t>MATTBRAID 24plt 14mm BLUE 200mR</t>
  </si>
  <si>
    <t xml:space="preserve">5012568253625       </t>
  </si>
  <si>
    <t>MATTBRAID 24plt 14mm RED 100mR</t>
  </si>
  <si>
    <t xml:space="preserve">5012568253656       </t>
  </si>
  <si>
    <t>MATTBRAID 24plt 14mm RED 200mR</t>
  </si>
  <si>
    <t xml:space="preserve">5012568253663       </t>
  </si>
  <si>
    <t>MATTBRAID 24plt 14mm WHITE 100mR</t>
  </si>
  <si>
    <t xml:space="preserve">5012568253595       </t>
  </si>
  <si>
    <t>MATTBRAID 24plt 14mm WHITE 200mR</t>
  </si>
  <si>
    <t xml:space="preserve">5012568253601       </t>
  </si>
  <si>
    <t>MATTBRAID 24plt 16mm BLACK 100mR</t>
  </si>
  <si>
    <t xml:space="preserve">5012568253717       </t>
  </si>
  <si>
    <t>MATTBRAID 24plt 16mm BLACK 200mR</t>
  </si>
  <si>
    <t xml:space="preserve">5012568253724       </t>
  </si>
  <si>
    <t>MATTBRAID 24plt 16mm BLUE 100mR</t>
  </si>
  <si>
    <t xml:space="preserve">5012568253694       </t>
  </si>
  <si>
    <t>QA26/159</t>
  </si>
  <si>
    <t>MATTBRAID 24plt 16mm BLUE 200mR</t>
  </si>
  <si>
    <t xml:space="preserve">5012568253700       </t>
  </si>
  <si>
    <t>MATTBRAID 24plt 16mm RED 100mR</t>
  </si>
  <si>
    <t xml:space="preserve">5012568253731       </t>
  </si>
  <si>
    <t>MATTBRAID 24plt 16mm RED 200mR</t>
  </si>
  <si>
    <t xml:space="preserve">5012568253748       </t>
  </si>
  <si>
    <t>MATTBRAID 24plt 16mm WHITE 100mR</t>
  </si>
  <si>
    <t xml:space="preserve">5012568253670       </t>
  </si>
  <si>
    <t>MATTBRAID 24plt 16mm WHITE 200mR</t>
  </si>
  <si>
    <t xml:space="preserve">5012568253687       </t>
  </si>
  <si>
    <t>MATTBRAID 24plt 18mm BLACK 100mR</t>
  </si>
  <si>
    <t xml:space="preserve">5012568253793       </t>
  </si>
  <si>
    <t>MATTBRAID 24plt 18mm BLACK 200mR</t>
  </si>
  <si>
    <t xml:space="preserve">5012568253809       </t>
  </si>
  <si>
    <t>MATTBRAID 24plt 18mm BLUE 100mR</t>
  </si>
  <si>
    <t xml:space="preserve">5012568253779       </t>
  </si>
  <si>
    <t>MATTBRAID 24plt 18mm BLUE 200mR</t>
  </si>
  <si>
    <t xml:space="preserve">5012568253786       </t>
  </si>
  <si>
    <t>MATTBRAID 24plt 18mm RED 100mR</t>
  </si>
  <si>
    <t xml:space="preserve">5012568253816       </t>
  </si>
  <si>
    <t>MATTBRAID 24plt 18mm RED 200mR</t>
  </si>
  <si>
    <t xml:space="preserve">5012568253823       </t>
  </si>
  <si>
    <t>MATTBRAID 24plt 18mm WHITE 100mR</t>
  </si>
  <si>
    <t xml:space="preserve">5012568253755       </t>
  </si>
  <si>
    <t>MATTBRAID 24plt 18mm WHITE 200mR</t>
  </si>
  <si>
    <t xml:space="preserve">5012568253762       </t>
  </si>
  <si>
    <t>MATTBRAID 16plt 20mm BLACK 100mR</t>
  </si>
  <si>
    <t xml:space="preserve">5012568043714       </t>
  </si>
  <si>
    <t>QA26-159</t>
  </si>
  <si>
    <t>MATTBRAID 16plt 20mm BLUE 100mR</t>
  </si>
  <si>
    <t xml:space="preserve">5012568043646       </t>
  </si>
  <si>
    <t>MATTBRAID 16plt 20mm RED 100mR</t>
  </si>
  <si>
    <t xml:space="preserve">5012568043929       </t>
  </si>
  <si>
    <t>MATTBRAID 16plt 20mm WHITE 100mR</t>
  </si>
  <si>
    <t xml:space="preserve">5012568043578       </t>
  </si>
  <si>
    <t>MATTBRAID 24plt 8mm BLACK 100mR</t>
  </si>
  <si>
    <t xml:space="preserve">5012568253397       </t>
  </si>
  <si>
    <t>EXCEL ELITE 99 4mm BLUE 100mR</t>
  </si>
  <si>
    <t xml:space="preserve">5012568283011       </t>
  </si>
  <si>
    <t>EXCEL ELITE 99 4mm BLUE 200mR</t>
  </si>
  <si>
    <t xml:space="preserve">5012568291153       </t>
  </si>
  <si>
    <t>EXCEL ELITE 99 4mm RED 100mR</t>
  </si>
  <si>
    <t xml:space="preserve">5012568283028       </t>
  </si>
  <si>
    <t>EXCEL ELITE 99 4mm RED 200mR</t>
  </si>
  <si>
    <t xml:space="preserve">5012568291160       </t>
  </si>
  <si>
    <t>EXCEL ELITE 99 5mm BLUE 100mR</t>
  </si>
  <si>
    <t xml:space="preserve">5012568283899       </t>
  </si>
  <si>
    <t>EXCEL ELITE 99 5mm BLUE 200mR</t>
  </si>
  <si>
    <t xml:space="preserve">5012568291177       </t>
  </si>
  <si>
    <t>EXCEL ELITE 99 5mm RED 100mR</t>
  </si>
  <si>
    <t xml:space="preserve">5012568291597       </t>
  </si>
  <si>
    <t>EXCEL ELITE 99 5mm RED 200mR</t>
  </si>
  <si>
    <t xml:space="preserve">5012568291184       </t>
  </si>
  <si>
    <t>EXCEL ELITE 99 6mm BLUE 100mR</t>
  </si>
  <si>
    <t xml:space="preserve">5012568283905       </t>
  </si>
  <si>
    <t>EXCEL ELITE 99 6mm BLUE 200mR</t>
  </si>
  <si>
    <t xml:space="preserve">5012568291610       </t>
  </si>
  <si>
    <t>EXCEL ELITE 99 6mm RED 100mR</t>
  </si>
  <si>
    <t xml:space="preserve">5012568291313       </t>
  </si>
  <si>
    <t>EXCEL ELITE 99 6mm RED 200mR</t>
  </si>
  <si>
    <t xml:space="preserve">5012568291603       </t>
  </si>
  <si>
    <t>EXCEL RACING GP 78 4mm LIME 100mR</t>
  </si>
  <si>
    <t xml:space="preserve">5012568268605       </t>
  </si>
  <si>
    <t>EXCEL RACING GP 78 4mm LIME 200mR</t>
  </si>
  <si>
    <t xml:space="preserve">5012568285329       </t>
  </si>
  <si>
    <t>EXCEL RACING GP 78 4mm ORANGE 100mR</t>
  </si>
  <si>
    <t xml:space="preserve">5012568268629       </t>
  </si>
  <si>
    <t>EXCEL RACING GP 78 4mm ORANGE 200mR</t>
  </si>
  <si>
    <t xml:space="preserve">5012568268636       </t>
  </si>
  <si>
    <t>EXCEL RACING GP 78 4mm PINK 100mR</t>
  </si>
  <si>
    <t xml:space="preserve">5012568274514       </t>
  </si>
  <si>
    <t>EXCEL RACING GP 78 4mm PINK 200mR</t>
  </si>
  <si>
    <t xml:space="preserve">5012568274521       </t>
  </si>
  <si>
    <t>EXCEL RACING GP 78 5mm LIME 100mR</t>
  </si>
  <si>
    <t xml:space="preserve">5012568268643       </t>
  </si>
  <si>
    <t>EXCEL RACING GP 78 5mm LIME 200mR</t>
  </si>
  <si>
    <t xml:space="preserve">5012568268650       </t>
  </si>
  <si>
    <t>EXCEL RACING GP 78 5mm ORANGE 100mR</t>
  </si>
  <si>
    <t xml:space="preserve">5012568268667       </t>
  </si>
  <si>
    <t>EXCEL RACING GP 78 5mm ORANGE 200mR</t>
  </si>
  <si>
    <t xml:space="preserve">5012568268674       </t>
  </si>
  <si>
    <t>EXCEL RACING GP 78 5mm PINK 100mR</t>
  </si>
  <si>
    <t xml:space="preserve">5012568274538       </t>
  </si>
  <si>
    <t>EXCEL RACING GP 78 5mm PINK 200mR</t>
  </si>
  <si>
    <t xml:space="preserve">5012568274545       </t>
  </si>
  <si>
    <t>EXCEL RACING GP 78 6mm LIME 100mR</t>
  </si>
  <si>
    <t xml:space="preserve">5012568268681       </t>
  </si>
  <si>
    <t>EXCEL RACING GP 78 6mm LIME 200mR</t>
  </si>
  <si>
    <t xml:space="preserve">5012568268698       </t>
  </si>
  <si>
    <t>EXCEL RACING GP 78 6mm ORANGE 100mR</t>
  </si>
  <si>
    <t xml:space="preserve">5012568268704       </t>
  </si>
  <si>
    <t>EXCEL RACING GP 78 6mm ORANGE 200mR</t>
  </si>
  <si>
    <t xml:space="preserve">5012568268711       </t>
  </si>
  <si>
    <t>EXCEL RACING GP 78 6mm PINK 100mR</t>
  </si>
  <si>
    <t xml:space="preserve">5012568274552       </t>
  </si>
  <si>
    <t>EXCEL RACING GP 78 6mm PINK 200mR</t>
  </si>
  <si>
    <t xml:space="preserve">5012568274569       </t>
  </si>
  <si>
    <t>EXCEL RACING 1.5mm Blue 100m R</t>
  </si>
  <si>
    <t xml:space="preserve">5012568259535       </t>
  </si>
  <si>
    <t>QA26-453</t>
  </si>
  <si>
    <t>EXCEL RACING 1.5mm Blue 200m R</t>
  </si>
  <si>
    <t xml:space="preserve">5012568259542       </t>
  </si>
  <si>
    <t>EXCEL RACING 1.5mm Lime 100m R</t>
  </si>
  <si>
    <t xml:space="preserve">5012568259818       </t>
  </si>
  <si>
    <t>EXCEL RACING 1.5mm Lime 200m R</t>
  </si>
  <si>
    <t xml:space="preserve">5012568259825       </t>
  </si>
  <si>
    <t>EXCEL RACING 1.5mm Red 100m R</t>
  </si>
  <si>
    <t xml:space="preserve">5012568259467       </t>
  </si>
  <si>
    <t>EXCEL RACING 1.5mm Red 200m R</t>
  </si>
  <si>
    <t xml:space="preserve">5012568259474       </t>
  </si>
  <si>
    <t>EXCEL RACING 2mm Blue 100m R</t>
  </si>
  <si>
    <t xml:space="preserve">5012568260029       </t>
  </si>
  <si>
    <t>EXCEL RACING 2mm Blue 200m R</t>
  </si>
  <si>
    <t xml:space="preserve">5012568260036       </t>
  </si>
  <si>
    <t>EXCEL RACING 2mm Lime 100m R</t>
  </si>
  <si>
    <t xml:space="preserve">5012568260302       </t>
  </si>
  <si>
    <t>EXCEL RACING 2mm Lime 200m R</t>
  </si>
  <si>
    <t xml:space="preserve">5012568260319       </t>
  </si>
  <si>
    <t>EXCEL RACING 2mm Red 100m R</t>
  </si>
  <si>
    <t xml:space="preserve">5012568259955       </t>
  </si>
  <si>
    <t>EXCEL RACING 2mm Red 200m R</t>
  </si>
  <si>
    <t xml:space="preserve">5012568259962       </t>
  </si>
  <si>
    <t>EXCEL RACING 3mm BLACK/GREY 100mR</t>
  </si>
  <si>
    <t xml:space="preserve">5012568381045       </t>
  </si>
  <si>
    <t>EXCEL RACING 3mm BLACK/GREY 200mR</t>
  </si>
  <si>
    <t xml:space="preserve">5012568381052       </t>
  </si>
  <si>
    <t>EXCEL RACING 4mm BLACK/GREY 100mR</t>
  </si>
  <si>
    <t xml:space="preserve">5012568381168       </t>
  </si>
  <si>
    <t>EXCEL RACING 4mm BLACK/GREY 200mR</t>
  </si>
  <si>
    <t xml:space="preserve">5012568381175       </t>
  </si>
  <si>
    <t>EXCEL RACING 5mm BLACK/GREY 100mR</t>
  </si>
  <si>
    <t xml:space="preserve">5012568381281       </t>
  </si>
  <si>
    <t>EXCEL RACING 5mm BLACK/GREY 200mR</t>
  </si>
  <si>
    <t xml:space="preserve">5012568381298       </t>
  </si>
  <si>
    <t>EXCEL RACING 6mm BLACK/GREY 100mR</t>
  </si>
  <si>
    <t xml:space="preserve">5012568381403       </t>
  </si>
  <si>
    <t>EXCEL RACING 6mm BLACK/GREY 200mR</t>
  </si>
  <si>
    <t xml:space="preserve">5012568381410       </t>
  </si>
  <si>
    <t>EXCEL RACING 3mm BLUE/GREY 100mR</t>
  </si>
  <si>
    <t xml:space="preserve">5012568381083       </t>
  </si>
  <si>
    <t>EXCEL RACING 3mm BLUE/GREY 200mR</t>
  </si>
  <si>
    <t xml:space="preserve">5012568381090       </t>
  </si>
  <si>
    <t>EXCEL RACING 4mm BLUE/GREY 100mR</t>
  </si>
  <si>
    <t xml:space="preserve">5012568381205       </t>
  </si>
  <si>
    <t>EXCEL RACING 4mm BLUE/GREY 200mR</t>
  </si>
  <si>
    <t xml:space="preserve">5012568381212       </t>
  </si>
  <si>
    <t>EXCEL RACING 5mm BLUE/GREY 100mR</t>
  </si>
  <si>
    <t xml:space="preserve">5012568381328       </t>
  </si>
  <si>
    <t>EXCEL RACING 5mm BLUE/GREY 200mR</t>
  </si>
  <si>
    <t xml:space="preserve">5012568381335       </t>
  </si>
  <si>
    <t>EXCEL RACING 6mm BLUE/GREY 100mR</t>
  </si>
  <si>
    <t xml:space="preserve">5012568381441       </t>
  </si>
  <si>
    <t>EXCEL RACING 6mm BLUE/GREY 200mR</t>
  </si>
  <si>
    <t xml:space="preserve">5012568381458       </t>
  </si>
  <si>
    <t>EXCEL RACING 3mm LIME/GREY 100mR</t>
  </si>
  <si>
    <t xml:space="preserve">5012568381106       </t>
  </si>
  <si>
    <t>EXCEL RACING 3mm LIME/GREY 200mR</t>
  </si>
  <si>
    <t xml:space="preserve">5012568381113       </t>
  </si>
  <si>
    <t>EXCEL RACING 4mm LIME/GREY 100mR</t>
  </si>
  <si>
    <t xml:space="preserve">5012568381229       </t>
  </si>
  <si>
    <t>EXCEL RACING 4mm LIME/GREY 200mR</t>
  </si>
  <si>
    <t xml:space="preserve">5012568381236       </t>
  </si>
  <si>
    <t>EXCEL RACING 5mm LIME/GREY 100mR</t>
  </si>
  <si>
    <t xml:space="preserve">5012568381342       </t>
  </si>
  <si>
    <t>EXCEL RACING 5mm LIME/GREY 200mR</t>
  </si>
  <si>
    <t xml:space="preserve">5012568381359       </t>
  </si>
  <si>
    <t>EXCEL RACING 6mm LIME/GREY 100mR</t>
  </si>
  <si>
    <t xml:space="preserve">5012568381465       </t>
  </si>
  <si>
    <t>EXCEL RACING 6mm LIME/GREY 200mR</t>
  </si>
  <si>
    <t xml:space="preserve">5012568381472       </t>
  </si>
  <si>
    <t>EXCEL RACING 3mm ORANGE/GREY 100mR</t>
  </si>
  <si>
    <t xml:space="preserve">5012568381144       </t>
  </si>
  <si>
    <t>EXCEL RACING 3mm ORANGE/GREY 200mR</t>
  </si>
  <si>
    <t xml:space="preserve">5012568381151       </t>
  </si>
  <si>
    <t>EXCEL RACING 4mm ORANGE/GREY 100mR</t>
  </si>
  <si>
    <t xml:space="preserve">5012568381267       </t>
  </si>
  <si>
    <t>EXCEL RACING 4mm ORANGE/GREY 200mR</t>
  </si>
  <si>
    <t xml:space="preserve">5012568381274       </t>
  </si>
  <si>
    <t>EXCEL RACING 5mm ORANGE/GREY 100mR</t>
  </si>
  <si>
    <t xml:space="preserve">5012568381380       </t>
  </si>
  <si>
    <t>EXCEL RACING 5mm ORANGE/GREY 200mR</t>
  </si>
  <si>
    <t xml:space="preserve">5012568381397       </t>
  </si>
  <si>
    <t>EXCEL RACING 6mm ORANGE/GREY 100mR</t>
  </si>
  <si>
    <t xml:space="preserve">5012568381502       </t>
  </si>
  <si>
    <t>EXCEL RACING 6mm ORANGE/GREY 200mR</t>
  </si>
  <si>
    <t xml:space="preserve">5012568381519       </t>
  </si>
  <si>
    <t>EXCEL RACING 3mm RED/GREY 100mR</t>
  </si>
  <si>
    <t xml:space="preserve">5012568381069       </t>
  </si>
  <si>
    <t>EXCEL RACING 3mm RED/GREY 200mR</t>
  </si>
  <si>
    <t xml:space="preserve">5012568381076       </t>
  </si>
  <si>
    <t>EXCEL RACING 4mm RED/GREY 100mR</t>
  </si>
  <si>
    <t xml:space="preserve">5012568381182       </t>
  </si>
  <si>
    <t>EXCEL RACING 4mm RED/GREY 200mR</t>
  </si>
  <si>
    <t xml:space="preserve">5012568381199       </t>
  </si>
  <si>
    <t>EXCEL RACING 5mm RED/GREY 100mR</t>
  </si>
  <si>
    <t xml:space="preserve">5012568381304       </t>
  </si>
  <si>
    <t>EXCEL RACING 5mm RED/GREY 200mR</t>
  </si>
  <si>
    <t xml:space="preserve">5012568381311       </t>
  </si>
  <si>
    <t>EXCEL RACING 6mm RED/GREY 100mR</t>
  </si>
  <si>
    <t xml:space="preserve">5012568381427       </t>
  </si>
  <si>
    <t>EXCEL RACING 6mm RED/GREY 200mR</t>
  </si>
  <si>
    <t xml:space="preserve">5012568381434       </t>
  </si>
  <si>
    <t>EXCEL RACING 3mm WHITE/GREY 100mR</t>
  </si>
  <si>
    <t xml:space="preserve">5012568381120       </t>
  </si>
  <si>
    <t>EXCEL RACING 3mm WHITE/GREY 200mR</t>
  </si>
  <si>
    <t xml:space="preserve">5012568381137       </t>
  </si>
  <si>
    <t>EXCEL RACING 4mm WHITE/GREY 100mR</t>
  </si>
  <si>
    <t xml:space="preserve">5012568381243       </t>
  </si>
  <si>
    <t>EXCEL RACING 4mm WHITE/GREY 200mR</t>
  </si>
  <si>
    <t xml:space="preserve">5012568381250       </t>
  </si>
  <si>
    <t>EXCEL RACING 5mm WHITE/GREY 100mR</t>
  </si>
  <si>
    <t xml:space="preserve">5012568381366       </t>
  </si>
  <si>
    <t>EXCEL RACING 5mm WHITE/GREY 200mR</t>
  </si>
  <si>
    <t xml:space="preserve">5012568381373       </t>
  </si>
  <si>
    <t>EXCEL RACING 6mm WHITE/GREY 100mR</t>
  </si>
  <si>
    <t xml:space="preserve">5012568381489       </t>
  </si>
  <si>
    <t>EXCEL RACING 6mm WHITE/GREY 200mR</t>
  </si>
  <si>
    <t xml:space="preserve">5012568381496       </t>
  </si>
  <si>
    <t>ER0125</t>
  </si>
  <si>
    <t>EXCEL RACING 3mm Black 100m R</t>
  </si>
  <si>
    <t xml:space="preserve">5012568260654       </t>
  </si>
  <si>
    <t>ER0126</t>
  </si>
  <si>
    <t>EXCEL RACING 3mm Black 200m R</t>
  </si>
  <si>
    <t xml:space="preserve">5012568260661       </t>
  </si>
  <si>
    <t>ER0111</t>
  </si>
  <si>
    <t>EXCEL RACING 3mm Blue 100m R</t>
  </si>
  <si>
    <t xml:space="preserve">5012568260517       </t>
  </si>
  <si>
    <t>ER0112</t>
  </si>
  <si>
    <t>EXCEL RACING 3mm Blue 200m R</t>
  </si>
  <si>
    <t xml:space="preserve">5012568260524       </t>
  </si>
  <si>
    <t>ER0132</t>
  </si>
  <si>
    <t>EXCEL RACING 3mm Grey 100m R</t>
  </si>
  <si>
    <t xml:space="preserve">5012568260722       </t>
  </si>
  <si>
    <t>ER0133</t>
  </si>
  <si>
    <t>EXCEL RACING 3mm Grey 200m R</t>
  </si>
  <si>
    <t xml:space="preserve">5012568260739       </t>
  </si>
  <si>
    <t>ER0139</t>
  </si>
  <si>
    <t>EXCEL RACING 3mm Lime 100m R</t>
  </si>
  <si>
    <t xml:space="preserve">5012568260791       </t>
  </si>
  <si>
    <t>ER0140</t>
  </si>
  <si>
    <t>EXCEL RACING 3mm Lime 200m R</t>
  </si>
  <si>
    <t xml:space="preserve">5012568260807       </t>
  </si>
  <si>
    <t>ER0104</t>
  </si>
  <si>
    <t>EXCEL RACING 3mm Red 100m R</t>
  </si>
  <si>
    <t xml:space="preserve">5012568260449       </t>
  </si>
  <si>
    <t>ER0105</t>
  </si>
  <si>
    <t>EXCEL RACING 3mm Red 200m R</t>
  </si>
  <si>
    <t xml:space="preserve">5012568260456       </t>
  </si>
  <si>
    <t>ER0118</t>
  </si>
  <si>
    <t>EXCEL RACING 3mm White 100m R</t>
  </si>
  <si>
    <t xml:space="preserve">5012568260586       </t>
  </si>
  <si>
    <t>ER0119</t>
  </si>
  <si>
    <t>EXCEL RACING 3mm White 200m R</t>
  </si>
  <si>
    <t xml:space="preserve">5012568260593       </t>
  </si>
  <si>
    <t>ER0174</t>
  </si>
  <si>
    <t>EXCEL RACING 4mm Black 100m R</t>
  </si>
  <si>
    <t xml:space="preserve">5012568261149       </t>
  </si>
  <si>
    <t>ER0175</t>
  </si>
  <si>
    <t>EXCEL RACING 4mm Black 200m R</t>
  </si>
  <si>
    <t xml:space="preserve">5012568261156       </t>
  </si>
  <si>
    <t>ER0160</t>
  </si>
  <si>
    <t>EXCEL RACING 4mm Blue 100m R</t>
  </si>
  <si>
    <t xml:space="preserve">5012568261002       </t>
  </si>
  <si>
    <t>ER0161</t>
  </si>
  <si>
    <t>EXCEL RACING 4mm Blue 200m R</t>
  </si>
  <si>
    <t xml:space="preserve">5012568261019       </t>
  </si>
  <si>
    <t>ER0181</t>
  </si>
  <si>
    <t>EXCEL RACING 4mm Grey 100m R</t>
  </si>
  <si>
    <t xml:space="preserve">5012568261217       </t>
  </si>
  <si>
    <t>ER0182</t>
  </si>
  <si>
    <t>EXCEL RACING 4mm Grey 200m R</t>
  </si>
  <si>
    <t xml:space="preserve">5012568261224       </t>
  </si>
  <si>
    <t>ER0188</t>
  </si>
  <si>
    <t>EXCEL RACING 4mm Lime 100m R</t>
  </si>
  <si>
    <t xml:space="preserve">5012568261286       </t>
  </si>
  <si>
    <t>ER0189</t>
  </si>
  <si>
    <t>EXCEL RACING 4mm Lime 200m R</t>
  </si>
  <si>
    <t xml:space="preserve">5012568261293       </t>
  </si>
  <si>
    <t>ER0191</t>
  </si>
  <si>
    <t>EXCEL RACING 4mm PINK 100m R</t>
  </si>
  <si>
    <t xml:space="preserve">5012568274576       </t>
  </si>
  <si>
    <t>ER0192</t>
  </si>
  <si>
    <t>EXCEL RACING 4mm PINK 200m R</t>
  </si>
  <si>
    <t xml:space="preserve">5012568274583       </t>
  </si>
  <si>
    <t>ER0153</t>
  </si>
  <si>
    <t>EXCEL RACING 4mm Red 100m R</t>
  </si>
  <si>
    <t xml:space="preserve">5012568260937       </t>
  </si>
  <si>
    <t>ER0154</t>
  </si>
  <si>
    <t>EXCEL RACING 4mm Red 200m R</t>
  </si>
  <si>
    <t xml:space="preserve">5012568260944       </t>
  </si>
  <si>
    <t>ER0167</t>
  </si>
  <si>
    <t>EXCEL RACING 4mm White 100m R</t>
  </si>
  <si>
    <t xml:space="preserve">5012568261071       </t>
  </si>
  <si>
    <t>ER0168</t>
  </si>
  <si>
    <t>EXCEL RACING 4mm White 200m R</t>
  </si>
  <si>
    <t xml:space="preserve">5012568261088       </t>
  </si>
  <si>
    <t>ER0223</t>
  </si>
  <si>
    <t>EXCEL RACING 5mm Black 100m R</t>
  </si>
  <si>
    <t xml:space="preserve">5012568261637       </t>
  </si>
  <si>
    <t>ER0224</t>
  </si>
  <si>
    <t>EXCEL RACING 5mm Black 200m R</t>
  </si>
  <si>
    <t xml:space="preserve">5012568261644       </t>
  </si>
  <si>
    <t>ER0209</t>
  </si>
  <si>
    <t>EXCEL RACING 5mm Blue 100m R</t>
  </si>
  <si>
    <t xml:space="preserve">5012568261491       </t>
  </si>
  <si>
    <t>ER0210</t>
  </si>
  <si>
    <t>EXCEL RACING 5mm Blue 200m R</t>
  </si>
  <si>
    <t xml:space="preserve">5012568261507       </t>
  </si>
  <si>
    <t>ER0230</t>
  </si>
  <si>
    <t>EXCEL RACING 5mm Grey 100m R</t>
  </si>
  <si>
    <t xml:space="preserve">5012568261705       </t>
  </si>
  <si>
    <t>ER0231</t>
  </si>
  <si>
    <t>EXCEL RACING 5mm Grey 200m R</t>
  </si>
  <si>
    <t xml:space="preserve">5012568261712       </t>
  </si>
  <si>
    <t>ER0237</t>
  </si>
  <si>
    <t>EXCEL RACING 5mm Lime 100m R</t>
  </si>
  <si>
    <t xml:space="preserve">5012568261774       </t>
  </si>
  <si>
    <t>ER0238</t>
  </si>
  <si>
    <t>EXCEL RACING 5mm Lime 200m R</t>
  </si>
  <si>
    <t xml:space="preserve">5012568261781       </t>
  </si>
  <si>
    <t>ER0240</t>
  </si>
  <si>
    <t>EXCEL RACING 5mm PINK 100m R</t>
  </si>
  <si>
    <t xml:space="preserve">5012568274590       </t>
  </si>
  <si>
    <t>ER0241</t>
  </si>
  <si>
    <t>EXCEL RACING 5mm PINK 200m R</t>
  </si>
  <si>
    <t xml:space="preserve">5012568274606       </t>
  </si>
  <si>
    <t>ER0202</t>
  </si>
  <si>
    <t>EXCEL RACING 5mm Red 100m R</t>
  </si>
  <si>
    <t xml:space="preserve">5012568261422       </t>
  </si>
  <si>
    <t>ER0203</t>
  </si>
  <si>
    <t>EXCEL RACING 5mm Red 200m R</t>
  </si>
  <si>
    <t xml:space="preserve">5012568261439       </t>
  </si>
  <si>
    <t>ER0216</t>
  </si>
  <si>
    <t>EXCEL RACING 5mm White 100m R</t>
  </si>
  <si>
    <t xml:space="preserve">5012568261569       </t>
  </si>
  <si>
    <t>ER0217</t>
  </si>
  <si>
    <t>EXCEL RACING 5mm White 200m R</t>
  </si>
  <si>
    <t xml:space="preserve">5012568261576       </t>
  </si>
  <si>
    <t>ER0272</t>
  </si>
  <si>
    <t>EXCEL RACING 6mm Black 100m R</t>
  </si>
  <si>
    <t xml:space="preserve">5012568261125       </t>
  </si>
  <si>
    <t>ER0273</t>
  </si>
  <si>
    <t>EXCEL RACING 6mm Black 200m R</t>
  </si>
  <si>
    <t xml:space="preserve">5012568261132       </t>
  </si>
  <si>
    <t>ER0258</t>
  </si>
  <si>
    <t>EXCEL RACING 6mm Blue 100m R</t>
  </si>
  <si>
    <t xml:space="preserve">5012568261989       </t>
  </si>
  <si>
    <t>ER0259</t>
  </si>
  <si>
    <t>EXCEL RACING 6mm Blue 200m R</t>
  </si>
  <si>
    <t xml:space="preserve">5012568261996       </t>
  </si>
  <si>
    <t>ER0279</t>
  </si>
  <si>
    <t>EXCEL RACING 6mm Grey 100m R</t>
  </si>
  <si>
    <t xml:space="preserve">5012568261194       </t>
  </si>
  <si>
    <t>ER0280</t>
  </si>
  <si>
    <t>EXCEL RACING 6mm Grey 200m R</t>
  </si>
  <si>
    <t xml:space="preserve">5012568261200       </t>
  </si>
  <si>
    <t>ER0286</t>
  </si>
  <si>
    <t>EXCEL RACING 6mm Lime 100m R</t>
  </si>
  <si>
    <t xml:space="preserve">5012568261262       </t>
  </si>
  <si>
    <t>ER0287</t>
  </si>
  <si>
    <t>EXCEL RACING 6mm Lime 200m R</t>
  </si>
  <si>
    <t xml:space="preserve">5012568261279       </t>
  </si>
  <si>
    <t>ER0288</t>
  </si>
  <si>
    <t>EXCEL RACING 6mm PINK 100m R</t>
  </si>
  <si>
    <t xml:space="preserve">5012568274613       </t>
  </si>
  <si>
    <t>ER0289</t>
  </si>
  <si>
    <t>EXCEL RACING 6mm PINK 200m R</t>
  </si>
  <si>
    <t xml:space="preserve">5012568274620       </t>
  </si>
  <si>
    <t>ER0251</t>
  </si>
  <si>
    <t>EXCEL RACING 6mm Red 100m R</t>
  </si>
  <si>
    <t xml:space="preserve">5012568261910       </t>
  </si>
  <si>
    <t>ER0252</t>
  </si>
  <si>
    <t>EXCEL RACING 6mm Red 200m R</t>
  </si>
  <si>
    <t xml:space="preserve">5012568261927       </t>
  </si>
  <si>
    <t>ER0265</t>
  </si>
  <si>
    <t>EXCEL RACING 6mm White 100m R</t>
  </si>
  <si>
    <t xml:space="preserve">5012568261057       </t>
  </si>
  <si>
    <t>ER0266</t>
  </si>
  <si>
    <t>EXCEL RACING 6mm White 200m R</t>
  </si>
  <si>
    <t xml:space="preserve">5012568261064       </t>
  </si>
  <si>
    <t>ET0002</t>
  </si>
  <si>
    <t>EXCEL TAPER 6mm BLUE 100mR</t>
  </si>
  <si>
    <t xml:space="preserve">5012568264706       </t>
  </si>
  <si>
    <t>ET0003</t>
  </si>
  <si>
    <t>EXCEL TAPER 6mm BLUE 200mR</t>
  </si>
  <si>
    <t xml:space="preserve">5012568264713       </t>
  </si>
  <si>
    <t>ET0000</t>
  </si>
  <si>
    <t>EXCEL TAPER 6mm RED 100mR</t>
  </si>
  <si>
    <t xml:space="preserve">5012568264683       </t>
  </si>
  <si>
    <t>ET0001</t>
  </si>
  <si>
    <t>EXCEL TAPER 6mm RED 200mR</t>
  </si>
  <si>
    <t xml:space="preserve">5012568264690       </t>
  </si>
  <si>
    <t>ET0006</t>
  </si>
  <si>
    <t>EXCEL TAPER 9mm BLUE 100mR</t>
  </si>
  <si>
    <t xml:space="preserve">5012568264744       </t>
  </si>
  <si>
    <t>ET0007</t>
  </si>
  <si>
    <t>EXCEL TAPER 9mm BLUE 200mR</t>
  </si>
  <si>
    <t xml:space="preserve">5012568264751       </t>
  </si>
  <si>
    <t>ET0004</t>
  </si>
  <si>
    <t>EXCEL TAPER 9mm RED 100mR</t>
  </si>
  <si>
    <t xml:space="preserve">5012568264720       </t>
  </si>
  <si>
    <t>ET0005</t>
  </si>
  <si>
    <t>EXCEL TAPER 9mm RED 200mR</t>
  </si>
  <si>
    <t xml:space="preserve">5012568264737       </t>
  </si>
  <si>
    <t>EXCEL R8 4mm NAT/BLACK 100mR</t>
  </si>
  <si>
    <t xml:space="preserve">5012568375389       </t>
  </si>
  <si>
    <t>QA26-381</t>
  </si>
  <si>
    <t>EXCEL R8 4mm NAT/BLACK 200mR</t>
  </si>
  <si>
    <t xml:space="preserve">5012568375396       </t>
  </si>
  <si>
    <t>EXCEL R8 5mm NAT/BLACK 100mR</t>
  </si>
  <si>
    <t xml:space="preserve">5012568375594       </t>
  </si>
  <si>
    <t>EXCEL R8 5mm NAT/BLACK 200mR</t>
  </si>
  <si>
    <t xml:space="preserve">5012568375600       </t>
  </si>
  <si>
    <t>EXCEL R8 7mm NAT/BLACK 100mR</t>
  </si>
  <si>
    <t xml:space="preserve">5012568375808       </t>
  </si>
  <si>
    <t>EXCEL R8 7mm NAT/BLACK 200mR</t>
  </si>
  <si>
    <t xml:space="preserve">5012568375815       </t>
  </si>
  <si>
    <t>EXCEL R8 8mm NAT/BLACK 100mR</t>
  </si>
  <si>
    <t xml:space="preserve">5012568376010       </t>
  </si>
  <si>
    <t>EXCEL R8 8mm NAT/BLACK 200mR</t>
  </si>
  <si>
    <t xml:space="preserve">5012568376027       </t>
  </si>
  <si>
    <t>EXCEL R8 4mm NAT/PURPLE 100mR</t>
  </si>
  <si>
    <t xml:space="preserve">5012568375525       </t>
  </si>
  <si>
    <t>EXCEL R8 4mm NAT/PURPLE 200mR</t>
  </si>
  <si>
    <t xml:space="preserve">5012568375532       </t>
  </si>
  <si>
    <t>EXCEL R8 5mm NAT/PURPLE 100mR</t>
  </si>
  <si>
    <t xml:space="preserve">5012568375730       </t>
  </si>
  <si>
    <t>EXCEL R8 5mm NAT/PURPLE 200mR</t>
  </si>
  <si>
    <t xml:space="preserve">5012568375747       </t>
  </si>
  <si>
    <t>EXCEL R8 7mm NAT/PURPLE 100mR</t>
  </si>
  <si>
    <t xml:space="preserve">5012568375945       </t>
  </si>
  <si>
    <t>EXCEL R8 7mm NAT/PURPLE 200mR</t>
  </si>
  <si>
    <t xml:space="preserve">5012568375952       </t>
  </si>
  <si>
    <t>EXCEL R8 8mm NAT/PURPLE 100mR</t>
  </si>
  <si>
    <t xml:space="preserve">5012568376157       </t>
  </si>
  <si>
    <t>EXCEL R8 8mm NAT/PURPLE 200mR</t>
  </si>
  <si>
    <t xml:space="preserve">5012568376164       </t>
  </si>
  <si>
    <t>EXCEL R8 4mm NAT/ORANGE 100mR</t>
  </si>
  <si>
    <t xml:space="preserve">5012568375457       </t>
  </si>
  <si>
    <t>EXCEL R8 4mm NAT/ORANGE 200mR</t>
  </si>
  <si>
    <t xml:space="preserve">5012568375464       </t>
  </si>
  <si>
    <t>EXCEL R8 5mm NAT/ORANGE 100mR</t>
  </si>
  <si>
    <t xml:space="preserve">5012568375662       </t>
  </si>
  <si>
    <t>EXCEL R8 5mm NAT/ORANGE 200mR</t>
  </si>
  <si>
    <t xml:space="preserve">5012568375679       </t>
  </si>
  <si>
    <t>EXCEL R8 7mm NAT/ORANGE 100mR</t>
  </si>
  <si>
    <t xml:space="preserve">5012568375877       </t>
  </si>
  <si>
    <t>EXCEL R8 7mm NAT/ORANGE 200mR</t>
  </si>
  <si>
    <t xml:space="preserve">5012568375884       </t>
  </si>
  <si>
    <t>EXCEL R8 8mm NAT/ORANGE 100mR</t>
  </si>
  <si>
    <t xml:space="preserve">5012568376089       </t>
  </si>
  <si>
    <t>EXCEL R8 8mm NAT/ORANGE 200mR</t>
  </si>
  <si>
    <t xml:space="preserve">5012568376096       </t>
  </si>
  <si>
    <t>EXCEL MATRIX 6mm BLUE 100mR</t>
  </si>
  <si>
    <t xml:space="preserve">5012568264485       </t>
  </si>
  <si>
    <t>EXCEL MATRIX 6mm BLUE 200mR</t>
  </si>
  <si>
    <t xml:space="preserve">5012568264492       </t>
  </si>
  <si>
    <t>EX0004</t>
  </si>
  <si>
    <t>EXCEL MATRIX 6mm GOLD 100mR</t>
  </si>
  <si>
    <t xml:space="preserve">5012568264508       </t>
  </si>
  <si>
    <t>EX0005</t>
  </si>
  <si>
    <t>EXCEL MATRIX 6mm GOLD 200mR</t>
  </si>
  <si>
    <t xml:space="preserve">5012568264515       </t>
  </si>
  <si>
    <t>EXCEL MATRIX 6mm RED 100mR</t>
  </si>
  <si>
    <t xml:space="preserve">5012568264461       </t>
  </si>
  <si>
    <t>EXCEL MATRIX 6mm RED 200mR</t>
  </si>
  <si>
    <t xml:space="preserve">5012568264478       </t>
  </si>
  <si>
    <t>EXCEL MATRIX 7mm BLUE 100mR</t>
  </si>
  <si>
    <t xml:space="preserve">5012568264546       </t>
  </si>
  <si>
    <t>EXCEL MATRIX 7mm BLUE 200mR</t>
  </si>
  <si>
    <t xml:space="preserve">5012568264553       </t>
  </si>
  <si>
    <t>EX0014</t>
  </si>
  <si>
    <t>EXCEL MATRIX 7mm GOLD 100mR</t>
  </si>
  <si>
    <t xml:space="preserve">5012568264560       </t>
  </si>
  <si>
    <t>EX0015</t>
  </si>
  <si>
    <t>EXCEL MATRIX 7mm GOLD 200mR</t>
  </si>
  <si>
    <t xml:space="preserve">5012568264577       </t>
  </si>
  <si>
    <t>EXCEL MATRIX 7mm RED 100mR</t>
  </si>
  <si>
    <t xml:space="preserve">5012568264522       </t>
  </si>
  <si>
    <t>EXCEL MATRIX 7mm RED 200mR</t>
  </si>
  <si>
    <t xml:space="preserve">5012568264539       </t>
  </si>
  <si>
    <t>EXCEL FUSION 6mm BLACK 100mR</t>
  </si>
  <si>
    <t xml:space="preserve">5012568245163       </t>
  </si>
  <si>
    <t>EXCEL FUSION 6mm BLACK 200mR</t>
  </si>
  <si>
    <t xml:space="preserve">5012568245170       </t>
  </si>
  <si>
    <t>EXCEL FUSION 6mm BLUE 100mR</t>
  </si>
  <si>
    <t xml:space="preserve">5012568245224       </t>
  </si>
  <si>
    <t>EXCEL FUSION 6mm BLUE 200mR</t>
  </si>
  <si>
    <t xml:space="preserve">5012568245231       </t>
  </si>
  <si>
    <t>EXCEL FUSION 6mm RED 100mR</t>
  </si>
  <si>
    <t xml:space="preserve">5012568245187       </t>
  </si>
  <si>
    <t>EXCEL FUSION 6mm RED 200mR</t>
  </si>
  <si>
    <t xml:space="preserve">5012568245194       </t>
  </si>
  <si>
    <t>EXCEL FUSION 7mm BLACK 100mR</t>
  </si>
  <si>
    <t xml:space="preserve">5012568245248       </t>
  </si>
  <si>
    <t>EXCEL FUSION 7mm BLACK 200mR</t>
  </si>
  <si>
    <t xml:space="preserve">5012568245255       </t>
  </si>
  <si>
    <t>EXCEL FUSION 7mm BLUE 100mR</t>
  </si>
  <si>
    <t xml:space="preserve">5012568245309       </t>
  </si>
  <si>
    <t>EXCEL FUSION 7mm BLUE 200mR</t>
  </si>
  <si>
    <t xml:space="preserve">5012568245316       </t>
  </si>
  <si>
    <t>EXCEL FUSION 7mm RED 100mR</t>
  </si>
  <si>
    <t xml:space="preserve">5012568245262       </t>
  </si>
  <si>
    <t>EXCEL FUSION 7mm RED 200mR</t>
  </si>
  <si>
    <t xml:space="preserve">5012568245279       </t>
  </si>
  <si>
    <t>EXCEL FUSION 8mm BLACK 100mR</t>
  </si>
  <si>
    <t xml:space="preserve">5012568245323       </t>
  </si>
  <si>
    <t>EXCEL FUSION 8mm BLACK 200mR</t>
  </si>
  <si>
    <t xml:space="preserve">5012568245330       </t>
  </si>
  <si>
    <t>EXCEL FUSION 8mm BLUE 100mR</t>
  </si>
  <si>
    <t xml:space="preserve">5012568245385       </t>
  </si>
  <si>
    <t>EXCEL FUSION 8mm BLUE 200mR</t>
  </si>
  <si>
    <t xml:space="preserve">5012568245392       </t>
  </si>
  <si>
    <t>EXCEL FUSION 8mm RED 100mR</t>
  </si>
  <si>
    <t xml:space="preserve">5012568245347       </t>
  </si>
  <si>
    <t>EXCEL FUSION 8mm RED 200mR</t>
  </si>
  <si>
    <t xml:space="preserve">5012568245354       </t>
  </si>
  <si>
    <t>EXCEL FUSION 10mm BLACK 100mR</t>
  </si>
  <si>
    <t xml:space="preserve">5012568245408       </t>
  </si>
  <si>
    <t>EXCEL FUSION 10mm BLACK 200mR</t>
  </si>
  <si>
    <t xml:space="preserve">5012568245415       </t>
  </si>
  <si>
    <t>EXCEL FUSION 10mm BLUE 100mR</t>
  </si>
  <si>
    <t xml:space="preserve">5012568245460       </t>
  </si>
  <si>
    <t>EXCEL FUSION 10mm BLUE 200mR</t>
  </si>
  <si>
    <t xml:space="preserve">5012568245477       </t>
  </si>
  <si>
    <t>EXCEL FUSION 10mm RED 100mR</t>
  </si>
  <si>
    <t xml:space="preserve">5012568245422       </t>
  </si>
  <si>
    <t>EXCEL FUSION 10mm RED 200mR</t>
  </si>
  <si>
    <t xml:space="preserve">5012568245439       </t>
  </si>
  <si>
    <t>EXCEL GEMINI 7mm ORANGE 100mR</t>
  </si>
  <si>
    <t xml:space="preserve">5012568264423       </t>
  </si>
  <si>
    <t>EXCEL GEMINI 7mm ORANGE 200mR</t>
  </si>
  <si>
    <t xml:space="preserve">5012568264430       </t>
  </si>
  <si>
    <t>EXCEL GEMINI 9mm ORANGE 100mR</t>
  </si>
  <si>
    <t xml:space="preserve">5012568264447       </t>
  </si>
  <si>
    <t>EXCEL GEMINI 9mm ORANGE 200mR</t>
  </si>
  <si>
    <t xml:space="preserve">5012568264454       </t>
  </si>
  <si>
    <t>EXCEL CONTROL 4mm BLUE 100mR</t>
  </si>
  <si>
    <t xml:space="preserve">5012568247877       </t>
  </si>
  <si>
    <t>EXCEL CONTROL 4mm BLUE 200mR</t>
  </si>
  <si>
    <t xml:space="preserve">5012568247884       </t>
  </si>
  <si>
    <t>EXCEL CONTROL 4mm LIME 100mR</t>
  </si>
  <si>
    <t xml:space="preserve">5012568247938       </t>
  </si>
  <si>
    <t>EXCEL CONTROL 4mm LIME 200mR</t>
  </si>
  <si>
    <t xml:space="preserve">5012568253168       </t>
  </si>
  <si>
    <t>EXCEL CONTROL 4mm ORANGE 100mR</t>
  </si>
  <si>
    <t xml:space="preserve">5012568253120       </t>
  </si>
  <si>
    <t>EXCEL CONTROL 4mm ORANGE 200mR</t>
  </si>
  <si>
    <t xml:space="preserve">5012568253113       </t>
  </si>
  <si>
    <t>EXCEL CONTROL 4mm PINK 100mR</t>
  </si>
  <si>
    <t xml:space="preserve">5012568274477       </t>
  </si>
  <si>
    <t>EXCEL CONTROL 4mm PINK 200mR</t>
  </si>
  <si>
    <t xml:space="preserve">5012568274484       </t>
  </si>
  <si>
    <t>EXCEL CONTROL 4mm RED 100mR</t>
  </si>
  <si>
    <t xml:space="preserve">5012568247853       </t>
  </si>
  <si>
    <t>EXCEL CONTROL 4mm RED 200mR</t>
  </si>
  <si>
    <t xml:space="preserve">5012568247860       </t>
  </si>
  <si>
    <t>EXCEL CONTROL 4mm WHITE 100mR</t>
  </si>
  <si>
    <t xml:space="preserve">5012568247945       </t>
  </si>
  <si>
    <t>EXCEL CONTROL 4mm WHITE 200mR</t>
  </si>
  <si>
    <t xml:space="preserve">5012568253175       </t>
  </si>
  <si>
    <t>EXCEL CONTROL 5mm BLUE 100mR</t>
  </si>
  <si>
    <t xml:space="preserve">5012568247914       </t>
  </si>
  <si>
    <t>EXCEL CONTROL 5mm BLUE 200mR</t>
  </si>
  <si>
    <t xml:space="preserve">5012568247921       </t>
  </si>
  <si>
    <t>EXCEL CONTROL 5mm LIME 100mR</t>
  </si>
  <si>
    <t xml:space="preserve">5012568264935       </t>
  </si>
  <si>
    <t>EXCEL CONTROL 5mm LIME 200mR</t>
  </si>
  <si>
    <t xml:space="preserve">5012568264942       </t>
  </si>
  <si>
    <t>EXCEL CONTROL 5mm ORANGE 100mR</t>
  </si>
  <si>
    <t xml:space="preserve">5012568264973       </t>
  </si>
  <si>
    <t>EXCEL CONTROL 5mm ORANGE 200mR</t>
  </si>
  <si>
    <t xml:space="preserve">5012568264980       </t>
  </si>
  <si>
    <t>EXCEL CONTROL 5mm PINK 100mR</t>
  </si>
  <si>
    <t xml:space="preserve">5012568274491       </t>
  </si>
  <si>
    <t>EXCEL CONTROL 5mm PINK 200mR</t>
  </si>
  <si>
    <t xml:space="preserve">5012568274507       </t>
  </si>
  <si>
    <t>EXCEL CONTROL 5mm RED 100mR</t>
  </si>
  <si>
    <t xml:space="preserve">5012568247891       </t>
  </si>
  <si>
    <t>EXCEL CONTROL 5mm RED 200mR</t>
  </si>
  <si>
    <t xml:space="preserve">5012568247907       </t>
  </si>
  <si>
    <t>EXCEL CONTROL 5mm WHITE 100mR</t>
  </si>
  <si>
    <t xml:space="preserve">5012568264959       </t>
  </si>
  <si>
    <t>EXCEL CONTROL 5mm WHITE 200mR</t>
  </si>
  <si>
    <t xml:space="preserve">5012568264966       </t>
  </si>
  <si>
    <t>EP0023</t>
  </si>
  <si>
    <t>EXCEL PS12 3mm GREY 200mR</t>
  </si>
  <si>
    <t xml:space="preserve">5012568265123       </t>
  </si>
  <si>
    <t>EP0005</t>
  </si>
  <si>
    <t>EXCEL PS12 4mm BLUE 100m R</t>
  </si>
  <si>
    <t xml:space="preserve">5012568248263       </t>
  </si>
  <si>
    <t>EP0006</t>
  </si>
  <si>
    <t>EXCEL PS12 4mm BLUE 200m R</t>
  </si>
  <si>
    <t xml:space="preserve">5012568248270       </t>
  </si>
  <si>
    <t>EXCEL PS12 4mm GREY 100m R</t>
  </si>
  <si>
    <t xml:space="preserve">5012568248287       </t>
  </si>
  <si>
    <t>EXCEL PS12 4mm GREY 200m R</t>
  </si>
  <si>
    <t xml:space="preserve">5012568248294       </t>
  </si>
  <si>
    <t>EP0003</t>
  </si>
  <si>
    <t>EXCEL PS12 4mm RED 100m R</t>
  </si>
  <si>
    <t xml:space="preserve">5012568248249       </t>
  </si>
  <si>
    <t>EP0004</t>
  </si>
  <si>
    <t>EXCEL PS12 4mm RED 200m R</t>
  </si>
  <si>
    <t xml:space="preserve">5012568248256       </t>
  </si>
  <si>
    <t>EXCEL PS12 4mm WHITE 100mR</t>
  </si>
  <si>
    <t xml:space="preserve">5012568266229       </t>
  </si>
  <si>
    <t>EXCEL PS12 4mm WHITE 200mR</t>
  </si>
  <si>
    <t xml:space="preserve">5012568265390       </t>
  </si>
  <si>
    <t>EP0011</t>
  </si>
  <si>
    <t>EXCEL PS12 5mm BLUE 100m R</t>
  </si>
  <si>
    <t xml:space="preserve">5012568248324       </t>
  </si>
  <si>
    <t>EP0012</t>
  </si>
  <si>
    <t>EXCEL PS12 5mm BLUE 200m R</t>
  </si>
  <si>
    <t xml:space="preserve">5012568248331       </t>
  </si>
  <si>
    <t>EXCEL PS12 5mm GREY 100m R</t>
  </si>
  <si>
    <t xml:space="preserve">5012568248348       </t>
  </si>
  <si>
    <t>EXCEL PS12 5mm GREY 200m R</t>
  </si>
  <si>
    <t xml:space="preserve">5012568248355       </t>
  </si>
  <si>
    <t>EP0009</t>
  </si>
  <si>
    <t>EXCEL PS12 5mm RED 100m R</t>
  </si>
  <si>
    <t xml:space="preserve">5012568248300       </t>
  </si>
  <si>
    <t>EP0010</t>
  </si>
  <si>
    <t>EXCEL PS12 5mm RED 200m R</t>
  </si>
  <si>
    <t xml:space="preserve">5012568248317       </t>
  </si>
  <si>
    <t>EXCEL PS12 5mm WHITE 100mR</t>
  </si>
  <si>
    <t xml:space="preserve">5012568249420       </t>
  </si>
  <si>
    <t>EXCEL PS12 5mm WHITE 200m R</t>
  </si>
  <si>
    <t xml:space="preserve">5012568248546       </t>
  </si>
  <si>
    <t>EP0017</t>
  </si>
  <si>
    <t>EXCEL PS12 6mm BLUE 100m R</t>
  </si>
  <si>
    <t xml:space="preserve">5012568248386       </t>
  </si>
  <si>
    <t>EP0018</t>
  </si>
  <si>
    <t>EXCEL PS12 6mm BLUE 200m R</t>
  </si>
  <si>
    <t xml:space="preserve">5012568248393       </t>
  </si>
  <si>
    <t>EXCEL PS12 6mm GREY 100m R</t>
  </si>
  <si>
    <t xml:space="preserve">5012568248409       </t>
  </si>
  <si>
    <t>EXCEL PS12 6mm GREY 200m R</t>
  </si>
  <si>
    <t xml:space="preserve">5012568248416       </t>
  </si>
  <si>
    <t>EP0015</t>
  </si>
  <si>
    <t>EXCEL PS12 6mm RED 100m R</t>
  </si>
  <si>
    <t xml:space="preserve">5012568248362       </t>
  </si>
  <si>
    <t>EP0016</t>
  </si>
  <si>
    <t>EXCEL PS12 6mm RED 200m R</t>
  </si>
  <si>
    <t xml:space="preserve">5012568248379       </t>
  </si>
  <si>
    <t>EXCEL PS12 6mm WHITE 200mR</t>
  </si>
  <si>
    <t xml:space="preserve">5012568265406       </t>
  </si>
  <si>
    <t>EXCEL V12 2.5mm NATURAL 100mR</t>
  </si>
  <si>
    <t xml:space="preserve">5012568274415       </t>
  </si>
  <si>
    <t>ABL=627kg MBL=564kg</t>
  </si>
  <si>
    <t>EXCEL V12 2.5mm NATURAL 200mR</t>
  </si>
  <si>
    <t xml:space="preserve">5012568284834       </t>
  </si>
  <si>
    <t>EXCEL V12 3mm NATURAL 100mR</t>
  </si>
  <si>
    <t xml:space="preserve">5012568274422       </t>
  </si>
  <si>
    <t>ABL=993kg MBL=894kg</t>
  </si>
  <si>
    <t>EXCEL V12 3mm NATURAL 200mR</t>
  </si>
  <si>
    <t xml:space="preserve">5012568286388       </t>
  </si>
  <si>
    <t>EXCEL V12 4mm NATURAL 100mR</t>
  </si>
  <si>
    <t xml:space="preserve">5012568274439       </t>
  </si>
  <si>
    <t>ABL=1680kg MBL=1510kg</t>
  </si>
  <si>
    <t>EXCEL V12 4mm NATURAL 200mR</t>
  </si>
  <si>
    <t xml:space="preserve">5012568206966       </t>
  </si>
  <si>
    <t>EXCEL V12 5mm NATURAL 100mR</t>
  </si>
  <si>
    <t xml:space="preserve">5012568274446       </t>
  </si>
  <si>
    <t>ABL=2410kg MBL=2160kg</t>
  </si>
  <si>
    <t>EXCEL V12 5mm NATURAL 200mR</t>
  </si>
  <si>
    <t xml:space="preserve">5012568284841       </t>
  </si>
  <si>
    <t>EXCEL V12 6mm NATURAL 100mR</t>
  </si>
  <si>
    <t xml:space="preserve">5012568208670       </t>
  </si>
  <si>
    <t>ABL=3350kg MBL=3020kg</t>
  </si>
  <si>
    <t>EXCEL V12 6mm NATURAL 200mR</t>
  </si>
  <si>
    <t xml:space="preserve">5012568208656       </t>
  </si>
  <si>
    <t>EXCEL V12 2.5mm S/BLACK 100mR</t>
  </si>
  <si>
    <t xml:space="preserve">5012568250396       </t>
  </si>
  <si>
    <t>EXCEL V12 2.5mm S/BLACK 200mR</t>
  </si>
  <si>
    <t xml:space="preserve">5012568206942       </t>
  </si>
  <si>
    <t>EXCEL V12 3mm S/BLACK 100mR</t>
  </si>
  <si>
    <t xml:space="preserve">5012568247129       </t>
  </si>
  <si>
    <t>EXCEL V12 3mm S/BLACK 200mR</t>
  </si>
  <si>
    <t xml:space="preserve">5012568206959       </t>
  </si>
  <si>
    <t>EXCEL V12 4mm S/BLACK 100mR</t>
  </si>
  <si>
    <t xml:space="preserve">5012568274453       </t>
  </si>
  <si>
    <t>EXCEL V12 4mm S/BLACK 200mR</t>
  </si>
  <si>
    <t xml:space="preserve">5012568285022       </t>
  </si>
  <si>
    <t>EXCEL V12 5mm S/BLACK 100mR</t>
  </si>
  <si>
    <t xml:space="preserve">5012568274460       </t>
  </si>
  <si>
    <t>EXCEL V12 5mm S/BLACK 200mR</t>
  </si>
  <si>
    <t xml:space="preserve">5012568206973       </t>
  </si>
  <si>
    <t>EXCEL V12 6mm S/BLACK 100mR</t>
  </si>
  <si>
    <t xml:space="preserve">5012568285039       </t>
  </si>
  <si>
    <t>EXCEL V12 6mm S/BLACK 200mR</t>
  </si>
  <si>
    <t xml:space="preserve">5012568234952       </t>
  </si>
  <si>
    <t>EXCEL VECTRAN 1.5mm BLK/GLD 100mR</t>
  </si>
  <si>
    <t xml:space="preserve">5012568186817       </t>
  </si>
  <si>
    <t>EXCEL VECTRAN 1.5mm BLK/GLD 200mR</t>
  </si>
  <si>
    <t xml:space="preserve">5012568186824       </t>
  </si>
  <si>
    <t>EXCEL VECTRAN 2mm BLK/GLD 100mR</t>
  </si>
  <si>
    <t xml:space="preserve">5012568207963       </t>
  </si>
  <si>
    <t>EXCEL VECTRAN 2mm BLK/GLD 200mR</t>
  </si>
  <si>
    <t xml:space="preserve">5012568207970       </t>
  </si>
  <si>
    <t>EXCEL VECTRAN 3mm BLK/GLD 100mR</t>
  </si>
  <si>
    <t xml:space="preserve">5012568186473       </t>
  </si>
  <si>
    <t>EXCEL VECTRAN 3mm BLK/GLD 200mR</t>
  </si>
  <si>
    <t xml:space="preserve">5012568187524       </t>
  </si>
  <si>
    <t>EXCEL VECTRAN 4mm BLK/GLD 100mR</t>
  </si>
  <si>
    <t xml:space="preserve">5012568184523       </t>
  </si>
  <si>
    <t>EXCEL VECTRAN 4mm BLK/GLD 200mR</t>
  </si>
  <si>
    <t xml:space="preserve">5012568184530       </t>
  </si>
  <si>
    <t>EXCEL VECTRAN 1.5mm BLACK 10x40m MS</t>
  </si>
  <si>
    <t xml:space="preserve">5012568362105       </t>
  </si>
  <si>
    <t>EXCEL VECTRAN 2mm BLACK 10x30m MS</t>
  </si>
  <si>
    <t xml:space="preserve">5012568219294       </t>
  </si>
  <si>
    <t>EXCEL VECTRAN 3mm BLACK 10x17m MS</t>
  </si>
  <si>
    <t xml:space="preserve">5012568219317       </t>
  </si>
  <si>
    <t>EXCEL PRO 2mm Black 100m R</t>
  </si>
  <si>
    <t xml:space="preserve">5012568261613       </t>
  </si>
  <si>
    <t>EXCEL PRO 2mm Black 200m R</t>
  </si>
  <si>
    <t xml:space="preserve">5012568261620       </t>
  </si>
  <si>
    <t>EXCEL PRO 2mm Blue 100m R</t>
  </si>
  <si>
    <t xml:space="preserve">5012568261477       </t>
  </si>
  <si>
    <t>EXCEL PRO 2mm Blue 200m R</t>
  </si>
  <si>
    <t xml:space="preserve">5012568261484       </t>
  </si>
  <si>
    <t>EXCEL PRO 2mm Grey 100m R</t>
  </si>
  <si>
    <t xml:space="preserve">5012568261682       </t>
  </si>
  <si>
    <t>EXCEL PRO 2mm Grey 200m R</t>
  </si>
  <si>
    <t xml:space="preserve">5012568261699       </t>
  </si>
  <si>
    <t>EXCEL PRO 2mm Lime 100m R</t>
  </si>
  <si>
    <t xml:space="preserve">5012568261750       </t>
  </si>
  <si>
    <t>EXCEL PRO 2mm Lime 200m R</t>
  </si>
  <si>
    <t xml:space="preserve">5012568261767       </t>
  </si>
  <si>
    <t>EXCEL PRO 2mm Red 100m R</t>
  </si>
  <si>
    <t xml:space="preserve">5012568261408       </t>
  </si>
  <si>
    <t>EXCEL PRO 2mm Red 200m R</t>
  </si>
  <si>
    <t xml:space="preserve">5012568261415       </t>
  </si>
  <si>
    <t>EXCEL PRO 2mm White 100m R</t>
  </si>
  <si>
    <t xml:space="preserve">5012568261545       </t>
  </si>
  <si>
    <t>EXCEL PRO 2mm White 200m R</t>
  </si>
  <si>
    <t xml:space="preserve">5012568261552       </t>
  </si>
  <si>
    <t>EXCEL PRO 3mm Black 100m R</t>
  </si>
  <si>
    <t xml:space="preserve">5012568263105       </t>
  </si>
  <si>
    <t>EXCEL PRO 3mm Black 200m R</t>
  </si>
  <si>
    <t xml:space="preserve">5012568263112       </t>
  </si>
  <si>
    <t>EXCEL PRO 3mm Blue 100m R</t>
  </si>
  <si>
    <t xml:space="preserve">5012568261965       </t>
  </si>
  <si>
    <t>EXCEL PRO 3mm Blue 200m R</t>
  </si>
  <si>
    <t xml:space="preserve">5012568261972       </t>
  </si>
  <si>
    <t>EXCEL PRO 3mm Grey 100m R</t>
  </si>
  <si>
    <t xml:space="preserve">5012568263174       </t>
  </si>
  <si>
    <t>EXCEL PRO 3mm Grey 200m R</t>
  </si>
  <si>
    <t xml:space="preserve">5012568263181       </t>
  </si>
  <si>
    <t>EXCEL PRO 3mm Lime 100m R</t>
  </si>
  <si>
    <t xml:space="preserve">5012568263242       </t>
  </si>
  <si>
    <t>EXCEL PRO 3mm Lime 200m R</t>
  </si>
  <si>
    <t xml:space="preserve">5012568263259       </t>
  </si>
  <si>
    <t>EXCEL PRO 3mm Red 100m R</t>
  </si>
  <si>
    <t xml:space="preserve">5012568261897       </t>
  </si>
  <si>
    <t>EXCEL PRO 3mm Red 200m R</t>
  </si>
  <si>
    <t xml:space="preserve">5012568261903       </t>
  </si>
  <si>
    <t>EXCEL PRO 3mm White 100m R</t>
  </si>
  <si>
    <t xml:space="preserve">5012568263037       </t>
  </si>
  <si>
    <t>EXCEL PRO 3mm White 200m R</t>
  </si>
  <si>
    <t xml:space="preserve">5012568263044       </t>
  </si>
  <si>
    <t>EXCEL PRO 4mm Black 100m R</t>
  </si>
  <si>
    <t xml:space="preserve">5012568263594       </t>
  </si>
  <si>
    <t>EXCEL PRO 4mm Black 200m R</t>
  </si>
  <si>
    <t xml:space="preserve">5012568263600       </t>
  </si>
  <si>
    <t>EXCEL PRO 4mm Blue 100m R</t>
  </si>
  <si>
    <t xml:space="preserve">5012568263457       </t>
  </si>
  <si>
    <t>EXCEL PRO 4mm Blue 200m R</t>
  </si>
  <si>
    <t xml:space="preserve">5012568263464       </t>
  </si>
  <si>
    <t>EXCEL PRO 4mm Grey 100m R</t>
  </si>
  <si>
    <t xml:space="preserve">5012568263662       </t>
  </si>
  <si>
    <t>EXCEL PRO 4mm Grey 200m R</t>
  </si>
  <si>
    <t xml:space="preserve">5012568263679       </t>
  </si>
  <si>
    <t>EXCEL PRO 4mm Lime 100m R</t>
  </si>
  <si>
    <t xml:space="preserve">5012568263730       </t>
  </si>
  <si>
    <t>EXCEL PRO 4mm Lime 200m R</t>
  </si>
  <si>
    <t xml:space="preserve">5012568263747       </t>
  </si>
  <si>
    <t>EXCEL PRO 4mm Red 100m R</t>
  </si>
  <si>
    <t xml:space="preserve">5012568263389       </t>
  </si>
  <si>
    <t>EXCEL PRO 4mm Red 200m R</t>
  </si>
  <si>
    <t xml:space="preserve">5012568263396       </t>
  </si>
  <si>
    <t>EXCEL PRO 4mm White 100m R</t>
  </si>
  <si>
    <t xml:space="preserve">5012568263525       </t>
  </si>
  <si>
    <t>EXCEL PRO 4mm White 200m R</t>
  </si>
  <si>
    <t xml:space="preserve">5012568263532       </t>
  </si>
  <si>
    <t>EXCEL PRO 5mm Black 100m R</t>
  </si>
  <si>
    <t xml:space="preserve">5012568262085       </t>
  </si>
  <si>
    <t>EXCEL PRO 5mm Black 200m R</t>
  </si>
  <si>
    <t xml:space="preserve">5012568262092       </t>
  </si>
  <si>
    <t>EXCEL PRO 5mm Blue 100m R</t>
  </si>
  <si>
    <t xml:space="preserve">5012568263945       </t>
  </si>
  <si>
    <t>EXCEL PRO 5mm Blue 200m R</t>
  </si>
  <si>
    <t xml:space="preserve">5012568263952       </t>
  </si>
  <si>
    <t>EXCEL PRO 5mm Grey 100m R</t>
  </si>
  <si>
    <t xml:space="preserve">5012568262153       </t>
  </si>
  <si>
    <t>EXCEL PRO 5mm Grey 200m R</t>
  </si>
  <si>
    <t xml:space="preserve">5012568262160       </t>
  </si>
  <si>
    <t>EXCEL PRO 5mm Lime 100m R</t>
  </si>
  <si>
    <t xml:space="preserve">5012568262221       </t>
  </si>
  <si>
    <t>EXCEL PRO 5mm Lime 200m R</t>
  </si>
  <si>
    <t xml:space="preserve">5012568262238       </t>
  </si>
  <si>
    <t>EXCEL PRO 5mm Red 100m R</t>
  </si>
  <si>
    <t xml:space="preserve">5012568263877       </t>
  </si>
  <si>
    <t>EXCEL PRO 5mm Red 200m R</t>
  </si>
  <si>
    <t xml:space="preserve">5012568263884       </t>
  </si>
  <si>
    <t>EXCEL PRO 5mm White 100m R</t>
  </si>
  <si>
    <t xml:space="preserve">5012568262016       </t>
  </si>
  <si>
    <t>EXCEL PRO 5mm White 200m R</t>
  </si>
  <si>
    <t xml:space="preserve">5012568262023       </t>
  </si>
  <si>
    <t>EXCEL PRO 6mm Black 100m R</t>
  </si>
  <si>
    <t xml:space="preserve">5012568262573       </t>
  </si>
  <si>
    <t>EXCEL PRO 6mm Black 200m R</t>
  </si>
  <si>
    <t xml:space="preserve">5012568262580       </t>
  </si>
  <si>
    <t>EXCEL PRO 6mm Blue 100m R</t>
  </si>
  <si>
    <t xml:space="preserve">5012568262436       </t>
  </si>
  <si>
    <t>EXCEL PRO 6mm Blue 200m R</t>
  </si>
  <si>
    <t xml:space="preserve">5012568262443       </t>
  </si>
  <si>
    <t>EXCEL PRO 6mm Grey 100m R</t>
  </si>
  <si>
    <t xml:space="preserve">5012568262641       </t>
  </si>
  <si>
    <t>EXCEL PRO 6mm Grey 200m R</t>
  </si>
  <si>
    <t xml:space="preserve">5012568262658       </t>
  </si>
  <si>
    <t>EXCEL PRO 6mm Lime 100m R</t>
  </si>
  <si>
    <t xml:space="preserve">5012568262719       </t>
  </si>
  <si>
    <t>EXCEL PRO 6mm Lime 200m R</t>
  </si>
  <si>
    <t xml:space="preserve">5012568262726       </t>
  </si>
  <si>
    <t>EXCEL PRO 6mm Red 100m R</t>
  </si>
  <si>
    <t xml:space="preserve">5012568262368       </t>
  </si>
  <si>
    <t>EXCEL PRO 6mm Red 200m R</t>
  </si>
  <si>
    <t xml:space="preserve">5012568262375       </t>
  </si>
  <si>
    <t>EXCEL PRO 6mm White 100m R</t>
  </si>
  <si>
    <t xml:space="preserve">5012568262504       </t>
  </si>
  <si>
    <t>EXCEL PRO 6mm White 200m R</t>
  </si>
  <si>
    <t xml:space="preserve">5012568262511       </t>
  </si>
  <si>
    <t>EXCEL PRO 2mm MIXED 10xMS</t>
  </si>
  <si>
    <t xml:space="preserve">5012568265109       </t>
  </si>
  <si>
    <t>EXCEL PRO 3mm MIXED 10xMS</t>
  </si>
  <si>
    <t xml:space="preserve">5012568265116       </t>
  </si>
  <si>
    <t>EXCEL PRO 2mm BLUE 10xMS</t>
  </si>
  <si>
    <t xml:space="preserve">5012568265765       </t>
  </si>
  <si>
    <t>EXCEL PRO 3mm BLUE 10xMS</t>
  </si>
  <si>
    <t xml:space="preserve">5012568265796       </t>
  </si>
  <si>
    <t>EXCEL PRO 2mm GREY 10xMS</t>
  </si>
  <si>
    <t xml:space="preserve">5012568268278       </t>
  </si>
  <si>
    <t>EXCEL PRO 2mm BLACK 10xMS</t>
  </si>
  <si>
    <t xml:space="preserve">5012568265789       </t>
  </si>
  <si>
    <t>EXCEL PRO 2mm RED 10xMS</t>
  </si>
  <si>
    <t xml:space="preserve">5012568265772       </t>
  </si>
  <si>
    <t>EXCEL PRO 2mm LIME 10xMS</t>
  </si>
  <si>
    <t xml:space="preserve">5012568266922       </t>
  </si>
  <si>
    <t>EXCEL PRO 2mm MIXED 15xMS+DISPENSER</t>
  </si>
  <si>
    <t xml:space="preserve">5012568375112       </t>
  </si>
  <si>
    <t>EXCEL PRO 3mm WHITE 10xMS</t>
  </si>
  <si>
    <t>EXCEL PRO 3mm GREY 10xMS</t>
  </si>
  <si>
    <t xml:space="preserve">5012568275801       </t>
  </si>
  <si>
    <t>EXCEL PRO 3mm BLACK 10xMS</t>
  </si>
  <si>
    <t xml:space="preserve">5012568267837       </t>
  </si>
  <si>
    <t>EXCEL PRO 3mm RED 10xMS</t>
  </si>
  <si>
    <t xml:space="preserve">5012568265802       </t>
  </si>
  <si>
    <t>EXCEL PRO 3mm LIME 10xMS</t>
  </si>
  <si>
    <t xml:space="preserve">5012568265819       </t>
  </si>
  <si>
    <t>EXCEL PRO 3mm MIXED 15xMS+DISPENSER</t>
  </si>
  <si>
    <t xml:space="preserve">5012568375129       </t>
  </si>
  <si>
    <t>EXCEL MARSTRON + 6mm GREEN 100mR</t>
  </si>
  <si>
    <t xml:space="preserve">5012568264782       </t>
  </si>
  <si>
    <t>EXCEL MARSTRON + 6mm GREEN 200mR</t>
  </si>
  <si>
    <t xml:space="preserve">5012568264799       </t>
  </si>
  <si>
    <t>EXCEL MARSTRON + 6mm GREY 100mR</t>
  </si>
  <si>
    <t xml:space="preserve">5012568361351       </t>
  </si>
  <si>
    <t>EXCEL MARSTRON + 6mm GREY 200mR</t>
  </si>
  <si>
    <t xml:space="preserve">5012568361368       </t>
  </si>
  <si>
    <t>EXCEL MARSTRON + 6mm PURPLE 100mR</t>
  </si>
  <si>
    <t xml:space="preserve">5012568361375       </t>
  </si>
  <si>
    <t>EXCEL MARSTRON + 6mm PURPLE 200mR</t>
  </si>
  <si>
    <t xml:space="preserve">5012568361382       </t>
  </si>
  <si>
    <t>EXCEL MARSTRON + 6mm RED 100mR</t>
  </si>
  <si>
    <t xml:space="preserve">5012568264768       </t>
  </si>
  <si>
    <t>EXCEL MARSTRON + 6mm RED 200mR</t>
  </si>
  <si>
    <t xml:space="preserve">5012568264775       </t>
  </si>
  <si>
    <t>EM0008</t>
  </si>
  <si>
    <t>EXCEL MARSTRON + 6mm YELLOW 100mR</t>
  </si>
  <si>
    <t xml:space="preserve">5012568361337       </t>
  </si>
  <si>
    <t>EM0009</t>
  </si>
  <si>
    <t>EXCEL MARSTRON + 6mm YELLOW 200mR</t>
  </si>
  <si>
    <t xml:space="preserve">5012568361344       </t>
  </si>
  <si>
    <t>EXCEL MARSTRON + 7mm GREY 100mR</t>
  </si>
  <si>
    <t xml:space="preserve">5012568361436       </t>
  </si>
  <si>
    <t>EXCEL MARSTRON + 7mm GREY 200mR</t>
  </si>
  <si>
    <t xml:space="preserve">5012568361443       </t>
  </si>
  <si>
    <t>EXCEL MARSTRON + 7mm PURPLE 100mR</t>
  </si>
  <si>
    <t xml:space="preserve">5012568361450       </t>
  </si>
  <si>
    <t>EXCEL MARSTRON + 7mm PURPLE 200mR</t>
  </si>
  <si>
    <t xml:space="preserve">5012568361467       </t>
  </si>
  <si>
    <t>EXCEL MARSTRON + 7mm RED 100mR</t>
  </si>
  <si>
    <t xml:space="preserve">5012568361399       </t>
  </si>
  <si>
    <t>EXCEL MARSTRON + 7mm RED 200mR</t>
  </si>
  <si>
    <t xml:space="preserve">5012568361405       </t>
  </si>
  <si>
    <t>EM0016</t>
  </si>
  <si>
    <t>EXCEL MARSTRON + 7mm YELLOW 100mR</t>
  </si>
  <si>
    <t xml:space="preserve">5012568361412       </t>
  </si>
  <si>
    <t>EM0017</t>
  </si>
  <si>
    <t>EXCEL MARSTRON + 7mm YELLOW 200mR</t>
  </si>
  <si>
    <t xml:space="preserve">5012568361429       </t>
  </si>
  <si>
    <t>EXCEL MARSTRON + 8mm GREEN 100mR</t>
  </si>
  <si>
    <t xml:space="preserve">5012568264829       </t>
  </si>
  <si>
    <t>EXCEL MARSTRON + 8mm GREEN 200mR</t>
  </si>
  <si>
    <t xml:space="preserve">5012568264836       </t>
  </si>
  <si>
    <t>EXCEL MARSTRON + 8mm GREY 100mR</t>
  </si>
  <si>
    <t xml:space="preserve">5012568361498       </t>
  </si>
  <si>
    <t>EXCEL MARSTRON + 8mm GREY 200mR</t>
  </si>
  <si>
    <t xml:space="preserve">5012568361504       </t>
  </si>
  <si>
    <t>EXCEL MARSTRON + 8mm PURPLE 100mR</t>
  </si>
  <si>
    <t xml:space="preserve">5012568361511       </t>
  </si>
  <si>
    <t>EXCEL MARSTRON + 8mm PURPLE 200mR</t>
  </si>
  <si>
    <t xml:space="preserve">5012568361528       </t>
  </si>
  <si>
    <t>EXCEL MARSTRON + 8mm RED 100mR</t>
  </si>
  <si>
    <t xml:space="preserve">5012568264805       </t>
  </si>
  <si>
    <t>EXCEL MARSTRON + 8mm RED 200mR</t>
  </si>
  <si>
    <t xml:space="preserve">5012568264812       </t>
  </si>
  <si>
    <t>EM0022</t>
  </si>
  <si>
    <t>EXCEL MARSTRON + 8mm YELLOW 100mR</t>
  </si>
  <si>
    <t xml:space="preserve">5012568361474       </t>
  </si>
  <si>
    <t>EM0023</t>
  </si>
  <si>
    <t>EXCEL MARSTRON + 8mm YELLOW 200mR</t>
  </si>
  <si>
    <t xml:space="preserve">5012568361481       </t>
  </si>
  <si>
    <t>EXCEL MARSTRON 6mm BLUE 100mR</t>
  </si>
  <si>
    <t xml:space="preserve">5012568134818       </t>
  </si>
  <si>
    <t>EXCEL MARSTRON 6mm BLUE 200mR</t>
  </si>
  <si>
    <t xml:space="preserve">5012568134825       </t>
  </si>
  <si>
    <t>JF0217</t>
  </si>
  <si>
    <t>EXCEL MARSTRON 6mm PURPLE 100mR</t>
  </si>
  <si>
    <t xml:space="preserve">5012568134832       </t>
  </si>
  <si>
    <t>JF0218</t>
  </si>
  <si>
    <t>EXCEL MARSTRON 6mm PURPLE 200mR</t>
  </si>
  <si>
    <t xml:space="preserve">5012568134849       </t>
  </si>
  <si>
    <t>EXCEL MARSTRON 8mm BLUE 100mR</t>
  </si>
  <si>
    <t xml:space="preserve">5012568134856       </t>
  </si>
  <si>
    <t>EXCEL MARSTRON 8mm BLUE 200mR</t>
  </si>
  <si>
    <t xml:space="preserve">5012568134863       </t>
  </si>
  <si>
    <t>JF0221</t>
  </si>
  <si>
    <t>EXCEL MARSTRON 8mm PURPLE 100mR</t>
  </si>
  <si>
    <t xml:space="preserve">5012568134870       </t>
  </si>
  <si>
    <t>JF0222</t>
  </si>
  <si>
    <t>EXCEL MARSTRON 8mm PURPLE 200mR</t>
  </si>
  <si>
    <t xml:space="preserve">5012568134887       </t>
  </si>
  <si>
    <t>8PLT P/S PES 4mm BLACK 100mR</t>
  </si>
  <si>
    <t xml:space="preserve">5012568019867       </t>
  </si>
  <si>
    <t>QA26-198</t>
  </si>
  <si>
    <t>8PLT P/S PES 4mm BLUE 100mR</t>
  </si>
  <si>
    <t xml:space="preserve">5012568019849       </t>
  </si>
  <si>
    <t>8PLT P/S PES 4mm LIME 100mR</t>
  </si>
  <si>
    <t xml:space="preserve">5012568019955       </t>
  </si>
  <si>
    <t>8PLT P/S PES 4mm RED 100mR</t>
  </si>
  <si>
    <t xml:space="preserve">5012568020135       </t>
  </si>
  <si>
    <t>8PLT P/S PES 4mm WHITE 100mR</t>
  </si>
  <si>
    <t xml:space="preserve">5012568019771       </t>
  </si>
  <si>
    <t>8PLT P/S PES 4mm BLACK 200mR</t>
  </si>
  <si>
    <t xml:space="preserve">5012568019870       </t>
  </si>
  <si>
    <t>8PLT P/S PES 4mm BLUE 200mR</t>
  </si>
  <si>
    <t xml:space="preserve">5012568019856       </t>
  </si>
  <si>
    <t>8PLT P/S PES 4mm LIME 200mR</t>
  </si>
  <si>
    <t xml:space="preserve">5012568019962       </t>
  </si>
  <si>
    <t>8PLT P/S PES 4mm RED 200mR</t>
  </si>
  <si>
    <t xml:space="preserve">5012568020142       </t>
  </si>
  <si>
    <t>8PLT P/S PES 4mm WHITE 200mR</t>
  </si>
  <si>
    <t xml:space="preserve">5012568019788       </t>
  </si>
  <si>
    <t>8PLT P/S PES 5mm BLACK 100mR</t>
  </si>
  <si>
    <t xml:space="preserve">5012568274163       </t>
  </si>
  <si>
    <t>8PLT P/S PES 5mm BLUE 100mR</t>
  </si>
  <si>
    <t xml:space="preserve">5012568020289       </t>
  </si>
  <si>
    <t>8PLT P/S PES 5mm LIME 100mR</t>
  </si>
  <si>
    <t xml:space="preserve">5012568020357       </t>
  </si>
  <si>
    <t>8PLT P/S PES 5mm RED 100mR</t>
  </si>
  <si>
    <t xml:space="preserve">5012568020524       </t>
  </si>
  <si>
    <t>8PLT P/S PES 5mm WHITE 100mR</t>
  </si>
  <si>
    <t xml:space="preserve">5012568020203       </t>
  </si>
  <si>
    <t>8PLT P/S PES 5mm BLACK 200mR</t>
  </si>
  <si>
    <t xml:space="preserve">5012568021958       </t>
  </si>
  <si>
    <t>8PLT P/S PES 5mm BLUE 200mR</t>
  </si>
  <si>
    <t xml:space="preserve">5012568020296       </t>
  </si>
  <si>
    <t>8PLT P/S PES 5mm LIME 200mR</t>
  </si>
  <si>
    <t xml:space="preserve">5012568020364       </t>
  </si>
  <si>
    <t>8PLT P/S PES 5mm RED 200mR</t>
  </si>
  <si>
    <t xml:space="preserve">5012568020531       </t>
  </si>
  <si>
    <t>8PLT P/S PES 5mm WHITE 200mR</t>
  </si>
  <si>
    <t xml:space="preserve">5012568020210       </t>
  </si>
  <si>
    <t>8PLT P/S PES 6mm BLACK 100mR</t>
  </si>
  <si>
    <t xml:space="preserve">5012568274170       </t>
  </si>
  <si>
    <t>8PLT P/S PES 6mm BLUE 100mR</t>
  </si>
  <si>
    <t xml:space="preserve">5012568020661       </t>
  </si>
  <si>
    <t>8PLT P/S PES 6mm LIME 100mR</t>
  </si>
  <si>
    <t xml:space="preserve">5012568020739       </t>
  </si>
  <si>
    <t>8PLT P/S PES 6mm RED 100mR</t>
  </si>
  <si>
    <t xml:space="preserve">5012568020876       </t>
  </si>
  <si>
    <t>8PLT P/S PES 6mm WHITE 100mR</t>
  </si>
  <si>
    <t xml:space="preserve">5012568020593       </t>
  </si>
  <si>
    <t>8PLT P/S PES 6mm BLACK 200mR</t>
  </si>
  <si>
    <t xml:space="preserve">5012568021842       </t>
  </si>
  <si>
    <t>8PLT P/S PES 6mm BLUE 200mR</t>
  </si>
  <si>
    <t xml:space="preserve">5012568020678       </t>
  </si>
  <si>
    <t>8PLT P/S PES 6mm LIME 200mR</t>
  </si>
  <si>
    <t xml:space="preserve">5012568020746       </t>
  </si>
  <si>
    <t>8PLT P/S PES 6mm RED 200mR</t>
  </si>
  <si>
    <t xml:space="preserve">5012568020883       </t>
  </si>
  <si>
    <t>8PLT P/S PES 6mm WHITE 200mR</t>
  </si>
  <si>
    <t xml:space="preserve">5012568020609       </t>
  </si>
  <si>
    <t>8PLT P/S PES 8mm WHITE 100mR</t>
  </si>
  <si>
    <t xml:space="preserve">5012568021156       </t>
  </si>
  <si>
    <t>8PLT P/S PES 8mm WHITE 200mR</t>
  </si>
  <si>
    <t xml:space="preserve">5012568021163       </t>
  </si>
  <si>
    <t>8PLT MATT PES BLACK 4mm 100mR</t>
  </si>
  <si>
    <t xml:space="preserve">5012568023990       </t>
  </si>
  <si>
    <t>QA26-151</t>
  </si>
  <si>
    <t>8PLT MATT PES BLACK 4mm 200mR</t>
  </si>
  <si>
    <t xml:space="preserve">5012568024003       </t>
  </si>
  <si>
    <t>8PLT MATT PES BLUE 4mm 100mR</t>
  </si>
  <si>
    <t xml:space="preserve">5012568023921       </t>
  </si>
  <si>
    <t>8PLT MATT PES BLUE 4mm 200mR</t>
  </si>
  <si>
    <t xml:space="preserve">5012568023938       </t>
  </si>
  <si>
    <t>8PLT MATT PES RED 4mm 100mR</t>
  </si>
  <si>
    <t xml:space="preserve">5012568024270       </t>
  </si>
  <si>
    <t>8PLT MATT PES RED 4mm 200mR</t>
  </si>
  <si>
    <t xml:space="preserve">5012568024287       </t>
  </si>
  <si>
    <t>8PLT MATT PES WHITE 4mm 100mR</t>
  </si>
  <si>
    <t xml:space="preserve">5012568024416       </t>
  </si>
  <si>
    <t>8PLT MATT PES WHITE 4mm 200mR</t>
  </si>
  <si>
    <t xml:space="preserve">5012568024423       </t>
  </si>
  <si>
    <t>8PLT MATT PES BLACK 5mm 100mR</t>
  </si>
  <si>
    <t xml:space="preserve">5012568024553       </t>
  </si>
  <si>
    <t>8PLT MATT PES BLACK 5mm 200mR</t>
  </si>
  <si>
    <t xml:space="preserve">5012568024560       </t>
  </si>
  <si>
    <t>8PLT MATT PES BLUE 5mm 100mR</t>
  </si>
  <si>
    <t xml:space="preserve">5012568024485       </t>
  </si>
  <si>
    <t>8PLT MATT PES BLUE 5mm 200mR</t>
  </si>
  <si>
    <t xml:space="preserve">5012568024492       </t>
  </si>
  <si>
    <t>8PLT MATT PES RED 5mm 100mR</t>
  </si>
  <si>
    <t xml:space="preserve">5012568024836       </t>
  </si>
  <si>
    <t>8PLT MATT PES RED 5mm 200mR</t>
  </si>
  <si>
    <t xml:space="preserve">5012568024843       </t>
  </si>
  <si>
    <t>8PLT MATT PES WHITE 5mm 100mR</t>
  </si>
  <si>
    <t xml:space="preserve">5012568024973       </t>
  </si>
  <si>
    <t>8PLT MATT PES WHITE 5mm 200mR</t>
  </si>
  <si>
    <t xml:space="preserve">5012568024980       </t>
  </si>
  <si>
    <t>8PLT MATT PES BLACK 6mm 100mR</t>
  </si>
  <si>
    <t xml:space="preserve">5012568025116       </t>
  </si>
  <si>
    <t>8PLT MATT PES BLACK 6mm 200mR</t>
  </si>
  <si>
    <t xml:space="preserve">5012568025123       </t>
  </si>
  <si>
    <t>8PLT MATT PES BLUE 6mm 100mR</t>
  </si>
  <si>
    <t xml:space="preserve">5012568025048       </t>
  </si>
  <si>
    <t>8PLT MATT PES BLUE 6mm 200mR</t>
  </si>
  <si>
    <t xml:space="preserve">5012568025055       </t>
  </si>
  <si>
    <t>8PLT MATT PES RED 6mm 100mR</t>
  </si>
  <si>
    <t xml:space="preserve">5012568025390       </t>
  </si>
  <si>
    <t>8PLT MATT PES RED 6mm 200mR</t>
  </si>
  <si>
    <t xml:space="preserve">5012568025406       </t>
  </si>
  <si>
    <t>8PLT MATT PES WHITE 6mm 100mR</t>
  </si>
  <si>
    <t xml:space="preserve">5012568025536       </t>
  </si>
  <si>
    <t>8PLT MATT PES WHITE 6mm 200mR</t>
  </si>
  <si>
    <t xml:space="preserve">5012568025543       </t>
  </si>
  <si>
    <t>8PLT MATT PES WHITE 8mm 100mR</t>
  </si>
  <si>
    <t xml:space="preserve">5012568025611       </t>
  </si>
  <si>
    <t>8PLT MATT PES WHITE 8mm 200mR</t>
  </si>
  <si>
    <t xml:space="preserve">5012568025628       </t>
  </si>
  <si>
    <t>FORMULINE 3.8mm WHITE 200mR</t>
  </si>
  <si>
    <t xml:space="preserve">5012568284681       </t>
  </si>
  <si>
    <t>FORMULINE 3.8mm WHITE 100mR</t>
  </si>
  <si>
    <t xml:space="preserve">5012568237861       </t>
  </si>
  <si>
    <t>FORMULA X 3.8mm WHITE 200mR</t>
  </si>
  <si>
    <t xml:space="preserve">5012568267813       </t>
  </si>
  <si>
    <t>FORMULA X 3.8mm WHITE 100mR</t>
  </si>
  <si>
    <t xml:space="preserve">5012568267820       </t>
  </si>
  <si>
    <t>KITELINE RACE 99 270kg BLACK 100mR</t>
  </si>
  <si>
    <t xml:space="preserve">5012568283233       </t>
  </si>
  <si>
    <t>KITELINE RACE 99 270kg BLACK 1000mR</t>
  </si>
  <si>
    <t xml:space="preserve">5012568283226       </t>
  </si>
  <si>
    <t>KL0312</t>
  </si>
  <si>
    <t>KITELINE RACE 99 270kg BLK 50m MS</t>
  </si>
  <si>
    <t xml:space="preserve">5012568283271       </t>
  </si>
  <si>
    <t>KITELINE RACE 99 270kg BLACK 500mR</t>
  </si>
  <si>
    <t xml:space="preserve">5012568283387       </t>
  </si>
  <si>
    <t>KITELINE RACE 99 270kg BLUE 100mR</t>
  </si>
  <si>
    <t xml:space="preserve">5012568283455       </t>
  </si>
  <si>
    <t>KITELINE RACE 99 270kg BLUE 1000mR</t>
  </si>
  <si>
    <t xml:space="preserve">5012568283431       </t>
  </si>
  <si>
    <t>KITELINE RACE 99 270kg BLUE 500mR</t>
  </si>
  <si>
    <t xml:space="preserve">5012568283448       </t>
  </si>
  <si>
    <t>KITELINE RACE 99 270kg RED 100mR</t>
  </si>
  <si>
    <t xml:space="preserve">5012568283240       </t>
  </si>
  <si>
    <t>KITELINE RACE 99 270kg RED 1000mR</t>
  </si>
  <si>
    <t xml:space="preserve">5012568283400       </t>
  </si>
  <si>
    <t>KITELINE RACE 99 270kg RED 500mR</t>
  </si>
  <si>
    <t xml:space="preserve">5012568283417       </t>
  </si>
  <si>
    <t>KITELINE RACE 99 270kg YELLOW 100mR</t>
  </si>
  <si>
    <t xml:space="preserve">5012568283486       </t>
  </si>
  <si>
    <t>KITELINE RACE 99 270kg YELLOW 1000m</t>
  </si>
  <si>
    <t xml:space="preserve">5012568283462       </t>
  </si>
  <si>
    <t>KITELINE RACE 99 270kg YELLOW 500mR</t>
  </si>
  <si>
    <t xml:space="preserve">5012568283479       </t>
  </si>
  <si>
    <t>KITELINE RACE 99 360kg BLACK 100mR</t>
  </si>
  <si>
    <t xml:space="preserve">5012568283516       </t>
  </si>
  <si>
    <t>Do not use</t>
  </si>
  <si>
    <t xml:space="preserve">5012568283493       </t>
  </si>
  <si>
    <t>KITELINE RACE 99 360kg BLACK 500mR</t>
  </si>
  <si>
    <t xml:space="preserve">5012568283509       </t>
  </si>
  <si>
    <t>KITELINE RACE 99 360kg BLUE 100mR</t>
  </si>
  <si>
    <t xml:space="preserve">5012568283578       </t>
  </si>
  <si>
    <t xml:space="preserve">5012568283554       </t>
  </si>
  <si>
    <t>KITELINE RACE 99 360kg BLUE 500mR</t>
  </si>
  <si>
    <t xml:space="preserve">5012568283561       </t>
  </si>
  <si>
    <t>KITELINE RACE 99 360kg RED 100mR</t>
  </si>
  <si>
    <t xml:space="preserve">5012568283547       </t>
  </si>
  <si>
    <t xml:space="preserve">5012568283523       </t>
  </si>
  <si>
    <t>KITELINE RACE 99 360kg RED 500mR</t>
  </si>
  <si>
    <t xml:space="preserve">5012568283530       </t>
  </si>
  <si>
    <t>KITELINE RACE 99 360kg YELLOW 100mR</t>
  </si>
  <si>
    <t xml:space="preserve">5012568283608       </t>
  </si>
  <si>
    <t xml:space="preserve">5012568283585       </t>
  </si>
  <si>
    <t>KITELINE RACE 99 360kg YELLOW 500mR</t>
  </si>
  <si>
    <t xml:space="preserve">5012568283592       </t>
  </si>
  <si>
    <t>KITELINE FREESTYLE 450kg BLACK 100m</t>
  </si>
  <si>
    <t xml:space="preserve">5012568274194       </t>
  </si>
  <si>
    <t>KITELINE FREESTYLE 450kg BLK 1000mR</t>
  </si>
  <si>
    <t xml:space="preserve">5012568317679       </t>
  </si>
  <si>
    <t>KITELINE FREESTYLE 450kg BLACK 500m</t>
  </si>
  <si>
    <t xml:space="preserve">5012568358733       </t>
  </si>
  <si>
    <t>KITELINE FREESTYLE 450kg BLUE 100mR</t>
  </si>
  <si>
    <t xml:space="preserve">5012568274200       </t>
  </si>
  <si>
    <t>KITELINE FREESTYLE 450kg BLU 1000mR</t>
  </si>
  <si>
    <t xml:space="preserve">5012568317686       </t>
  </si>
  <si>
    <t>KITELINE FREESTYLE 450kg RED 100mR</t>
  </si>
  <si>
    <t xml:space="preserve">5012568274217       </t>
  </si>
  <si>
    <t>KITELINE FREESTYLE 450kg RED 1000mR</t>
  </si>
  <si>
    <t xml:space="preserve">5012568317693       </t>
  </si>
  <si>
    <t>KITELINE FREESTYLE 450kg YEL 100mR</t>
  </si>
  <si>
    <t xml:space="preserve">5012568274224       </t>
  </si>
  <si>
    <t xml:space="preserve">BLUE OCEAN 12mm BLACK 100mR        </t>
  </si>
  <si>
    <t xml:space="preserve">5012568380246       </t>
  </si>
  <si>
    <t xml:space="preserve">BLUE OCEAN 12mm BLACK  200mR       </t>
  </si>
  <si>
    <t xml:space="preserve">5012568380253       </t>
  </si>
  <si>
    <t xml:space="preserve">BLUE OCEAN 14mm BLACK 100mR        </t>
  </si>
  <si>
    <t xml:space="preserve">5012568380260       </t>
  </si>
  <si>
    <t xml:space="preserve">BLUE OCEAN 14mm BLACK 200mR        </t>
  </si>
  <si>
    <t xml:space="preserve">5012568380277       </t>
  </si>
  <si>
    <t xml:space="preserve">BLUE OCEAN 16mm BLACK 100mR        </t>
  </si>
  <si>
    <t xml:space="preserve">5012568380284       </t>
  </si>
  <si>
    <t xml:space="preserve">BLUE OCEAN 16mm BLACK 200mR        </t>
  </si>
  <si>
    <t xml:space="preserve">5012568380291       </t>
  </si>
  <si>
    <t xml:space="preserve">BLUE OCEAN 12mm WHITE 100mR        </t>
  </si>
  <si>
    <t xml:space="preserve">5012568380307       </t>
  </si>
  <si>
    <t xml:space="preserve">BLUE OCEAN 12mm WHITE  200mR       </t>
  </si>
  <si>
    <t xml:space="preserve">5012568380314       </t>
  </si>
  <si>
    <t xml:space="preserve">BLUE OCEAN 14mm WHITE 100mR        </t>
  </si>
  <si>
    <t xml:space="preserve">5012568380321       </t>
  </si>
  <si>
    <t xml:space="preserve">BLUE OCEAN 14mm WHITE 200mR        </t>
  </si>
  <si>
    <t xml:space="preserve">5012568380338       </t>
  </si>
  <si>
    <t xml:space="preserve">BLUE OCEAN 16mm WHITE 100mR        </t>
  </si>
  <si>
    <t xml:space="preserve">5012568380345       </t>
  </si>
  <si>
    <t xml:space="preserve">BLUE OCEAN 16mm WHITE  200mR       </t>
  </si>
  <si>
    <t xml:space="preserve">5012568380352       </t>
  </si>
  <si>
    <t xml:space="preserve">BLUE OCEAN 12mm BLACK 6m SEOE+BOX  </t>
  </si>
  <si>
    <t xml:space="preserve">5012568382141       </t>
  </si>
  <si>
    <t xml:space="preserve">BLUE OCEAN 12mm BLACK 9m SEOE+BOX  </t>
  </si>
  <si>
    <t xml:space="preserve">5012568382158       </t>
  </si>
  <si>
    <t xml:space="preserve">BLUE OCEAN 14mm BLACK 9m SEOE+BOX  </t>
  </si>
  <si>
    <t xml:space="preserve">5012568382165       </t>
  </si>
  <si>
    <t xml:space="preserve">BLUE OCEAN 14mm BLACK 12m SEOE+BOX </t>
  </si>
  <si>
    <t xml:space="preserve">5012568382172       </t>
  </si>
  <si>
    <t xml:space="preserve">BLUE OCEAN 16mm BLACK 9m SEOE+BOX  </t>
  </si>
  <si>
    <t xml:space="preserve">5012568382189       </t>
  </si>
  <si>
    <t xml:space="preserve">BLUE OCEAN 16mm BLACK 12m SEOE+BOX </t>
  </si>
  <si>
    <t xml:space="preserve">5012568382196       </t>
  </si>
  <si>
    <t xml:space="preserve">BLUE OCEAN 12mm WHITE 6m SEOE+BOX  </t>
  </si>
  <si>
    <t xml:space="preserve">5012568382202       </t>
  </si>
  <si>
    <t xml:space="preserve">BLUE OCEAN 12mm WHITE 9m SEOE+BOX  </t>
  </si>
  <si>
    <t xml:space="preserve">5012568382219       </t>
  </si>
  <si>
    <t xml:space="preserve">BLUE OCEAN 14mm WHITE 9m SEOE+BOX  </t>
  </si>
  <si>
    <t xml:space="preserve">5012568382226       </t>
  </si>
  <si>
    <t xml:space="preserve">BLUE OCEAN 14mm WHITE 12m SEOE+BOX </t>
  </si>
  <si>
    <t xml:space="preserve">5012568382233       </t>
  </si>
  <si>
    <t xml:space="preserve">BLUE OCEAN 16mm WHITE 9m SEOE+BOX  </t>
  </si>
  <si>
    <t xml:space="preserve">5012568382240       </t>
  </si>
  <si>
    <t xml:space="preserve">BLUE OCEAN 16mm WHITE 12m SEOE+BOX </t>
  </si>
  <si>
    <t xml:space="preserve">5012568382257       </t>
  </si>
  <si>
    <t>TG4002</t>
  </si>
  <si>
    <t>DOCKLINE 12mm BLACK 100mR</t>
  </si>
  <si>
    <t xml:space="preserve">5012568284933       </t>
  </si>
  <si>
    <t>TG4003</t>
  </si>
  <si>
    <t>DOCKLINE 12mm BLACK 200mR</t>
  </si>
  <si>
    <t xml:space="preserve">5012568284773       </t>
  </si>
  <si>
    <t>TG4004</t>
  </si>
  <si>
    <t>DOCKLINE 12mm BLUE 100mR</t>
  </si>
  <si>
    <t xml:space="preserve">5012568285756       </t>
  </si>
  <si>
    <t>TG4005</t>
  </si>
  <si>
    <t>DOCKLINE 12mm BLUE 200mR</t>
  </si>
  <si>
    <t xml:space="preserve">5012568285787       </t>
  </si>
  <si>
    <t>TG4008</t>
  </si>
  <si>
    <t>DOCKLINE 12mm GREY 100mR</t>
  </si>
  <si>
    <t xml:space="preserve">5012568285763       </t>
  </si>
  <si>
    <t>TG4009</t>
  </si>
  <si>
    <t>DOCKLINE 12mm GREY 200mR</t>
  </si>
  <si>
    <t xml:space="preserve">5012568285800       </t>
  </si>
  <si>
    <t>TG4006</t>
  </si>
  <si>
    <t>DOCKLINE 12mm NAVY 100mR</t>
  </si>
  <si>
    <t xml:space="preserve">5012568284940       </t>
  </si>
  <si>
    <t>TG4007</t>
  </si>
  <si>
    <t>DOCKLINE 12mm NAVY 200mR</t>
  </si>
  <si>
    <t xml:space="preserve">5012568285794       </t>
  </si>
  <si>
    <t>TG4000</t>
  </si>
  <si>
    <t>DOCKLINE 12mm WHITE 100mR</t>
  </si>
  <si>
    <t xml:space="preserve">5012568072820       </t>
  </si>
  <si>
    <t>TG4001</t>
  </si>
  <si>
    <t>DOCKLINE 12mm WHITE 200mR</t>
  </si>
  <si>
    <t xml:space="preserve">5012568285770       </t>
  </si>
  <si>
    <t>TG4012</t>
  </si>
  <si>
    <t>DOCKLINE 14mm BLACK 100mR</t>
  </si>
  <si>
    <t xml:space="preserve">5012568072868       </t>
  </si>
  <si>
    <t>TG4013</t>
  </si>
  <si>
    <t>DOCKLINE 14mm BLACK 200mR</t>
  </si>
  <si>
    <t xml:space="preserve">5012568284964       </t>
  </si>
  <si>
    <t>TG4014</t>
  </si>
  <si>
    <t>DOCKLINE 14mm BLUE 100mR</t>
  </si>
  <si>
    <t xml:space="preserve">5012568285824       </t>
  </si>
  <si>
    <t>TG4015</t>
  </si>
  <si>
    <t>DOCKLINE 14mm BLUE 200mR</t>
  </si>
  <si>
    <t xml:space="preserve">5012568285862       </t>
  </si>
  <si>
    <t>TG4018</t>
  </si>
  <si>
    <t>DOCKLINE 14mm GREY 100mR</t>
  </si>
  <si>
    <t xml:space="preserve">5012568285848       </t>
  </si>
  <si>
    <t>TG4019</t>
  </si>
  <si>
    <t>DOCKLINE 14mm GREY 200mR</t>
  </si>
  <si>
    <t xml:space="preserve">5012568285879       </t>
  </si>
  <si>
    <t>TG4016</t>
  </si>
  <si>
    <t>DOCKLINE 14mm NAVY 100mR</t>
  </si>
  <si>
    <t xml:space="preserve">5012568285831       </t>
  </si>
  <si>
    <t>TG4017</t>
  </si>
  <si>
    <t>DOCKLINE 14mm NAVY 200mR</t>
  </si>
  <si>
    <t xml:space="preserve">5012568284971       </t>
  </si>
  <si>
    <t>TG4010</t>
  </si>
  <si>
    <t>DOCKLINE 14mm WHITE 100mR</t>
  </si>
  <si>
    <t xml:space="preserve">5012568285817       </t>
  </si>
  <si>
    <t>TG4011</t>
  </si>
  <si>
    <t>DOCKLINE 14mm WHITE 200mR</t>
  </si>
  <si>
    <t xml:space="preserve">5012568072875       </t>
  </si>
  <si>
    <t>TG4022</t>
  </si>
  <si>
    <t>DOCKLINE 16mm BLACK 100mR</t>
  </si>
  <si>
    <t xml:space="preserve">5012568273715       </t>
  </si>
  <si>
    <t>TG4023</t>
  </si>
  <si>
    <t>DOCKLINE 16mm BLACK 200mR</t>
  </si>
  <si>
    <t xml:space="preserve">5012568225349       </t>
  </si>
  <si>
    <t>TG4024</t>
  </si>
  <si>
    <t>DOCKLINE 16mm BLUE 100mR</t>
  </si>
  <si>
    <t xml:space="preserve">5012568290613       </t>
  </si>
  <si>
    <t>TG4025</t>
  </si>
  <si>
    <t>DOCKLINE 16mm BLUE 200mR</t>
  </si>
  <si>
    <t xml:space="preserve">5012568286784       </t>
  </si>
  <si>
    <t>TG4028</t>
  </si>
  <si>
    <t>DOCKLINE 16mm GREY 100mR</t>
  </si>
  <si>
    <t xml:space="preserve">5012568290620       </t>
  </si>
  <si>
    <t>TG4029</t>
  </si>
  <si>
    <t>DOCKLINE 16mm GREY 200mR</t>
  </si>
  <si>
    <t xml:space="preserve">5012568286807       </t>
  </si>
  <si>
    <t>TG4026</t>
  </si>
  <si>
    <t>DOCKLINE 16mm NAVY 100mR</t>
  </si>
  <si>
    <t xml:space="preserve">5012568284803       </t>
  </si>
  <si>
    <t>TG4027</t>
  </si>
  <si>
    <t>DOCKLINE 16mm NAVY 200mR</t>
  </si>
  <si>
    <t xml:space="preserve">5012568286791       </t>
  </si>
  <si>
    <t>TG4020</t>
  </si>
  <si>
    <t>DOCKLINE 16mm WHITE 100mR</t>
  </si>
  <si>
    <t xml:space="preserve">5012568290637       </t>
  </si>
  <si>
    <t>TG4021</t>
  </si>
  <si>
    <t>DOCKLINE 16mm WHITE 200mR</t>
  </si>
  <si>
    <t xml:space="preserve">5012568286777       </t>
  </si>
  <si>
    <t>TG4032</t>
  </si>
  <si>
    <t>DOCKLINE 18mm BLACK 100mR</t>
  </si>
  <si>
    <t xml:space="preserve">5012568287477       </t>
  </si>
  <si>
    <t>TG4033</t>
  </si>
  <si>
    <t>DOCKLINE 18mm BLACK 200mR</t>
  </si>
  <si>
    <t xml:space="preserve">5012568274309       </t>
  </si>
  <si>
    <t>TG4034</t>
  </si>
  <si>
    <t>DOCKLINE 18mm BLUE 100mR</t>
  </si>
  <si>
    <t xml:space="preserve">5012568287484       </t>
  </si>
  <si>
    <t>TG4035</t>
  </si>
  <si>
    <t>DOCKLINE 18mm BLUE 200mR</t>
  </si>
  <si>
    <t xml:space="preserve">5012568290668       </t>
  </si>
  <si>
    <t>TG4038</t>
  </si>
  <si>
    <t>DOCKLINE 18mm GREY 100mR</t>
  </si>
  <si>
    <t xml:space="preserve">5012568287491       </t>
  </si>
  <si>
    <t>TG4039</t>
  </si>
  <si>
    <t>DOCKLINE 18mm GREY 200mR</t>
  </si>
  <si>
    <t xml:space="preserve">5012568290682       </t>
  </si>
  <si>
    <t>TG4036</t>
  </si>
  <si>
    <t>DOCKLINE 18mm NAVY 100mR</t>
  </si>
  <si>
    <t xml:space="preserve">5012568245071       </t>
  </si>
  <si>
    <t>TG4037</t>
  </si>
  <si>
    <t>DOCKLINE 18mm NAVY 200mR</t>
  </si>
  <si>
    <t xml:space="preserve">5012568290675       </t>
  </si>
  <si>
    <t>TG4030</t>
  </si>
  <si>
    <t>DOCKLINE 18mm WHITE 100mR</t>
  </si>
  <si>
    <t xml:space="preserve">5012568287460       </t>
  </si>
  <si>
    <t>TG4031</t>
  </si>
  <si>
    <t>DOCKLINE 18mm WHITE 200mR</t>
  </si>
  <si>
    <t xml:space="preserve">5012568290651       </t>
  </si>
  <si>
    <t>TG4042</t>
  </si>
  <si>
    <t>DOCKLINE 20mm BLACK 100mR</t>
  </si>
  <si>
    <t xml:space="preserve">5012568225370       </t>
  </si>
  <si>
    <t>TG4043</t>
  </si>
  <si>
    <t>DOCKLINE 20mm BLACK 200mC</t>
  </si>
  <si>
    <t xml:space="preserve">5012568287774       </t>
  </si>
  <si>
    <t>TG4044</t>
  </si>
  <si>
    <t>DOCKLINE 20mm BLUE 100mR</t>
  </si>
  <si>
    <t xml:space="preserve">5012568286838       </t>
  </si>
  <si>
    <t>TG4045</t>
  </si>
  <si>
    <t>DOCKLINE 20mm BLUE 200mC</t>
  </si>
  <si>
    <t xml:space="preserve">5012568287781       </t>
  </si>
  <si>
    <t>TG4046</t>
  </si>
  <si>
    <t>DOCKLINE 20mm NAVY 100mR</t>
  </si>
  <si>
    <t xml:space="preserve">5012568286845       </t>
  </si>
  <si>
    <t>TG4047</t>
  </si>
  <si>
    <t>DOCKLINE 20mm NAVY 200mC</t>
  </si>
  <si>
    <t xml:space="preserve">5012568287798       </t>
  </si>
  <si>
    <t>TG4040</t>
  </si>
  <si>
    <t>DOCKLINE 20mm WHITE 100mR</t>
  </si>
  <si>
    <t xml:space="preserve">5012568286821       </t>
  </si>
  <si>
    <t>TG4041</t>
  </si>
  <si>
    <t>DOCKLINE 20mm WHITE 200mC</t>
  </si>
  <si>
    <t xml:space="preserve">5012568250464       </t>
  </si>
  <si>
    <t>WTG009</t>
  </si>
  <si>
    <t>DOCKLINE 12mm BLACK 6m BAGGED</t>
  </si>
  <si>
    <t xml:space="preserve">5012568247297       </t>
  </si>
  <si>
    <t>WTG018</t>
  </si>
  <si>
    <t>DOCKLINE 12mm BLUE 6m BAGGED</t>
  </si>
  <si>
    <t xml:space="preserve">5012568247389       </t>
  </si>
  <si>
    <t>WTG000</t>
  </si>
  <si>
    <t>DOCKLINE 12mm NAVY 6m BAGGED</t>
  </si>
  <si>
    <t xml:space="preserve">5012568247204       </t>
  </si>
  <si>
    <t>WTG027</t>
  </si>
  <si>
    <t>DOCKLINE 12mm WHITE 6m BAGGED</t>
  </si>
  <si>
    <t xml:space="preserve">5012568247471       </t>
  </si>
  <si>
    <t>WTG010</t>
  </si>
  <si>
    <t>DOCKLINE 12mm BLACK 8m BAGGED</t>
  </si>
  <si>
    <t xml:space="preserve">5012568247303       </t>
  </si>
  <si>
    <t>WTG019</t>
  </si>
  <si>
    <t>DOCKLINE 12mm BLUE 8m BAGGED</t>
  </si>
  <si>
    <t xml:space="preserve">5012568247396       </t>
  </si>
  <si>
    <t>WTG001</t>
  </si>
  <si>
    <t>DOCKLINE 12mm NAVY 8m BAGGED</t>
  </si>
  <si>
    <t xml:space="preserve">5012568247211       </t>
  </si>
  <si>
    <t>WTG028</t>
  </si>
  <si>
    <t>DOCKLINE 12mm WHITE 8m BAGGED</t>
  </si>
  <si>
    <t xml:space="preserve">5012568247488       </t>
  </si>
  <si>
    <t>WTG013</t>
  </si>
  <si>
    <t>DOCKLINE 14mm BLACK 10m BAGGED</t>
  </si>
  <si>
    <t xml:space="preserve">5012568247334       </t>
  </si>
  <si>
    <t>WTG022</t>
  </si>
  <si>
    <t>DOCKLINE 14mm BLUE 10m BAGGED</t>
  </si>
  <si>
    <t xml:space="preserve">5012568247426       </t>
  </si>
  <si>
    <t>WTG004</t>
  </si>
  <si>
    <t>DOCKLINE 14mm NAVY 10m BAGGED</t>
  </si>
  <si>
    <t xml:space="preserve">5012568247242       </t>
  </si>
  <si>
    <t>WTG031</t>
  </si>
  <si>
    <t>DOCKLINE 14mm WHITE 10m BAGGED</t>
  </si>
  <si>
    <t xml:space="preserve">5012568247518       </t>
  </si>
  <si>
    <t>WTG012</t>
  </si>
  <si>
    <t>DOCKLINE 14mm BLACK 8m BAGGED</t>
  </si>
  <si>
    <t xml:space="preserve">5012568247327       </t>
  </si>
  <si>
    <t>WTG021</t>
  </si>
  <si>
    <t>DOCKLINE 14mm BLUE 8m BAGGED</t>
  </si>
  <si>
    <t xml:space="preserve">5012568247419       </t>
  </si>
  <si>
    <t>WTG003</t>
  </si>
  <si>
    <t>DOCKLINE 14mm NAVY 8m BAGGED</t>
  </si>
  <si>
    <t xml:space="preserve">5012568247235       </t>
  </si>
  <si>
    <t>WTG030</t>
  </si>
  <si>
    <t>DOCKLINE 14mm WHITE 8m BAGGED</t>
  </si>
  <si>
    <t xml:space="preserve">5012568247501       </t>
  </si>
  <si>
    <t>WTG015</t>
  </si>
  <si>
    <t>DOCKLINE 16mm BLACK 10m BAGGED</t>
  </si>
  <si>
    <t xml:space="preserve">5012568247358       </t>
  </si>
  <si>
    <t>WTG024</t>
  </si>
  <si>
    <t>DOCKLINE 16mm BLUE 10m BAGGED</t>
  </si>
  <si>
    <t xml:space="preserve">5012568247440       </t>
  </si>
  <si>
    <t>WTG006</t>
  </si>
  <si>
    <t>DOCKLINE 16mm NAVY 10m BAGGED</t>
  </si>
  <si>
    <t xml:space="preserve">5012568247266       </t>
  </si>
  <si>
    <t>WTG033</t>
  </si>
  <si>
    <t>DOCKLINE 16mm WHITE 10m BAGGED</t>
  </si>
  <si>
    <t xml:space="preserve">5012568247532       </t>
  </si>
  <si>
    <t>WTG016</t>
  </si>
  <si>
    <t>DOCKLINE 16mm BLACK 12m BAGGED</t>
  </si>
  <si>
    <t xml:space="preserve">5012568247365       </t>
  </si>
  <si>
    <t>WTG025</t>
  </si>
  <si>
    <t>DOCKLINE 16mm BLUE 12m BAGGED</t>
  </si>
  <si>
    <t xml:space="preserve">5012568247457       </t>
  </si>
  <si>
    <t>WTG007</t>
  </si>
  <si>
    <t>DOCKLINE 16mm NAVY 12m BAGGED</t>
  </si>
  <si>
    <t xml:space="preserve">5012568247273       </t>
  </si>
  <si>
    <t>WTG034</t>
  </si>
  <si>
    <t>DOCKLINE 16mm WHITE 12m BAGGED</t>
  </si>
  <si>
    <t xml:space="preserve">5012568247549       </t>
  </si>
  <si>
    <t>MARINA GRANDE 18mm BLACK 100m R</t>
  </si>
  <si>
    <t xml:space="preserve">5012568269619       </t>
  </si>
  <si>
    <t>MARINA GRANDE 18mm BLACK 200m R</t>
  </si>
  <si>
    <t xml:space="preserve">5012568269626       </t>
  </si>
  <si>
    <t>MARINA GRANDE 18mm BLUE 100m R</t>
  </si>
  <si>
    <t xml:space="preserve">5012568269633       </t>
  </si>
  <si>
    <t>MARINA GRANDE 18mm BLUE 200m R</t>
  </si>
  <si>
    <t xml:space="preserve">5012568269640       </t>
  </si>
  <si>
    <t>MARINA GRANDE 18mm GREY100m R</t>
  </si>
  <si>
    <t xml:space="preserve">5012568370698       </t>
  </si>
  <si>
    <t>MARINA GRANDE 18mm GREY 200m R</t>
  </si>
  <si>
    <t xml:space="preserve">5012568370704       </t>
  </si>
  <si>
    <t>MARINA GRANDE 18mm NAVY 100m R</t>
  </si>
  <si>
    <t xml:space="preserve">5012568269657       </t>
  </si>
  <si>
    <t>MARINA GRANDE 18mm NAVY 200m R</t>
  </si>
  <si>
    <t xml:space="preserve">5012568269664       </t>
  </si>
  <si>
    <t>MARINA GRANDE 18mm WHITE 100m R</t>
  </si>
  <si>
    <t xml:space="preserve">5012568269596       </t>
  </si>
  <si>
    <t>MARINA GRANDE 18mm WHITE 200m R</t>
  </si>
  <si>
    <t xml:space="preserve">5012568269602       </t>
  </si>
  <si>
    <t>MARINA GRANDE 20mm BLACK 100m R</t>
  </si>
  <si>
    <t xml:space="preserve">5012568269695       </t>
  </si>
  <si>
    <t>MARINA GRANDE 20mm BLACK 200m C</t>
  </si>
  <si>
    <t xml:space="preserve">5012568269701       </t>
  </si>
  <si>
    <t>MARINA GRANDE 20mm BLUE 100m R</t>
  </si>
  <si>
    <t xml:space="preserve">5012568269718       </t>
  </si>
  <si>
    <t>MARINA GRANDE 20mm BLUE 200m C</t>
  </si>
  <si>
    <t xml:space="preserve">5012568269725       </t>
  </si>
  <si>
    <t>MARINA GRANDE 20mm GREY 100m R</t>
  </si>
  <si>
    <t xml:space="preserve">5012568370711       </t>
  </si>
  <si>
    <t>MARINA GRANDE 20mm GREY 200m C</t>
  </si>
  <si>
    <t xml:space="preserve">5012568370728       </t>
  </si>
  <si>
    <t>MARINA GRANDE 20mm NAVY 100m R</t>
  </si>
  <si>
    <t xml:space="preserve">5012568269732       </t>
  </si>
  <si>
    <t>MARINA GRANDE 20mm NAVY 200m C</t>
  </si>
  <si>
    <t xml:space="preserve">5012568269749       </t>
  </si>
  <si>
    <t>MARINA GRANDE 20mm WHITE 100m R</t>
  </si>
  <si>
    <t xml:space="preserve">5012568269671       </t>
  </si>
  <si>
    <t>MARINA GRANDE 20mm WHITE 200m C</t>
  </si>
  <si>
    <t xml:space="preserve">5012568269688       </t>
  </si>
  <si>
    <t>3STR P/S 3mm WHITE 100mR</t>
  </si>
  <si>
    <t xml:space="preserve">5012568005361       </t>
  </si>
  <si>
    <t>QA26-192/193</t>
  </si>
  <si>
    <t>3STR P/S 3mm WHITE 200mR</t>
  </si>
  <si>
    <t xml:space="preserve">5012568005378       </t>
  </si>
  <si>
    <t>3STR P/S 4mm WHITE 100mR</t>
  </si>
  <si>
    <t xml:space="preserve">5012568005453       </t>
  </si>
  <si>
    <t>3STR P/S 4mm WHITE 200mR</t>
  </si>
  <si>
    <t xml:space="preserve">5012568005460       </t>
  </si>
  <si>
    <t>3STR P/S 5mm WHITE 100mR</t>
  </si>
  <si>
    <t xml:space="preserve">5012568005538       </t>
  </si>
  <si>
    <t>3STR P/S 5mm WHITE 200mR</t>
  </si>
  <si>
    <t xml:space="preserve">5012568005545       </t>
  </si>
  <si>
    <t>3STR P/S 6mm WHITE 100mR</t>
  </si>
  <si>
    <t xml:space="preserve">5012568005613       </t>
  </si>
  <si>
    <t>3STR P/S 6mm WHITE 200mR</t>
  </si>
  <si>
    <t xml:space="preserve">5012568005620       </t>
  </si>
  <si>
    <t>3STR P/S 8mm WHITE 100mR</t>
  </si>
  <si>
    <t xml:space="preserve">5012568005781       </t>
  </si>
  <si>
    <t>3STR P/S 8mm WHITE 200mR</t>
  </si>
  <si>
    <t xml:space="preserve">5012568005798       </t>
  </si>
  <si>
    <t>AC0080</t>
  </si>
  <si>
    <t>3STR P/S 10mm WHITE 100mR</t>
  </si>
  <si>
    <t xml:space="preserve">5012568005941       </t>
  </si>
  <si>
    <t>AC0081</t>
  </si>
  <si>
    <t>3STR P/S 10mm WHITE 200mR</t>
  </si>
  <si>
    <t xml:space="preserve">5012568005958       </t>
  </si>
  <si>
    <t>3STR P/S 12mm WHITE 100mR</t>
  </si>
  <si>
    <t xml:space="preserve">5012568006023       </t>
  </si>
  <si>
    <t>3STR P/S 12mm WHITE 200mR</t>
  </si>
  <si>
    <t xml:space="preserve">5012568006030       </t>
  </si>
  <si>
    <t>AC0240</t>
  </si>
  <si>
    <t>3STR P/S 8mm BEIGE 200mR</t>
  </si>
  <si>
    <t xml:space="preserve">5012568374849       </t>
  </si>
  <si>
    <t>AC0241</t>
  </si>
  <si>
    <t>3STR P/S 10mm BEIGE 200mR</t>
  </si>
  <si>
    <t>AC0242</t>
  </si>
  <si>
    <t>3STR P/S 12mm BEIGE 200mR</t>
  </si>
  <si>
    <t xml:space="preserve">5012568374900       </t>
  </si>
  <si>
    <t>AC0243</t>
  </si>
  <si>
    <t>3STR P/S 14mm BEIGE 200mR</t>
  </si>
  <si>
    <t xml:space="preserve">5012568374917       </t>
  </si>
  <si>
    <t>AC0244</t>
  </si>
  <si>
    <t>3STR P/S 16mm BEIGE 200mR</t>
  </si>
  <si>
    <t xml:space="preserve">5012568374924       </t>
  </si>
  <si>
    <t>3STR POLYESTER 4mm BLACK 100mR</t>
  </si>
  <si>
    <t xml:space="preserve">5012568001486       </t>
  </si>
  <si>
    <t>BS EN ISO:1141</t>
  </si>
  <si>
    <t>3STR POLYESTER 4mm BLACK 200mR</t>
  </si>
  <si>
    <t xml:space="preserve">5012568001493       </t>
  </si>
  <si>
    <t>3STR POLYESTER 4mm NAVY 100mR</t>
  </si>
  <si>
    <t xml:space="preserve">5012568225196       </t>
  </si>
  <si>
    <t>3STR POLYESTER 4mm NAVY 200mR</t>
  </si>
  <si>
    <t xml:space="preserve">5012568225202       </t>
  </si>
  <si>
    <t>3STR POLYESTER 4mm WHITE 100mR</t>
  </si>
  <si>
    <t xml:space="preserve">5012568004197       </t>
  </si>
  <si>
    <t>3STR POLYESTER 4mm WHITE 200mR</t>
  </si>
  <si>
    <t xml:space="preserve">5012568004203       </t>
  </si>
  <si>
    <t>3STR POLYESTER 6mm BLACK 100mR</t>
  </si>
  <si>
    <t xml:space="preserve">5012568001967       </t>
  </si>
  <si>
    <t>3STR POLYESTER 6mm BLACK 200mR</t>
  </si>
  <si>
    <t xml:space="preserve">5012568001974       </t>
  </si>
  <si>
    <t>3STR POLYESTER 6mm NAVY 100mR</t>
  </si>
  <si>
    <t xml:space="preserve">5012568225219       </t>
  </si>
  <si>
    <t>3STR POLYESTER 6mm NAVY 200mR</t>
  </si>
  <si>
    <t xml:space="preserve">5012568225226       </t>
  </si>
  <si>
    <t>3STR POLYESTER 6mm WHITE 100mR</t>
  </si>
  <si>
    <t xml:space="preserve">5012568004357       </t>
  </si>
  <si>
    <t>3STR POLYESTER 6mm WHITE 200mR</t>
  </si>
  <si>
    <t xml:space="preserve">5012568004364       </t>
  </si>
  <si>
    <t>3STR POLYESTER 8mm BLACK 100mR</t>
  </si>
  <si>
    <t xml:space="preserve">5012568002452       </t>
  </si>
  <si>
    <t>3STR POLYESTER 8mm BLACK 200mR</t>
  </si>
  <si>
    <t xml:space="preserve">5012568002469       </t>
  </si>
  <si>
    <t>3STR POLYESTER 8mm NAVY 100mR</t>
  </si>
  <si>
    <t xml:space="preserve">5012568226179       </t>
  </si>
  <si>
    <t>3STR POLYESTER 8mm NAVY 200mR</t>
  </si>
  <si>
    <t xml:space="preserve">5012568226186       </t>
  </si>
  <si>
    <t>3STR POLYESTER 8mm WHITE 100mR</t>
  </si>
  <si>
    <t xml:space="preserve">5012568004432       </t>
  </si>
  <si>
    <t>3STR POLYESTER 8mm WHITE 200mR</t>
  </si>
  <si>
    <t xml:space="preserve">5012568004449       </t>
  </si>
  <si>
    <t>3STR POLYESTER 10mm BLACK 100mR</t>
  </si>
  <si>
    <t xml:space="preserve">5012568002704       </t>
  </si>
  <si>
    <t>3STR POLYESTER 10mm BLACK 200mR</t>
  </si>
  <si>
    <t xml:space="preserve">5012568002711       </t>
  </si>
  <si>
    <t>3STR POLYESTER 10mm NAVY 100mR</t>
  </si>
  <si>
    <t xml:space="preserve">5012568226193       </t>
  </si>
  <si>
    <t>3STR POLYESTER 10mm NAVY 200mR</t>
  </si>
  <si>
    <t xml:space="preserve">5012568226209       </t>
  </si>
  <si>
    <t>3STR POLYESTER 10mm WHITE 100mR</t>
  </si>
  <si>
    <t xml:space="preserve">5012568004517       </t>
  </si>
  <si>
    <t>3STR POLYESTER 10mm WHITE 200mR</t>
  </si>
  <si>
    <t xml:space="preserve">5012568004524       </t>
  </si>
  <si>
    <t>3STR POLYESTER 12mm BLACK 100mR</t>
  </si>
  <si>
    <t xml:space="preserve">5012568002940       </t>
  </si>
  <si>
    <t>3STR POLYESTER 12mm BLACK 200mR</t>
  </si>
  <si>
    <t xml:space="preserve">5012568002957       </t>
  </si>
  <si>
    <t>3STR POLYESTER 12mm NAVY 100mR</t>
  </si>
  <si>
    <t xml:space="preserve">5012568226216       </t>
  </si>
  <si>
    <t>3STR POLYESTER 12mm NAVY 200mR</t>
  </si>
  <si>
    <t xml:space="preserve">5012568226223       </t>
  </si>
  <si>
    <t>3STR POLYESTER 12mm WHITE 100mR</t>
  </si>
  <si>
    <t xml:space="preserve">5012568004593       </t>
  </si>
  <si>
    <t>3STR POLYESTER 12mm WHITE 200mR</t>
  </si>
  <si>
    <t xml:space="preserve">5012568004609       </t>
  </si>
  <si>
    <t>3STR POLYESTER 14mm BLACK 100mR</t>
  </si>
  <si>
    <t xml:space="preserve">5012568003183       </t>
  </si>
  <si>
    <t>3STR POLYESTER 14mm BLACK 200mR</t>
  </si>
  <si>
    <t xml:space="preserve">5012568003190       </t>
  </si>
  <si>
    <t>3STR POLYESTER 14mm NAVY 100mR</t>
  </si>
  <si>
    <t xml:space="preserve">5012568226230       </t>
  </si>
  <si>
    <t>3STR POLYESTER 14mm NAVY 200mR</t>
  </si>
  <si>
    <t xml:space="preserve">5012568226247       </t>
  </si>
  <si>
    <t>3STR POLYESTER 14mm WHITE 100mR</t>
  </si>
  <si>
    <t xml:space="preserve">5012568004678       </t>
  </si>
  <si>
    <t>3STR POLYESTER 14mm WHITE 200mR</t>
  </si>
  <si>
    <t xml:space="preserve">5012568004685       </t>
  </si>
  <si>
    <t>3STR POLYESTER 16mm BLACK 100mR</t>
  </si>
  <si>
    <t xml:space="preserve">5012568003817       </t>
  </si>
  <si>
    <t>3STR POLYESTER 16mm BLACK 200mR</t>
  </si>
  <si>
    <t xml:space="preserve">5012568003824       </t>
  </si>
  <si>
    <t>3STR POLYESTER 16mm NAVY 100mR</t>
  </si>
  <si>
    <t xml:space="preserve">5012568218433       </t>
  </si>
  <si>
    <t>3STR POLYESTER 16mm NAVY 200mR</t>
  </si>
  <si>
    <t xml:space="preserve">5012568213421       </t>
  </si>
  <si>
    <t>3STR POLYESTER 16mm WHITE 100mR</t>
  </si>
  <si>
    <t xml:space="preserve">5012568004753       </t>
  </si>
  <si>
    <t>3STR POLYESTER 16mm WHITE 200mR</t>
  </si>
  <si>
    <t xml:space="preserve">5012568004760       </t>
  </si>
  <si>
    <t>3STR POLYESTER 18mm BLACK 100mR</t>
  </si>
  <si>
    <t xml:space="preserve">5012568003732       </t>
  </si>
  <si>
    <t>3STR POLYESTER 18mm BLACK 200mR</t>
  </si>
  <si>
    <t xml:space="preserve">5012568003749       </t>
  </si>
  <si>
    <t>3STR POLYESTER 18mm NAVY 100mR</t>
  </si>
  <si>
    <t xml:space="preserve">5012568218419       </t>
  </si>
  <si>
    <t>3STR POLYESTER 18mm NAVY 200mR</t>
  </si>
  <si>
    <t xml:space="preserve">5012568226254       </t>
  </si>
  <si>
    <t>3STR POLYESTER 18mm WHITE 100mR</t>
  </si>
  <si>
    <t xml:space="preserve">5012568004838       </t>
  </si>
  <si>
    <t>3STR POLYESTER 18mm WHITE 200mR</t>
  </si>
  <si>
    <t xml:space="preserve">5012568004845       </t>
  </si>
  <si>
    <t>3STR POLYESTER 20mm BLACK 100mR</t>
  </si>
  <si>
    <t xml:space="preserve">5012568003756       </t>
  </si>
  <si>
    <t>3STR POLYESTER 20mm BLACK 200mC</t>
  </si>
  <si>
    <t xml:space="preserve">5012568003763       </t>
  </si>
  <si>
    <t>3STR POLYESTER 20mm NAVY 100mR</t>
  </si>
  <si>
    <t xml:space="preserve">5012568218426       </t>
  </si>
  <si>
    <t>3STR POLYESTER 20mm NAVY 200mR</t>
  </si>
  <si>
    <t xml:space="preserve">5012568226261       </t>
  </si>
  <si>
    <t>3STR POLYESTER 20mm WHITE 100mR</t>
  </si>
  <si>
    <t xml:space="preserve">5012568004913       </t>
  </si>
  <si>
    <t>3STR POLYESTER 20mm WHITE 200mR</t>
  </si>
  <si>
    <t xml:space="preserve">5012568004920       </t>
  </si>
  <si>
    <t>3STR POLYESTER 24mm BLACK 100mR</t>
  </si>
  <si>
    <t xml:space="preserve">5012568004104       </t>
  </si>
  <si>
    <t>3STR POLYESTER 24mm BLACK 200mC</t>
  </si>
  <si>
    <t xml:space="preserve">5012568226278       </t>
  </si>
  <si>
    <t>3STR POLYESTER 24mm NAVY 100mR</t>
  </si>
  <si>
    <t xml:space="preserve">5012568226285       </t>
  </si>
  <si>
    <t>3STR POLYESTER 24mm NAVY 200mC</t>
  </si>
  <si>
    <t xml:space="preserve">5012568226292       </t>
  </si>
  <si>
    <t>3STR POLYESTER 24mm WHITE 100mR</t>
  </si>
  <si>
    <t xml:space="preserve">5012568004999       </t>
  </si>
  <si>
    <t>3STR POLYESTER 24mm WHITE 200mC</t>
  </si>
  <si>
    <t xml:space="preserve">5012568005002       </t>
  </si>
  <si>
    <t>3STR POLYESTER 28mm BLACK 100mC</t>
  </si>
  <si>
    <t xml:space="preserve">5012568204436       </t>
  </si>
  <si>
    <t>3STR POLYESTER 28mm NAVY 100mC</t>
  </si>
  <si>
    <t xml:space="preserve">5012568226308       </t>
  </si>
  <si>
    <t>3STR POLYESTER 28mm WHITE 100mC</t>
  </si>
  <si>
    <t xml:space="preserve">5012568005071       </t>
  </si>
  <si>
    <t>3STR POLYESTER 28mm WHITE 200mR</t>
  </si>
  <si>
    <t xml:space="preserve">5012568005088       </t>
  </si>
  <si>
    <t>AA0388</t>
  </si>
  <si>
    <t>3STR POLYESTER 32mm BLACK 100mC</t>
  </si>
  <si>
    <t xml:space="preserve">5012568286883       </t>
  </si>
  <si>
    <t>AA0390</t>
  </si>
  <si>
    <t>3STR POLYESTER 32mm NAVY 100mC</t>
  </si>
  <si>
    <t xml:space="preserve">5012568226322       </t>
  </si>
  <si>
    <t>3STR POLYESTER 32mm WHITE 100mC</t>
  </si>
  <si>
    <t xml:space="preserve">5012568005156       </t>
  </si>
  <si>
    <t>3STR POLYESTER 32mm WHITE 200mC</t>
  </si>
  <si>
    <t xml:space="preserve">5012568005163       </t>
  </si>
  <si>
    <t>AA0444</t>
  </si>
  <si>
    <t>3STR STD PES 10mm BEIGE 200mR</t>
  </si>
  <si>
    <t xml:space="preserve">5012568374962       </t>
  </si>
  <si>
    <t>AA0443</t>
  </si>
  <si>
    <t>3STR STD PES 12mm BEIGE 200mR</t>
  </si>
  <si>
    <t xml:space="preserve">5012568374955       </t>
  </si>
  <si>
    <t>AA0441</t>
  </si>
  <si>
    <t>3STR STD PES 14mm BEIGE 200mR</t>
  </si>
  <si>
    <t xml:space="preserve">5012568374931       </t>
  </si>
  <si>
    <t>AA0439</t>
  </si>
  <si>
    <t>3STR STD PES 16mm BEIGE 100mR</t>
  </si>
  <si>
    <t xml:space="preserve">5012568373248       </t>
  </si>
  <si>
    <t>AA0440</t>
  </si>
  <si>
    <t>3STR STD PES 18mm BEIGE 100mR</t>
  </si>
  <si>
    <t>3STR NYLON 6mm WHITE 100mR</t>
  </si>
  <si>
    <t xml:space="preserve">5012568085714       </t>
  </si>
  <si>
    <t>BS EN ISO 1140</t>
  </si>
  <si>
    <t>3STR NYLON 6mm WHITE 200mR</t>
  </si>
  <si>
    <t xml:space="preserve">5012568085721       </t>
  </si>
  <si>
    <t>3STR NYLON 8mm WHITE 100mR</t>
  </si>
  <si>
    <t xml:space="preserve">5012568085912       </t>
  </si>
  <si>
    <t>3STR NYLON 8mm WHITE 200mR</t>
  </si>
  <si>
    <t xml:space="preserve">5012568085943       </t>
  </si>
  <si>
    <t>3STR NYLON 10mm WHITE 100mR</t>
  </si>
  <si>
    <t xml:space="preserve">5012568086025       </t>
  </si>
  <si>
    <t>3STR NYLON 10mm WHITE 200mR</t>
  </si>
  <si>
    <t xml:space="preserve">5012568086032       </t>
  </si>
  <si>
    <t>3STR NYLON 12mm WHITE 100mR</t>
  </si>
  <si>
    <t xml:space="preserve">5012568086124       </t>
  </si>
  <si>
    <t>3STR NYLON 12mm WHITE 200mR</t>
  </si>
  <si>
    <t xml:space="preserve">5012568086131       </t>
  </si>
  <si>
    <t>3STR NYLON 14mm WHITE 100mR</t>
  </si>
  <si>
    <t xml:space="preserve">5012568086230       </t>
  </si>
  <si>
    <t>3STR NYLON 14mm WHITE 200mR</t>
  </si>
  <si>
    <t xml:space="preserve">5012568086247       </t>
  </si>
  <si>
    <t>3STR NYLON 16mm WHITE 100mR</t>
  </si>
  <si>
    <t xml:space="preserve">5012568086322       </t>
  </si>
  <si>
    <t>3STR NYLON 16mm WHITE 200mR</t>
  </si>
  <si>
    <t xml:space="preserve">5012568285961       </t>
  </si>
  <si>
    <t>3STR NELSON 6mm WHITE 100mR</t>
  </si>
  <si>
    <t xml:space="preserve">5012568007426       </t>
  </si>
  <si>
    <t>3STR NELSON 6mm WHITE 200mR</t>
  </si>
  <si>
    <t xml:space="preserve">5012568007433       </t>
  </si>
  <si>
    <t>3STR NELSON 8mm WHITE 100mR</t>
  </si>
  <si>
    <t xml:space="preserve">5012568007457       </t>
  </si>
  <si>
    <t>3STR NELSON 8mm WHITE 200mR</t>
  </si>
  <si>
    <t xml:space="preserve">5012568007464       </t>
  </si>
  <si>
    <t>3STR NELSON 10mm WHITE 100mR</t>
  </si>
  <si>
    <t xml:space="preserve">5012568007488       </t>
  </si>
  <si>
    <t>3STR NELSON 10mm WHITE 200mR</t>
  </si>
  <si>
    <t xml:space="preserve">5012568007495       </t>
  </si>
  <si>
    <t>3STR NELSON 12mm WHITE 100mR</t>
  </si>
  <si>
    <t xml:space="preserve">5012568007518       </t>
  </si>
  <si>
    <t>3STR NELSON 12mm WHITE 200mR</t>
  </si>
  <si>
    <t xml:space="preserve">5012568007525       </t>
  </si>
  <si>
    <t>3STR NELSON 14mm WHITE 100mR</t>
  </si>
  <si>
    <t xml:space="preserve">5012568007549       </t>
  </si>
  <si>
    <t>3STR NELSON 14mm WHITE 200mR</t>
  </si>
  <si>
    <t xml:space="preserve">5012568007556       </t>
  </si>
  <si>
    <t>3STR NELSON 16mm WHITE 100mR</t>
  </si>
  <si>
    <t xml:space="preserve">5012568007570       </t>
  </si>
  <si>
    <t>3STR NELSON 16mm WHITE 200mR</t>
  </si>
  <si>
    <t xml:space="preserve">5012568007587       </t>
  </si>
  <si>
    <t>3STR NELSON 18mm WHITE 100mR</t>
  </si>
  <si>
    <t xml:space="preserve">5012568007600       </t>
  </si>
  <si>
    <t>3STR NELSON 18mm WHITE 200mR</t>
  </si>
  <si>
    <t xml:space="preserve">5012568007617       </t>
  </si>
  <si>
    <t>3STR NELSON 20mm WHITE 100mR</t>
  </si>
  <si>
    <t xml:space="preserve">5012568007631       </t>
  </si>
  <si>
    <t>3STR NELSON 20mm WHITE 200mC</t>
  </si>
  <si>
    <t xml:space="preserve">5012568007648       </t>
  </si>
  <si>
    <t>3STR NELSON 24mm WHITE 100mR</t>
  </si>
  <si>
    <t xml:space="preserve">5012568007709       </t>
  </si>
  <si>
    <t>3STR NELSON 24mm WHITE 200mC</t>
  </si>
  <si>
    <t xml:space="preserve">5012568007716       </t>
  </si>
  <si>
    <t>3STR NELSON 28mm WHITE 100mC</t>
  </si>
  <si>
    <t xml:space="preserve">5012568007730       </t>
  </si>
  <si>
    <t>3STR NELSON 28mm WHITE 200mC</t>
  </si>
  <si>
    <t xml:space="preserve">5012568007747       </t>
  </si>
  <si>
    <t>3STR NELSON 32mm WHITE 100mC</t>
  </si>
  <si>
    <t xml:space="preserve">5012568007761       </t>
  </si>
  <si>
    <t>3STR NELSON 32mm WHITE 200mC</t>
  </si>
  <si>
    <t xml:space="preserve">5012568007778       </t>
  </si>
  <si>
    <t>3STR HARDY HEMP 6mm 100M R</t>
  </si>
  <si>
    <t xml:space="preserve">5012568009420       </t>
  </si>
  <si>
    <t>QA26-207</t>
  </si>
  <si>
    <t>3STR HARDY HEMP 6mm 200M R</t>
  </si>
  <si>
    <t xml:space="preserve">5012568009437       </t>
  </si>
  <si>
    <t>3STR HARDY HEMP 8mm 100M R</t>
  </si>
  <si>
    <t xml:space="preserve">5012568009505       </t>
  </si>
  <si>
    <t>3STR HARDY HEMP 8mm 200mR</t>
  </si>
  <si>
    <t xml:space="preserve">5012568009512       </t>
  </si>
  <si>
    <t>3STR HARDY HEMP 10mm 100mR</t>
  </si>
  <si>
    <t xml:space="preserve">5012568009581       </t>
  </si>
  <si>
    <t>3STR HARDY HEMP 10mm 200mR</t>
  </si>
  <si>
    <t xml:space="preserve">5012568009598       </t>
  </si>
  <si>
    <t>3STR HARDY HEMP 12mm 100M R</t>
  </si>
  <si>
    <t xml:space="preserve">5012568009666       </t>
  </si>
  <si>
    <t>3STR HARDY HEMP 12mm 200mR</t>
  </si>
  <si>
    <t xml:space="preserve">5012568009673       </t>
  </si>
  <si>
    <t>BY0042</t>
  </si>
  <si>
    <t>3STR HARDY HEMP 14mm 100M R</t>
  </si>
  <si>
    <t xml:space="preserve">5012568009741       </t>
  </si>
  <si>
    <t>BY0043</t>
  </si>
  <si>
    <t>3STR HARDY HEMP 14mm 200M R</t>
  </si>
  <si>
    <t xml:space="preserve">5012568009758       </t>
  </si>
  <si>
    <t>3STR HARDY HEMP 16mm 100mR</t>
  </si>
  <si>
    <t xml:space="preserve">5012568009826       </t>
  </si>
  <si>
    <t>3STR HARDY HEMP 16mm 200M R</t>
  </si>
  <si>
    <t xml:space="preserve">5012568009833       </t>
  </si>
  <si>
    <t>3STR HARDY HEMP 18mm 100mR</t>
  </si>
  <si>
    <t xml:space="preserve">5012568009901       </t>
  </si>
  <si>
    <t>3STR HARDY HEMP 18mm 200mR</t>
  </si>
  <si>
    <t xml:space="preserve">5012568009918       </t>
  </si>
  <si>
    <t>3STR HARDY HEMP 20mm 100mR</t>
  </si>
  <si>
    <t xml:space="preserve">5012568009987       </t>
  </si>
  <si>
    <t>3STR HARDY HEMP 20mm 200M R</t>
  </si>
  <si>
    <t xml:space="preserve">5012568009994       </t>
  </si>
  <si>
    <t>3STR HARDY HEMP 24mm 100M R</t>
  </si>
  <si>
    <t xml:space="preserve">5012568010143       </t>
  </si>
  <si>
    <t>3STR HARDY HEMP 24mm 200m C</t>
  </si>
  <si>
    <t xml:space="preserve">5012568010150       </t>
  </si>
  <si>
    <t>AJ0110</t>
  </si>
  <si>
    <t>3STR BUFF 6mm 200mR</t>
  </si>
  <si>
    <t xml:space="preserve">5012568374979       </t>
  </si>
  <si>
    <t>AJ0111</t>
  </si>
  <si>
    <t>3STR BUFF 8mm 200mR</t>
  </si>
  <si>
    <t xml:space="preserve">5012568374986       </t>
  </si>
  <si>
    <t>AJ0112</t>
  </si>
  <si>
    <t>3STR BUFF 10mm 200mR</t>
  </si>
  <si>
    <t xml:space="preserve">5012568374993       </t>
  </si>
  <si>
    <t>AJ0113</t>
  </si>
  <si>
    <t>3STR BUFF 12mm 200mR</t>
  </si>
  <si>
    <t xml:space="preserve">5012568375006       </t>
  </si>
  <si>
    <t>AJ0114</t>
  </si>
  <si>
    <t>3STR BUFF 14mm 100mR</t>
  </si>
  <si>
    <t xml:space="preserve">5012568375013       </t>
  </si>
  <si>
    <t>AJ0115</t>
  </si>
  <si>
    <t>3STR BUFF 16mm 100mR</t>
  </si>
  <si>
    <t xml:space="preserve">5012568375020       </t>
  </si>
  <si>
    <t>AJ0116</t>
  </si>
  <si>
    <t>3STR BUFF 18mm 100mR</t>
  </si>
  <si>
    <t xml:space="preserve">5012568375037       </t>
  </si>
  <si>
    <t>AJ0117</t>
  </si>
  <si>
    <t>3STR BUFF 20mm 100mR</t>
  </si>
  <si>
    <t xml:space="preserve">5012568375044       </t>
  </si>
  <si>
    <t>AJ0118</t>
  </si>
  <si>
    <t>3STR BUFF 24mm 100mR</t>
  </si>
  <si>
    <t xml:space="preserve">5012568375051       </t>
  </si>
  <si>
    <t>M/P NYLON 12mm (No.1.5) 100mR</t>
  </si>
  <si>
    <t xml:space="preserve">5012568016756       </t>
  </si>
  <si>
    <t>M/P NYLON 12mm NAVY 100mR</t>
  </si>
  <si>
    <t xml:space="preserve">5012568175422       </t>
  </si>
  <si>
    <t>M/P NYLON 12mm (No.1.5) 200mR</t>
  </si>
  <si>
    <t xml:space="preserve">5012568016763       </t>
  </si>
  <si>
    <t>M/P NYLON 12mm NAVY 200mR</t>
  </si>
  <si>
    <t xml:space="preserve">5012568175439       </t>
  </si>
  <si>
    <t>M/P NYLON 14mm (No.1.75) 100mR</t>
  </si>
  <si>
    <t xml:space="preserve">5012568016831       </t>
  </si>
  <si>
    <t>M/P NYLON 14mm NAVY 100mR</t>
  </si>
  <si>
    <t xml:space="preserve">5012568206430       </t>
  </si>
  <si>
    <t>M/P NYLON 14mm (No.1.75) 200mR</t>
  </si>
  <si>
    <t xml:space="preserve">5012568016848       </t>
  </si>
  <si>
    <t>M/P NYLON 14mm NAVY 200mR</t>
  </si>
  <si>
    <t xml:space="preserve">5012568206447       </t>
  </si>
  <si>
    <t>M/P NYLON 16mm (No.2) 100mR</t>
  </si>
  <si>
    <t xml:space="preserve">5012568016916       </t>
  </si>
  <si>
    <t>M/P NYLON 16mm NAVY 100mR</t>
  </si>
  <si>
    <t xml:space="preserve">5012568175446       </t>
  </si>
  <si>
    <t>M/P NYLON 16mm (No.2) 200mR</t>
  </si>
  <si>
    <t xml:space="preserve">5012568016923       </t>
  </si>
  <si>
    <t>M/P NYLON 16mm NAVY 200mR</t>
  </si>
  <si>
    <t xml:space="preserve">5012568175453       </t>
  </si>
  <si>
    <t>M/P NYLON 18mm (No.2.25) 100mR</t>
  </si>
  <si>
    <t xml:space="preserve">5012568016992       </t>
  </si>
  <si>
    <t>M/P NYLON 18mm NAVY 100mR</t>
  </si>
  <si>
    <t xml:space="preserve">5012568208953       </t>
  </si>
  <si>
    <t>M/P NYLON 18mm (No.2.25) 200mR</t>
  </si>
  <si>
    <t xml:space="preserve">5012568017005       </t>
  </si>
  <si>
    <t>M/P NYLON 18mm NAVY 200mR</t>
  </si>
  <si>
    <t xml:space="preserve">5012568208960       </t>
  </si>
  <si>
    <t>M/P NYLON 20mm (No.2.5) 100mR</t>
  </si>
  <si>
    <t xml:space="preserve">5012568017074       </t>
  </si>
  <si>
    <t>M/P NYLON 20mm NAVY 100mR</t>
  </si>
  <si>
    <t xml:space="preserve">5012568226346       </t>
  </si>
  <si>
    <t>M/P NYLON 20mm (No.2.5) 200mR</t>
  </si>
  <si>
    <t xml:space="preserve">5012568017081       </t>
  </si>
  <si>
    <t>M/P NYLON 20mm NAVY 200mR</t>
  </si>
  <si>
    <t xml:space="preserve">5012568226353       </t>
  </si>
  <si>
    <t>M/P NYLON 24mm (No.3) 100mR</t>
  </si>
  <si>
    <t xml:space="preserve">5012568017159       </t>
  </si>
  <si>
    <t>M/P NYLON 24mm NAVY 100mR</t>
  </si>
  <si>
    <t xml:space="preserve">5012568212998       </t>
  </si>
  <si>
    <t>M/P NYLON 24mm (No.3) 200mC</t>
  </si>
  <si>
    <t xml:space="preserve">5012568017166       </t>
  </si>
  <si>
    <t>M/P NYLON 24mm NAVY 200mR</t>
  </si>
  <si>
    <t xml:space="preserve">5012568226360       </t>
  </si>
  <si>
    <t>M/P NYLON 28mm (No.3.5) 100mR</t>
  </si>
  <si>
    <t xml:space="preserve">5012568017234       </t>
  </si>
  <si>
    <t>M/P NYLON 28mm NAVY 100mR</t>
  </si>
  <si>
    <t xml:space="preserve">5012568226377       </t>
  </si>
  <si>
    <t>M/P NYLON 28mm (No.3.5) 200mR</t>
  </si>
  <si>
    <t xml:space="preserve">5012568017241       </t>
  </si>
  <si>
    <t>M/P NYLON 28mm NAVY 200mR</t>
  </si>
  <si>
    <t xml:space="preserve">5012568226384       </t>
  </si>
  <si>
    <t>M/P NYLON 32mm (No.4) 100mR</t>
  </si>
  <si>
    <t xml:space="preserve">5012568017319       </t>
  </si>
  <si>
    <t>M/P NYLON 32mm NAVY 100mR</t>
  </si>
  <si>
    <t xml:space="preserve">5012568226391       </t>
  </si>
  <si>
    <t>M/P NYLON 32mm (No.4) 200mR</t>
  </si>
  <si>
    <t xml:space="preserve">5012568017326       </t>
  </si>
  <si>
    <t>M/P NYLON 32mm NAVY 200mR</t>
  </si>
  <si>
    <t xml:space="preserve">5012568226339       </t>
  </si>
  <si>
    <t>WTY300</t>
  </si>
  <si>
    <t>NOR'EASTER 13mm D12 BLK 1.8m (6')</t>
  </si>
  <si>
    <t xml:space="preserve">5012568366912       </t>
  </si>
  <si>
    <t>WTY305</t>
  </si>
  <si>
    <t>NOR'EASTER 18mm D12 BLK 3.6m (12')</t>
  </si>
  <si>
    <t xml:space="preserve">5012568366714       </t>
  </si>
  <si>
    <t>WTY309</t>
  </si>
  <si>
    <t>NOR'EASTER 24mm D12 BLK 4.9m (16')</t>
  </si>
  <si>
    <t xml:space="preserve">5012568366929       </t>
  </si>
  <si>
    <t>8PLT STD PES 1.5mm BEIGE 500mR</t>
  </si>
  <si>
    <t xml:space="preserve">5012568309001       </t>
  </si>
  <si>
    <t>8PLT STD PES 1.5mm BLACK 100mR</t>
  </si>
  <si>
    <t xml:space="preserve">5012568019177       </t>
  </si>
  <si>
    <t>QA26-150</t>
  </si>
  <si>
    <t>8PLT STD PES 1.5mm BLACK 200mR</t>
  </si>
  <si>
    <t xml:space="preserve">5012568019184       </t>
  </si>
  <si>
    <t>8PLT STD PES 1.5mm WHITE 100mR</t>
  </si>
  <si>
    <t xml:space="preserve">5012568019092       </t>
  </si>
  <si>
    <t>8PLT STD PES 1.5mm WHITE 200mR</t>
  </si>
  <si>
    <t xml:space="preserve">5012568019108       </t>
  </si>
  <si>
    <t>8PLT STD PES 2mm BEIGE100mR</t>
  </si>
  <si>
    <t xml:space="preserve">5012568258163       </t>
  </si>
  <si>
    <t>8PLT STD PES 2mm BEIGE 200mR</t>
  </si>
  <si>
    <t xml:space="preserve">5012568257869       </t>
  </si>
  <si>
    <t>8PLT STD PES 2mm BLACK 100mR</t>
  </si>
  <si>
    <t xml:space="preserve">5012568019627       </t>
  </si>
  <si>
    <t>8PLT STD PES 2mm BLACK 200mR</t>
  </si>
  <si>
    <t xml:space="preserve">5012568019634       </t>
  </si>
  <si>
    <t>8PLT STD PES 2mm WHITE 100mR</t>
  </si>
  <si>
    <t xml:space="preserve">5012568019276       </t>
  </si>
  <si>
    <t>8PLT STD PES 2mm WHITE 200mR</t>
  </si>
  <si>
    <t xml:space="preserve">5012568019283       </t>
  </si>
  <si>
    <t>8PLT STD PES 3mm BLACK 100mR</t>
  </si>
  <si>
    <t xml:space="preserve">5012568019450       </t>
  </si>
  <si>
    <t>8PLT STD PES 3mm BLACK 200mR</t>
  </si>
  <si>
    <t xml:space="preserve">5012568284827       </t>
  </si>
  <si>
    <t>8PLT STD PES 3mm BEIGE 100mR</t>
  </si>
  <si>
    <t xml:space="preserve">5012568282113       </t>
  </si>
  <si>
    <t>8PLT STD PES 3mm NATURAL 200mR</t>
  </si>
  <si>
    <t xml:space="preserve">5012568254295       </t>
  </si>
  <si>
    <t>8PLT STD PES 3mm WHITE 100mR</t>
  </si>
  <si>
    <t xml:space="preserve">5012568019375       </t>
  </si>
  <si>
    <t>8PLT STD PES 3mm WHITE 200mR</t>
  </si>
  <si>
    <t xml:space="preserve">5012568019382       </t>
  </si>
  <si>
    <t>JA0189</t>
  </si>
  <si>
    <t>8PLT STD PES 4mm NATURAL 200mR</t>
  </si>
  <si>
    <t xml:space="preserve">5012568254301       </t>
  </si>
  <si>
    <t>8PLT STD PES 4mm WHITE 100mR</t>
  </si>
  <si>
    <t xml:space="preserve">5012568109342       </t>
  </si>
  <si>
    <t>8PLT STD PES 4mm WHITE 200mR</t>
  </si>
  <si>
    <t xml:space="preserve">5012568089019       </t>
  </si>
  <si>
    <t>JA0190</t>
  </si>
  <si>
    <t>8PLT STD PES 5mm NATURAL 200mR</t>
  </si>
  <si>
    <t xml:space="preserve">5012568254318       </t>
  </si>
  <si>
    <t>8 PLT STD PES 5mm White 100m</t>
  </si>
  <si>
    <t xml:space="preserve">5012568138168       </t>
  </si>
  <si>
    <t>8PLT STD PES 5mm WHITE 200mR</t>
  </si>
  <si>
    <t xml:space="preserve">5012568109243       </t>
  </si>
  <si>
    <t>8PLT STD PES 1.5mm BLACK 10x40mMS</t>
  </si>
  <si>
    <t xml:space="preserve">5012568227145       </t>
  </si>
  <si>
    <t>8PLT STD PES 1.5mm WHITE 10x40mMS</t>
  </si>
  <si>
    <t xml:space="preserve">5012568019542       </t>
  </si>
  <si>
    <t>8PLT STD PES 2mm BLACK 10x30mMS</t>
  </si>
  <si>
    <t xml:space="preserve">5012568227152       </t>
  </si>
  <si>
    <t>8PLT STD PES 2mm WHITE 10x30mMS</t>
  </si>
  <si>
    <t xml:space="preserve">5012568019559       </t>
  </si>
  <si>
    <t>8PLT STD PES 3mm BLACK 10x17mMS</t>
  </si>
  <si>
    <t xml:space="preserve">5012568227169       </t>
  </si>
  <si>
    <t>8PLT STD PES 3mm WHITE 10x17mMS</t>
  </si>
  <si>
    <t xml:space="preserve">5012568019566       </t>
  </si>
  <si>
    <t>8PLT MARSTRON 6mm ORANGE 100mR</t>
  </si>
  <si>
    <t xml:space="preserve">5012568022627       </t>
  </si>
  <si>
    <t>QA26-155</t>
  </si>
  <si>
    <t>8PLT MARSTRON 6mm ORANGE 200mR</t>
  </si>
  <si>
    <t xml:space="preserve">5012568022634       </t>
  </si>
  <si>
    <t>8PLT MARSTRON 6mm YELLOW 100mR</t>
  </si>
  <si>
    <t xml:space="preserve">5012568022764       </t>
  </si>
  <si>
    <t>8PLT MARSTRON 6mm YELLOW 200mR</t>
  </si>
  <si>
    <t xml:space="preserve">5012568022771       </t>
  </si>
  <si>
    <t>8PLT MARSTRON 8mm ORANGE 100mR</t>
  </si>
  <si>
    <t xml:space="preserve">5012568022979       </t>
  </si>
  <si>
    <t>8PLT MARSTRON 8mm ORANGE 200mR</t>
  </si>
  <si>
    <t xml:space="preserve">5012568022986       </t>
  </si>
  <si>
    <t>8PLT MARSTRON 8mm YELLOW 100mR</t>
  </si>
  <si>
    <t xml:space="preserve">5012568023129       </t>
  </si>
  <si>
    <t>8PLT MARSTRON 8mm YELLOW 200mR</t>
  </si>
  <si>
    <t xml:space="preserve">5012568023136       </t>
  </si>
  <si>
    <t>8PLT MARSTRON 10mm ORANGE 100mR</t>
  </si>
  <si>
    <t xml:space="preserve">5012568023686       </t>
  </si>
  <si>
    <t>8PLT MARSTRON 10mm ORANGE 200mR</t>
  </si>
  <si>
    <t xml:space="preserve">5012568023693       </t>
  </si>
  <si>
    <t>8PLT MARSTRON 10mm YELLOW 100mR</t>
  </si>
  <si>
    <t xml:space="preserve">5012568023822       </t>
  </si>
  <si>
    <t>8PLT MARSTRON 10mm YELLOW 200mR</t>
  </si>
  <si>
    <t xml:space="preserve">5012568023839       </t>
  </si>
  <si>
    <t>SHOCKCORD 3mm BLACK 100mR</t>
  </si>
  <si>
    <t xml:space="preserve">5012568092668       </t>
  </si>
  <si>
    <t>SHOCKCORD 3mm BLUE 100mR</t>
  </si>
  <si>
    <t xml:space="preserve">5012568062036       </t>
  </si>
  <si>
    <t>SHOCKCORD 3mm LIME 100mR</t>
  </si>
  <si>
    <t xml:space="preserve">5012568062043       </t>
  </si>
  <si>
    <t>SHOCKCORD 3mm RED 100mR</t>
  </si>
  <si>
    <t xml:space="preserve">5012568062067       </t>
  </si>
  <si>
    <t>SHOCKCORD 3mm WHITE 100mR</t>
  </si>
  <si>
    <t xml:space="preserve">5012568062029       </t>
  </si>
  <si>
    <t>SHOCKCORD 4mm BLACK 100mR</t>
  </si>
  <si>
    <t xml:space="preserve">5012568092729       </t>
  </si>
  <si>
    <t>SHOCKCORD 4mm BLUE 100mR</t>
  </si>
  <si>
    <t xml:space="preserve">5012568092682       </t>
  </si>
  <si>
    <t>SHOCKCORD 4mm LIME 100mR</t>
  </si>
  <si>
    <t xml:space="preserve">5012568092699       </t>
  </si>
  <si>
    <t>SHOCKCORD 4mm RED 100mR</t>
  </si>
  <si>
    <t xml:space="preserve">5012568092712       </t>
  </si>
  <si>
    <t>SHOCKCORD 4mm WHITE 100mR</t>
  </si>
  <si>
    <t xml:space="preserve">5012568092675       </t>
  </si>
  <si>
    <t>QA26/422</t>
  </si>
  <si>
    <t>SHOCKCORD 5mm BLACK 100mR</t>
  </si>
  <si>
    <t xml:space="preserve">5012568062104       </t>
  </si>
  <si>
    <t>SHOCKCORD 5mm BLUE 100mR</t>
  </si>
  <si>
    <t xml:space="preserve">5012568062098       </t>
  </si>
  <si>
    <t>SHOCKCORD 5mm LIME 100mR</t>
  </si>
  <si>
    <t xml:space="preserve">5012568062128       </t>
  </si>
  <si>
    <t>SHOCKCORD 5mm RED 100mR</t>
  </si>
  <si>
    <t xml:space="preserve">5012568062142       </t>
  </si>
  <si>
    <t>SHOCKCORD 5mm WHITE 100mR</t>
  </si>
  <si>
    <t xml:space="preserve">5012568062081       </t>
  </si>
  <si>
    <t>SHOCKCORD 6mm BLACK 100mR</t>
  </si>
  <si>
    <t xml:space="preserve">5012568092774       </t>
  </si>
  <si>
    <t>SHOCKCORD 6mm BLUE 100mR</t>
  </si>
  <si>
    <t xml:space="preserve">5012568092736       </t>
  </si>
  <si>
    <t>SHOCKCORD 6mm LIME 100mR</t>
  </si>
  <si>
    <t xml:space="preserve">5012568092743       </t>
  </si>
  <si>
    <t>SHOCKCORD 6mm RED 100mR</t>
  </si>
  <si>
    <t xml:space="preserve">5012568092767       </t>
  </si>
  <si>
    <t>SHOCKCORD 6mm WHITE 100mR</t>
  </si>
  <si>
    <t xml:space="preserve">5012568062166       </t>
  </si>
  <si>
    <t>SHOCKCORD 7mm WHITE 100mR</t>
  </si>
  <si>
    <t xml:space="preserve">5012568062173       </t>
  </si>
  <si>
    <t>SHOCKCORD 8mm BLACK 100mR</t>
  </si>
  <si>
    <t xml:space="preserve">5012568205778       </t>
  </si>
  <si>
    <t>SHOCKCORD 8mm WHITE 50mR</t>
  </si>
  <si>
    <t xml:space="preserve">5012568062234       </t>
  </si>
  <si>
    <t>SHOCKCORD 8mm WHITE 100mR</t>
  </si>
  <si>
    <t xml:space="preserve">5012568096154       </t>
  </si>
  <si>
    <t>SHOCKCORD 10mm WHITE 50mR</t>
  </si>
  <si>
    <t xml:space="preserve">5012568062296       </t>
  </si>
  <si>
    <t>SHOCKCORD 3mm BLK DYNEEMA 100mR</t>
  </si>
  <si>
    <t>SHOCKCORD 4mm BLK DYNEEMA 100mR</t>
  </si>
  <si>
    <t xml:space="preserve">5012568373262       </t>
  </si>
  <si>
    <t>SHOCKCORD 5mm BLK DYNEEMA 100mR</t>
  </si>
  <si>
    <t xml:space="preserve">5012568373279       </t>
  </si>
  <si>
    <t>SHOCKCORD 6mm BLK DYNEEMA 100mR</t>
  </si>
  <si>
    <t xml:space="preserve">5012568373286       </t>
  </si>
  <si>
    <t>SHOCKCORD 8mm BLK DYNEEMA 100mR</t>
  </si>
  <si>
    <t>SHOCKCORD 10mm BLK DYNEEMA 50mR</t>
  </si>
  <si>
    <t>WHIPPING TWINE No2 WHITE 1Kg C</t>
  </si>
  <si>
    <t xml:space="preserve">5012568076729       </t>
  </si>
  <si>
    <t>WHIPPING TWINE No4 WHITE 1Kg C</t>
  </si>
  <si>
    <t xml:space="preserve">5012568076736       </t>
  </si>
  <si>
    <t>WHIPPING TWINE No4 BLACK 1kgC</t>
  </si>
  <si>
    <t xml:space="preserve">5012568076835       </t>
  </si>
  <si>
    <t>WHIPPING TWINE No4 BLUE 1kgC</t>
  </si>
  <si>
    <t xml:space="preserve">5012568076750       </t>
  </si>
  <si>
    <t>WHIPPING TWINE No4 GOLD 1Kg C</t>
  </si>
  <si>
    <t xml:space="preserve">5012568076828       </t>
  </si>
  <si>
    <t>WHIPPING TWINE No4 GREEN 1kgC</t>
  </si>
  <si>
    <t xml:space="preserve">5012568076767       </t>
  </si>
  <si>
    <t>WHIPPING TWINE No4 BEIGE 1Kg C</t>
  </si>
  <si>
    <t xml:space="preserve">5012568274293       </t>
  </si>
  <si>
    <t>WHIPPING TWINE No4 RED 1Kg C</t>
  </si>
  <si>
    <t xml:space="preserve">5012568076743       </t>
  </si>
  <si>
    <t>WHIPPING TWINE No8 WHITE 1kgC</t>
  </si>
  <si>
    <t xml:space="preserve">5012568076774       </t>
  </si>
  <si>
    <t>TAE013</t>
  </si>
  <si>
    <t>WHIPPING TWINE No16 WHITE 1kgC</t>
  </si>
  <si>
    <t xml:space="preserve">5012568076781       </t>
  </si>
  <si>
    <t>WHIPPING TWINE No2 WHITE 12SP</t>
  </si>
  <si>
    <t xml:space="preserve">5012568076651       </t>
  </si>
  <si>
    <t>WHIPPING TWINE No4 BLACK 12SP</t>
  </si>
  <si>
    <t xml:space="preserve">5012568076811       </t>
  </si>
  <si>
    <t>WHIPPING TWINE No4 BLUE 12SP</t>
  </si>
  <si>
    <t xml:space="preserve">5012568076682       </t>
  </si>
  <si>
    <t>WHIPPING TWINE No4 GOLD 12SP</t>
  </si>
  <si>
    <t xml:space="preserve">5012568076804       </t>
  </si>
  <si>
    <t>WHIPPING TWINE No4 GREEN 12SP</t>
  </si>
  <si>
    <t xml:space="preserve">5012568076699       </t>
  </si>
  <si>
    <t>WHIPPING TWINE No4 ASSORT 12SP</t>
  </si>
  <si>
    <t xml:space="preserve">5012568076798       </t>
  </si>
  <si>
    <t>WHIPPING TWINE No4 BEIGE 12SP</t>
  </si>
  <si>
    <t xml:space="preserve">5012568247143       </t>
  </si>
  <si>
    <t>WHIPPING TWINE No4 RED 12SP</t>
  </si>
  <si>
    <t xml:space="preserve">5012568076675       </t>
  </si>
  <si>
    <t>WHIPPING TWINE No4 WHITE 12SP</t>
  </si>
  <si>
    <t xml:space="preserve">5012568076668       </t>
  </si>
  <si>
    <t>WHIPPING TWINE No8 WHITE 12SP</t>
  </si>
  <si>
    <t xml:space="preserve">5012568076705       </t>
  </si>
  <si>
    <t>TAE006</t>
  </si>
  <si>
    <t>Discontinued</t>
  </si>
  <si>
    <t xml:space="preserve">5012568076712       </t>
  </si>
  <si>
    <t>SOFT SHACKLE 4mm D12 - PACK OF TWO</t>
  </si>
  <si>
    <t xml:space="preserve">5012568281444       </t>
  </si>
  <si>
    <t>SOFT SHACKLE 5mm D12 - PACK OF TWO</t>
  </si>
  <si>
    <t xml:space="preserve">5012568281451       </t>
  </si>
  <si>
    <t>SOFT SHACKLE 6mm D12 - PACK OF TWO</t>
  </si>
  <si>
    <t xml:space="preserve">5012568281468       </t>
  </si>
  <si>
    <t>SOFT SHACKLE 7mm D12 - PACK OF TWO</t>
  </si>
  <si>
    <t xml:space="preserve">5012568281475       </t>
  </si>
  <si>
    <t>SOFT SHACKLE 9mm D12 - PACK OF TWO</t>
  </si>
  <si>
    <t xml:space="preserve">5012568281482       </t>
  </si>
  <si>
    <t>SOFT SHACKLE 11mm D12 - PACK OF TWO</t>
  </si>
  <si>
    <t xml:space="preserve">5012568281499       </t>
  </si>
  <si>
    <t>DBRAID SPLICING NEEDLE 4mm CARDED</t>
  </si>
  <si>
    <t xml:space="preserve">5012568281307       </t>
  </si>
  <si>
    <t>DBRAID SPLICING NEEDLE 5.5mm CARDED</t>
  </si>
  <si>
    <t xml:space="preserve">5012568281314       </t>
  </si>
  <si>
    <t>DBRAID SPLICING NEEDLE 7.5mm CARDED</t>
  </si>
  <si>
    <t xml:space="preserve">5012568281321       </t>
  </si>
  <si>
    <t>DBRAID SPLICING NEEDLE 10mm CARDED</t>
  </si>
  <si>
    <t xml:space="preserve">5012568281338       </t>
  </si>
  <si>
    <t xml:space="preserve">5012568112120       </t>
  </si>
  <si>
    <t xml:space="preserve">5012568112137       </t>
  </si>
  <si>
    <t>R BLADE FOR CORDED HOT KNIFE</t>
  </si>
  <si>
    <t xml:space="preserve">5012568274002       </t>
  </si>
  <si>
    <t>FAB104</t>
  </si>
  <si>
    <t>DBRAID SPLICING NEEDLE KIT CARDED</t>
  </si>
  <si>
    <t xml:space="preserve">5012568281345       </t>
  </si>
  <si>
    <t>RIGGERS SPLICING NEEDLE SML CARDED</t>
  </si>
  <si>
    <t xml:space="preserve">5012568281352       </t>
  </si>
  <si>
    <t>RIGGERS SPLICING NEEDLE LRG CARDED</t>
  </si>
  <si>
    <t xml:space="preserve">5012568281369       </t>
  </si>
  <si>
    <t>RIGGERS SWEDISH FID SMALL CARDED</t>
  </si>
  <si>
    <t xml:space="preserve">5012568281376       </t>
  </si>
  <si>
    <t>RIGGERS SWEDISH FID LARGE CARDED</t>
  </si>
  <si>
    <t xml:space="preserve">5012568281383       </t>
  </si>
  <si>
    <t>WIRE SPLICING NEEDLE SMALL CARDED</t>
  </si>
  <si>
    <t xml:space="preserve">5012568281390       </t>
  </si>
  <si>
    <t>SAILMAKERS PALM No.2 CARDED</t>
  </si>
  <si>
    <t xml:space="preserve">5012568281406       </t>
  </si>
  <si>
    <t>NEEDLES MIXED PACK CARDED</t>
  </si>
  <si>
    <t xml:space="preserve">5012568281413       </t>
  </si>
  <si>
    <t>SCISSORS EXTRA POWER TEFLON CARDED</t>
  </si>
  <si>
    <t xml:space="preserve">5012568281437       </t>
  </si>
  <si>
    <t>FAA007</t>
  </si>
  <si>
    <t>NEEDLES MIXED PACKS</t>
  </si>
  <si>
    <t xml:space="preserve">5012568274019       </t>
  </si>
  <si>
    <t>FAA008</t>
  </si>
  <si>
    <t>SAILMAKERS PALMS No.2 (RIGHT HAND)</t>
  </si>
  <si>
    <t xml:space="preserve">5012568274026       </t>
  </si>
  <si>
    <t xml:space="preserve">5012568274033       </t>
  </si>
  <si>
    <t xml:space="preserve">5012568265130       </t>
  </si>
  <si>
    <t>HOT KNIFE CORDLESS 110-220V (UK)</t>
  </si>
  <si>
    <t xml:space="preserve">5012568375235       </t>
  </si>
  <si>
    <t>HOT KNIFE CORDLESS 110-220V (EUR)</t>
  </si>
  <si>
    <t xml:space="preserve">5012568375242       </t>
  </si>
  <si>
    <t>HOT KNIFE CORDLESS 110-220V (US)</t>
  </si>
  <si>
    <t xml:space="preserve">5012568375259       </t>
  </si>
  <si>
    <t>FAA040</t>
  </si>
  <si>
    <t xml:space="preserve">5012568274040       </t>
  </si>
  <si>
    <t>FAA045</t>
  </si>
  <si>
    <t xml:space="preserve">5012568274057       </t>
  </si>
  <si>
    <t>FAA046</t>
  </si>
  <si>
    <t xml:space="preserve">5012568274064       </t>
  </si>
  <si>
    <t>FAA048</t>
  </si>
  <si>
    <t>RIGGERS TAPE MEASURE</t>
  </si>
  <si>
    <t xml:space="preserve">5012568274071       </t>
  </si>
  <si>
    <t xml:space="preserve">5012568274088       </t>
  </si>
  <si>
    <t>FAB000</t>
  </si>
  <si>
    <t>SPLICING NEEDLE SMALL</t>
  </si>
  <si>
    <t xml:space="preserve">5012568274095       </t>
  </si>
  <si>
    <t>FAB006</t>
  </si>
  <si>
    <t>RIGGERS SPLICING NEEDLE SMALL</t>
  </si>
  <si>
    <t xml:space="preserve">5012568274118       </t>
  </si>
  <si>
    <t>FAB007</t>
  </si>
  <si>
    <t>RIGGERS SPLICING NEEDLE LARGE</t>
  </si>
  <si>
    <t xml:space="preserve">5012568274125       </t>
  </si>
  <si>
    <t>FAB008</t>
  </si>
  <si>
    <t xml:space="preserve">5012568257104       </t>
  </si>
  <si>
    <t>KITELINE SPLICING NEEDLE CARDED</t>
  </si>
  <si>
    <t xml:space="preserve">5012568365038       </t>
  </si>
  <si>
    <t xml:space="preserve">5012568189467       </t>
  </si>
  <si>
    <t xml:space="preserve">5012568274132       </t>
  </si>
  <si>
    <t>FAF004</t>
  </si>
  <si>
    <t>D/BRAID SPLICING NEEDLE 4mm</t>
  </si>
  <si>
    <t xml:space="preserve">5012568274149       </t>
  </si>
  <si>
    <t>FAF008</t>
  </si>
  <si>
    <t>D/BRAID SPLICING NEEDLE 5.5mm</t>
  </si>
  <si>
    <t xml:space="preserve">5012568274156       </t>
  </si>
  <si>
    <t xml:space="preserve">5012568206997       </t>
  </si>
  <si>
    <t>FAF012</t>
  </si>
  <si>
    <t>D/BRAID SPLICING NEEDLE 10mm</t>
  </si>
  <si>
    <t xml:space="preserve">5012568293836       </t>
  </si>
  <si>
    <t>FAV020</t>
  </si>
  <si>
    <t>POCKET ROPE GUIDE - ENGLISH</t>
  </si>
  <si>
    <t xml:space="preserve">5012568293980       </t>
  </si>
  <si>
    <t>MARLOW SPLICING GUIDE</t>
  </si>
  <si>
    <t xml:space="preserve">5012568375136       </t>
  </si>
  <si>
    <t>FAV021</t>
  </si>
  <si>
    <t>DEFINITIVE ROPE GUIDE ISSUE 5</t>
  </si>
  <si>
    <t xml:space="preserve">5012568293997       </t>
  </si>
  <si>
    <t>FAF007</t>
  </si>
  <si>
    <t>D/BRAID SPLICING NEEDLE 7.5mm</t>
  </si>
  <si>
    <t xml:space="preserve">5012568275283       </t>
  </si>
  <si>
    <t>1 LITRE ARMOURCOAT PU RED</t>
  </si>
  <si>
    <t xml:space="preserve">5012568274231       </t>
  </si>
  <si>
    <t>1 LITRE ARMOURCOAT PU BLUE</t>
  </si>
  <si>
    <t xml:space="preserve">5012568274248       </t>
  </si>
  <si>
    <t>1 LITRE ARMOURCOAT PU GREEN</t>
  </si>
  <si>
    <t xml:space="preserve">5012568274255       </t>
  </si>
  <si>
    <t>1 LITRE ARMOURCOAT PU BLACK</t>
  </si>
  <si>
    <t xml:space="preserve">5012568274262       </t>
  </si>
  <si>
    <t>1 LITRE ARMOURCOAT PU YELLOW</t>
  </si>
  <si>
    <t xml:space="preserve">5012568274279       </t>
  </si>
  <si>
    <t>1 LITRE ARMOURCOAT PU CLEAR</t>
  </si>
  <si>
    <t xml:space="preserve">5012568274286       </t>
  </si>
  <si>
    <t>BUOYANCY BAG WEBBING 100mR</t>
  </si>
  <si>
    <t xml:space="preserve">5012568273982       </t>
  </si>
  <si>
    <t>CHAFE PROTECT WEBBING 40mm BLK 50mR</t>
  </si>
  <si>
    <t xml:space="preserve">5012568250471       </t>
  </si>
  <si>
    <t>JACKSTAY WEBBING BLUE 50mR</t>
  </si>
  <si>
    <t xml:space="preserve">5012568125670       </t>
  </si>
  <si>
    <t>TOESTRAP WEBBING BLUE 50mR</t>
  </si>
  <si>
    <t xml:space="preserve">5012568125625       </t>
  </si>
  <si>
    <t>TOESTRAP WEBBING BLACK 50mR</t>
  </si>
  <si>
    <t xml:space="preserve">5012568125632       </t>
  </si>
  <si>
    <t>TOESTRAP WEBBING RED 50mR</t>
  </si>
  <si>
    <t xml:space="preserve">5012568125649       </t>
  </si>
  <si>
    <t>MARLOW TAPE CARDED</t>
  </si>
  <si>
    <t xml:space="preserve">5012568281420       </t>
  </si>
  <si>
    <t>EDA003</t>
  </si>
  <si>
    <t xml:space="preserve">5012568360514       </t>
  </si>
  <si>
    <t>25mm WHITE UNCOATED HOSE</t>
  </si>
  <si>
    <t>32mm WHITE UNCOATED HOSE</t>
  </si>
  <si>
    <t>42mm WHITE UNCOATED HOSE</t>
  </si>
  <si>
    <t>STATIC-LSK 11mm BLACK FLK 50mR</t>
  </si>
  <si>
    <t xml:space="preserve">5012568311325       </t>
  </si>
  <si>
    <t>EN 1891 Type A</t>
  </si>
  <si>
    <t>KC4118</t>
  </si>
  <si>
    <t>STATIC-LSK 11mm BLACK FLK 60mR</t>
  </si>
  <si>
    <t xml:space="preserve">5012568311332       </t>
  </si>
  <si>
    <t>STATIC-LSK 11mm BLACK/FLK 100m R</t>
  </si>
  <si>
    <t xml:space="preserve">5012568248911       </t>
  </si>
  <si>
    <t>STATIC-LSK 11mm BLACK/FLK 200m</t>
  </si>
  <si>
    <t xml:space="preserve">5012568248928       </t>
  </si>
  <si>
    <t>STATIC-LSK 11mm RED/FLK 50mR</t>
  </si>
  <si>
    <t xml:space="preserve">5012568311707       </t>
  </si>
  <si>
    <t>STATIC-LSK 11mm RED/FLK 100mR</t>
  </si>
  <si>
    <t xml:space="preserve">5012568311684       </t>
  </si>
  <si>
    <t>STATIC-LSK 11mm RED/FLK 200mR</t>
  </si>
  <si>
    <t xml:space="preserve">5012568264294       </t>
  </si>
  <si>
    <t>KE4000</t>
  </si>
  <si>
    <t>DYNAMIC 11mm 4mH (COW TAIL)</t>
  </si>
  <si>
    <t xml:space="preserve">5012568271117       </t>
  </si>
  <si>
    <t>EN 892 Single rope</t>
  </si>
  <si>
    <t>CAMP GOBLIN BACK UP DEVICE</t>
  </si>
  <si>
    <t xml:space="preserve">5012568308509       </t>
  </si>
  <si>
    <t>EN 12841 A/B  EN 352-2</t>
  </si>
  <si>
    <t>KARABINER-HMS 3 LOCK COLOUR</t>
  </si>
  <si>
    <t xml:space="preserve">5012568308547       </t>
  </si>
  <si>
    <t>EN 362 EN 12275</t>
  </si>
  <si>
    <t>DISCONTINUED - SEE GP-136503</t>
  </si>
  <si>
    <t xml:space="preserve">5012568308585       </t>
  </si>
  <si>
    <t>ACCESS SIT HARNESS</t>
  </si>
  <si>
    <t xml:space="preserve">5012568308608       </t>
  </si>
  <si>
    <t>EN 358 EN 813</t>
  </si>
  <si>
    <t>HARNESS-ACCESS CHEST</t>
  </si>
  <si>
    <t xml:space="preserve">5012568308592       </t>
  </si>
  <si>
    <t>EN 361</t>
  </si>
  <si>
    <t>CAMP ARMOUR WORK HELMET</t>
  </si>
  <si>
    <t xml:space="preserve">5012568364932       </t>
  </si>
  <si>
    <t>EN 12492</t>
  </si>
  <si>
    <t>CAMP PILOT HAND ASCENDER RIGHT</t>
  </si>
  <si>
    <t xml:space="preserve">5012568364796       </t>
  </si>
  <si>
    <t>EN 12841/B  EN 567</t>
  </si>
  <si>
    <t>CAMP PILOT HAND ASCENDER LEFT</t>
  </si>
  <si>
    <t xml:space="preserve">5012568364802       </t>
  </si>
  <si>
    <t>TURBO FOOT LOOP</t>
  </si>
  <si>
    <t xml:space="preserve">5012568364901       </t>
  </si>
  <si>
    <t xml:space="preserve">Commercial </t>
  </si>
  <si>
    <t>KARABINER-OVAL COMPACT 3 LOCK</t>
  </si>
  <si>
    <t xml:space="preserve">5012568308554       </t>
  </si>
  <si>
    <t>ACCESS SWING ATTACHMENT</t>
  </si>
  <si>
    <t xml:space="preserve">5012568364772       </t>
  </si>
  <si>
    <t>CAMP GOBLIN LANYARD 40cm</t>
  </si>
  <si>
    <t xml:space="preserve">5012568364925       </t>
  </si>
  <si>
    <t>EN 354 EN795/B</t>
  </si>
  <si>
    <t>CAMP DRUID AUTO-BRAKING DECENDER</t>
  </si>
  <si>
    <t xml:space="preserve">5012568364789       </t>
  </si>
  <si>
    <t>EN 12841/C EN 341/2A EN 15151-</t>
  </si>
  <si>
    <t>Total order value</t>
  </si>
  <si>
    <t>Part no</t>
  </si>
  <si>
    <t>Qty</t>
  </si>
  <si>
    <t xml:space="preserve">Description </t>
  </si>
  <si>
    <t>Weight (Kg/100m)</t>
  </si>
  <si>
    <t>net price</t>
  </si>
  <si>
    <t>Line Total</t>
  </si>
  <si>
    <t>AA0000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</si>
</sst>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0&quot;m&quot;"/>
    <numFmt numFmtId="166" formatCode="0&quot;mm&quot;"/>
    <numFmt numFmtId="167" formatCode="0.0000"/>
    <numFmt numFmtId="168" formatCode="0.0%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b/>
      <sz val="10"/>
      <color indexed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2"/>
      <name val="Arial"/>
      <family val="2"/>
    </font>
    <font>
      <sz val="20"/>
      <name val="Arial Black"/>
      <family val="2"/>
    </font>
    <font>
      <sz val="18"/>
      <name val="Arial Black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</cellStyleXfs>
  <cellXfs count="135">
    <xf numFmtId="0" fontId="0" fillId="0" borderId="0" xfId="0"/>
    <xf numFmtId="0" fontId="4" fillId="2" borderId="0" xfId="1" applyFont="1" applyFill="1" applyProtection="1"/>
    <xf numFmtId="2" fontId="4" fillId="2" borderId="0" xfId="1" applyNumberFormat="1" applyFont="1" applyFill="1" applyAlignment="1" applyProtection="1">
      <alignment horizontal="right"/>
    </xf>
    <xf numFmtId="0" fontId="4" fillId="3" borderId="0" xfId="1" applyFont="1" applyFill="1" applyProtection="1"/>
    <xf numFmtId="0" fontId="5" fillId="2" borderId="0" xfId="1" applyFont="1" applyFill="1" applyProtection="1"/>
    <xf numFmtId="0" fontId="6" fillId="2" borderId="0" xfId="1" applyFont="1" applyFill="1" applyBorder="1" applyAlignment="1" applyProtection="1">
      <alignment horizontal="right"/>
    </xf>
    <xf numFmtId="2" fontId="4" fillId="3" borderId="0" xfId="1" applyNumberFormat="1" applyFont="1" applyFill="1" applyAlignment="1" applyProtection="1">
      <alignment horizontal="right"/>
    </xf>
    <xf numFmtId="0" fontId="4" fillId="3" borderId="0" xfId="1" applyFont="1" applyFill="1" applyBorder="1" applyProtection="1"/>
    <xf numFmtId="2" fontId="10" fillId="3" borderId="0" xfId="1" applyNumberFormat="1" applyFont="1" applyFill="1" applyAlignment="1" applyProtection="1">
      <alignment horizontal="right"/>
    </xf>
    <xf numFmtId="0" fontId="4" fillId="5" borderId="4" xfId="1" applyFont="1" applyFill="1" applyBorder="1" applyAlignment="1" applyProtection="1">
      <alignment horizontal="center"/>
    </xf>
    <xf numFmtId="0" fontId="4" fillId="6" borderId="4" xfId="1" quotePrefix="1" applyFont="1" applyFill="1" applyBorder="1" applyAlignment="1" applyProtection="1">
      <alignment horizontal="center"/>
    </xf>
    <xf numFmtId="2" fontId="4" fillId="7" borderId="4" xfId="1" applyNumberFormat="1" applyFont="1" applyFill="1" applyBorder="1" applyAlignment="1" applyProtection="1">
      <alignment horizontal="right"/>
    </xf>
    <xf numFmtId="0" fontId="4" fillId="8" borderId="0" xfId="1" applyFont="1" applyFill="1" applyProtection="1"/>
    <xf numFmtId="0" fontId="11" fillId="3" borderId="0" xfId="1" applyNumberFormat="1" applyFont="1" applyFill="1" applyBorder="1" applyProtection="1"/>
    <xf numFmtId="165" fontId="12" fillId="3" borderId="0" xfId="1" applyNumberFormat="1" applyFont="1" applyFill="1" applyBorder="1" applyAlignment="1" applyProtection="1">
      <alignment horizontal="center"/>
    </xf>
    <xf numFmtId="0" fontId="5" fillId="3" borderId="0" xfId="1" applyNumberFormat="1" applyFont="1" applyFill="1" applyBorder="1" applyAlignment="1" applyProtection="1">
      <alignment horizontal="center"/>
    </xf>
    <xf numFmtId="0" fontId="12" fillId="3" borderId="0" xfId="1" applyFont="1" applyFill="1" applyBorder="1" applyProtection="1"/>
    <xf numFmtId="2" fontId="5" fillId="3" borderId="0" xfId="1" applyNumberFormat="1" applyFont="1" applyFill="1" applyBorder="1" applyAlignment="1" applyProtection="1">
      <alignment horizontal="center"/>
    </xf>
    <xf numFmtId="2" fontId="5" fillId="3" borderId="0" xfId="1" applyNumberFormat="1" applyFont="1" applyFill="1" applyBorder="1" applyAlignment="1" applyProtection="1">
      <alignment horizontal="right"/>
    </xf>
    <xf numFmtId="0" fontId="13" fillId="3" borderId="0" xfId="1" applyNumberFormat="1" applyFont="1" applyFill="1" applyBorder="1" applyAlignment="1" applyProtection="1">
      <alignment horizontal="center"/>
    </xf>
    <xf numFmtId="0" fontId="14" fillId="3" borderId="0" xfId="1" applyNumberFormat="1" applyFont="1" applyFill="1" applyBorder="1" applyAlignment="1" applyProtection="1">
      <alignment horizontal="center"/>
    </xf>
    <xf numFmtId="0" fontId="4" fillId="3" borderId="0" xfId="1" quotePrefix="1" applyFont="1" applyFill="1" applyProtection="1"/>
    <xf numFmtId="0" fontId="5" fillId="3" borderId="0" xfId="1" applyNumberFormat="1" applyFont="1" applyFill="1" applyAlignment="1" applyProtection="1">
      <alignment horizontal="center"/>
    </xf>
    <xf numFmtId="0" fontId="15" fillId="3" borderId="5" xfId="1" applyFont="1" applyFill="1" applyBorder="1" applyAlignment="1" applyProtection="1">
      <alignment horizontal="center"/>
    </xf>
    <xf numFmtId="2" fontId="4" fillId="3" borderId="0" xfId="1" applyNumberFormat="1" applyFont="1" applyFill="1" applyBorder="1" applyAlignment="1" applyProtection="1">
      <alignment horizontal="right"/>
    </xf>
    <xf numFmtId="2" fontId="4" fillId="3" borderId="0" xfId="1" applyNumberFormat="1" applyFont="1" applyFill="1" applyProtection="1"/>
    <xf numFmtId="0" fontId="15" fillId="3" borderId="6" xfId="1" applyFont="1" applyFill="1" applyBorder="1" applyAlignment="1" applyProtection="1">
      <alignment horizontal="center"/>
    </xf>
    <xf numFmtId="0" fontId="15" fillId="3" borderId="0" xfId="1" applyFont="1" applyFill="1" applyBorder="1" applyAlignment="1" applyProtection="1">
      <alignment horizontal="center"/>
    </xf>
    <xf numFmtId="166" fontId="5" fillId="3" borderId="0" xfId="1" applyNumberFormat="1" applyFont="1" applyFill="1" applyAlignment="1" applyProtection="1">
      <alignment horizontal="center"/>
    </xf>
    <xf numFmtId="0" fontId="15" fillId="3" borderId="0" xfId="1" applyFont="1" applyFill="1" applyProtection="1"/>
    <xf numFmtId="164" fontId="4" fillId="3" borderId="0" xfId="2" applyFont="1" applyFill="1" applyProtection="1"/>
    <xf numFmtId="0" fontId="10" fillId="3" borderId="0" xfId="1" applyFont="1" applyFill="1" applyProtection="1"/>
    <xf numFmtId="167" fontId="4" fillId="3" borderId="0" xfId="1" applyNumberFormat="1" applyFont="1" applyFill="1" applyProtection="1"/>
    <xf numFmtId="0" fontId="15" fillId="3" borderId="7" xfId="1" applyFont="1" applyFill="1" applyBorder="1" applyAlignment="1" applyProtection="1">
      <alignment horizontal="center"/>
    </xf>
    <xf numFmtId="0" fontId="4" fillId="9" borderId="0" xfId="1" applyFont="1" applyFill="1" applyProtection="1"/>
    <xf numFmtId="0" fontId="16" fillId="3" borderId="0" xfId="1" applyNumberFormat="1" applyFont="1" applyFill="1" applyAlignment="1" applyProtection="1">
      <alignment horizontal="left"/>
    </xf>
    <xf numFmtId="0" fontId="4" fillId="10" borderId="0" xfId="1" applyFont="1" applyFill="1" applyProtection="1"/>
    <xf numFmtId="0" fontId="4" fillId="11" borderId="0" xfId="1" applyFont="1" applyFill="1" applyProtection="1"/>
    <xf numFmtId="0" fontId="12" fillId="3" borderId="0" xfId="1" applyNumberFormat="1" applyFont="1" applyFill="1" applyBorder="1" applyProtection="1"/>
    <xf numFmtId="0" fontId="17" fillId="3" borderId="0" xfId="1" applyFont="1" applyFill="1" applyProtection="1"/>
    <xf numFmtId="0" fontId="4" fillId="12" borderId="0" xfId="1" applyFont="1" applyFill="1" applyProtection="1"/>
    <xf numFmtId="0" fontId="13" fillId="3" borderId="0" xfId="1" applyNumberFormat="1" applyFont="1" applyFill="1" applyBorder="1" applyAlignment="1" applyProtection="1">
      <alignment horizontal="left"/>
    </xf>
    <xf numFmtId="0" fontId="13" fillId="3" borderId="0" xfId="1" applyFont="1" applyFill="1" applyBorder="1" applyAlignment="1" applyProtection="1">
      <alignment horizontal="center"/>
    </xf>
    <xf numFmtId="0" fontId="5" fillId="3" borderId="0" xfId="1" applyNumberFormat="1" applyFont="1" applyFill="1" applyAlignment="1" applyProtection="1">
      <alignment horizontal="left"/>
    </xf>
    <xf numFmtId="0" fontId="4" fillId="3" borderId="5" xfId="1" applyNumberFormat="1" applyFont="1" applyFill="1" applyBorder="1" applyAlignment="1" applyProtection="1">
      <alignment horizontal="center"/>
    </xf>
    <xf numFmtId="0" fontId="5" fillId="3" borderId="5" xfId="1" applyFont="1" applyFill="1" applyBorder="1" applyProtection="1"/>
    <xf numFmtId="0" fontId="13" fillId="3" borderId="0" xfId="1" applyNumberFormat="1" applyFont="1" applyFill="1" applyBorder="1" applyAlignment="1" applyProtection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/>
    <xf numFmtId="2" fontId="0" fillId="13" borderId="0" xfId="0" applyNumberFormat="1" applyFill="1"/>
    <xf numFmtId="2" fontId="3" fillId="13" borderId="0" xfId="0" applyNumberFormat="1" applyFont="1" applyFill="1"/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18" fillId="3" borderId="0" xfId="0" applyFont="1" applyFill="1" applyAlignment="1">
      <alignment horizontal="center"/>
    </xf>
    <xf numFmtId="0" fontId="19" fillId="14" borderId="9" xfId="0" applyFont="1" applyFill="1" applyBorder="1" applyAlignment="1">
      <alignment horizontal="center" wrapText="1"/>
    </xf>
    <xf numFmtId="0" fontId="19" fillId="14" borderId="1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3" fillId="15" borderId="0" xfId="0" applyFont="1" applyFill="1" applyBorder="1"/>
    <xf numFmtId="0" fontId="0" fillId="15" borderId="0" xfId="0" applyFill="1" applyBorder="1"/>
    <xf numFmtId="2" fontId="0" fillId="15" borderId="0" xfId="0" applyNumberFormat="1" applyFill="1" applyBorder="1"/>
    <xf numFmtId="2" fontId="20" fillId="15" borderId="0" xfId="0" applyNumberFormat="1" applyFont="1" applyFill="1" applyBorder="1"/>
    <xf numFmtId="168" fontId="0" fillId="15" borderId="0" xfId="0" applyNumberFormat="1" applyFill="1" applyBorder="1"/>
    <xf numFmtId="0" fontId="3" fillId="0" borderId="0" xfId="0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2" fontId="20" fillId="0" borderId="0" xfId="0" applyNumberFormat="1" applyFont="1" applyFill="1" applyBorder="1"/>
    <xf numFmtId="168" fontId="0" fillId="0" borderId="0" xfId="0" applyNumberFormat="1" applyFill="1" applyBorder="1"/>
    <xf numFmtId="2" fontId="3" fillId="15" borderId="0" xfId="0" applyNumberFormat="1" applyFont="1" applyFill="1" applyBorder="1"/>
    <xf numFmtId="2" fontId="21" fillId="15" borderId="0" xfId="0" applyNumberFormat="1" applyFont="1" applyFill="1" applyBorder="1"/>
    <xf numFmtId="2" fontId="3" fillId="16" borderId="0" xfId="0" applyNumberFormat="1" applyFont="1" applyFill="1" applyBorder="1"/>
    <xf numFmtId="2" fontId="3" fillId="0" borderId="0" xfId="0" applyNumberFormat="1" applyFont="1" applyFill="1" applyBorder="1"/>
    <xf numFmtId="2" fontId="21" fillId="0" borderId="0" xfId="0" applyNumberFormat="1" applyFont="1" applyFill="1" applyBorder="1"/>
    <xf numFmtId="2" fontId="22" fillId="15" borderId="0" xfId="0" applyNumberFormat="1" applyFont="1" applyFill="1" applyBorder="1"/>
    <xf numFmtId="2" fontId="1" fillId="15" borderId="0" xfId="0" applyNumberFormat="1" applyFont="1" applyFill="1" applyBorder="1"/>
    <xf numFmtId="2" fontId="22" fillId="16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NumberFormat="1" applyFill="1" applyBorder="1" applyAlignment="1">
      <alignment horizontal="center"/>
    </xf>
    <xf numFmtId="0" fontId="0" fillId="15" borderId="0" xfId="0" applyNumberFormat="1" applyFill="1" applyBorder="1" applyAlignment="1">
      <alignment horizontal="center"/>
    </xf>
    <xf numFmtId="0" fontId="0" fillId="0" borderId="0" xfId="0" applyFill="1"/>
    <xf numFmtId="0" fontId="3" fillId="13" borderId="0" xfId="3" applyFill="1" applyAlignment="1">
      <alignment horizontal="center"/>
    </xf>
    <xf numFmtId="0" fontId="3" fillId="13" borderId="0" xfId="3" applyFill="1"/>
    <xf numFmtId="0" fontId="3" fillId="13" borderId="0" xfId="3" applyFill="1" applyAlignment="1">
      <alignment horizontal="right"/>
    </xf>
    <xf numFmtId="4" fontId="18" fillId="13" borderId="0" xfId="3" applyNumberFormat="1" applyFont="1" applyFill="1" applyBorder="1" applyAlignment="1">
      <alignment horizontal="center" vertical="center"/>
    </xf>
    <xf numFmtId="2" fontId="18" fillId="13" borderId="0" xfId="3" applyNumberFormat="1" applyFont="1" applyFill="1" applyBorder="1" applyAlignment="1">
      <alignment horizontal="center" vertical="center"/>
    </xf>
    <xf numFmtId="4" fontId="3" fillId="0" borderId="0" xfId="3" applyNumberFormat="1" applyFill="1" applyBorder="1"/>
    <xf numFmtId="0" fontId="3" fillId="0" borderId="0" xfId="3"/>
    <xf numFmtId="4" fontId="3" fillId="13" borderId="0" xfId="3" applyNumberFormat="1" applyFill="1"/>
    <xf numFmtId="0" fontId="25" fillId="0" borderId="0" xfId="3" applyFont="1" applyFill="1" applyBorder="1" applyAlignment="1">
      <alignment horizontal="center" vertical="center"/>
    </xf>
    <xf numFmtId="0" fontId="3" fillId="8" borderId="0" xfId="3" applyFont="1" applyFill="1" applyAlignment="1">
      <alignment horizontal="center"/>
    </xf>
    <xf numFmtId="0" fontId="3" fillId="8" borderId="0" xfId="3" applyFill="1" applyAlignment="1">
      <alignment horizontal="center"/>
    </xf>
    <xf numFmtId="0" fontId="18" fillId="13" borderId="14" xfId="3" applyFont="1" applyFill="1" applyBorder="1" applyAlignment="1">
      <alignment horizontal="center"/>
    </xf>
    <xf numFmtId="0" fontId="18" fillId="13" borderId="14" xfId="3" applyNumberFormat="1" applyFont="1" applyFill="1" applyBorder="1" applyAlignment="1">
      <alignment horizontal="center"/>
    </xf>
    <xf numFmtId="0" fontId="18" fillId="13" borderId="14" xfId="3" applyNumberFormat="1" applyFont="1" applyFill="1" applyBorder="1" applyAlignment="1">
      <alignment horizontal="center" wrapText="1"/>
    </xf>
    <xf numFmtId="4" fontId="18" fillId="13" borderId="14" xfId="3" applyNumberFormat="1" applyFont="1" applyFill="1" applyBorder="1" applyAlignment="1">
      <alignment horizontal="center" vertical="center"/>
    </xf>
    <xf numFmtId="4" fontId="18" fillId="13" borderId="15" xfId="3" applyNumberFormat="1" applyFont="1" applyFill="1" applyBorder="1" applyAlignment="1">
      <alignment horizontal="center" vertical="center"/>
    </xf>
    <xf numFmtId="4" fontId="18" fillId="0" borderId="0" xfId="3" applyNumberFormat="1" applyFont="1" applyFill="1" applyBorder="1" applyAlignment="1">
      <alignment horizontal="center"/>
    </xf>
    <xf numFmtId="0" fontId="18" fillId="0" borderId="0" xfId="3" applyFont="1" applyAlignment="1">
      <alignment horizontal="center"/>
    </xf>
    <xf numFmtId="0" fontId="26" fillId="4" borderId="16" xfId="3" applyFont="1" applyFill="1" applyBorder="1" applyAlignment="1" applyProtection="1">
      <alignment horizontal="center"/>
      <protection locked="0"/>
    </xf>
    <xf numFmtId="0" fontId="26" fillId="4" borderId="4" xfId="3" applyFont="1" applyFill="1" applyBorder="1" applyAlignment="1" applyProtection="1">
      <alignment horizontal="center"/>
      <protection locked="0"/>
    </xf>
    <xf numFmtId="0" fontId="26" fillId="4" borderId="4" xfId="3" applyFont="1" applyFill="1" applyBorder="1"/>
    <xf numFmtId="0" fontId="26" fillId="4" borderId="4" xfId="3" applyFont="1" applyFill="1" applyBorder="1" applyAlignment="1">
      <alignment horizontal="center"/>
    </xf>
    <xf numFmtId="4" fontId="26" fillId="4" borderId="4" xfId="3" applyNumberFormat="1" applyFont="1" applyFill="1" applyBorder="1" applyAlignment="1">
      <alignment horizontal="center"/>
    </xf>
    <xf numFmtId="4" fontId="26" fillId="4" borderId="4" xfId="3" applyNumberFormat="1" applyFont="1" applyFill="1" applyBorder="1"/>
    <xf numFmtId="0" fontId="26" fillId="18" borderId="16" xfId="3" applyFont="1" applyFill="1" applyBorder="1" applyAlignment="1" applyProtection="1">
      <alignment horizontal="center"/>
      <protection locked="0"/>
    </xf>
    <xf numFmtId="0" fontId="26" fillId="18" borderId="4" xfId="3" applyFont="1" applyFill="1" applyBorder="1" applyAlignment="1" applyProtection="1">
      <alignment horizontal="center"/>
      <protection locked="0"/>
    </xf>
    <xf numFmtId="0" fontId="26" fillId="0" borderId="4" xfId="3" applyFont="1" applyBorder="1"/>
    <xf numFmtId="0" fontId="26" fillId="0" borderId="4" xfId="3" applyFont="1" applyBorder="1" applyAlignment="1">
      <alignment horizontal="center"/>
    </xf>
    <xf numFmtId="4" fontId="26" fillId="0" borderId="4" xfId="3" applyNumberFormat="1" applyFont="1" applyBorder="1" applyAlignment="1">
      <alignment horizontal="center"/>
    </xf>
    <xf numFmtId="4" fontId="26" fillId="0" borderId="4" xfId="3" applyNumberFormat="1" applyFont="1" applyBorder="1"/>
    <xf numFmtId="0" fontId="26" fillId="8" borderId="16" xfId="3" applyFont="1" applyFill="1" applyBorder="1" applyAlignment="1" applyProtection="1">
      <alignment horizontal="center"/>
      <protection locked="0"/>
    </xf>
    <xf numFmtId="0" fontId="26" fillId="8" borderId="4" xfId="3" applyFont="1" applyFill="1" applyBorder="1" applyAlignment="1" applyProtection="1">
      <alignment horizontal="center"/>
      <protection locked="0"/>
    </xf>
    <xf numFmtId="0" fontId="26" fillId="3" borderId="4" xfId="3" applyFont="1" applyFill="1" applyBorder="1"/>
    <xf numFmtId="0" fontId="26" fillId="3" borderId="4" xfId="3" applyFont="1" applyFill="1" applyBorder="1" applyAlignment="1">
      <alignment horizontal="center"/>
    </xf>
    <xf numFmtId="4" fontId="26" fillId="3" borderId="4" xfId="3" applyNumberFormat="1" applyFont="1" applyFill="1" applyBorder="1" applyAlignment="1">
      <alignment horizontal="center"/>
    </xf>
    <xf numFmtId="4" fontId="26" fillId="3" borderId="4" xfId="3" applyNumberFormat="1" applyFont="1" applyFill="1" applyBorder="1"/>
    <xf numFmtId="0" fontId="26" fillId="8" borderId="17" xfId="3" applyFont="1" applyFill="1" applyBorder="1" applyAlignment="1" applyProtection="1">
      <alignment horizontal="center"/>
      <protection locked="0"/>
    </xf>
    <xf numFmtId="0" fontId="26" fillId="8" borderId="18" xfId="3" applyFont="1" applyFill="1" applyBorder="1" applyAlignment="1" applyProtection="1">
      <alignment horizontal="center"/>
      <protection locked="0"/>
    </xf>
    <xf numFmtId="0" fontId="3" fillId="0" borderId="0" xfId="3" applyAlignment="1">
      <alignment horizontal="center"/>
    </xf>
    <xf numFmtId="0" fontId="7" fillId="4" borderId="1" xfId="1" applyFont="1" applyFill="1" applyBorder="1" applyAlignment="1" applyProtection="1">
      <alignment horizontal="left"/>
      <protection locked="0"/>
    </xf>
    <xf numFmtId="0" fontId="7" fillId="4" borderId="2" xfId="1" applyFont="1" applyFill="1" applyBorder="1" applyAlignment="1" applyProtection="1">
      <alignment horizontal="left"/>
      <protection locked="0"/>
    </xf>
    <xf numFmtId="0" fontId="7" fillId="4" borderId="3" xfId="1" applyFont="1" applyFill="1" applyBorder="1" applyAlignment="1" applyProtection="1">
      <alignment horizontal="left"/>
      <protection locked="0"/>
    </xf>
    <xf numFmtId="0" fontId="8" fillId="3" borderId="0" xfId="1" applyFont="1" applyFill="1" applyAlignment="1" applyProtection="1">
      <alignment horizontal="left" vertical="center"/>
    </xf>
    <xf numFmtId="0" fontId="6" fillId="3" borderId="0" xfId="1" applyFont="1" applyFill="1" applyAlignment="1" applyProtection="1">
      <alignment horizontal="center" vertical="center"/>
    </xf>
    <xf numFmtId="0" fontId="9" fillId="3" borderId="0" xfId="1" applyFont="1" applyFill="1" applyBorder="1" applyAlignment="1" applyProtection="1">
      <alignment horizontal="center"/>
    </xf>
    <xf numFmtId="0" fontId="19" fillId="14" borderId="4" xfId="0" applyFont="1" applyFill="1" applyBorder="1" applyAlignment="1">
      <alignment horizontal="center" vertical="center" wrapText="1"/>
    </xf>
    <xf numFmtId="0" fontId="19" fillId="14" borderId="9" xfId="0" applyFont="1" applyFill="1" applyBorder="1" applyAlignment="1">
      <alignment horizontal="center" vertical="center" wrapText="1"/>
    </xf>
    <xf numFmtId="0" fontId="19" fillId="14" borderId="8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 wrapText="1"/>
    </xf>
    <xf numFmtId="4" fontId="23" fillId="4" borderId="12" xfId="3" applyNumberFormat="1" applyFont="1" applyFill="1" applyBorder="1" applyAlignment="1">
      <alignment horizontal="center"/>
    </xf>
    <xf numFmtId="4" fontId="23" fillId="4" borderId="13" xfId="3" applyNumberFormat="1" applyFont="1" applyFill="1" applyBorder="1" applyAlignment="1">
      <alignment horizontal="center"/>
    </xf>
    <xf numFmtId="0" fontId="24" fillId="17" borderId="1" xfId="3" applyNumberFormat="1" applyFont="1" applyFill="1" applyBorder="1" applyAlignment="1">
      <alignment horizontal="center" vertical="center"/>
    </xf>
    <xf numFmtId="0" fontId="25" fillId="17" borderId="3" xfId="3" applyNumberFormat="1" applyFont="1" applyFill="1" applyBorder="1" applyAlignment="1">
      <alignment horizontal="center" vertical="center"/>
    </xf>
    <xf numFmtId="0" fontId="25" fillId="17" borderId="2" xfId="3" applyNumberFormat="1" applyFont="1" applyFill="1" applyBorder="1" applyAlignment="1">
      <alignment horizontal="center" vertical="center"/>
    </xf>
  </cellXfs>
  <cellStyles count="4">
    <cellStyle name="Currency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534">
    <dxf>
      <font>
        <color theme="9" tint="0.59996337778862885"/>
      </font>
    </dxf>
    <dxf>
      <font>
        <color theme="9" tint="0.59996337778862885"/>
      </font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69" formatCode="_-[$$-409]* #,##0.00_ ;_-[$$-409]* \-#,##0.00\ ;_-[$$-409]* &quot;-&quot;??_ ;_-@_ 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  <dxf>
      <numFmt numFmtId="170" formatCode="_-[$€-2]\ * #,##0.00_-;\-[$€-2]\ * #,##0.00_-;_-[$€-2]\ * &quot;-&quot;??_-;_-@_-"/>
    </dxf>
    <dxf>
      <numFmt numFmtId="16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0</xdr:row>
      <xdr:rowOff>114300</xdr:rowOff>
    </xdr:from>
    <xdr:to>
      <xdr:col>15</xdr:col>
      <xdr:colOff>628650</xdr:colOff>
      <xdr:row>3</xdr:row>
      <xdr:rowOff>79375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114300"/>
          <a:ext cx="2933700" cy="584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468</xdr:row>
          <xdr:rowOff>0</xdr:rowOff>
        </xdr:from>
        <xdr:to>
          <xdr:col>18</xdr:col>
          <xdr:colOff>603849</xdr:colOff>
          <xdr:row>469</xdr:row>
          <xdr:rowOff>77638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Produce price list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116681</xdr:colOff>
      <xdr:row>0</xdr:row>
      <xdr:rowOff>147638</xdr:rowOff>
    </xdr:from>
    <xdr:to>
      <xdr:col>7</xdr:col>
      <xdr:colOff>679485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006" y="147638"/>
          <a:ext cx="2391604" cy="490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1685925</xdr:colOff>
      <xdr:row>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933700" cy="584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eisure%20Marine\Leisure%20Marine%20Price%20Lists\2020%20Price%20Lists\Blue%20Ocean%20Dockline%20Price%20List%202020%20v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eisure%20Marine/Leisure%20Marine%20Price%20Lists/2020%20Price%20Lists/Blue%20Ocean%20Dockline%20Price%20List%202020%20v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eisure%20Marine/Leisure%20Marine%20Price%20Lists/2017%20Price%20Lists/Leisure%20Marine%20Price%20List%202017%20DEC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li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Product list"/>
      <sheetName val="Order"/>
      <sheetName val="New Quote Discounts"/>
      <sheetName val="Blue Ocean Dockline Price List "/>
    </sheetNames>
    <definedNames>
      <definedName name="PriceList2018.PriceList2018"/>
    </definedNames>
    <sheetDataSet>
      <sheetData sheetId="0">
        <row r="3">
          <cell r="E3" t="str">
            <v>ZZZ001</v>
          </cell>
        </row>
      </sheetData>
      <sheetData sheetId="1"/>
      <sheetData sheetId="2"/>
      <sheetData sheetId="3">
        <row r="6">
          <cell r="C6"/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Order"/>
      <sheetName val="Product List"/>
      <sheetName val="New Quote Discounts"/>
      <sheetName val="Account Nos"/>
    </sheetNames>
    <sheetDataSet>
      <sheetData sheetId="0">
        <row r="3">
          <cell r="E3" t="str">
            <v>GB1</v>
          </cell>
          <cell r="I3" t="str">
            <v>STANDARD TRADE - GBP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X908"/>
  <sheetViews>
    <sheetView showZeros="0" tabSelected="1" view="pageBreakPreview" topLeftCell="A61" zoomScale="90" zoomScaleNormal="100" zoomScaleSheetLayoutView="90" workbookViewId="0">
      <selection activeCell="N70" sqref="N70"/>
    </sheetView>
  </sheetViews>
  <sheetFormatPr baseColWidth="10" defaultColWidth="9.125" defaultRowHeight="13.6" x14ac:dyDescent="0.25"/>
  <cols>
    <col min="1" max="1" width="2.25" style="3" customWidth="1"/>
    <col min="2" max="3" width="1.125" style="3" customWidth="1"/>
    <col min="4" max="4" width="13.125" style="3" customWidth="1"/>
    <col min="5" max="5" width="11.125" style="3" customWidth="1"/>
    <col min="6" max="10" width="9.75" style="3" customWidth="1"/>
    <col min="11" max="11" width="10.375" style="3" customWidth="1"/>
    <col min="12" max="13" width="9.75" style="3" customWidth="1"/>
    <col min="14" max="14" width="8.75" style="3" customWidth="1"/>
    <col min="15" max="15" width="12.75" style="6" customWidth="1"/>
    <col min="16" max="16" width="10.75" style="6" customWidth="1"/>
    <col min="17" max="18" width="9.125" style="3"/>
    <col min="19" max="19" width="9.25" style="3" bestFit="1" customWidth="1"/>
    <col min="20" max="20" width="9.125" style="3"/>
    <col min="21" max="21" width="10" style="3" bestFit="1" customWidth="1"/>
    <col min="22" max="22" width="9.125" style="3"/>
    <col min="23" max="23" width="10" style="3" bestFit="1" customWidth="1"/>
    <col min="24" max="24" width="9.125" style="3"/>
    <col min="25" max="25" width="10" style="3" bestFit="1" customWidth="1"/>
    <col min="26" max="16384" width="9.125" style="3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20" x14ac:dyDescent="0.25">
      <c r="A2" s="1"/>
      <c r="B2" s="1"/>
      <c r="C2" s="1"/>
      <c r="D2" s="1"/>
      <c r="E2" s="1" t="s">
        <v>0</v>
      </c>
      <c r="F2" s="1"/>
      <c r="G2" s="1" t="s">
        <v>1</v>
      </c>
      <c r="H2" s="1"/>
      <c r="I2" s="1"/>
      <c r="J2" s="4"/>
      <c r="K2" s="1"/>
      <c r="L2" s="1"/>
      <c r="M2" s="1"/>
      <c r="N2" s="1"/>
      <c r="O2" s="2"/>
      <c r="P2" s="2"/>
    </row>
    <row r="3" spans="1:20" ht="23.8" x14ac:dyDescent="0.4">
      <c r="A3" s="1"/>
      <c r="B3" s="1"/>
      <c r="C3" s="1"/>
      <c r="D3" s="5"/>
      <c r="E3" s="119" t="s">
        <v>2</v>
      </c>
      <c r="F3" s="120"/>
      <c r="G3" s="119" t="s">
        <v>3</v>
      </c>
      <c r="H3" s="121"/>
      <c r="I3" s="121"/>
      <c r="J3" s="121"/>
      <c r="K3" s="120"/>
      <c r="L3" s="1"/>
      <c r="M3" s="1"/>
      <c r="N3" s="1"/>
      <c r="O3" s="2"/>
      <c r="P3" s="2"/>
    </row>
    <row r="4" spans="1:20" ht="8.3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spans="1:20" ht="8.35" customHeight="1" x14ac:dyDescent="0.25"/>
    <row r="6" spans="1:20" ht="8.35" customHeight="1" x14ac:dyDescent="0.25">
      <c r="D6" s="122" t="s">
        <v>4</v>
      </c>
      <c r="E6" s="122"/>
      <c r="F6" s="122"/>
      <c r="H6" s="123" t="s">
        <v>5</v>
      </c>
      <c r="I6" s="123"/>
      <c r="J6" s="124" t="s">
        <v>6</v>
      </c>
    </row>
    <row r="7" spans="1:20" ht="14.3" customHeight="1" x14ac:dyDescent="0.25">
      <c r="D7" s="122"/>
      <c r="E7" s="122"/>
      <c r="F7" s="122"/>
      <c r="H7" s="123"/>
      <c r="I7" s="123"/>
      <c r="J7" s="124" t="s">
        <v>7</v>
      </c>
      <c r="K7" s="7"/>
      <c r="P7" s="8" t="s">
        <v>8</v>
      </c>
    </row>
    <row r="8" spans="1:20" x14ac:dyDescent="0.25">
      <c r="J8" s="7"/>
      <c r="K8" s="7"/>
      <c r="L8" s="7"/>
      <c r="M8" s="9" t="s">
        <v>9</v>
      </c>
      <c r="N8" s="10" t="s">
        <v>10</v>
      </c>
      <c r="O8" s="11" t="s">
        <v>11</v>
      </c>
    </row>
    <row r="9" spans="1:20" ht="19.05" x14ac:dyDescent="0.35">
      <c r="B9" s="12"/>
      <c r="D9" s="13" t="s">
        <v>12</v>
      </c>
      <c r="E9" s="14"/>
      <c r="G9" s="15"/>
      <c r="H9" s="15"/>
      <c r="I9" s="15"/>
      <c r="J9" s="16"/>
      <c r="K9" s="16"/>
      <c r="L9" s="16"/>
      <c r="M9" s="16"/>
      <c r="N9" s="15"/>
      <c r="O9" s="17"/>
      <c r="P9" s="18" t="s">
        <v>13</v>
      </c>
    </row>
    <row r="10" spans="1:20" x14ac:dyDescent="0.25">
      <c r="B10" s="12"/>
      <c r="D10" s="15" t="s">
        <v>14</v>
      </c>
      <c r="E10" s="15" t="s">
        <v>15</v>
      </c>
      <c r="F10" s="19" t="s">
        <v>16</v>
      </c>
      <c r="G10" s="19" t="s">
        <v>17</v>
      </c>
      <c r="H10" s="19" t="s">
        <v>18</v>
      </c>
      <c r="I10" s="19" t="s">
        <v>19</v>
      </c>
      <c r="J10" s="20"/>
      <c r="K10" s="20"/>
      <c r="L10" s="20"/>
      <c r="M10" s="20"/>
      <c r="N10" s="20"/>
      <c r="O10" s="15" t="s">
        <v>20</v>
      </c>
      <c r="P10" s="15" t="s">
        <v>21</v>
      </c>
      <c r="S10" s="21"/>
    </row>
    <row r="11" spans="1:20" x14ac:dyDescent="0.25">
      <c r="B11" s="12"/>
      <c r="D11" s="22">
        <v>8</v>
      </c>
      <c r="E11" s="22">
        <v>200</v>
      </c>
      <c r="F11" s="23" t="s">
        <v>22</v>
      </c>
      <c r="G11" s="23" t="s">
        <v>23</v>
      </c>
      <c r="H11" s="23" t="s">
        <v>24</v>
      </c>
      <c r="I11" s="23" t="s">
        <v>25</v>
      </c>
      <c r="J11" s="23"/>
      <c r="K11" s="23"/>
      <c r="L11" s="23"/>
      <c r="M11" s="23"/>
      <c r="N11" s="23"/>
      <c r="O11" s="24">
        <v>1410.6199999991804</v>
      </c>
      <c r="P11" s="24">
        <v>12.695579999992624</v>
      </c>
      <c r="Q11" s="25"/>
      <c r="T11" s="25"/>
    </row>
    <row r="12" spans="1:20" x14ac:dyDescent="0.25">
      <c r="B12" s="12"/>
      <c r="D12" s="22">
        <v>10</v>
      </c>
      <c r="E12" s="22">
        <v>200</v>
      </c>
      <c r="F12" s="26" t="s">
        <v>26</v>
      </c>
      <c r="G12" s="26" t="s">
        <v>27</v>
      </c>
      <c r="H12" s="26" t="s">
        <v>28</v>
      </c>
      <c r="I12" s="26" t="s">
        <v>29</v>
      </c>
      <c r="J12" s="26"/>
      <c r="K12" s="26"/>
      <c r="L12" s="26"/>
      <c r="M12" s="26"/>
      <c r="N12" s="26"/>
      <c r="O12" s="24">
        <v>1736.7899999991059</v>
      </c>
      <c r="P12" s="24">
        <v>15.631109999991954</v>
      </c>
      <c r="Q12" s="25"/>
      <c r="T12" s="25"/>
    </row>
    <row r="13" spans="1:20" x14ac:dyDescent="0.25">
      <c r="B13" s="12"/>
      <c r="D13" s="22">
        <v>12</v>
      </c>
      <c r="E13" s="22">
        <v>200</v>
      </c>
      <c r="F13" s="27" t="s">
        <v>30</v>
      </c>
      <c r="G13" s="27" t="s">
        <v>31</v>
      </c>
      <c r="H13" s="27" t="s">
        <v>32</v>
      </c>
      <c r="I13" s="27" t="s">
        <v>33</v>
      </c>
      <c r="J13" s="27"/>
      <c r="K13" s="27"/>
      <c r="L13" s="27"/>
      <c r="M13" s="27"/>
      <c r="N13" s="27"/>
      <c r="O13" s="24">
        <v>2366.2800000011921</v>
      </c>
      <c r="P13" s="24">
        <v>21.296520000010727</v>
      </c>
      <c r="Q13" s="25"/>
      <c r="T13" s="25"/>
    </row>
    <row r="14" spans="1:20" x14ac:dyDescent="0.25">
      <c r="B14" s="12"/>
      <c r="D14" s="28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4"/>
      <c r="P14" s="24"/>
      <c r="Q14" s="25"/>
      <c r="T14" s="25"/>
    </row>
    <row r="15" spans="1:20" x14ac:dyDescent="0.25">
      <c r="B15" s="12"/>
      <c r="D15" s="28"/>
      <c r="E15" s="28"/>
      <c r="F15" s="29"/>
      <c r="G15" s="29"/>
      <c r="H15" s="29"/>
      <c r="I15" s="29"/>
      <c r="J15" s="29"/>
      <c r="K15" s="29"/>
      <c r="L15" s="29"/>
      <c r="M15" s="29"/>
      <c r="N15" s="29"/>
      <c r="Q15" s="25"/>
      <c r="T15" s="25"/>
    </row>
    <row r="16" spans="1:20" ht="19.05" x14ac:dyDescent="0.35">
      <c r="B16" s="12"/>
      <c r="D16" s="13" t="s">
        <v>34</v>
      </c>
      <c r="E16" s="13"/>
      <c r="O16" s="3"/>
      <c r="P16" s="18" t="s">
        <v>13</v>
      </c>
      <c r="Q16" s="25"/>
      <c r="T16" s="25"/>
    </row>
    <row r="17" spans="2:24" x14ac:dyDescent="0.25">
      <c r="B17" s="12"/>
      <c r="D17" s="19" t="s">
        <v>14</v>
      </c>
      <c r="E17" s="19" t="s">
        <v>15</v>
      </c>
      <c r="F17" s="19" t="s">
        <v>16</v>
      </c>
      <c r="G17" s="19" t="s">
        <v>17</v>
      </c>
      <c r="H17" s="19" t="s">
        <v>35</v>
      </c>
      <c r="I17" s="19" t="s">
        <v>36</v>
      </c>
      <c r="J17" s="19" t="s">
        <v>37</v>
      </c>
      <c r="K17" s="19" t="s">
        <v>38</v>
      </c>
      <c r="L17" s="19" t="s">
        <v>39</v>
      </c>
      <c r="M17" s="19" t="s">
        <v>40</v>
      </c>
      <c r="N17" s="19" t="s">
        <v>41</v>
      </c>
      <c r="O17" s="15" t="s">
        <v>20</v>
      </c>
      <c r="P17" s="15" t="s">
        <v>21</v>
      </c>
      <c r="Q17" s="25"/>
      <c r="T17" s="25"/>
    </row>
    <row r="18" spans="2:24" x14ac:dyDescent="0.25">
      <c r="B18" s="12"/>
      <c r="D18" s="22">
        <v>8</v>
      </c>
      <c r="E18" s="22">
        <v>100</v>
      </c>
      <c r="F18" s="23" t="s">
        <v>42</v>
      </c>
      <c r="G18" s="23" t="s">
        <v>43</v>
      </c>
      <c r="H18" s="23" t="s">
        <v>44</v>
      </c>
      <c r="I18" s="23" t="s">
        <v>45</v>
      </c>
      <c r="J18" s="23" t="s">
        <v>46</v>
      </c>
      <c r="K18" s="23" t="s">
        <v>47</v>
      </c>
      <c r="L18" s="23" t="s">
        <v>48</v>
      </c>
      <c r="M18" s="23" t="s">
        <v>49</v>
      </c>
      <c r="N18" s="23" t="s">
        <v>50</v>
      </c>
      <c r="O18" s="24">
        <v>494.64000000013039</v>
      </c>
      <c r="P18" s="24">
        <v>8.9035200000023469</v>
      </c>
      <c r="Q18" s="25"/>
      <c r="R18" s="30"/>
      <c r="S18" s="30"/>
      <c r="T18" s="30"/>
      <c r="U18" s="30"/>
      <c r="V18" s="30"/>
      <c r="W18" s="30"/>
      <c r="X18" s="30"/>
    </row>
    <row r="19" spans="2:24" x14ac:dyDescent="0.25">
      <c r="B19" s="12"/>
      <c r="D19" s="22">
        <v>8</v>
      </c>
      <c r="E19" s="22">
        <v>200</v>
      </c>
      <c r="F19" s="26" t="s">
        <v>51</v>
      </c>
      <c r="G19" s="26" t="s">
        <v>52</v>
      </c>
      <c r="H19" s="26" t="s">
        <v>53</v>
      </c>
      <c r="I19" s="26" t="s">
        <v>54</v>
      </c>
      <c r="J19" s="26" t="s">
        <v>55</v>
      </c>
      <c r="K19" s="26" t="s">
        <v>56</v>
      </c>
      <c r="L19" s="26" t="s">
        <v>57</v>
      </c>
      <c r="M19" s="26" t="s">
        <v>58</v>
      </c>
      <c r="N19" s="26" t="s">
        <v>59</v>
      </c>
      <c r="O19" s="24">
        <v>989.28000000026077</v>
      </c>
      <c r="P19" s="24">
        <v>8.9035200000023469</v>
      </c>
      <c r="Q19" s="25"/>
      <c r="T19" s="25"/>
    </row>
    <row r="20" spans="2:24" x14ac:dyDescent="0.25">
      <c r="B20" s="12"/>
      <c r="D20" s="22">
        <v>10</v>
      </c>
      <c r="E20" s="22">
        <v>100</v>
      </c>
      <c r="F20" s="23" t="s">
        <v>60</v>
      </c>
      <c r="G20" s="23" t="s">
        <v>61</v>
      </c>
      <c r="H20" s="23" t="s">
        <v>62</v>
      </c>
      <c r="I20" s="23" t="s">
        <v>63</v>
      </c>
      <c r="J20" s="23" t="s">
        <v>64</v>
      </c>
      <c r="K20" s="23" t="s">
        <v>65</v>
      </c>
      <c r="L20" s="23" t="s">
        <v>66</v>
      </c>
      <c r="M20" s="23" t="s">
        <v>67</v>
      </c>
      <c r="N20" s="23" t="s">
        <v>68</v>
      </c>
      <c r="O20" s="24">
        <v>601.29000000003725</v>
      </c>
      <c r="P20" s="24">
        <v>10.823220000000672</v>
      </c>
      <c r="Q20" s="25"/>
      <c r="T20" s="25"/>
    </row>
    <row r="21" spans="2:24" x14ac:dyDescent="0.25">
      <c r="B21" s="12"/>
      <c r="D21" s="22">
        <v>10</v>
      </c>
      <c r="E21" s="22">
        <v>200</v>
      </c>
      <c r="F21" s="26" t="s">
        <v>69</v>
      </c>
      <c r="G21" s="26" t="s">
        <v>70</v>
      </c>
      <c r="H21" s="26" t="s">
        <v>71</v>
      </c>
      <c r="I21" s="26" t="s">
        <v>72</v>
      </c>
      <c r="J21" s="26" t="s">
        <v>73</v>
      </c>
      <c r="K21" s="26" t="s">
        <v>74</v>
      </c>
      <c r="L21" s="26" t="s">
        <v>75</v>
      </c>
      <c r="M21" s="26" t="s">
        <v>76</v>
      </c>
      <c r="N21" s="26" t="s">
        <v>77</v>
      </c>
      <c r="O21" s="24">
        <v>1202.570000000298</v>
      </c>
      <c r="P21" s="24">
        <v>10.823130000002681</v>
      </c>
      <c r="Q21" s="25"/>
      <c r="T21" s="25"/>
    </row>
    <row r="22" spans="2:24" x14ac:dyDescent="0.25">
      <c r="B22" s="12"/>
      <c r="D22" s="22">
        <v>12</v>
      </c>
      <c r="E22" s="22">
        <v>100</v>
      </c>
      <c r="F22" s="23" t="s">
        <v>78</v>
      </c>
      <c r="G22" s="23" t="s">
        <v>79</v>
      </c>
      <c r="H22" s="23" t="s">
        <v>80</v>
      </c>
      <c r="I22" s="23" t="s">
        <v>81</v>
      </c>
      <c r="J22" s="23" t="s">
        <v>82</v>
      </c>
      <c r="K22" s="23" t="s">
        <v>83</v>
      </c>
      <c r="L22" s="23" t="s">
        <v>84</v>
      </c>
      <c r="M22" s="23" t="s">
        <v>85</v>
      </c>
      <c r="N22" s="23" t="s">
        <v>86</v>
      </c>
      <c r="O22" s="24">
        <v>762.29999999981374</v>
      </c>
      <c r="P22" s="24">
        <v>13.721399999996647</v>
      </c>
      <c r="Q22" s="25"/>
      <c r="T22" s="25"/>
    </row>
    <row r="23" spans="2:24" x14ac:dyDescent="0.25">
      <c r="B23" s="12"/>
      <c r="D23" s="22">
        <v>12</v>
      </c>
      <c r="E23" s="22">
        <v>200</v>
      </c>
      <c r="F23" s="26" t="s">
        <v>87</v>
      </c>
      <c r="G23" s="26" t="s">
        <v>88</v>
      </c>
      <c r="H23" s="26" t="s">
        <v>89</v>
      </c>
      <c r="I23" s="26" t="s">
        <v>90</v>
      </c>
      <c r="J23" s="26" t="s">
        <v>91</v>
      </c>
      <c r="K23" s="26" t="s">
        <v>92</v>
      </c>
      <c r="L23" s="26" t="s">
        <v>93</v>
      </c>
      <c r="M23" s="26" t="s">
        <v>94</v>
      </c>
      <c r="N23" s="26" t="s">
        <v>95</v>
      </c>
      <c r="O23" s="24">
        <v>1524.609999999404</v>
      </c>
      <c r="P23" s="24">
        <v>13.721489999994635</v>
      </c>
      <c r="Q23" s="25"/>
      <c r="T23" s="25"/>
    </row>
    <row r="24" spans="2:24" x14ac:dyDescent="0.25">
      <c r="B24" s="12"/>
      <c r="D24" s="22">
        <v>14</v>
      </c>
      <c r="E24" s="22">
        <v>100</v>
      </c>
      <c r="F24" s="23" t="s">
        <v>96</v>
      </c>
      <c r="G24" s="23" t="s">
        <v>97</v>
      </c>
      <c r="H24" s="23" t="s">
        <v>98</v>
      </c>
      <c r="I24" s="23" t="s">
        <v>99</v>
      </c>
      <c r="J24" s="23" t="s">
        <v>100</v>
      </c>
      <c r="K24" s="23" t="s">
        <v>101</v>
      </c>
      <c r="L24" s="23" t="s">
        <v>102</v>
      </c>
      <c r="M24" s="23" t="s">
        <v>103</v>
      </c>
      <c r="N24" s="23" t="s">
        <v>104</v>
      </c>
      <c r="O24" s="24">
        <v>1143.570000000298</v>
      </c>
      <c r="P24" s="24">
        <v>20.584260000005365</v>
      </c>
      <c r="Q24" s="25"/>
      <c r="T24" s="25"/>
    </row>
    <row r="25" spans="2:24" x14ac:dyDescent="0.25">
      <c r="B25" s="12"/>
      <c r="D25" s="22">
        <v>14</v>
      </c>
      <c r="E25" s="22">
        <v>200</v>
      </c>
      <c r="F25" s="26" t="s">
        <v>105</v>
      </c>
      <c r="G25" s="26" t="s">
        <v>106</v>
      </c>
      <c r="H25" s="26" t="s">
        <v>107</v>
      </c>
      <c r="I25" s="26" t="s">
        <v>108</v>
      </c>
      <c r="J25" s="26" t="s">
        <v>109</v>
      </c>
      <c r="K25" s="26" t="s">
        <v>110</v>
      </c>
      <c r="L25" s="26" t="s">
        <v>111</v>
      </c>
      <c r="M25" s="26" t="s">
        <v>112</v>
      </c>
      <c r="N25" s="26" t="s">
        <v>113</v>
      </c>
      <c r="O25" s="24">
        <v>2287.1499999985099</v>
      </c>
      <c r="P25" s="24">
        <v>20.584349999986589</v>
      </c>
      <c r="Q25" s="25"/>
      <c r="T25" s="25"/>
    </row>
    <row r="26" spans="2:24" x14ac:dyDescent="0.25">
      <c r="B26" s="12"/>
      <c r="D26" s="22">
        <v>16</v>
      </c>
      <c r="E26" s="22">
        <v>100</v>
      </c>
      <c r="F26" s="23" t="s">
        <v>114</v>
      </c>
      <c r="G26" s="23" t="s">
        <v>115</v>
      </c>
      <c r="H26" s="23" t="s">
        <v>116</v>
      </c>
      <c r="I26" s="23" t="s">
        <v>117</v>
      </c>
      <c r="J26" s="23" t="s">
        <v>117</v>
      </c>
      <c r="K26" s="23" t="s">
        <v>117</v>
      </c>
      <c r="L26" s="23" t="s">
        <v>117</v>
      </c>
      <c r="M26" s="23" t="s">
        <v>117</v>
      </c>
      <c r="N26" s="23" t="s">
        <v>117</v>
      </c>
      <c r="O26" s="24">
        <v>1547.8699999991804</v>
      </c>
      <c r="P26" s="24">
        <v>27.86165999998525</v>
      </c>
      <c r="Q26" s="25"/>
      <c r="T26" s="25"/>
    </row>
    <row r="27" spans="2:24" x14ac:dyDescent="0.25">
      <c r="B27" s="12"/>
      <c r="D27" s="22">
        <v>16</v>
      </c>
      <c r="E27" s="22">
        <v>200</v>
      </c>
      <c r="F27" s="26" t="s">
        <v>118</v>
      </c>
      <c r="G27" s="26" t="s">
        <v>119</v>
      </c>
      <c r="H27" s="26" t="s">
        <v>120</v>
      </c>
      <c r="I27" s="26" t="s">
        <v>117</v>
      </c>
      <c r="J27" s="26" t="s">
        <v>117</v>
      </c>
      <c r="K27" s="26" t="s">
        <v>117</v>
      </c>
      <c r="L27" s="26" t="s">
        <v>117</v>
      </c>
      <c r="M27" s="26" t="s">
        <v>117</v>
      </c>
      <c r="N27" s="26" t="s">
        <v>117</v>
      </c>
      <c r="O27" s="24">
        <v>3095.7899999991059</v>
      </c>
      <c r="P27" s="24">
        <v>27.862109999991954</v>
      </c>
      <c r="Q27" s="25"/>
      <c r="T27" s="25"/>
    </row>
    <row r="28" spans="2:24" x14ac:dyDescent="0.25">
      <c r="B28" s="12"/>
      <c r="D28" s="22">
        <v>18</v>
      </c>
      <c r="E28" s="22">
        <v>100</v>
      </c>
      <c r="F28" s="27" t="s">
        <v>121</v>
      </c>
      <c r="G28" s="27" t="s">
        <v>122</v>
      </c>
      <c r="H28" s="27" t="s">
        <v>123</v>
      </c>
      <c r="I28" s="27" t="s">
        <v>117</v>
      </c>
      <c r="J28" s="27" t="s">
        <v>117</v>
      </c>
      <c r="K28" s="27" t="s">
        <v>117</v>
      </c>
      <c r="L28" s="27" t="s">
        <v>117</v>
      </c>
      <c r="M28" s="27" t="s">
        <v>117</v>
      </c>
      <c r="N28" s="27" t="s">
        <v>117</v>
      </c>
      <c r="O28" s="24">
        <v>1978.429999999702</v>
      </c>
      <c r="P28" s="24">
        <v>35.61173999999464</v>
      </c>
      <c r="Q28" s="25"/>
      <c r="T28" s="25"/>
    </row>
    <row r="29" spans="2:24" ht="14.3" x14ac:dyDescent="0.25">
      <c r="B29" s="12"/>
      <c r="D29" s="28"/>
      <c r="E29" s="28"/>
      <c r="F29" s="31" t="s">
        <v>124</v>
      </c>
      <c r="G29" s="29"/>
      <c r="H29" s="29"/>
      <c r="I29" s="29"/>
      <c r="J29" s="29"/>
      <c r="K29" s="29"/>
      <c r="L29" s="29"/>
      <c r="M29" s="29"/>
      <c r="N29" s="29"/>
      <c r="O29" s="24"/>
      <c r="P29" s="24"/>
      <c r="Q29" s="25"/>
      <c r="T29" s="25"/>
    </row>
    <row r="30" spans="2:24" ht="19.05" x14ac:dyDescent="0.35">
      <c r="B30" s="12"/>
      <c r="D30" s="13" t="s">
        <v>125</v>
      </c>
      <c r="E30" s="13"/>
      <c r="O30" s="3"/>
      <c r="P30" s="18" t="s">
        <v>13</v>
      </c>
      <c r="Q30" s="25"/>
      <c r="T30" s="25"/>
    </row>
    <row r="31" spans="2:24" x14ac:dyDescent="0.25">
      <c r="B31" s="12"/>
      <c r="D31" s="19" t="s">
        <v>14</v>
      </c>
      <c r="E31" s="19" t="s">
        <v>15</v>
      </c>
      <c r="F31" s="19" t="s">
        <v>18</v>
      </c>
      <c r="G31" s="19" t="s">
        <v>16</v>
      </c>
      <c r="H31" s="19" t="s">
        <v>17</v>
      </c>
      <c r="I31" s="19" t="s">
        <v>35</v>
      </c>
      <c r="J31" s="19" t="s">
        <v>126</v>
      </c>
      <c r="K31" s="19" t="s">
        <v>127</v>
      </c>
      <c r="L31" s="19" t="s">
        <v>128</v>
      </c>
      <c r="M31" s="19" t="s">
        <v>129</v>
      </c>
      <c r="N31" s="20"/>
      <c r="O31" s="15" t="s">
        <v>20</v>
      </c>
      <c r="P31" s="15" t="s">
        <v>21</v>
      </c>
      <c r="Q31" s="25"/>
      <c r="T31" s="25"/>
    </row>
    <row r="32" spans="2:24" x14ac:dyDescent="0.25">
      <c r="B32" s="12"/>
      <c r="D32" s="22">
        <v>8</v>
      </c>
      <c r="E32" s="22">
        <v>100</v>
      </c>
      <c r="F32" s="23" t="s">
        <v>130</v>
      </c>
      <c r="G32" s="23" t="s">
        <v>131</v>
      </c>
      <c r="H32" s="23" t="s">
        <v>132</v>
      </c>
      <c r="I32" s="23" t="s">
        <v>133</v>
      </c>
      <c r="J32" s="23" t="s">
        <v>117</v>
      </c>
      <c r="K32" s="23" t="s">
        <v>117</v>
      </c>
      <c r="L32" s="23" t="s">
        <v>117</v>
      </c>
      <c r="M32" s="23" t="s">
        <v>117</v>
      </c>
      <c r="N32" s="23"/>
      <c r="O32" s="24">
        <v>263.43000000016764</v>
      </c>
      <c r="P32" s="24">
        <v>4.7417400000030172</v>
      </c>
      <c r="Q32" s="25"/>
      <c r="T32" s="25"/>
    </row>
    <row r="33" spans="2:20" x14ac:dyDescent="0.25">
      <c r="B33" s="12"/>
      <c r="D33" s="22">
        <v>8</v>
      </c>
      <c r="E33" s="22">
        <v>200</v>
      </c>
      <c r="F33" s="26" t="s">
        <v>134</v>
      </c>
      <c r="G33" s="26" t="s">
        <v>135</v>
      </c>
      <c r="H33" s="26" t="s">
        <v>136</v>
      </c>
      <c r="I33" s="26" t="s">
        <v>137</v>
      </c>
      <c r="J33" s="26" t="s">
        <v>138</v>
      </c>
      <c r="K33" s="26" t="s">
        <v>139</v>
      </c>
      <c r="L33" s="26" t="s">
        <v>140</v>
      </c>
      <c r="M33" s="26" t="s">
        <v>141</v>
      </c>
      <c r="N33" s="26"/>
      <c r="O33" s="24">
        <v>526.83000000007451</v>
      </c>
      <c r="P33" s="24">
        <v>4.7414700000006711</v>
      </c>
      <c r="Q33" s="25"/>
      <c r="T33" s="25"/>
    </row>
    <row r="34" spans="2:20" x14ac:dyDescent="0.25">
      <c r="B34" s="12"/>
      <c r="D34" s="22">
        <v>10</v>
      </c>
      <c r="E34" s="22">
        <v>100</v>
      </c>
      <c r="F34" s="23" t="s">
        <v>142</v>
      </c>
      <c r="G34" s="23" t="s">
        <v>143</v>
      </c>
      <c r="H34" s="23" t="s">
        <v>144</v>
      </c>
      <c r="I34" s="23" t="s">
        <v>145</v>
      </c>
      <c r="J34" s="23" t="s">
        <v>117</v>
      </c>
      <c r="K34" s="23" t="s">
        <v>117</v>
      </c>
      <c r="L34" s="23" t="s">
        <v>117</v>
      </c>
      <c r="M34" s="23" t="s">
        <v>117</v>
      </c>
      <c r="N34" s="23"/>
      <c r="O34" s="24">
        <v>389.5</v>
      </c>
      <c r="P34" s="24">
        <v>7.0110000000000001</v>
      </c>
      <c r="Q34" s="25"/>
      <c r="T34" s="25"/>
    </row>
    <row r="35" spans="2:20" x14ac:dyDescent="0.25">
      <c r="B35" s="12"/>
      <c r="D35" s="22">
        <v>10</v>
      </c>
      <c r="E35" s="22">
        <v>200</v>
      </c>
      <c r="F35" s="23" t="s">
        <v>146</v>
      </c>
      <c r="G35" s="23" t="s">
        <v>147</v>
      </c>
      <c r="H35" s="23" t="s">
        <v>148</v>
      </c>
      <c r="I35" s="23" t="s">
        <v>149</v>
      </c>
      <c r="J35" s="23" t="s">
        <v>150</v>
      </c>
      <c r="K35" s="23" t="s">
        <v>151</v>
      </c>
      <c r="L35" s="23" t="s">
        <v>152</v>
      </c>
      <c r="M35" s="23" t="s">
        <v>153</v>
      </c>
      <c r="N35" s="23"/>
      <c r="O35" s="24">
        <v>778.99000000022352</v>
      </c>
      <c r="P35" s="24">
        <v>7.0109100000020126</v>
      </c>
      <c r="Q35" s="25"/>
      <c r="T35" s="25"/>
    </row>
    <row r="36" spans="2:20" x14ac:dyDescent="0.25">
      <c r="B36" s="12"/>
      <c r="D36" s="22">
        <v>12</v>
      </c>
      <c r="E36" s="22">
        <v>100</v>
      </c>
      <c r="F36" s="26" t="s">
        <v>154</v>
      </c>
      <c r="G36" s="26" t="s">
        <v>155</v>
      </c>
      <c r="H36" s="26" t="s">
        <v>156</v>
      </c>
      <c r="I36" s="26" t="s">
        <v>157</v>
      </c>
      <c r="J36" s="26" t="s">
        <v>117</v>
      </c>
      <c r="K36" s="26" t="s">
        <v>117</v>
      </c>
      <c r="L36" s="26" t="s">
        <v>117</v>
      </c>
      <c r="M36" s="26" t="s">
        <v>117</v>
      </c>
      <c r="N36" s="26"/>
      <c r="O36" s="24">
        <v>533.61000000033528</v>
      </c>
      <c r="P36" s="24">
        <v>9.6049800000060355</v>
      </c>
      <c r="Q36" s="25"/>
      <c r="T36" s="25"/>
    </row>
    <row r="37" spans="2:20" x14ac:dyDescent="0.25">
      <c r="B37" s="12"/>
      <c r="D37" s="22">
        <v>12</v>
      </c>
      <c r="E37" s="22">
        <v>200</v>
      </c>
      <c r="F37" s="27" t="s">
        <v>158</v>
      </c>
      <c r="G37" s="27" t="s">
        <v>159</v>
      </c>
      <c r="H37" s="27" t="s">
        <v>160</v>
      </c>
      <c r="I37" s="27" t="s">
        <v>161</v>
      </c>
      <c r="J37" s="27" t="s">
        <v>162</v>
      </c>
      <c r="K37" s="27" t="s">
        <v>163</v>
      </c>
      <c r="L37" s="27" t="s">
        <v>164</v>
      </c>
      <c r="M37" s="27" t="s">
        <v>165</v>
      </c>
      <c r="N37" s="27"/>
      <c r="O37" s="24">
        <v>1067.160000000149</v>
      </c>
      <c r="P37" s="24">
        <v>9.6044400000013415</v>
      </c>
      <c r="Q37" s="25"/>
      <c r="T37" s="25"/>
    </row>
    <row r="38" spans="2:20" x14ac:dyDescent="0.25">
      <c r="B38" s="12"/>
      <c r="D38" s="22">
        <v>14</v>
      </c>
      <c r="E38" s="22">
        <v>100</v>
      </c>
      <c r="F38" s="26" t="s">
        <v>166</v>
      </c>
      <c r="G38" s="26" t="s">
        <v>167</v>
      </c>
      <c r="H38" s="26" t="s">
        <v>168</v>
      </c>
      <c r="I38" s="26" t="s">
        <v>169</v>
      </c>
      <c r="J38" s="26" t="s">
        <v>117</v>
      </c>
      <c r="K38" s="26" t="s">
        <v>117</v>
      </c>
      <c r="L38" s="26" t="s">
        <v>117</v>
      </c>
      <c r="M38" s="26" t="s">
        <v>117</v>
      </c>
      <c r="N38" s="26"/>
      <c r="O38" s="24">
        <v>729.46999999973923</v>
      </c>
      <c r="P38" s="24">
        <v>13.130459999995308</v>
      </c>
      <c r="Q38" s="25"/>
      <c r="T38" s="25"/>
    </row>
    <row r="39" spans="2:20" x14ac:dyDescent="0.25">
      <c r="B39" s="12"/>
      <c r="D39" s="22">
        <v>14</v>
      </c>
      <c r="E39" s="22">
        <v>200</v>
      </c>
      <c r="F39" s="27" t="s">
        <v>170</v>
      </c>
      <c r="G39" s="27" t="s">
        <v>171</v>
      </c>
      <c r="H39" s="27" t="s">
        <v>172</v>
      </c>
      <c r="I39" s="27" t="s">
        <v>173</v>
      </c>
      <c r="J39" s="27" t="s">
        <v>174</v>
      </c>
      <c r="K39" s="27" t="s">
        <v>175</v>
      </c>
      <c r="L39" s="27" t="s">
        <v>176</v>
      </c>
      <c r="M39" s="27" t="s">
        <v>177</v>
      </c>
      <c r="N39" s="27"/>
      <c r="O39" s="24">
        <v>1458.9199999999255</v>
      </c>
      <c r="P39" s="24">
        <v>13.130279999999329</v>
      </c>
      <c r="Q39" s="25"/>
      <c r="T39" s="25"/>
    </row>
    <row r="40" spans="2:20" x14ac:dyDescent="0.25">
      <c r="B40" s="12"/>
      <c r="D40" s="28"/>
      <c r="E40" s="28"/>
      <c r="F40" s="29"/>
      <c r="G40" s="29"/>
      <c r="H40" s="29"/>
      <c r="I40" s="29"/>
      <c r="J40" s="29"/>
      <c r="K40" s="29"/>
      <c r="L40" s="29"/>
      <c r="M40" s="29"/>
      <c r="N40" s="29"/>
      <c r="Q40" s="25"/>
      <c r="T40" s="25"/>
    </row>
    <row r="41" spans="2:20" ht="19.05" x14ac:dyDescent="0.35">
      <c r="B41" s="12"/>
      <c r="D41" s="13" t="s">
        <v>178</v>
      </c>
      <c r="E41" s="13"/>
      <c r="O41" s="3"/>
      <c r="P41" s="18" t="s">
        <v>13</v>
      </c>
      <c r="Q41" s="25"/>
      <c r="T41" s="25"/>
    </row>
    <row r="42" spans="2:20" x14ac:dyDescent="0.25">
      <c r="B42" s="12"/>
      <c r="D42" s="19" t="s">
        <v>14</v>
      </c>
      <c r="E42" s="19" t="s">
        <v>15</v>
      </c>
      <c r="F42" s="19" t="s">
        <v>179</v>
      </c>
      <c r="G42" s="19" t="s">
        <v>180</v>
      </c>
      <c r="H42" s="19" t="s">
        <v>16</v>
      </c>
      <c r="I42" s="19" t="s">
        <v>181</v>
      </c>
      <c r="J42" s="19" t="s">
        <v>35</v>
      </c>
      <c r="K42" s="19" t="s">
        <v>17</v>
      </c>
      <c r="L42" s="19" t="s">
        <v>19</v>
      </c>
      <c r="M42" s="19" t="s">
        <v>18</v>
      </c>
      <c r="N42" s="19"/>
      <c r="O42" s="19" t="s">
        <v>20</v>
      </c>
      <c r="P42" s="19" t="s">
        <v>21</v>
      </c>
      <c r="Q42" s="25"/>
      <c r="T42" s="25"/>
    </row>
    <row r="43" spans="2:20" x14ac:dyDescent="0.25">
      <c r="B43" s="12"/>
      <c r="D43" s="22">
        <v>2.5</v>
      </c>
      <c r="E43" s="22">
        <v>200</v>
      </c>
      <c r="F43" s="23" t="s">
        <v>182</v>
      </c>
      <c r="G43" s="23" t="s">
        <v>183</v>
      </c>
      <c r="H43" s="23" t="s">
        <v>184</v>
      </c>
      <c r="I43" s="23" t="s">
        <v>117</v>
      </c>
      <c r="J43" s="23" t="s">
        <v>117</v>
      </c>
      <c r="K43" s="23" t="s">
        <v>185</v>
      </c>
      <c r="L43" s="23" t="s">
        <v>186</v>
      </c>
      <c r="M43" s="23" t="s">
        <v>187</v>
      </c>
      <c r="N43" s="23"/>
      <c r="O43" s="24">
        <v>200.84000000008382</v>
      </c>
      <c r="P43" s="24">
        <v>1.8075600000007543</v>
      </c>
      <c r="Q43" s="25"/>
      <c r="T43" s="32"/>
    </row>
    <row r="44" spans="2:20" x14ac:dyDescent="0.25">
      <c r="B44" s="12"/>
      <c r="D44" s="22">
        <v>3</v>
      </c>
      <c r="E44" s="22">
        <v>200</v>
      </c>
      <c r="F44" s="26" t="s">
        <v>188</v>
      </c>
      <c r="G44" s="26" t="s">
        <v>189</v>
      </c>
      <c r="H44" s="26" t="s">
        <v>190</v>
      </c>
      <c r="I44" s="26" t="s">
        <v>117</v>
      </c>
      <c r="J44" s="26" t="s">
        <v>117</v>
      </c>
      <c r="K44" s="26" t="s">
        <v>191</v>
      </c>
      <c r="L44" s="26" t="s">
        <v>192</v>
      </c>
      <c r="M44" s="26" t="s">
        <v>193</v>
      </c>
      <c r="N44" s="26"/>
      <c r="O44" s="24">
        <v>319.14000000013039</v>
      </c>
      <c r="P44" s="24">
        <v>2.872260000001174</v>
      </c>
      <c r="Q44" s="25"/>
      <c r="T44" s="32"/>
    </row>
    <row r="45" spans="2:20" x14ac:dyDescent="0.25">
      <c r="B45" s="12"/>
      <c r="D45" s="22">
        <v>4</v>
      </c>
      <c r="E45" s="22">
        <v>200</v>
      </c>
      <c r="F45" s="23" t="s">
        <v>194</v>
      </c>
      <c r="G45" s="23" t="s">
        <v>195</v>
      </c>
      <c r="H45" s="23" t="s">
        <v>196</v>
      </c>
      <c r="I45" s="23" t="s">
        <v>197</v>
      </c>
      <c r="J45" s="23" t="s">
        <v>198</v>
      </c>
      <c r="K45" s="23" t="s">
        <v>199</v>
      </c>
      <c r="L45" s="23" t="s">
        <v>200</v>
      </c>
      <c r="M45" s="23" t="s">
        <v>201</v>
      </c>
      <c r="N45" s="23"/>
      <c r="O45" s="24">
        <v>404.43000000016764</v>
      </c>
      <c r="P45" s="24">
        <v>3.6398700000015087</v>
      </c>
      <c r="Q45" s="25"/>
      <c r="T45" s="32"/>
    </row>
    <row r="46" spans="2:20" x14ac:dyDescent="0.25">
      <c r="B46" s="12"/>
      <c r="D46" s="22">
        <v>5</v>
      </c>
      <c r="E46" s="22">
        <v>200</v>
      </c>
      <c r="F46" s="23" t="s">
        <v>202</v>
      </c>
      <c r="G46" s="23" t="s">
        <v>203</v>
      </c>
      <c r="H46" s="23" t="s">
        <v>204</v>
      </c>
      <c r="I46" s="23" t="s">
        <v>205</v>
      </c>
      <c r="J46" s="23" t="s">
        <v>206</v>
      </c>
      <c r="K46" s="23" t="s">
        <v>207</v>
      </c>
      <c r="L46" s="23" t="s">
        <v>208</v>
      </c>
      <c r="M46" s="23" t="s">
        <v>209</v>
      </c>
      <c r="N46" s="23"/>
      <c r="O46" s="24">
        <v>597</v>
      </c>
      <c r="P46" s="24">
        <v>5.3730000000000011</v>
      </c>
      <c r="Q46" s="25"/>
      <c r="T46" s="32"/>
    </row>
    <row r="47" spans="2:20" x14ac:dyDescent="0.25">
      <c r="B47" s="12"/>
      <c r="D47" s="22">
        <v>6</v>
      </c>
      <c r="E47" s="22">
        <v>200</v>
      </c>
      <c r="F47" s="26" t="s">
        <v>210</v>
      </c>
      <c r="G47" s="26" t="s">
        <v>211</v>
      </c>
      <c r="H47" s="26" t="s">
        <v>212</v>
      </c>
      <c r="I47" s="26" t="s">
        <v>213</v>
      </c>
      <c r="J47" s="26" t="s">
        <v>214</v>
      </c>
      <c r="K47" s="26" t="s">
        <v>215</v>
      </c>
      <c r="L47" s="26" t="s">
        <v>216</v>
      </c>
      <c r="M47" s="26" t="s">
        <v>217</v>
      </c>
      <c r="N47" s="26"/>
      <c r="O47" s="24">
        <v>863.88999999966472</v>
      </c>
      <c r="P47" s="24">
        <v>7.7750099999969828</v>
      </c>
      <c r="Q47" s="25"/>
      <c r="T47" s="32"/>
    </row>
    <row r="48" spans="2:20" x14ac:dyDescent="0.25">
      <c r="B48" s="12"/>
      <c r="D48" s="22">
        <v>7</v>
      </c>
      <c r="E48" s="22">
        <v>200</v>
      </c>
      <c r="F48" s="23" t="s">
        <v>218</v>
      </c>
      <c r="G48" s="23" t="s">
        <v>219</v>
      </c>
      <c r="H48" s="23" t="s">
        <v>117</v>
      </c>
      <c r="I48" s="23" t="s">
        <v>117</v>
      </c>
      <c r="J48" s="23" t="s">
        <v>117</v>
      </c>
      <c r="K48" s="23" t="s">
        <v>117</v>
      </c>
      <c r="L48" s="23" t="s">
        <v>117</v>
      </c>
      <c r="M48" s="23" t="s">
        <v>117</v>
      </c>
      <c r="N48" s="23"/>
      <c r="O48" s="24">
        <v>1059.2200000006706</v>
      </c>
      <c r="P48" s="24">
        <v>9.5329800000060363</v>
      </c>
      <c r="Q48" s="25"/>
      <c r="T48" s="32"/>
    </row>
    <row r="49" spans="2:20" x14ac:dyDescent="0.25">
      <c r="B49" s="12"/>
      <c r="D49" s="22">
        <v>9</v>
      </c>
      <c r="E49" s="22">
        <v>200</v>
      </c>
      <c r="F49" s="26" t="s">
        <v>220</v>
      </c>
      <c r="G49" s="26" t="s">
        <v>221</v>
      </c>
      <c r="H49" s="26" t="s">
        <v>117</v>
      </c>
      <c r="I49" s="26" t="s">
        <v>117</v>
      </c>
      <c r="J49" s="26" t="s">
        <v>117</v>
      </c>
      <c r="K49" s="26" t="s">
        <v>117</v>
      </c>
      <c r="L49" s="26" t="s">
        <v>117</v>
      </c>
      <c r="M49" s="26" t="s">
        <v>117</v>
      </c>
      <c r="N49" s="26"/>
      <c r="O49" s="24">
        <v>1282.0800000000745</v>
      </c>
      <c r="P49" s="24">
        <v>11.538720000000671</v>
      </c>
      <c r="Q49" s="25"/>
      <c r="T49" s="32"/>
    </row>
    <row r="50" spans="2:20" x14ac:dyDescent="0.25">
      <c r="B50" s="12"/>
      <c r="D50" s="22">
        <v>10</v>
      </c>
      <c r="E50" s="22">
        <v>200</v>
      </c>
      <c r="F50" s="23" t="s">
        <v>222</v>
      </c>
      <c r="G50" s="23" t="s">
        <v>223</v>
      </c>
      <c r="H50" s="23" t="s">
        <v>117</v>
      </c>
      <c r="I50" s="23" t="s">
        <v>117</v>
      </c>
      <c r="J50" s="23" t="s">
        <v>117</v>
      </c>
      <c r="K50" s="23" t="s">
        <v>117</v>
      </c>
      <c r="L50" s="23" t="s">
        <v>117</v>
      </c>
      <c r="M50" s="23" t="s">
        <v>117</v>
      </c>
      <c r="N50" s="23"/>
      <c r="O50" s="24">
        <v>1645.25</v>
      </c>
      <c r="P50" s="24">
        <v>14.807250000000002</v>
      </c>
      <c r="Q50" s="25"/>
      <c r="T50" s="32"/>
    </row>
    <row r="51" spans="2:20" x14ac:dyDescent="0.25">
      <c r="B51" s="12"/>
      <c r="D51" s="22">
        <v>11</v>
      </c>
      <c r="E51" s="22">
        <v>200</v>
      </c>
      <c r="F51" s="23" t="s">
        <v>224</v>
      </c>
      <c r="G51" s="23" t="s">
        <v>225</v>
      </c>
      <c r="H51" s="23" t="s">
        <v>117</v>
      </c>
      <c r="I51" s="23" t="s">
        <v>117</v>
      </c>
      <c r="J51" s="23" t="s">
        <v>117</v>
      </c>
      <c r="K51" s="23" t="s">
        <v>117</v>
      </c>
      <c r="L51" s="23" t="s">
        <v>117</v>
      </c>
      <c r="M51" s="23" t="s">
        <v>117</v>
      </c>
      <c r="N51" s="23"/>
      <c r="O51" s="24">
        <v>2011.1500000003725</v>
      </c>
      <c r="P51" s="24">
        <v>18.100350000003353</v>
      </c>
      <c r="Q51" s="25"/>
      <c r="T51" s="32"/>
    </row>
    <row r="52" spans="2:20" x14ac:dyDescent="0.25">
      <c r="B52" s="12"/>
      <c r="D52" s="22">
        <v>13</v>
      </c>
      <c r="E52" s="22">
        <v>200</v>
      </c>
      <c r="F52" s="26" t="s">
        <v>226</v>
      </c>
      <c r="G52" s="26" t="s">
        <v>227</v>
      </c>
      <c r="H52" s="26" t="s">
        <v>117</v>
      </c>
      <c r="I52" s="26" t="s">
        <v>117</v>
      </c>
      <c r="J52" s="26" t="s">
        <v>117</v>
      </c>
      <c r="K52" s="26" t="s">
        <v>117</v>
      </c>
      <c r="L52" s="26" t="s">
        <v>117</v>
      </c>
      <c r="M52" s="26" t="s">
        <v>117</v>
      </c>
      <c r="N52" s="26"/>
      <c r="O52" s="24">
        <v>2726.4699999988079</v>
      </c>
      <c r="P52" s="24">
        <v>24.538229999989269</v>
      </c>
      <c r="Q52" s="25"/>
      <c r="T52" s="32"/>
    </row>
    <row r="53" spans="2:20" x14ac:dyDescent="0.25">
      <c r="B53" s="12"/>
      <c r="D53" s="22">
        <v>15</v>
      </c>
      <c r="E53" s="22">
        <v>100</v>
      </c>
      <c r="F53" s="27" t="s">
        <v>228</v>
      </c>
      <c r="G53" s="27" t="s">
        <v>229</v>
      </c>
      <c r="H53" s="27" t="s">
        <v>117</v>
      </c>
      <c r="I53" s="27" t="s">
        <v>117</v>
      </c>
      <c r="J53" s="27" t="s">
        <v>117</v>
      </c>
      <c r="K53" s="27" t="s">
        <v>117</v>
      </c>
      <c r="L53" s="27" t="s">
        <v>117</v>
      </c>
      <c r="M53" s="27" t="s">
        <v>117</v>
      </c>
      <c r="N53" s="27"/>
      <c r="O53" s="24">
        <v>1741.5299999993294</v>
      </c>
      <c r="P53" s="24">
        <v>31.34753999998793</v>
      </c>
      <c r="Q53" s="25"/>
      <c r="T53" s="32"/>
    </row>
    <row r="54" spans="2:20" x14ac:dyDescent="0.25">
      <c r="B54" s="12"/>
      <c r="D54" s="28"/>
      <c r="E54" s="28"/>
      <c r="F54" s="29"/>
      <c r="G54" s="29"/>
      <c r="H54" s="29"/>
      <c r="I54" s="29"/>
      <c r="J54" s="29"/>
      <c r="K54" s="29"/>
      <c r="L54" s="29"/>
      <c r="M54" s="29"/>
      <c r="N54" s="29"/>
      <c r="Q54" s="25"/>
      <c r="T54" s="25"/>
    </row>
    <row r="55" spans="2:20" ht="19.05" x14ac:dyDescent="0.35">
      <c r="B55" s="12"/>
      <c r="D55" s="13" t="s">
        <v>230</v>
      </c>
      <c r="E55" s="13"/>
      <c r="J55" s="3" t="s">
        <v>231</v>
      </c>
      <c r="K55" s="3" t="s">
        <v>231</v>
      </c>
      <c r="L55" s="3" t="s">
        <v>231</v>
      </c>
      <c r="M55" s="3" t="s">
        <v>231</v>
      </c>
      <c r="O55" s="3"/>
      <c r="P55" s="18" t="s">
        <v>232</v>
      </c>
      <c r="Q55" s="25"/>
      <c r="T55" s="25"/>
    </row>
    <row r="56" spans="2:20" x14ac:dyDescent="0.25">
      <c r="B56" s="12"/>
      <c r="D56" s="19" t="s">
        <v>14</v>
      </c>
      <c r="E56" s="19" t="s">
        <v>15</v>
      </c>
      <c r="F56" s="19" t="s">
        <v>129</v>
      </c>
      <c r="G56" s="19" t="s">
        <v>180</v>
      </c>
      <c r="H56" s="19" t="s">
        <v>233</v>
      </c>
      <c r="I56" s="19"/>
      <c r="J56" s="19"/>
      <c r="K56" s="19"/>
      <c r="L56" s="19"/>
      <c r="M56" s="19"/>
      <c r="N56" s="19"/>
      <c r="O56" s="19" t="s">
        <v>20</v>
      </c>
      <c r="P56" s="19" t="s">
        <v>21</v>
      </c>
      <c r="Q56" s="25"/>
      <c r="T56" s="25"/>
    </row>
    <row r="57" spans="2:20" x14ac:dyDescent="0.25">
      <c r="B57" s="12"/>
      <c r="D57" s="22">
        <v>2.5</v>
      </c>
      <c r="E57" s="22">
        <v>200</v>
      </c>
      <c r="F57" s="23" t="s">
        <v>234</v>
      </c>
      <c r="G57" s="23" t="s">
        <v>235</v>
      </c>
      <c r="H57" s="23" t="s">
        <v>236</v>
      </c>
      <c r="I57" s="23"/>
      <c r="J57" s="23"/>
      <c r="K57" s="23"/>
      <c r="L57" s="23"/>
      <c r="M57" s="23"/>
      <c r="N57" s="23"/>
      <c r="O57" s="24">
        <v>288.87999999988824</v>
      </c>
      <c r="P57" s="24">
        <v>2.5999199999989941</v>
      </c>
      <c r="Q57" s="25"/>
      <c r="T57" s="25"/>
    </row>
    <row r="58" spans="2:20" x14ac:dyDescent="0.25">
      <c r="B58" s="12"/>
      <c r="D58" s="22">
        <v>3</v>
      </c>
      <c r="E58" s="22">
        <v>200</v>
      </c>
      <c r="F58" s="26" t="s">
        <v>237</v>
      </c>
      <c r="G58" s="26" t="s">
        <v>238</v>
      </c>
      <c r="H58" s="26" t="s">
        <v>239</v>
      </c>
      <c r="I58" s="26"/>
      <c r="J58" s="26"/>
      <c r="K58" s="26"/>
      <c r="L58" s="26"/>
      <c r="M58" s="26"/>
      <c r="N58" s="26"/>
      <c r="O58" s="24">
        <v>415.43000000016764</v>
      </c>
      <c r="P58" s="24">
        <v>3.7388700000015085</v>
      </c>
      <c r="Q58" s="25"/>
      <c r="T58" s="25"/>
    </row>
    <row r="59" spans="2:20" x14ac:dyDescent="0.25">
      <c r="B59" s="12"/>
      <c r="D59" s="22">
        <v>4</v>
      </c>
      <c r="E59" s="22">
        <v>200</v>
      </c>
      <c r="F59" s="23" t="s">
        <v>240</v>
      </c>
      <c r="G59" s="23" t="s">
        <v>241</v>
      </c>
      <c r="H59" s="23" t="s">
        <v>242</v>
      </c>
      <c r="I59" s="23"/>
      <c r="J59" s="23"/>
      <c r="K59" s="23"/>
      <c r="L59" s="23"/>
      <c r="M59" s="23"/>
      <c r="N59" s="23"/>
      <c r="O59" s="24">
        <v>522.71999999973923</v>
      </c>
      <c r="P59" s="24">
        <v>4.7044799999976536</v>
      </c>
      <c r="Q59" s="25"/>
      <c r="T59" s="25"/>
    </row>
    <row r="60" spans="2:20" x14ac:dyDescent="0.25">
      <c r="B60" s="12"/>
      <c r="D60" s="22">
        <v>5</v>
      </c>
      <c r="E60" s="22">
        <v>200</v>
      </c>
      <c r="F60" s="23" t="s">
        <v>243</v>
      </c>
      <c r="G60" s="23" t="s">
        <v>244</v>
      </c>
      <c r="H60" s="23" t="s">
        <v>245</v>
      </c>
      <c r="I60" s="23"/>
      <c r="J60" s="23"/>
      <c r="K60" s="23"/>
      <c r="L60" s="23"/>
      <c r="M60" s="23"/>
      <c r="N60" s="23"/>
      <c r="O60" s="24">
        <v>773.11000000033528</v>
      </c>
      <c r="P60" s="24">
        <v>6.9579900000030186</v>
      </c>
      <c r="Q60" s="25"/>
      <c r="T60" s="25"/>
    </row>
    <row r="61" spans="2:20" x14ac:dyDescent="0.25">
      <c r="B61" s="12"/>
      <c r="D61" s="22">
        <v>6</v>
      </c>
      <c r="E61" s="22">
        <v>200</v>
      </c>
      <c r="F61" s="26" t="s">
        <v>246</v>
      </c>
      <c r="G61" s="26" t="s">
        <v>247</v>
      </c>
      <c r="H61" s="26" t="s">
        <v>117</v>
      </c>
      <c r="I61" s="26"/>
      <c r="J61" s="26"/>
      <c r="K61" s="26"/>
      <c r="L61" s="26"/>
      <c r="M61" s="26"/>
      <c r="N61" s="26"/>
      <c r="O61" s="24">
        <v>1114.25</v>
      </c>
      <c r="P61" s="24">
        <v>10.02825</v>
      </c>
      <c r="Q61" s="25"/>
      <c r="T61" s="25"/>
    </row>
    <row r="62" spans="2:20" x14ac:dyDescent="0.25">
      <c r="B62" s="12"/>
      <c r="D62" s="22">
        <v>7</v>
      </c>
      <c r="E62" s="22">
        <v>200</v>
      </c>
      <c r="F62" s="23" t="s">
        <v>248</v>
      </c>
      <c r="G62" s="23" t="s">
        <v>249</v>
      </c>
      <c r="H62" s="23" t="s">
        <v>117</v>
      </c>
      <c r="I62" s="23"/>
      <c r="J62" s="23"/>
      <c r="K62" s="23"/>
      <c r="L62" s="23"/>
      <c r="M62" s="23"/>
      <c r="N62" s="23"/>
      <c r="O62" s="24">
        <v>1367.359999999404</v>
      </c>
      <c r="P62" s="24">
        <v>12.306239999994636</v>
      </c>
      <c r="Q62" s="25"/>
      <c r="T62" s="25"/>
    </row>
    <row r="63" spans="2:20" x14ac:dyDescent="0.25">
      <c r="B63" s="12"/>
      <c r="D63" s="22">
        <v>8</v>
      </c>
      <c r="E63" s="22">
        <v>200</v>
      </c>
      <c r="F63" s="26" t="s">
        <v>250</v>
      </c>
      <c r="G63" s="26" t="s">
        <v>251</v>
      </c>
      <c r="H63" s="26" t="s">
        <v>117</v>
      </c>
      <c r="I63" s="26"/>
      <c r="J63" s="26"/>
      <c r="K63" s="26"/>
      <c r="L63" s="26"/>
      <c r="M63" s="26"/>
      <c r="N63" s="26"/>
      <c r="O63" s="24">
        <v>1526.9399999994785</v>
      </c>
      <c r="P63" s="24">
        <v>13.742459999995306</v>
      </c>
      <c r="Q63" s="25"/>
      <c r="T63" s="25"/>
    </row>
    <row r="64" spans="2:20" x14ac:dyDescent="0.25">
      <c r="B64" s="12"/>
      <c r="D64" s="22">
        <v>9</v>
      </c>
      <c r="E64" s="22">
        <v>200</v>
      </c>
      <c r="F64" s="23" t="s">
        <v>252</v>
      </c>
      <c r="G64" s="23" t="s">
        <v>253</v>
      </c>
      <c r="H64" s="23" t="s">
        <v>117</v>
      </c>
      <c r="I64" s="23"/>
      <c r="J64" s="23"/>
      <c r="K64" s="23"/>
      <c r="L64" s="23"/>
      <c r="M64" s="23"/>
      <c r="N64" s="23"/>
      <c r="O64" s="24">
        <v>1656.2400000002235</v>
      </c>
      <c r="P64" s="24">
        <v>14.906160000002012</v>
      </c>
      <c r="Q64" s="25"/>
      <c r="T64" s="25"/>
    </row>
    <row r="65" spans="2:20" x14ac:dyDescent="0.25">
      <c r="B65" s="12"/>
      <c r="D65" s="22">
        <v>10</v>
      </c>
      <c r="E65" s="22">
        <v>200</v>
      </c>
      <c r="F65" s="23" t="s">
        <v>254</v>
      </c>
      <c r="G65" s="23" t="s">
        <v>255</v>
      </c>
      <c r="H65" s="23" t="s">
        <v>117</v>
      </c>
      <c r="I65" s="23"/>
      <c r="J65" s="23"/>
      <c r="K65" s="23"/>
      <c r="L65" s="23"/>
      <c r="M65" s="23"/>
      <c r="N65" s="23"/>
      <c r="O65" s="24">
        <v>2126.6999999992549</v>
      </c>
      <c r="P65" s="24">
        <v>19.140299999993296</v>
      </c>
      <c r="Q65" s="25"/>
      <c r="T65" s="25"/>
    </row>
    <row r="66" spans="2:20" x14ac:dyDescent="0.25">
      <c r="B66" s="12"/>
      <c r="D66" s="22">
        <v>11</v>
      </c>
      <c r="E66" s="22">
        <v>200</v>
      </c>
      <c r="F66" s="27" t="s">
        <v>256</v>
      </c>
      <c r="G66" s="27" t="s">
        <v>257</v>
      </c>
      <c r="H66" s="27" t="s">
        <v>117</v>
      </c>
      <c r="I66" s="27"/>
      <c r="J66" s="27"/>
      <c r="K66" s="27"/>
      <c r="L66" s="27"/>
      <c r="M66" s="27"/>
      <c r="N66" s="27"/>
      <c r="O66" s="24">
        <v>2597.1700000017881</v>
      </c>
      <c r="P66" s="24">
        <v>23.374530000016094</v>
      </c>
      <c r="Q66" s="25"/>
      <c r="T66" s="25"/>
    </row>
    <row r="67" spans="2:20" x14ac:dyDescent="0.25">
      <c r="B67" s="12"/>
      <c r="D67" s="28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4"/>
      <c r="P67" s="24"/>
      <c r="Q67" s="25"/>
      <c r="T67" s="25"/>
    </row>
    <row r="68" spans="2:20" ht="19.05" x14ac:dyDescent="0.35">
      <c r="B68" s="12"/>
      <c r="D68" s="13" t="s">
        <v>258</v>
      </c>
      <c r="E68" s="13"/>
      <c r="O68" s="3"/>
      <c r="P68" s="18" t="s">
        <v>232</v>
      </c>
      <c r="Q68" s="25"/>
      <c r="T68" s="25"/>
    </row>
    <row r="69" spans="2:20" x14ac:dyDescent="0.25">
      <c r="B69" s="12"/>
      <c r="D69" s="19" t="s">
        <v>14</v>
      </c>
      <c r="E69" s="19" t="s">
        <v>15</v>
      </c>
      <c r="F69" s="19" t="s">
        <v>180</v>
      </c>
      <c r="G69" s="19" t="s">
        <v>16</v>
      </c>
      <c r="H69" s="19" t="s">
        <v>17</v>
      </c>
      <c r="I69" s="19" t="s">
        <v>35</v>
      </c>
      <c r="J69" s="19" t="s">
        <v>259</v>
      </c>
      <c r="K69" s="19" t="s">
        <v>126</v>
      </c>
      <c r="L69" s="19"/>
      <c r="M69" s="19"/>
      <c r="N69" s="19"/>
      <c r="O69" s="19" t="s">
        <v>20</v>
      </c>
      <c r="P69" s="19" t="s">
        <v>21</v>
      </c>
      <c r="Q69" s="25"/>
      <c r="T69" s="25"/>
    </row>
    <row r="70" spans="2:20" x14ac:dyDescent="0.25">
      <c r="B70" s="12"/>
      <c r="D70" s="22">
        <v>6</v>
      </c>
      <c r="E70" s="22">
        <v>100</v>
      </c>
      <c r="F70" s="23" t="s">
        <v>260</v>
      </c>
      <c r="G70" s="23" t="s">
        <v>261</v>
      </c>
      <c r="H70" s="23" t="s">
        <v>262</v>
      </c>
      <c r="I70" s="23" t="s">
        <v>263</v>
      </c>
      <c r="J70" s="23" t="s">
        <v>264</v>
      </c>
      <c r="K70" s="23" t="s">
        <v>265</v>
      </c>
      <c r="L70" s="23"/>
      <c r="M70" s="23"/>
      <c r="N70" s="23"/>
      <c r="O70" s="24">
        <v>73.790000000037253</v>
      </c>
      <c r="P70" s="24">
        <v>1.3282200000006705</v>
      </c>
      <c r="Q70" s="25"/>
      <c r="T70" s="25"/>
    </row>
    <row r="71" spans="2:20" x14ac:dyDescent="0.25">
      <c r="B71" s="12"/>
      <c r="D71" s="22">
        <v>6</v>
      </c>
      <c r="E71" s="22">
        <v>200</v>
      </c>
      <c r="F71" s="26" t="s">
        <v>266</v>
      </c>
      <c r="G71" s="26" t="s">
        <v>267</v>
      </c>
      <c r="H71" s="26" t="s">
        <v>268</v>
      </c>
      <c r="I71" s="26" t="s">
        <v>269</v>
      </c>
      <c r="J71" s="26" t="s">
        <v>270</v>
      </c>
      <c r="K71" s="26" t="s">
        <v>271</v>
      </c>
      <c r="L71" s="26"/>
      <c r="M71" s="26"/>
      <c r="N71" s="26"/>
      <c r="O71" s="24">
        <v>147.54000000003725</v>
      </c>
      <c r="P71" s="24">
        <v>1.3278600000003353</v>
      </c>
      <c r="Q71" s="25"/>
      <c r="T71" s="25"/>
    </row>
    <row r="72" spans="2:20" x14ac:dyDescent="0.25">
      <c r="B72" s="12"/>
      <c r="D72" s="22">
        <v>8</v>
      </c>
      <c r="E72" s="22">
        <v>100</v>
      </c>
      <c r="F72" s="23" t="s">
        <v>272</v>
      </c>
      <c r="G72" s="23" t="s">
        <v>273</v>
      </c>
      <c r="H72" s="23" t="s">
        <v>274</v>
      </c>
      <c r="I72" s="23" t="s">
        <v>275</v>
      </c>
      <c r="J72" s="23" t="s">
        <v>276</v>
      </c>
      <c r="K72" s="23" t="s">
        <v>277</v>
      </c>
      <c r="L72" s="23"/>
      <c r="M72" s="23"/>
      <c r="N72" s="23"/>
      <c r="O72" s="24">
        <v>103.53000000002794</v>
      </c>
      <c r="P72" s="24">
        <v>1.8635400000005029</v>
      </c>
      <c r="Q72" s="25"/>
      <c r="T72" s="25"/>
    </row>
    <row r="73" spans="2:20" x14ac:dyDescent="0.25">
      <c r="B73" s="12"/>
      <c r="D73" s="22">
        <v>8</v>
      </c>
      <c r="E73" s="22">
        <v>200</v>
      </c>
      <c r="F73" s="23" t="s">
        <v>278</v>
      </c>
      <c r="G73" s="23" t="s">
        <v>279</v>
      </c>
      <c r="H73" s="23" t="s">
        <v>280</v>
      </c>
      <c r="I73" s="23" t="s">
        <v>281</v>
      </c>
      <c r="J73" s="23" t="s">
        <v>282</v>
      </c>
      <c r="K73" s="23" t="s">
        <v>283</v>
      </c>
      <c r="L73" s="23"/>
      <c r="M73" s="23"/>
      <c r="N73" s="23"/>
      <c r="O73" s="24">
        <v>207.01000000000931</v>
      </c>
      <c r="P73" s="24">
        <v>1.8630900000000838</v>
      </c>
      <c r="Q73" s="25"/>
      <c r="T73" s="25"/>
    </row>
    <row r="74" spans="2:20" x14ac:dyDescent="0.25">
      <c r="B74" s="12"/>
      <c r="D74" s="22">
        <v>10</v>
      </c>
      <c r="E74" s="22">
        <v>100</v>
      </c>
      <c r="F74" s="26" t="s">
        <v>284</v>
      </c>
      <c r="G74" s="26" t="s">
        <v>285</v>
      </c>
      <c r="H74" s="26" t="s">
        <v>286</v>
      </c>
      <c r="I74" s="26" t="s">
        <v>287</v>
      </c>
      <c r="J74" s="26" t="s">
        <v>288</v>
      </c>
      <c r="K74" s="26" t="s">
        <v>289</v>
      </c>
      <c r="L74" s="26"/>
      <c r="M74" s="26"/>
      <c r="N74" s="26"/>
      <c r="O74" s="24">
        <v>158.91999999992549</v>
      </c>
      <c r="P74" s="24">
        <v>2.8605599999986588</v>
      </c>
      <c r="Q74" s="25"/>
      <c r="T74" s="25"/>
    </row>
    <row r="75" spans="2:20" x14ac:dyDescent="0.25">
      <c r="B75" s="12"/>
      <c r="D75" s="22">
        <v>10</v>
      </c>
      <c r="E75" s="22">
        <v>200</v>
      </c>
      <c r="F75" s="23" t="s">
        <v>290</v>
      </c>
      <c r="G75" s="23" t="s">
        <v>291</v>
      </c>
      <c r="H75" s="23" t="s">
        <v>292</v>
      </c>
      <c r="I75" s="23" t="s">
        <v>293</v>
      </c>
      <c r="J75" s="23" t="s">
        <v>294</v>
      </c>
      <c r="K75" s="23" t="s">
        <v>295</v>
      </c>
      <c r="L75" s="23"/>
      <c r="M75" s="23"/>
      <c r="N75" s="23"/>
      <c r="O75" s="24">
        <v>317.83000000007451</v>
      </c>
      <c r="P75" s="24">
        <v>2.8604700000006704</v>
      </c>
      <c r="Q75" s="25"/>
      <c r="T75" s="25"/>
    </row>
    <row r="76" spans="2:20" x14ac:dyDescent="0.25">
      <c r="B76" s="12"/>
      <c r="D76" s="22">
        <v>12</v>
      </c>
      <c r="E76" s="22">
        <v>100</v>
      </c>
      <c r="F76" s="23" t="s">
        <v>296</v>
      </c>
      <c r="G76" s="23" t="s">
        <v>297</v>
      </c>
      <c r="H76" s="23" t="s">
        <v>298</v>
      </c>
      <c r="I76" s="23" t="s">
        <v>299</v>
      </c>
      <c r="J76" s="23" t="s">
        <v>300</v>
      </c>
      <c r="K76" s="23" t="s">
        <v>301</v>
      </c>
      <c r="L76" s="23"/>
      <c r="M76" s="23"/>
      <c r="N76" s="23"/>
      <c r="O76" s="24">
        <v>224.02000000001863</v>
      </c>
      <c r="P76" s="24">
        <v>4.0323600000003355</v>
      </c>
      <c r="Q76" s="25"/>
      <c r="T76" s="25"/>
    </row>
    <row r="77" spans="2:20" x14ac:dyDescent="0.25">
      <c r="B77" s="12"/>
      <c r="D77" s="22">
        <v>12</v>
      </c>
      <c r="E77" s="22">
        <v>200</v>
      </c>
      <c r="F77" s="26" t="s">
        <v>302</v>
      </c>
      <c r="G77" s="26" t="s">
        <v>303</v>
      </c>
      <c r="H77" s="26" t="s">
        <v>304</v>
      </c>
      <c r="I77" s="26" t="s">
        <v>305</v>
      </c>
      <c r="J77" s="26" t="s">
        <v>306</v>
      </c>
      <c r="K77" s="26" t="s">
        <v>307</v>
      </c>
      <c r="L77" s="26"/>
      <c r="M77" s="26"/>
      <c r="N77" s="26"/>
      <c r="O77" s="24">
        <v>448.04000000003725</v>
      </c>
      <c r="P77" s="24">
        <v>4.0323600000003355</v>
      </c>
      <c r="Q77" s="25"/>
      <c r="T77" s="25"/>
    </row>
    <row r="78" spans="2:20" x14ac:dyDescent="0.25">
      <c r="B78" s="12"/>
      <c r="D78" s="22">
        <v>14</v>
      </c>
      <c r="E78" s="22">
        <v>100</v>
      </c>
      <c r="F78" s="23" t="s">
        <v>308</v>
      </c>
      <c r="G78" s="23" t="s">
        <v>309</v>
      </c>
      <c r="H78" s="23" t="s">
        <v>310</v>
      </c>
      <c r="I78" s="23" t="s">
        <v>311</v>
      </c>
      <c r="J78" s="23" t="s">
        <v>312</v>
      </c>
      <c r="K78" s="23" t="s">
        <v>313</v>
      </c>
      <c r="L78" s="23"/>
      <c r="M78" s="23"/>
      <c r="N78" s="23"/>
      <c r="O78" s="24">
        <v>330.70999999996275</v>
      </c>
      <c r="P78" s="24">
        <v>5.9527799999993292</v>
      </c>
      <c r="Q78" s="25"/>
      <c r="T78" s="25"/>
    </row>
    <row r="79" spans="2:20" x14ac:dyDescent="0.25">
      <c r="B79" s="12"/>
      <c r="D79" s="22">
        <v>14</v>
      </c>
      <c r="E79" s="22">
        <v>200</v>
      </c>
      <c r="F79" s="23" t="s">
        <v>314</v>
      </c>
      <c r="G79" s="23" t="s">
        <v>315</v>
      </c>
      <c r="H79" s="23" t="s">
        <v>316</v>
      </c>
      <c r="I79" s="23" t="s">
        <v>317</v>
      </c>
      <c r="J79" s="23" t="s">
        <v>318</v>
      </c>
      <c r="K79" s="23" t="s">
        <v>319</v>
      </c>
      <c r="L79" s="23"/>
      <c r="M79" s="23"/>
      <c r="N79" s="23"/>
      <c r="O79" s="24">
        <v>661.41999999992549</v>
      </c>
      <c r="P79" s="24">
        <v>5.9527799999993292</v>
      </c>
      <c r="Q79" s="25"/>
      <c r="T79" s="25"/>
    </row>
    <row r="80" spans="2:20" x14ac:dyDescent="0.25">
      <c r="B80" s="12"/>
      <c r="D80" s="22">
        <v>16</v>
      </c>
      <c r="E80" s="22">
        <v>100</v>
      </c>
      <c r="F80" s="26" t="s">
        <v>320</v>
      </c>
      <c r="G80" s="26" t="s">
        <v>321</v>
      </c>
      <c r="H80" s="26" t="s">
        <v>322</v>
      </c>
      <c r="I80" s="26" t="s">
        <v>323</v>
      </c>
      <c r="J80" s="26" t="s">
        <v>324</v>
      </c>
      <c r="K80" s="26" t="s">
        <v>325</v>
      </c>
      <c r="L80" s="26"/>
      <c r="M80" s="26"/>
      <c r="N80" s="26"/>
      <c r="O80" s="24">
        <v>424.70000000018626</v>
      </c>
      <c r="P80" s="24">
        <v>7.6446000000033534</v>
      </c>
      <c r="Q80" s="25"/>
      <c r="T80" s="25"/>
    </row>
    <row r="81" spans="2:20" x14ac:dyDescent="0.25">
      <c r="B81" s="12"/>
      <c r="D81" s="22">
        <v>16</v>
      </c>
      <c r="E81" s="22">
        <v>200</v>
      </c>
      <c r="F81" s="23" t="s">
        <v>326</v>
      </c>
      <c r="G81" s="23" t="s">
        <v>327</v>
      </c>
      <c r="H81" s="23" t="s">
        <v>328</v>
      </c>
      <c r="I81" s="23" t="s">
        <v>329</v>
      </c>
      <c r="J81" s="23" t="s">
        <v>330</v>
      </c>
      <c r="K81" s="23" t="s">
        <v>331</v>
      </c>
      <c r="L81" s="23"/>
      <c r="M81" s="23"/>
      <c r="N81" s="23"/>
      <c r="O81" s="24">
        <v>849.36000000033528</v>
      </c>
      <c r="P81" s="24">
        <v>7.644240000003018</v>
      </c>
      <c r="Q81" s="25"/>
      <c r="T81" s="25"/>
    </row>
    <row r="82" spans="2:20" x14ac:dyDescent="0.25">
      <c r="B82" s="12"/>
      <c r="D82" s="22">
        <v>18</v>
      </c>
      <c r="E82" s="22">
        <v>100</v>
      </c>
      <c r="F82" s="27" t="s">
        <v>332</v>
      </c>
      <c r="G82" s="27" t="s">
        <v>333</v>
      </c>
      <c r="H82" s="27" t="s">
        <v>334</v>
      </c>
      <c r="I82" s="27" t="s">
        <v>335</v>
      </c>
      <c r="J82" s="27" t="s">
        <v>336</v>
      </c>
      <c r="K82" s="27" t="s">
        <v>337</v>
      </c>
      <c r="L82" s="27"/>
      <c r="M82" s="27"/>
      <c r="N82" s="27"/>
      <c r="O82" s="24">
        <v>520.46999999973923</v>
      </c>
      <c r="P82" s="24">
        <v>9.3684599999953058</v>
      </c>
      <c r="Q82" s="25"/>
      <c r="T82" s="25"/>
    </row>
    <row r="83" spans="2:20" x14ac:dyDescent="0.25">
      <c r="B83" s="12"/>
      <c r="D83" s="28"/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4"/>
      <c r="P83" s="24"/>
      <c r="Q83" s="25"/>
      <c r="T83" s="25"/>
    </row>
    <row r="84" spans="2:20" ht="19.05" x14ac:dyDescent="0.35">
      <c r="B84" s="12"/>
      <c r="D84" s="13" t="s">
        <v>258</v>
      </c>
      <c r="E84" s="13"/>
      <c r="F84" s="13" t="s">
        <v>338</v>
      </c>
      <c r="K84" s="3" t="s">
        <v>231</v>
      </c>
      <c r="O84" s="3"/>
      <c r="P84" s="18" t="s">
        <v>232</v>
      </c>
      <c r="Q84" s="25"/>
      <c r="T84" s="25"/>
    </row>
    <row r="85" spans="2:20" x14ac:dyDescent="0.25">
      <c r="B85" s="12"/>
      <c r="D85" s="19" t="s">
        <v>14</v>
      </c>
      <c r="E85" s="19" t="s">
        <v>15</v>
      </c>
      <c r="F85" s="19" t="s">
        <v>18</v>
      </c>
      <c r="G85" s="19" t="s">
        <v>16</v>
      </c>
      <c r="H85" s="19" t="s">
        <v>35</v>
      </c>
      <c r="I85" s="19" t="s">
        <v>17</v>
      </c>
      <c r="J85" s="19" t="s">
        <v>339</v>
      </c>
      <c r="K85" s="19"/>
      <c r="L85" s="19"/>
      <c r="M85" s="19"/>
      <c r="N85" s="19"/>
      <c r="O85" s="19" t="s">
        <v>20</v>
      </c>
      <c r="P85" s="19" t="s">
        <v>21</v>
      </c>
      <c r="Q85" s="25"/>
      <c r="T85" s="25"/>
    </row>
    <row r="86" spans="2:20" x14ac:dyDescent="0.25">
      <c r="B86" s="12"/>
      <c r="D86" s="22">
        <v>6</v>
      </c>
      <c r="E86" s="22">
        <v>200</v>
      </c>
      <c r="F86" s="23" t="s">
        <v>340</v>
      </c>
      <c r="G86" s="23" t="s">
        <v>341</v>
      </c>
      <c r="H86" s="23" t="s">
        <v>342</v>
      </c>
      <c r="I86" s="23" t="s">
        <v>343</v>
      </c>
      <c r="J86" s="23" t="s">
        <v>344</v>
      </c>
      <c r="K86" s="23"/>
      <c r="L86" s="23"/>
      <c r="M86" s="23"/>
      <c r="N86" s="23"/>
      <c r="O86" s="24">
        <v>159.13999999989755</v>
      </c>
      <c r="P86" s="24">
        <v>1.4322599999990779</v>
      </c>
      <c r="Q86" s="25"/>
      <c r="T86" s="25"/>
    </row>
    <row r="87" spans="2:20" x14ac:dyDescent="0.25">
      <c r="B87" s="12"/>
      <c r="D87" s="22">
        <v>8</v>
      </c>
      <c r="E87" s="22">
        <v>100</v>
      </c>
      <c r="F87" s="26" t="s">
        <v>345</v>
      </c>
      <c r="G87" s="26" t="s">
        <v>346</v>
      </c>
      <c r="H87" s="26" t="s">
        <v>347</v>
      </c>
      <c r="I87" s="26" t="s">
        <v>348</v>
      </c>
      <c r="J87" s="26" t="s">
        <v>117</v>
      </c>
      <c r="K87" s="26"/>
      <c r="L87" s="26"/>
      <c r="M87" s="26"/>
      <c r="N87" s="26"/>
      <c r="O87" s="24">
        <v>111.28000000002794</v>
      </c>
      <c r="P87" s="24">
        <v>2.0030400000005031</v>
      </c>
      <c r="Q87" s="25"/>
      <c r="T87" s="25"/>
    </row>
    <row r="88" spans="2:20" x14ac:dyDescent="0.25">
      <c r="B88" s="12"/>
      <c r="D88" s="22">
        <v>8</v>
      </c>
      <c r="E88" s="22">
        <v>200</v>
      </c>
      <c r="F88" s="23" t="s">
        <v>349</v>
      </c>
      <c r="G88" s="23" t="s">
        <v>350</v>
      </c>
      <c r="H88" s="23" t="s">
        <v>351</v>
      </c>
      <c r="I88" s="23" t="s">
        <v>352</v>
      </c>
      <c r="J88" s="23" t="s">
        <v>353</v>
      </c>
      <c r="K88" s="23"/>
      <c r="L88" s="23"/>
      <c r="M88" s="23"/>
      <c r="N88" s="23"/>
      <c r="O88" s="24">
        <v>222.56000000005588</v>
      </c>
      <c r="P88" s="24">
        <v>2.0030400000005031</v>
      </c>
      <c r="Q88" s="25"/>
      <c r="T88" s="25"/>
    </row>
    <row r="89" spans="2:20" x14ac:dyDescent="0.25">
      <c r="B89" s="12"/>
      <c r="D89" s="22">
        <v>10</v>
      </c>
      <c r="E89" s="22">
        <v>100</v>
      </c>
      <c r="F89" s="23" t="s">
        <v>354</v>
      </c>
      <c r="G89" s="23" t="s">
        <v>355</v>
      </c>
      <c r="H89" s="23" t="s">
        <v>356</v>
      </c>
      <c r="I89" s="23" t="s">
        <v>357</v>
      </c>
      <c r="J89" s="23" t="s">
        <v>117</v>
      </c>
      <c r="K89" s="23"/>
      <c r="L89" s="23"/>
      <c r="M89" s="23"/>
      <c r="N89" s="23"/>
      <c r="O89" s="24">
        <v>170.84000000008382</v>
      </c>
      <c r="P89" s="24">
        <v>3.0751200000015086</v>
      </c>
      <c r="Q89" s="25"/>
      <c r="T89" s="25"/>
    </row>
    <row r="90" spans="2:20" x14ac:dyDescent="0.25">
      <c r="B90" s="12"/>
      <c r="D90" s="22">
        <v>10</v>
      </c>
      <c r="E90" s="22">
        <v>200</v>
      </c>
      <c r="F90" s="26" t="s">
        <v>358</v>
      </c>
      <c r="G90" s="26" t="s">
        <v>359</v>
      </c>
      <c r="H90" s="26" t="s">
        <v>360</v>
      </c>
      <c r="I90" s="26" t="s">
        <v>361</v>
      </c>
      <c r="J90" s="26" t="s">
        <v>362</v>
      </c>
      <c r="K90" s="26"/>
      <c r="L90" s="26"/>
      <c r="M90" s="26"/>
      <c r="N90" s="26"/>
      <c r="O90" s="24">
        <v>341.68000000016764</v>
      </c>
      <c r="P90" s="24">
        <v>3.0751200000015086</v>
      </c>
      <c r="Q90" s="25"/>
      <c r="T90" s="25"/>
    </row>
    <row r="91" spans="2:20" x14ac:dyDescent="0.25">
      <c r="B91" s="12"/>
      <c r="D91" s="22">
        <v>12</v>
      </c>
      <c r="E91" s="22">
        <v>100</v>
      </c>
      <c r="F91" s="33" t="s">
        <v>363</v>
      </c>
      <c r="G91" s="33" t="s">
        <v>364</v>
      </c>
      <c r="H91" s="33" t="s">
        <v>365</v>
      </c>
      <c r="I91" s="33" t="s">
        <v>366</v>
      </c>
      <c r="J91" s="33" t="s">
        <v>117</v>
      </c>
      <c r="K91" s="33"/>
      <c r="L91" s="33"/>
      <c r="M91" s="33"/>
      <c r="N91" s="33"/>
      <c r="O91" s="24">
        <v>240.81000000005588</v>
      </c>
      <c r="P91" s="24">
        <v>4.3345800000010062</v>
      </c>
      <c r="Q91" s="25"/>
      <c r="T91" s="25"/>
    </row>
    <row r="92" spans="2:20" ht="19.05" x14ac:dyDescent="0.35">
      <c r="B92" s="12"/>
      <c r="D92" s="13" t="s">
        <v>258</v>
      </c>
      <c r="E92" s="13"/>
      <c r="F92" s="13" t="s">
        <v>367</v>
      </c>
      <c r="K92" s="3" t="s">
        <v>231</v>
      </c>
      <c r="O92" s="3"/>
      <c r="P92" s="18" t="s">
        <v>232</v>
      </c>
      <c r="Q92" s="25"/>
      <c r="T92" s="25"/>
    </row>
    <row r="93" spans="2:20" x14ac:dyDescent="0.25">
      <c r="B93" s="12"/>
      <c r="D93" s="19" t="s">
        <v>14</v>
      </c>
      <c r="E93" s="19" t="s">
        <v>15</v>
      </c>
      <c r="F93" s="19" t="s">
        <v>18</v>
      </c>
      <c r="G93" s="19" t="s">
        <v>16</v>
      </c>
      <c r="H93" s="19" t="s">
        <v>35</v>
      </c>
      <c r="I93" s="19" t="s">
        <v>17</v>
      </c>
      <c r="J93" s="19" t="s">
        <v>368</v>
      </c>
      <c r="K93" s="19"/>
      <c r="L93" s="19"/>
      <c r="M93" s="19"/>
      <c r="N93" s="19"/>
      <c r="O93" s="19" t="s">
        <v>20</v>
      </c>
      <c r="P93" s="19" t="s">
        <v>21</v>
      </c>
      <c r="Q93" s="25"/>
      <c r="T93" s="25"/>
    </row>
    <row r="94" spans="2:20" x14ac:dyDescent="0.25">
      <c r="B94" s="12"/>
      <c r="D94" s="22">
        <v>12</v>
      </c>
      <c r="E94" s="22">
        <v>200</v>
      </c>
      <c r="F94" s="23" t="s">
        <v>369</v>
      </c>
      <c r="G94" s="23" t="s">
        <v>370</v>
      </c>
      <c r="H94" s="23" t="s">
        <v>371</v>
      </c>
      <c r="I94" s="23" t="s">
        <v>372</v>
      </c>
      <c r="J94" s="23" t="s">
        <v>373</v>
      </c>
      <c r="K94" s="23"/>
      <c r="L94" s="23"/>
      <c r="M94" s="23"/>
      <c r="N94" s="23"/>
      <c r="O94" s="24">
        <v>481.66000000014901</v>
      </c>
      <c r="P94" s="24">
        <v>4.3349400000013416</v>
      </c>
      <c r="Q94" s="25"/>
      <c r="T94" s="25"/>
    </row>
    <row r="95" spans="2:20" x14ac:dyDescent="0.25">
      <c r="B95" s="12"/>
      <c r="D95" s="22">
        <v>14</v>
      </c>
      <c r="E95" s="22">
        <v>100</v>
      </c>
      <c r="F95" s="26" t="s">
        <v>374</v>
      </c>
      <c r="G95" s="26" t="s">
        <v>375</v>
      </c>
      <c r="H95" s="26" t="s">
        <v>376</v>
      </c>
      <c r="I95" s="26" t="s">
        <v>377</v>
      </c>
      <c r="J95" s="26" t="s">
        <v>117</v>
      </c>
      <c r="K95" s="26"/>
      <c r="L95" s="26"/>
      <c r="M95" s="26"/>
      <c r="N95" s="26"/>
      <c r="O95" s="24">
        <v>355.52000000001863</v>
      </c>
      <c r="P95" s="24">
        <v>6.3993600000003354</v>
      </c>
      <c r="Q95" s="25"/>
      <c r="T95" s="25"/>
    </row>
    <row r="96" spans="2:20" x14ac:dyDescent="0.25">
      <c r="B96" s="12"/>
      <c r="D96" s="22">
        <v>14</v>
      </c>
      <c r="E96" s="22">
        <v>200</v>
      </c>
      <c r="F96" s="27" t="s">
        <v>378</v>
      </c>
      <c r="G96" s="27" t="s">
        <v>379</v>
      </c>
      <c r="H96" s="27" t="s">
        <v>380</v>
      </c>
      <c r="I96" s="27" t="s">
        <v>381</v>
      </c>
      <c r="J96" s="27" t="s">
        <v>382</v>
      </c>
      <c r="K96" s="27"/>
      <c r="L96" s="27"/>
      <c r="M96" s="27"/>
      <c r="N96" s="27"/>
      <c r="O96" s="24">
        <v>711.04000000003725</v>
      </c>
      <c r="P96" s="24">
        <v>6.3993600000003354</v>
      </c>
      <c r="Q96" s="25"/>
      <c r="T96" s="25"/>
    </row>
    <row r="97" spans="2:20" x14ac:dyDescent="0.25">
      <c r="B97" s="12"/>
      <c r="D97" s="22"/>
      <c r="E97" s="22"/>
      <c r="F97" s="27"/>
      <c r="G97" s="27"/>
      <c r="H97" s="27"/>
      <c r="I97" s="27"/>
      <c r="J97" s="27"/>
      <c r="K97" s="27"/>
      <c r="L97" s="27"/>
      <c r="M97" s="27"/>
      <c r="N97" s="27"/>
      <c r="O97" s="24"/>
      <c r="P97" s="24"/>
      <c r="Q97" s="25"/>
      <c r="T97" s="25"/>
    </row>
    <row r="98" spans="2:20" ht="19.05" x14ac:dyDescent="0.35">
      <c r="B98" s="12"/>
      <c r="D98" s="13" t="s">
        <v>383</v>
      </c>
      <c r="E98" s="13"/>
      <c r="F98" s="13"/>
      <c r="O98" s="3"/>
      <c r="P98" s="18" t="s">
        <v>384</v>
      </c>
      <c r="Q98" s="25"/>
      <c r="T98" s="25"/>
    </row>
    <row r="99" spans="2:20" x14ac:dyDescent="0.25">
      <c r="B99" s="12"/>
      <c r="D99" s="19" t="s">
        <v>14</v>
      </c>
      <c r="E99" s="19" t="s">
        <v>15</v>
      </c>
      <c r="F99" s="19" t="s">
        <v>179</v>
      </c>
      <c r="G99" s="19"/>
      <c r="H99" s="19"/>
      <c r="I99" s="19"/>
      <c r="J99" s="19"/>
      <c r="K99" s="19"/>
      <c r="L99" s="19"/>
      <c r="M99" s="19"/>
      <c r="N99" s="19"/>
      <c r="O99" s="19" t="s">
        <v>20</v>
      </c>
      <c r="P99" s="19" t="s">
        <v>21</v>
      </c>
      <c r="Q99" s="25"/>
      <c r="T99" s="25"/>
    </row>
    <row r="100" spans="2:20" x14ac:dyDescent="0.25">
      <c r="B100" s="12"/>
      <c r="D100" s="22">
        <v>2.5</v>
      </c>
      <c r="E100" s="22">
        <v>200</v>
      </c>
      <c r="F100" s="23" t="s">
        <v>385</v>
      </c>
      <c r="G100" s="23"/>
      <c r="H100" s="23"/>
      <c r="I100" s="23"/>
      <c r="J100" s="23"/>
      <c r="K100" s="23"/>
      <c r="L100" s="23"/>
      <c r="M100" s="23"/>
      <c r="N100" s="23"/>
      <c r="O100" s="24">
        <v>432.70999999996275</v>
      </c>
      <c r="P100" s="24">
        <v>3.8943899999996647</v>
      </c>
      <c r="Q100" s="25"/>
      <c r="T100" s="25"/>
    </row>
    <row r="101" spans="2:20" x14ac:dyDescent="0.25">
      <c r="B101" s="12"/>
      <c r="D101" s="22">
        <v>3</v>
      </c>
      <c r="E101" s="22">
        <v>200</v>
      </c>
      <c r="F101" s="23" t="s">
        <v>386</v>
      </c>
      <c r="G101" s="23"/>
      <c r="H101" s="23"/>
      <c r="I101" s="23"/>
      <c r="J101" s="23"/>
      <c r="K101" s="23"/>
      <c r="L101" s="23"/>
      <c r="M101" s="23"/>
      <c r="N101" s="23"/>
      <c r="O101" s="24">
        <v>484.22000000020489</v>
      </c>
      <c r="P101" s="24">
        <v>4.3579800000018443</v>
      </c>
      <c r="Q101" s="25"/>
      <c r="T101" s="25"/>
    </row>
    <row r="102" spans="2:20" x14ac:dyDescent="0.25">
      <c r="B102" s="12"/>
      <c r="D102" s="22">
        <v>4</v>
      </c>
      <c r="E102" s="22">
        <v>200</v>
      </c>
      <c r="F102" s="26" t="s">
        <v>387</v>
      </c>
      <c r="G102" s="26"/>
      <c r="H102" s="26"/>
      <c r="I102" s="26"/>
      <c r="J102" s="26"/>
      <c r="K102" s="26"/>
      <c r="L102" s="26"/>
      <c r="M102" s="26"/>
      <c r="N102" s="26"/>
      <c r="O102" s="24">
        <v>646.54000000003725</v>
      </c>
      <c r="P102" s="24">
        <v>5.8188600000003348</v>
      </c>
      <c r="Q102" s="25"/>
      <c r="T102" s="25"/>
    </row>
    <row r="103" spans="2:20" x14ac:dyDescent="0.25">
      <c r="B103" s="12"/>
      <c r="D103" s="22">
        <v>5</v>
      </c>
      <c r="E103" s="22">
        <v>200</v>
      </c>
      <c r="F103" s="23" t="s">
        <v>388</v>
      </c>
      <c r="G103" s="23"/>
      <c r="H103" s="23"/>
      <c r="I103" s="23"/>
      <c r="J103" s="23"/>
      <c r="K103" s="23"/>
      <c r="L103" s="23"/>
      <c r="M103" s="23"/>
      <c r="N103" s="23"/>
      <c r="O103" s="24">
        <v>806.11000000033528</v>
      </c>
      <c r="P103" s="24">
        <v>7.2549900000030174</v>
      </c>
      <c r="Q103" s="25"/>
      <c r="T103" s="25"/>
    </row>
    <row r="104" spans="2:20" x14ac:dyDescent="0.25">
      <c r="B104" s="12"/>
      <c r="D104" s="22">
        <v>6</v>
      </c>
      <c r="E104" s="22">
        <v>200</v>
      </c>
      <c r="F104" s="23" t="s">
        <v>389</v>
      </c>
      <c r="G104" s="23"/>
      <c r="H104" s="23"/>
      <c r="I104" s="23"/>
      <c r="J104" s="23"/>
      <c r="K104" s="23"/>
      <c r="L104" s="23"/>
      <c r="M104" s="23"/>
      <c r="N104" s="23"/>
      <c r="O104" s="24">
        <v>1254.5600000005215</v>
      </c>
      <c r="P104" s="24">
        <v>11.291040000004694</v>
      </c>
      <c r="Q104" s="25"/>
      <c r="T104" s="25"/>
    </row>
    <row r="105" spans="2:20" x14ac:dyDescent="0.25">
      <c r="B105" s="12"/>
      <c r="D105" s="22">
        <v>7</v>
      </c>
      <c r="E105" s="22">
        <v>200</v>
      </c>
      <c r="F105" s="26" t="s">
        <v>390</v>
      </c>
      <c r="G105" s="26"/>
      <c r="H105" s="26"/>
      <c r="I105" s="26"/>
      <c r="J105" s="26"/>
      <c r="K105" s="26"/>
      <c r="L105" s="26"/>
      <c r="M105" s="26"/>
      <c r="N105" s="26"/>
      <c r="O105" s="24">
        <v>1744.2899999991059</v>
      </c>
      <c r="P105" s="24">
        <v>15.698609999991954</v>
      </c>
      <c r="Q105" s="25"/>
      <c r="T105" s="25"/>
    </row>
    <row r="106" spans="2:20" x14ac:dyDescent="0.25">
      <c r="B106" s="12"/>
      <c r="D106" s="22">
        <v>8</v>
      </c>
      <c r="E106" s="22">
        <v>100</v>
      </c>
      <c r="F106" s="23" t="s">
        <v>391</v>
      </c>
      <c r="G106" s="23"/>
      <c r="H106" s="23"/>
      <c r="I106" s="23"/>
      <c r="J106" s="23"/>
      <c r="K106" s="23"/>
      <c r="L106" s="23"/>
      <c r="M106" s="23"/>
      <c r="N106" s="23"/>
      <c r="O106" s="24">
        <v>1097.75</v>
      </c>
      <c r="P106" s="24">
        <v>19.759499999999999</v>
      </c>
      <c r="Q106" s="25"/>
      <c r="T106" s="25"/>
    </row>
    <row r="107" spans="2:20" x14ac:dyDescent="0.25">
      <c r="B107" s="12"/>
      <c r="D107" s="22">
        <v>9</v>
      </c>
      <c r="E107" s="22">
        <v>100</v>
      </c>
      <c r="F107" s="23" t="s">
        <v>392</v>
      </c>
      <c r="G107" s="23"/>
      <c r="H107" s="23"/>
      <c r="I107" s="23"/>
      <c r="J107" s="23"/>
      <c r="K107" s="23"/>
      <c r="L107" s="23"/>
      <c r="M107" s="23"/>
      <c r="N107" s="23"/>
      <c r="O107" s="24">
        <v>1324.730000000447</v>
      </c>
      <c r="P107" s="24">
        <v>23.845140000008044</v>
      </c>
      <c r="Q107" s="25"/>
      <c r="T107" s="25"/>
    </row>
    <row r="108" spans="2:20" x14ac:dyDescent="0.25">
      <c r="B108" s="12"/>
      <c r="D108" s="22">
        <v>10</v>
      </c>
      <c r="E108" s="22">
        <v>100</v>
      </c>
      <c r="F108" s="26" t="s">
        <v>393</v>
      </c>
      <c r="G108" s="26"/>
      <c r="H108" s="26"/>
      <c r="I108" s="26"/>
      <c r="J108" s="26"/>
      <c r="K108" s="26"/>
      <c r="L108" s="26"/>
      <c r="M108" s="26"/>
      <c r="N108" s="26"/>
      <c r="O108" s="24">
        <v>1587.4600000008941</v>
      </c>
      <c r="P108" s="24">
        <v>28.574280000016092</v>
      </c>
      <c r="Q108" s="25"/>
      <c r="T108" s="25"/>
    </row>
    <row r="109" spans="2:20" x14ac:dyDescent="0.25">
      <c r="B109" s="12"/>
      <c r="D109" s="22">
        <v>11</v>
      </c>
      <c r="E109" s="22">
        <v>100</v>
      </c>
      <c r="F109" s="33" t="s">
        <v>394</v>
      </c>
      <c r="G109" s="33"/>
      <c r="H109" s="33"/>
      <c r="I109" s="33"/>
      <c r="J109" s="33"/>
      <c r="K109" s="33"/>
      <c r="L109" s="33"/>
      <c r="M109" s="33"/>
      <c r="N109" s="33"/>
      <c r="O109" s="24">
        <v>1851.5800000000745</v>
      </c>
      <c r="P109" s="24">
        <v>33.328440000001343</v>
      </c>
      <c r="Q109" s="25"/>
      <c r="T109" s="25"/>
    </row>
    <row r="110" spans="2:20" x14ac:dyDescent="0.25">
      <c r="B110" s="12"/>
      <c r="D110" s="22"/>
      <c r="E110" s="22"/>
      <c r="F110" s="27"/>
      <c r="G110" s="27"/>
      <c r="H110" s="27"/>
      <c r="I110" s="27"/>
      <c r="J110" s="27"/>
      <c r="K110" s="27"/>
      <c r="L110" s="27"/>
      <c r="M110" s="27"/>
      <c r="N110" s="27"/>
      <c r="O110" s="24"/>
      <c r="P110" s="24"/>
      <c r="Q110" s="25"/>
      <c r="T110" s="25"/>
    </row>
    <row r="111" spans="2:20" ht="19.05" x14ac:dyDescent="0.35">
      <c r="B111" s="12"/>
      <c r="D111" s="13" t="s">
        <v>395</v>
      </c>
      <c r="E111" s="13"/>
      <c r="F111" s="13"/>
      <c r="O111" s="3"/>
      <c r="P111" s="18" t="s">
        <v>396</v>
      </c>
      <c r="Q111" s="25"/>
      <c r="T111" s="25"/>
    </row>
    <row r="112" spans="2:20" x14ac:dyDescent="0.25">
      <c r="B112" s="12"/>
      <c r="D112" s="19" t="s">
        <v>14</v>
      </c>
      <c r="E112" s="19" t="s">
        <v>15</v>
      </c>
      <c r="F112" s="19" t="s">
        <v>179</v>
      </c>
      <c r="G112" s="19"/>
      <c r="H112" s="19"/>
      <c r="I112" s="19"/>
      <c r="J112" s="19"/>
      <c r="K112" s="19"/>
      <c r="L112" s="19"/>
      <c r="M112" s="19"/>
      <c r="N112" s="19"/>
      <c r="O112" s="19" t="s">
        <v>20</v>
      </c>
      <c r="P112" s="19" t="s">
        <v>21</v>
      </c>
      <c r="Q112" s="25"/>
      <c r="T112" s="25"/>
    </row>
    <row r="113" spans="2:20" x14ac:dyDescent="0.25">
      <c r="B113" s="12"/>
      <c r="D113" s="22">
        <v>7</v>
      </c>
      <c r="E113" s="22">
        <v>100</v>
      </c>
      <c r="F113" s="23" t="s">
        <v>397</v>
      </c>
      <c r="G113" s="23"/>
      <c r="H113" s="23"/>
      <c r="I113" s="23"/>
      <c r="J113" s="23"/>
      <c r="K113" s="23"/>
      <c r="L113" s="23"/>
      <c r="M113" s="23"/>
      <c r="N113" s="23"/>
      <c r="O113" s="24">
        <v>358.81000000005588</v>
      </c>
      <c r="P113" s="24">
        <v>6.4585800000010058</v>
      </c>
      <c r="Q113" s="25"/>
      <c r="T113" s="25"/>
    </row>
    <row r="114" spans="2:20" x14ac:dyDescent="0.25">
      <c r="B114" s="12"/>
      <c r="D114" s="22">
        <v>7</v>
      </c>
      <c r="E114" s="22">
        <v>200</v>
      </c>
      <c r="F114" s="26" t="s">
        <v>398</v>
      </c>
      <c r="G114" s="26"/>
      <c r="H114" s="26"/>
      <c r="I114" s="26"/>
      <c r="J114" s="26"/>
      <c r="K114" s="26"/>
      <c r="L114" s="26"/>
      <c r="M114" s="26"/>
      <c r="N114" s="26"/>
      <c r="O114" s="24">
        <v>717.61000000033528</v>
      </c>
      <c r="P114" s="24">
        <v>6.4584900000030174</v>
      </c>
      <c r="Q114" s="25"/>
      <c r="T114" s="25"/>
    </row>
    <row r="115" spans="2:20" x14ac:dyDescent="0.25">
      <c r="B115" s="12"/>
      <c r="D115" s="22">
        <v>9</v>
      </c>
      <c r="E115" s="22">
        <v>100</v>
      </c>
      <c r="F115" s="23" t="s">
        <v>399</v>
      </c>
      <c r="G115" s="23"/>
      <c r="H115" s="23"/>
      <c r="I115" s="23"/>
      <c r="J115" s="23"/>
      <c r="K115" s="23"/>
      <c r="L115" s="23"/>
      <c r="M115" s="23"/>
      <c r="N115" s="23"/>
      <c r="O115" s="24">
        <v>590.75999999977648</v>
      </c>
      <c r="P115" s="24">
        <v>10.633679999995977</v>
      </c>
      <c r="Q115" s="25"/>
      <c r="T115" s="25"/>
    </row>
    <row r="116" spans="2:20" x14ac:dyDescent="0.25">
      <c r="B116" s="12"/>
      <c r="D116" s="22">
        <v>9</v>
      </c>
      <c r="E116" s="22">
        <v>200</v>
      </c>
      <c r="F116" s="23" t="s">
        <v>400</v>
      </c>
      <c r="G116" s="23"/>
      <c r="H116" s="23"/>
      <c r="I116" s="23"/>
      <c r="J116" s="23"/>
      <c r="K116" s="23"/>
      <c r="L116" s="23"/>
      <c r="M116" s="23"/>
      <c r="N116" s="23"/>
      <c r="O116" s="24">
        <v>1181.7899999991059</v>
      </c>
      <c r="P116" s="24">
        <v>10.636109999991954</v>
      </c>
      <c r="Q116" s="25"/>
      <c r="T116" s="25"/>
    </row>
    <row r="117" spans="2:20" x14ac:dyDescent="0.25">
      <c r="B117" s="12"/>
      <c r="D117" s="22">
        <v>11</v>
      </c>
      <c r="E117" s="22">
        <v>100</v>
      </c>
      <c r="F117" s="23" t="s">
        <v>401</v>
      </c>
      <c r="G117" s="26"/>
      <c r="H117" s="26"/>
      <c r="I117" s="26"/>
      <c r="J117" s="26"/>
      <c r="K117" s="26"/>
      <c r="L117" s="26"/>
      <c r="M117" s="26"/>
      <c r="N117" s="26"/>
      <c r="O117" s="24">
        <v>865.73000000044703</v>
      </c>
      <c r="P117" s="24">
        <v>15.583140000008047</v>
      </c>
      <c r="Q117" s="25"/>
      <c r="T117" s="25"/>
    </row>
    <row r="118" spans="2:20" x14ac:dyDescent="0.25">
      <c r="B118" s="12"/>
      <c r="D118" s="22">
        <v>11</v>
      </c>
      <c r="E118" s="22">
        <v>200</v>
      </c>
      <c r="F118" s="23" t="s">
        <v>402</v>
      </c>
      <c r="G118" s="23"/>
      <c r="H118" s="23"/>
      <c r="I118" s="23"/>
      <c r="J118" s="23"/>
      <c r="K118" s="23"/>
      <c r="L118" s="23"/>
      <c r="M118" s="23"/>
      <c r="N118" s="23"/>
      <c r="O118" s="24">
        <v>1732.9000000003725</v>
      </c>
      <c r="P118" s="24">
        <v>15.596100000003354</v>
      </c>
      <c r="Q118" s="25"/>
      <c r="T118" s="25"/>
    </row>
    <row r="119" spans="2:20" x14ac:dyDescent="0.25">
      <c r="B119" s="12"/>
      <c r="D119" s="22">
        <v>13</v>
      </c>
      <c r="E119" s="22">
        <v>100</v>
      </c>
      <c r="F119" s="23" t="s">
        <v>403</v>
      </c>
      <c r="G119" s="23"/>
      <c r="H119" s="23"/>
      <c r="I119" s="23"/>
      <c r="J119" s="23"/>
      <c r="K119" s="23"/>
      <c r="L119" s="23"/>
      <c r="M119" s="23"/>
      <c r="N119" s="23"/>
      <c r="O119" s="24">
        <v>1074.3699999991804</v>
      </c>
      <c r="P119" s="24">
        <v>19.338659999985246</v>
      </c>
      <c r="Q119" s="25"/>
      <c r="T119" s="25"/>
    </row>
    <row r="120" spans="2:20" x14ac:dyDescent="0.25">
      <c r="B120" s="12"/>
      <c r="D120" s="22">
        <v>13</v>
      </c>
      <c r="E120" s="22">
        <v>200</v>
      </c>
      <c r="F120" s="26" t="s">
        <v>404</v>
      </c>
      <c r="G120" s="26"/>
      <c r="H120" s="26"/>
      <c r="I120" s="26"/>
      <c r="J120" s="26"/>
      <c r="K120" s="26"/>
      <c r="L120" s="26"/>
      <c r="M120" s="26"/>
      <c r="N120" s="26"/>
      <c r="O120" s="24">
        <v>2148.75</v>
      </c>
      <c r="P120" s="24">
        <v>19.338750000000001</v>
      </c>
      <c r="Q120" s="25"/>
      <c r="T120" s="25"/>
    </row>
    <row r="121" spans="2:20" x14ac:dyDescent="0.25">
      <c r="B121" s="12"/>
      <c r="D121" s="22">
        <v>15</v>
      </c>
      <c r="E121" s="22">
        <v>100</v>
      </c>
      <c r="F121" s="23" t="s">
        <v>405</v>
      </c>
      <c r="G121" s="23"/>
      <c r="H121" s="23"/>
      <c r="I121" s="23"/>
      <c r="J121" s="23"/>
      <c r="K121" s="23"/>
      <c r="L121" s="23"/>
      <c r="M121" s="23"/>
      <c r="N121" s="23"/>
      <c r="O121" s="24">
        <v>1779.3300000000745</v>
      </c>
      <c r="P121" s="24">
        <v>32.027940000001337</v>
      </c>
      <c r="Q121" s="25"/>
      <c r="T121" s="25"/>
    </row>
    <row r="122" spans="2:20" x14ac:dyDescent="0.25">
      <c r="B122" s="12"/>
      <c r="D122" s="22">
        <v>15</v>
      </c>
      <c r="E122" s="22">
        <v>200</v>
      </c>
      <c r="F122" s="27" t="s">
        <v>406</v>
      </c>
      <c r="G122" s="27"/>
      <c r="H122" s="27"/>
      <c r="I122" s="27"/>
      <c r="J122" s="27"/>
      <c r="K122" s="27"/>
      <c r="L122" s="27"/>
      <c r="M122" s="27"/>
      <c r="N122" s="27"/>
      <c r="O122" s="24">
        <v>3558.6700000017881</v>
      </c>
      <c r="P122" s="24">
        <v>32.028030000016095</v>
      </c>
      <c r="Q122" s="25"/>
      <c r="T122" s="25"/>
    </row>
    <row r="123" spans="2:20" x14ac:dyDescent="0.25">
      <c r="B123" s="12"/>
      <c r="D123" s="22"/>
      <c r="E123" s="22"/>
      <c r="F123" s="27"/>
      <c r="G123" s="27"/>
      <c r="H123" s="27"/>
      <c r="I123" s="27"/>
      <c r="J123" s="27"/>
      <c r="K123" s="27"/>
      <c r="L123" s="27"/>
      <c r="M123" s="27"/>
      <c r="N123" s="27"/>
      <c r="O123" s="24"/>
      <c r="P123" s="24"/>
      <c r="Q123" s="25"/>
      <c r="T123" s="25"/>
    </row>
    <row r="124" spans="2:20" ht="19.05" x14ac:dyDescent="0.35">
      <c r="B124" s="12"/>
      <c r="D124" s="13" t="s">
        <v>407</v>
      </c>
      <c r="E124" s="13"/>
      <c r="F124" s="13"/>
      <c r="G124" s="13"/>
      <c r="H124" s="13"/>
      <c r="I124" s="13"/>
      <c r="J124" s="13"/>
      <c r="O124" s="3"/>
      <c r="P124" s="18" t="s">
        <v>396</v>
      </c>
      <c r="Q124" s="25"/>
      <c r="T124" s="25"/>
    </row>
    <row r="125" spans="2:20" x14ac:dyDescent="0.25">
      <c r="B125" s="12"/>
      <c r="D125" s="19" t="s">
        <v>14</v>
      </c>
      <c r="E125" s="19" t="s">
        <v>15</v>
      </c>
      <c r="F125" s="19" t="s">
        <v>16</v>
      </c>
      <c r="G125" s="19" t="s">
        <v>18</v>
      </c>
      <c r="H125" s="19" t="s">
        <v>17</v>
      </c>
      <c r="I125" s="19" t="s">
        <v>179</v>
      </c>
      <c r="J125" s="19" t="s">
        <v>19</v>
      </c>
      <c r="K125" s="19"/>
      <c r="L125" s="19"/>
      <c r="M125" s="19"/>
      <c r="N125" s="19"/>
      <c r="O125" s="19" t="s">
        <v>20</v>
      </c>
      <c r="P125" s="19" t="s">
        <v>21</v>
      </c>
      <c r="Q125" s="25"/>
      <c r="T125" s="25"/>
    </row>
    <row r="126" spans="2:20" x14ac:dyDescent="0.25">
      <c r="B126" s="12"/>
      <c r="D126" s="22">
        <v>6</v>
      </c>
      <c r="E126" s="22">
        <v>200</v>
      </c>
      <c r="F126" s="23" t="s">
        <v>408</v>
      </c>
      <c r="G126" s="23" t="s">
        <v>409</v>
      </c>
      <c r="H126" s="23" t="s">
        <v>410</v>
      </c>
      <c r="I126" s="23" t="s">
        <v>411</v>
      </c>
      <c r="J126" s="23" t="s">
        <v>412</v>
      </c>
      <c r="K126" s="23"/>
      <c r="L126" s="23"/>
      <c r="M126" s="23"/>
      <c r="N126" s="23"/>
      <c r="O126" s="24">
        <v>327.14000000013039</v>
      </c>
      <c r="P126" s="24">
        <v>2.9442600000011736</v>
      </c>
      <c r="Q126" s="25"/>
      <c r="T126" s="25"/>
    </row>
    <row r="127" spans="2:20" x14ac:dyDescent="0.25">
      <c r="B127" s="12"/>
      <c r="D127" s="22">
        <v>7</v>
      </c>
      <c r="E127" s="22">
        <v>200</v>
      </c>
      <c r="F127" s="26" t="s">
        <v>413</v>
      </c>
      <c r="G127" s="26" t="s">
        <v>414</v>
      </c>
      <c r="H127" s="26" t="s">
        <v>415</v>
      </c>
      <c r="I127" s="26" t="s">
        <v>416</v>
      </c>
      <c r="J127" s="26" t="s">
        <v>417</v>
      </c>
      <c r="K127" s="26"/>
      <c r="L127" s="26"/>
      <c r="M127" s="26"/>
      <c r="N127" s="26"/>
      <c r="O127" s="24">
        <v>347.75</v>
      </c>
      <c r="P127" s="24">
        <v>3.12975</v>
      </c>
      <c r="Q127" s="25"/>
      <c r="T127" s="25"/>
    </row>
    <row r="128" spans="2:20" x14ac:dyDescent="0.25">
      <c r="B128" s="12"/>
      <c r="D128" s="22">
        <v>8</v>
      </c>
      <c r="E128" s="22">
        <v>200</v>
      </c>
      <c r="F128" s="23" t="s">
        <v>418</v>
      </c>
      <c r="G128" s="23" t="s">
        <v>419</v>
      </c>
      <c r="H128" s="23" t="s">
        <v>420</v>
      </c>
      <c r="I128" s="23" t="s">
        <v>421</v>
      </c>
      <c r="J128" s="23" t="s">
        <v>422</v>
      </c>
      <c r="K128" s="23"/>
      <c r="L128" s="23"/>
      <c r="M128" s="23"/>
      <c r="N128" s="23"/>
      <c r="O128" s="24">
        <v>394.91000000014901</v>
      </c>
      <c r="P128" s="24">
        <v>3.5541900000013413</v>
      </c>
      <c r="Q128" s="25"/>
      <c r="T128" s="25"/>
    </row>
    <row r="129" spans="2:20" x14ac:dyDescent="0.25">
      <c r="B129" s="12"/>
      <c r="D129" s="22">
        <v>9</v>
      </c>
      <c r="E129" s="22">
        <v>200</v>
      </c>
      <c r="F129" s="23" t="s">
        <v>423</v>
      </c>
      <c r="G129" s="23" t="s">
        <v>424</v>
      </c>
      <c r="H129" s="23" t="s">
        <v>425</v>
      </c>
      <c r="I129" s="23" t="s">
        <v>426</v>
      </c>
      <c r="J129" s="23" t="s">
        <v>427</v>
      </c>
      <c r="K129" s="23"/>
      <c r="L129" s="23"/>
      <c r="M129" s="23"/>
      <c r="N129" s="23"/>
      <c r="O129" s="24">
        <v>527.54000000003725</v>
      </c>
      <c r="P129" s="24">
        <v>4.747860000000335</v>
      </c>
      <c r="Q129" s="25"/>
      <c r="T129" s="25"/>
    </row>
    <row r="130" spans="2:20" x14ac:dyDescent="0.25">
      <c r="B130" s="12"/>
      <c r="D130" s="22">
        <v>10</v>
      </c>
      <c r="E130" s="22">
        <v>200</v>
      </c>
      <c r="F130" s="26" t="s">
        <v>428</v>
      </c>
      <c r="G130" s="26" t="s">
        <v>429</v>
      </c>
      <c r="H130" s="26" t="s">
        <v>430</v>
      </c>
      <c r="I130" s="26" t="s">
        <v>431</v>
      </c>
      <c r="J130" s="26" t="s">
        <v>432</v>
      </c>
      <c r="K130" s="26"/>
      <c r="L130" s="26"/>
      <c r="M130" s="26"/>
      <c r="N130" s="26"/>
      <c r="O130" s="24">
        <v>660.16000000014901</v>
      </c>
      <c r="P130" s="24">
        <v>5.9414400000013412</v>
      </c>
      <c r="Q130" s="25"/>
      <c r="T130" s="25"/>
    </row>
    <row r="131" spans="2:20" x14ac:dyDescent="0.25">
      <c r="B131" s="12"/>
      <c r="D131" s="22">
        <v>11</v>
      </c>
      <c r="E131" s="22">
        <v>200</v>
      </c>
      <c r="F131" s="27" t="s">
        <v>433</v>
      </c>
      <c r="G131" s="27" t="s">
        <v>434</v>
      </c>
      <c r="H131" s="27" t="s">
        <v>435</v>
      </c>
      <c r="I131" s="27" t="s">
        <v>436</v>
      </c>
      <c r="J131" s="27" t="s">
        <v>437</v>
      </c>
      <c r="K131" s="27"/>
      <c r="L131" s="27"/>
      <c r="M131" s="27"/>
      <c r="N131" s="27"/>
      <c r="O131" s="24">
        <v>857.59999999962747</v>
      </c>
      <c r="P131" s="24">
        <v>7.7183999999966479</v>
      </c>
      <c r="Q131" s="25"/>
      <c r="T131" s="25"/>
    </row>
    <row r="132" spans="2:20" x14ac:dyDescent="0.25">
      <c r="B132" s="12"/>
      <c r="D132" s="22"/>
      <c r="E132" s="22"/>
      <c r="F132" s="27"/>
      <c r="G132" s="27"/>
      <c r="H132" s="27"/>
      <c r="I132" s="27"/>
      <c r="J132" s="27"/>
      <c r="K132" s="27"/>
      <c r="L132" s="27"/>
      <c r="M132" s="27"/>
      <c r="N132" s="27"/>
      <c r="O132" s="24"/>
      <c r="P132" s="24"/>
      <c r="Q132" s="25"/>
      <c r="T132" s="25"/>
    </row>
    <row r="133" spans="2:20" ht="19.05" x14ac:dyDescent="0.35">
      <c r="B133" s="12"/>
      <c r="D133" s="13" t="s">
        <v>438</v>
      </c>
      <c r="E133" s="13"/>
      <c r="O133" s="3"/>
      <c r="P133" s="18" t="s">
        <v>396</v>
      </c>
      <c r="Q133" s="25"/>
      <c r="T133" s="25"/>
    </row>
    <row r="134" spans="2:20" x14ac:dyDescent="0.25">
      <c r="B134" s="12"/>
      <c r="D134" s="19" t="s">
        <v>14</v>
      </c>
      <c r="E134" s="19" t="s">
        <v>15</v>
      </c>
      <c r="F134" s="19" t="s">
        <v>17</v>
      </c>
      <c r="G134" s="19" t="s">
        <v>16</v>
      </c>
      <c r="H134" s="19" t="s">
        <v>35</v>
      </c>
      <c r="I134" s="19" t="s">
        <v>259</v>
      </c>
      <c r="J134" s="19" t="s">
        <v>180</v>
      </c>
      <c r="K134" s="19" t="s">
        <v>126</v>
      </c>
      <c r="L134" s="19"/>
      <c r="M134" s="19"/>
      <c r="N134" s="19"/>
      <c r="O134" s="19" t="s">
        <v>20</v>
      </c>
      <c r="P134" s="19" t="s">
        <v>21</v>
      </c>
      <c r="Q134" s="25"/>
      <c r="T134" s="25"/>
    </row>
    <row r="135" spans="2:20" x14ac:dyDescent="0.25">
      <c r="B135" s="12"/>
      <c r="D135" s="22">
        <v>6</v>
      </c>
      <c r="E135" s="22">
        <v>100</v>
      </c>
      <c r="F135" s="23" t="s">
        <v>439</v>
      </c>
      <c r="G135" s="23" t="s">
        <v>440</v>
      </c>
      <c r="H135" s="23" t="s">
        <v>441</v>
      </c>
      <c r="I135" s="23" t="s">
        <v>442</v>
      </c>
      <c r="J135" s="23" t="s">
        <v>443</v>
      </c>
      <c r="K135" s="23" t="s">
        <v>444</v>
      </c>
      <c r="L135" s="23"/>
      <c r="M135" s="23"/>
      <c r="N135" s="23"/>
      <c r="O135" s="24">
        <v>86.410000000032596</v>
      </c>
      <c r="P135" s="24">
        <v>1.5553800000005866</v>
      </c>
      <c r="Q135" s="25"/>
      <c r="T135" s="25"/>
    </row>
    <row r="136" spans="2:20" x14ac:dyDescent="0.25">
      <c r="B136" s="12"/>
      <c r="D136" s="22">
        <v>6</v>
      </c>
      <c r="E136" s="22">
        <v>200</v>
      </c>
      <c r="F136" s="26" t="s">
        <v>445</v>
      </c>
      <c r="G136" s="26" t="s">
        <v>446</v>
      </c>
      <c r="H136" s="26" t="s">
        <v>447</v>
      </c>
      <c r="I136" s="26" t="s">
        <v>448</v>
      </c>
      <c r="J136" s="26" t="s">
        <v>449</v>
      </c>
      <c r="K136" s="26" t="s">
        <v>450</v>
      </c>
      <c r="L136" s="26"/>
      <c r="M136" s="26"/>
      <c r="N136" s="26"/>
      <c r="O136" s="24">
        <v>172.85000000009313</v>
      </c>
      <c r="P136" s="24">
        <v>1.5556500000008382</v>
      </c>
      <c r="Q136" s="25"/>
      <c r="T136" s="25"/>
    </row>
    <row r="137" spans="2:20" x14ac:dyDescent="0.25">
      <c r="B137" s="12"/>
      <c r="D137" s="22">
        <v>8</v>
      </c>
      <c r="E137" s="22">
        <v>100</v>
      </c>
      <c r="F137" s="23" t="s">
        <v>451</v>
      </c>
      <c r="G137" s="23" t="s">
        <v>452</v>
      </c>
      <c r="H137" s="23" t="s">
        <v>453</v>
      </c>
      <c r="I137" s="23" t="s">
        <v>454</v>
      </c>
      <c r="J137" s="23" t="s">
        <v>455</v>
      </c>
      <c r="K137" s="23" t="s">
        <v>456</v>
      </c>
      <c r="L137" s="23"/>
      <c r="M137" s="23"/>
      <c r="N137" s="23"/>
      <c r="O137" s="24">
        <v>112.52000000001863</v>
      </c>
      <c r="P137" s="24">
        <v>2.0253600000003353</v>
      </c>
      <c r="Q137" s="25"/>
      <c r="T137" s="25"/>
    </row>
    <row r="138" spans="2:20" x14ac:dyDescent="0.25">
      <c r="B138" s="12"/>
      <c r="D138" s="22">
        <v>8</v>
      </c>
      <c r="E138" s="22">
        <v>200</v>
      </c>
      <c r="F138" s="23" t="s">
        <v>457</v>
      </c>
      <c r="G138" s="23" t="s">
        <v>458</v>
      </c>
      <c r="H138" s="23" t="s">
        <v>459</v>
      </c>
      <c r="I138" s="23" t="s">
        <v>460</v>
      </c>
      <c r="J138" s="23" t="s">
        <v>461</v>
      </c>
      <c r="K138" s="23" t="s">
        <v>462</v>
      </c>
      <c r="L138" s="23"/>
      <c r="M138" s="23"/>
      <c r="N138" s="23"/>
      <c r="O138" s="24">
        <v>225.01000000000931</v>
      </c>
      <c r="P138" s="24">
        <v>2.025090000000084</v>
      </c>
      <c r="Q138" s="25"/>
      <c r="T138" s="25"/>
    </row>
    <row r="139" spans="2:20" x14ac:dyDescent="0.25">
      <c r="B139" s="12"/>
      <c r="D139" s="22">
        <v>10</v>
      </c>
      <c r="E139" s="22">
        <v>100</v>
      </c>
      <c r="F139" s="26" t="s">
        <v>463</v>
      </c>
      <c r="G139" s="26" t="s">
        <v>464</v>
      </c>
      <c r="H139" s="26" t="s">
        <v>465</v>
      </c>
      <c r="I139" s="26" t="s">
        <v>466</v>
      </c>
      <c r="J139" s="26" t="s">
        <v>467</v>
      </c>
      <c r="K139" s="26" t="s">
        <v>468</v>
      </c>
      <c r="L139" s="26"/>
      <c r="M139" s="26"/>
      <c r="N139" s="26"/>
      <c r="O139" s="24">
        <v>172.62000000011176</v>
      </c>
      <c r="P139" s="24">
        <v>3.1071600000020116</v>
      </c>
      <c r="Q139" s="25"/>
      <c r="T139" s="25"/>
    </row>
    <row r="140" spans="2:20" x14ac:dyDescent="0.25">
      <c r="B140" s="12"/>
      <c r="D140" s="22">
        <v>10</v>
      </c>
      <c r="E140" s="22">
        <v>200</v>
      </c>
      <c r="F140" s="23" t="s">
        <v>469</v>
      </c>
      <c r="G140" s="23" t="s">
        <v>470</v>
      </c>
      <c r="H140" s="23" t="s">
        <v>471</v>
      </c>
      <c r="I140" s="23" t="s">
        <v>472</v>
      </c>
      <c r="J140" s="23" t="s">
        <v>473</v>
      </c>
      <c r="K140" s="23" t="s">
        <v>474</v>
      </c>
      <c r="L140" s="23"/>
      <c r="M140" s="23"/>
      <c r="N140" s="23"/>
      <c r="O140" s="24">
        <v>345.20999999996275</v>
      </c>
      <c r="P140" s="24">
        <v>3.1068899999996646</v>
      </c>
      <c r="Q140" s="25"/>
      <c r="T140" s="25"/>
    </row>
    <row r="141" spans="2:20" x14ac:dyDescent="0.25">
      <c r="B141" s="12"/>
      <c r="D141" s="22">
        <v>12</v>
      </c>
      <c r="E141" s="22">
        <v>100</v>
      </c>
      <c r="F141" s="26" t="s">
        <v>475</v>
      </c>
      <c r="G141" s="26" t="s">
        <v>476</v>
      </c>
      <c r="H141" s="26" t="s">
        <v>477</v>
      </c>
      <c r="I141" s="26" t="s">
        <v>478</v>
      </c>
      <c r="J141" s="26" t="s">
        <v>479</v>
      </c>
      <c r="K141" s="26" t="s">
        <v>480</v>
      </c>
      <c r="L141" s="26"/>
      <c r="M141" s="26"/>
      <c r="N141" s="26"/>
      <c r="O141" s="24">
        <v>250.35000000009313</v>
      </c>
      <c r="P141" s="24">
        <v>4.5063000000016764</v>
      </c>
      <c r="Q141" s="25"/>
      <c r="T141" s="25"/>
    </row>
    <row r="142" spans="2:20" x14ac:dyDescent="0.25">
      <c r="B142" s="12"/>
      <c r="D142" s="22">
        <v>12</v>
      </c>
      <c r="E142" s="22">
        <v>200</v>
      </c>
      <c r="F142" s="23" t="s">
        <v>481</v>
      </c>
      <c r="G142" s="23" t="s">
        <v>482</v>
      </c>
      <c r="H142" s="23" t="s">
        <v>483</v>
      </c>
      <c r="I142" s="23" t="s">
        <v>484</v>
      </c>
      <c r="J142" s="23" t="s">
        <v>485</v>
      </c>
      <c r="K142" s="23" t="s">
        <v>486</v>
      </c>
      <c r="L142" s="23"/>
      <c r="M142" s="23"/>
      <c r="N142" s="23"/>
      <c r="O142" s="24">
        <v>500.14000000013039</v>
      </c>
      <c r="P142" s="24">
        <v>4.5012600000011735</v>
      </c>
      <c r="Q142" s="25"/>
      <c r="T142" s="25"/>
    </row>
    <row r="143" spans="2:20" x14ac:dyDescent="0.25">
      <c r="B143" s="12"/>
      <c r="D143" s="22">
        <v>14</v>
      </c>
      <c r="E143" s="22">
        <v>100</v>
      </c>
      <c r="F143" s="23" t="s">
        <v>487</v>
      </c>
      <c r="G143" s="23" t="s">
        <v>488</v>
      </c>
      <c r="H143" s="23" t="s">
        <v>489</v>
      </c>
      <c r="I143" s="23" t="s">
        <v>490</v>
      </c>
      <c r="J143" s="23" t="s">
        <v>491</v>
      </c>
      <c r="K143" s="23" t="s">
        <v>492</v>
      </c>
      <c r="L143" s="23"/>
      <c r="M143" s="23"/>
      <c r="N143" s="23"/>
      <c r="O143" s="24">
        <v>368.27999999979511</v>
      </c>
      <c r="P143" s="24">
        <v>6.6290399999963121</v>
      </c>
      <c r="Q143" s="25"/>
      <c r="T143" s="25"/>
    </row>
    <row r="144" spans="2:20" x14ac:dyDescent="0.25">
      <c r="B144" s="12"/>
      <c r="D144" s="22">
        <v>14</v>
      </c>
      <c r="E144" s="22">
        <v>200</v>
      </c>
      <c r="F144" s="26" t="s">
        <v>493</v>
      </c>
      <c r="G144" s="26" t="s">
        <v>494</v>
      </c>
      <c r="H144" s="26" t="s">
        <v>495</v>
      </c>
      <c r="I144" s="26" t="s">
        <v>496</v>
      </c>
      <c r="J144" s="26" t="s">
        <v>497</v>
      </c>
      <c r="K144" s="26" t="s">
        <v>498</v>
      </c>
      <c r="L144" s="26"/>
      <c r="M144" s="26"/>
      <c r="N144" s="26"/>
      <c r="O144" s="24">
        <v>736.49000000022352</v>
      </c>
      <c r="P144" s="24">
        <v>6.6284100000020123</v>
      </c>
      <c r="Q144" s="25"/>
      <c r="T144" s="25"/>
    </row>
    <row r="145" spans="2:20" x14ac:dyDescent="0.25">
      <c r="B145" s="12"/>
      <c r="D145" s="22">
        <v>16</v>
      </c>
      <c r="E145" s="22">
        <v>100</v>
      </c>
      <c r="F145" s="23" t="s">
        <v>499</v>
      </c>
      <c r="G145" s="23" t="s">
        <v>500</v>
      </c>
      <c r="H145" s="23" t="s">
        <v>501</v>
      </c>
      <c r="I145" s="23" t="s">
        <v>502</v>
      </c>
      <c r="J145" s="23" t="s">
        <v>503</v>
      </c>
      <c r="K145" s="23" t="s">
        <v>504</v>
      </c>
      <c r="L145" s="23"/>
      <c r="M145" s="23"/>
      <c r="N145" s="23"/>
      <c r="O145" s="24">
        <v>456.27999999979511</v>
      </c>
      <c r="P145" s="24">
        <v>8.2130399999963117</v>
      </c>
      <c r="Q145" s="25"/>
      <c r="T145" s="25"/>
    </row>
    <row r="146" spans="2:20" x14ac:dyDescent="0.25">
      <c r="B146" s="12"/>
      <c r="D146" s="22">
        <v>16</v>
      </c>
      <c r="E146" s="22">
        <v>200</v>
      </c>
      <c r="F146" s="26" t="s">
        <v>505</v>
      </c>
      <c r="G146" s="26" t="s">
        <v>506</v>
      </c>
      <c r="H146" s="26" t="s">
        <v>507</v>
      </c>
      <c r="I146" s="26" t="s">
        <v>508</v>
      </c>
      <c r="J146" s="26" t="s">
        <v>509</v>
      </c>
      <c r="K146" s="26" t="s">
        <v>510</v>
      </c>
      <c r="L146" s="26"/>
      <c r="M146" s="26"/>
      <c r="N146" s="26"/>
      <c r="O146" s="24">
        <v>912.54999999981374</v>
      </c>
      <c r="P146" s="24">
        <v>8.2129499999983242</v>
      </c>
      <c r="Q146" s="25"/>
      <c r="T146" s="25"/>
    </row>
    <row r="147" spans="2:20" x14ac:dyDescent="0.25">
      <c r="B147" s="12"/>
      <c r="D147" s="22">
        <v>18</v>
      </c>
      <c r="E147" s="22">
        <v>100</v>
      </c>
      <c r="F147" s="23" t="s">
        <v>511</v>
      </c>
      <c r="G147" s="23" t="s">
        <v>512</v>
      </c>
      <c r="H147" s="23" t="s">
        <v>513</v>
      </c>
      <c r="I147" s="23" t="s">
        <v>514</v>
      </c>
      <c r="J147" s="23" t="s">
        <v>515</v>
      </c>
      <c r="K147" s="23" t="s">
        <v>516</v>
      </c>
      <c r="L147" s="23"/>
      <c r="M147" s="23"/>
      <c r="N147" s="23"/>
      <c r="O147" s="24">
        <v>570.82000000029802</v>
      </c>
      <c r="P147" s="24">
        <v>10.274760000005365</v>
      </c>
      <c r="Q147" s="25"/>
      <c r="T147" s="25"/>
    </row>
    <row r="148" spans="2:20" x14ac:dyDescent="0.25">
      <c r="B148" s="12"/>
      <c r="D148" s="22">
        <v>18</v>
      </c>
      <c r="E148" s="22">
        <v>200</v>
      </c>
      <c r="F148" s="23" t="s">
        <v>517</v>
      </c>
      <c r="G148" s="23" t="s">
        <v>518</v>
      </c>
      <c r="H148" s="23" t="s">
        <v>519</v>
      </c>
      <c r="I148" s="23" t="s">
        <v>520</v>
      </c>
      <c r="J148" s="23" t="s">
        <v>521</v>
      </c>
      <c r="K148" s="23" t="s">
        <v>522</v>
      </c>
      <c r="L148" s="23"/>
      <c r="M148" s="23"/>
      <c r="N148" s="23"/>
      <c r="O148" s="24">
        <v>1141.6199999991804</v>
      </c>
      <c r="P148" s="24">
        <v>10.274579999992625</v>
      </c>
      <c r="Q148" s="25"/>
      <c r="T148" s="25"/>
    </row>
    <row r="149" spans="2:20" x14ac:dyDescent="0.25">
      <c r="B149" s="12"/>
      <c r="D149" s="22">
        <v>20</v>
      </c>
      <c r="E149" s="22">
        <v>100</v>
      </c>
      <c r="F149" s="26" t="s">
        <v>523</v>
      </c>
      <c r="G149" s="26" t="s">
        <v>524</v>
      </c>
      <c r="H149" s="26" t="s">
        <v>525</v>
      </c>
      <c r="I149" s="26" t="s">
        <v>526</v>
      </c>
      <c r="J149" s="26" t="s">
        <v>527</v>
      </c>
      <c r="K149" s="26" t="s">
        <v>528</v>
      </c>
      <c r="L149" s="26"/>
      <c r="M149" s="26"/>
      <c r="N149" s="26"/>
      <c r="O149" s="24">
        <v>636.70000000018626</v>
      </c>
      <c r="P149" s="24">
        <v>11.460600000003353</v>
      </c>
      <c r="Q149" s="25"/>
      <c r="T149" s="25"/>
    </row>
    <row r="150" spans="2:20" x14ac:dyDescent="0.25">
      <c r="B150" s="12"/>
      <c r="D150" s="22">
        <v>20</v>
      </c>
      <c r="E150" s="22">
        <v>200</v>
      </c>
      <c r="F150" s="23" t="s">
        <v>529</v>
      </c>
      <c r="G150" s="23" t="s">
        <v>530</v>
      </c>
      <c r="H150" s="23" t="s">
        <v>531</v>
      </c>
      <c r="I150" s="23" t="s">
        <v>532</v>
      </c>
      <c r="J150" s="23" t="s">
        <v>533</v>
      </c>
      <c r="K150" s="23" t="s">
        <v>534</v>
      </c>
      <c r="L150" s="23"/>
      <c r="M150" s="23"/>
      <c r="N150" s="23"/>
      <c r="O150" s="24">
        <v>1273.4000000003725</v>
      </c>
      <c r="P150" s="24">
        <v>11.460600000003353</v>
      </c>
      <c r="Q150" s="25"/>
      <c r="T150" s="25"/>
    </row>
    <row r="151" spans="2:20" x14ac:dyDescent="0.25">
      <c r="B151" s="12"/>
      <c r="D151" s="22">
        <v>24</v>
      </c>
      <c r="E151" s="22">
        <v>100</v>
      </c>
      <c r="F151" s="33" t="s">
        <v>117</v>
      </c>
      <c r="G151" s="33" t="s">
        <v>117</v>
      </c>
      <c r="H151" s="33" t="s">
        <v>117</v>
      </c>
      <c r="I151" s="33" t="s">
        <v>117</v>
      </c>
      <c r="J151" s="33" t="s">
        <v>535</v>
      </c>
      <c r="K151" s="33" t="s">
        <v>117</v>
      </c>
      <c r="L151" s="33"/>
      <c r="M151" s="33"/>
      <c r="N151" s="33"/>
      <c r="O151" s="24">
        <v>893.75</v>
      </c>
      <c r="P151" s="24">
        <v>16.087499999999999</v>
      </c>
      <c r="Q151" s="25"/>
      <c r="T151" s="25"/>
    </row>
    <row r="152" spans="2:20" x14ac:dyDescent="0.25">
      <c r="B152" s="12"/>
      <c r="D152" s="22"/>
      <c r="E152" s="22"/>
      <c r="F152" s="27"/>
      <c r="G152" s="27"/>
      <c r="H152" s="27"/>
      <c r="I152" s="27"/>
      <c r="J152" s="27"/>
      <c r="K152" s="27"/>
      <c r="L152" s="27"/>
      <c r="M152" s="27"/>
      <c r="N152" s="27"/>
      <c r="O152" s="24"/>
      <c r="P152" s="24"/>
      <c r="Q152" s="25"/>
      <c r="T152" s="25"/>
    </row>
    <row r="153" spans="2:20" ht="19.05" x14ac:dyDescent="0.35">
      <c r="B153" s="12"/>
      <c r="D153" s="13" t="s">
        <v>438</v>
      </c>
      <c r="E153" s="13"/>
      <c r="F153" s="13" t="s">
        <v>536</v>
      </c>
      <c r="K153" s="3" t="s">
        <v>231</v>
      </c>
      <c r="O153" s="3"/>
      <c r="P153" s="18" t="s">
        <v>396</v>
      </c>
      <c r="Q153" s="25"/>
      <c r="T153" s="25"/>
    </row>
    <row r="154" spans="2:20" x14ac:dyDescent="0.25">
      <c r="B154" s="12"/>
      <c r="D154" s="19" t="s">
        <v>14</v>
      </c>
      <c r="E154" s="19" t="s">
        <v>15</v>
      </c>
      <c r="F154" s="19" t="s">
        <v>16</v>
      </c>
      <c r="G154" s="19" t="s">
        <v>17</v>
      </c>
      <c r="H154" s="19" t="s">
        <v>537</v>
      </c>
      <c r="I154" s="19" t="s">
        <v>35</v>
      </c>
      <c r="J154" s="19" t="s">
        <v>538</v>
      </c>
      <c r="K154" s="19"/>
      <c r="L154" s="19"/>
      <c r="M154" s="19"/>
      <c r="N154" s="19"/>
      <c r="O154" s="19" t="s">
        <v>20</v>
      </c>
      <c r="P154" s="19" t="s">
        <v>21</v>
      </c>
      <c r="Q154" s="25"/>
      <c r="T154" s="25"/>
    </row>
    <row r="155" spans="2:20" x14ac:dyDescent="0.25">
      <c r="B155" s="12"/>
      <c r="D155" s="22">
        <v>6</v>
      </c>
      <c r="E155" s="22">
        <v>100</v>
      </c>
      <c r="F155" s="23" t="s">
        <v>539</v>
      </c>
      <c r="G155" s="23" t="s">
        <v>540</v>
      </c>
      <c r="H155" s="23" t="s">
        <v>541</v>
      </c>
      <c r="I155" s="23" t="s">
        <v>542</v>
      </c>
      <c r="J155" s="23" t="s">
        <v>117</v>
      </c>
      <c r="K155" s="23"/>
      <c r="L155" s="23"/>
      <c r="M155" s="23"/>
      <c r="N155" s="23"/>
      <c r="O155" s="24">
        <v>103.70999999996275</v>
      </c>
      <c r="P155" s="24">
        <v>1.8667799999993295</v>
      </c>
      <c r="Q155" s="25"/>
      <c r="T155" s="25"/>
    </row>
    <row r="156" spans="2:20" x14ac:dyDescent="0.25">
      <c r="B156" s="12"/>
      <c r="D156" s="22">
        <v>6</v>
      </c>
      <c r="E156" s="22">
        <v>200</v>
      </c>
      <c r="F156" s="26" t="s">
        <v>543</v>
      </c>
      <c r="G156" s="26" t="s">
        <v>544</v>
      </c>
      <c r="H156" s="26" t="s">
        <v>545</v>
      </c>
      <c r="I156" s="26" t="s">
        <v>546</v>
      </c>
      <c r="J156" s="26" t="s">
        <v>117</v>
      </c>
      <c r="K156" s="26"/>
      <c r="L156" s="26"/>
      <c r="M156" s="26"/>
      <c r="N156" s="26"/>
      <c r="O156" s="24">
        <v>207.37999999988824</v>
      </c>
      <c r="P156" s="24">
        <v>1.8664199999989941</v>
      </c>
      <c r="Q156" s="25"/>
      <c r="T156" s="25"/>
    </row>
    <row r="157" spans="2:20" x14ac:dyDescent="0.25">
      <c r="B157" s="12"/>
      <c r="D157" s="22">
        <v>8</v>
      </c>
      <c r="E157" s="22">
        <v>100</v>
      </c>
      <c r="F157" s="23" t="s">
        <v>547</v>
      </c>
      <c r="G157" s="23" t="s">
        <v>548</v>
      </c>
      <c r="H157" s="23" t="s">
        <v>549</v>
      </c>
      <c r="I157" s="23" t="s">
        <v>550</v>
      </c>
      <c r="J157" s="23" t="s">
        <v>551</v>
      </c>
      <c r="K157" s="23"/>
      <c r="L157" s="23"/>
      <c r="M157" s="23"/>
      <c r="N157" s="23"/>
      <c r="O157" s="24">
        <v>134.84000000008382</v>
      </c>
      <c r="P157" s="24">
        <v>2.427120000001509</v>
      </c>
      <c r="Q157" s="25"/>
      <c r="T157" s="25"/>
    </row>
    <row r="158" spans="2:20" x14ac:dyDescent="0.25">
      <c r="B158" s="12"/>
      <c r="D158" s="22">
        <v>8</v>
      </c>
      <c r="E158" s="22">
        <v>200</v>
      </c>
      <c r="F158" s="23" t="s">
        <v>552</v>
      </c>
      <c r="G158" s="23" t="s">
        <v>553</v>
      </c>
      <c r="H158" s="23" t="s">
        <v>554</v>
      </c>
      <c r="I158" s="23" t="s">
        <v>555</v>
      </c>
      <c r="J158" s="23" t="s">
        <v>556</v>
      </c>
      <c r="K158" s="23"/>
      <c r="L158" s="23"/>
      <c r="M158" s="23"/>
      <c r="N158" s="23"/>
      <c r="O158" s="24">
        <v>269.72000000020489</v>
      </c>
      <c r="P158" s="24">
        <v>2.4274800000018444</v>
      </c>
      <c r="Q158" s="25"/>
      <c r="T158" s="25"/>
    </row>
    <row r="159" spans="2:20" x14ac:dyDescent="0.25">
      <c r="B159" s="12"/>
      <c r="D159" s="22">
        <v>10</v>
      </c>
      <c r="E159" s="22">
        <v>100</v>
      </c>
      <c r="F159" s="26" t="s">
        <v>557</v>
      </c>
      <c r="G159" s="26" t="s">
        <v>558</v>
      </c>
      <c r="H159" s="26" t="s">
        <v>559</v>
      </c>
      <c r="I159" s="26" t="s">
        <v>560</v>
      </c>
      <c r="J159" s="26" t="s">
        <v>561</v>
      </c>
      <c r="K159" s="26"/>
      <c r="L159" s="26"/>
      <c r="M159" s="26"/>
      <c r="N159" s="26"/>
      <c r="O159" s="24">
        <v>204.01000000000931</v>
      </c>
      <c r="P159" s="24">
        <v>3.6721800000001679</v>
      </c>
      <c r="Q159" s="25"/>
      <c r="T159" s="25"/>
    </row>
    <row r="160" spans="2:20" x14ac:dyDescent="0.25">
      <c r="B160" s="12"/>
      <c r="D160" s="22">
        <v>10</v>
      </c>
      <c r="E160" s="22">
        <v>200</v>
      </c>
      <c r="F160" s="23" t="s">
        <v>562</v>
      </c>
      <c r="G160" s="23" t="s">
        <v>563</v>
      </c>
      <c r="H160" s="23" t="s">
        <v>564</v>
      </c>
      <c r="I160" s="23" t="s">
        <v>565</v>
      </c>
      <c r="J160" s="23" t="s">
        <v>566</v>
      </c>
      <c r="K160" s="23"/>
      <c r="L160" s="23"/>
      <c r="M160" s="23"/>
      <c r="N160" s="23"/>
      <c r="O160" s="24">
        <v>408.04999999981374</v>
      </c>
      <c r="P160" s="24">
        <v>3.6724499999983236</v>
      </c>
      <c r="Q160" s="25"/>
      <c r="T160" s="25"/>
    </row>
    <row r="161" spans="2:20" x14ac:dyDescent="0.25">
      <c r="B161" s="12"/>
      <c r="D161" s="22">
        <v>12</v>
      </c>
      <c r="E161" s="22">
        <v>100</v>
      </c>
      <c r="F161" s="26" t="s">
        <v>567</v>
      </c>
      <c r="G161" s="26" t="s">
        <v>568</v>
      </c>
      <c r="H161" s="26" t="s">
        <v>569</v>
      </c>
      <c r="I161" s="26" t="s">
        <v>570</v>
      </c>
      <c r="J161" s="26" t="s">
        <v>571</v>
      </c>
      <c r="K161" s="26"/>
      <c r="L161" s="26"/>
      <c r="M161" s="26"/>
      <c r="N161" s="26"/>
      <c r="O161" s="24">
        <v>293.31999999983236</v>
      </c>
      <c r="P161" s="24">
        <v>5.2797599999969824</v>
      </c>
      <c r="Q161" s="25"/>
      <c r="T161" s="25"/>
    </row>
    <row r="162" spans="2:20" x14ac:dyDescent="0.25">
      <c r="B162" s="12"/>
      <c r="D162" s="22">
        <v>12</v>
      </c>
      <c r="E162" s="22">
        <v>200</v>
      </c>
      <c r="F162" s="23" t="s">
        <v>572</v>
      </c>
      <c r="G162" s="23" t="s">
        <v>573</v>
      </c>
      <c r="H162" s="23" t="s">
        <v>574</v>
      </c>
      <c r="I162" s="23" t="s">
        <v>575</v>
      </c>
      <c r="J162" s="23" t="s">
        <v>576</v>
      </c>
      <c r="K162" s="23"/>
      <c r="L162" s="23"/>
      <c r="M162" s="23"/>
      <c r="N162" s="23"/>
      <c r="O162" s="24">
        <v>586.67999999970198</v>
      </c>
      <c r="P162" s="24">
        <v>5.2801199999973178</v>
      </c>
      <c r="Q162" s="25"/>
      <c r="T162" s="25"/>
    </row>
    <row r="163" spans="2:20" x14ac:dyDescent="0.25">
      <c r="B163" s="12"/>
      <c r="D163" s="22">
        <v>14</v>
      </c>
      <c r="E163" s="22">
        <v>100</v>
      </c>
      <c r="F163" s="23" t="s">
        <v>577</v>
      </c>
      <c r="G163" s="23" t="s">
        <v>578</v>
      </c>
      <c r="H163" s="23" t="s">
        <v>579</v>
      </c>
      <c r="I163" s="23" t="s">
        <v>580</v>
      </c>
      <c r="J163" s="23" t="s">
        <v>581</v>
      </c>
      <c r="K163" s="23"/>
      <c r="L163" s="23"/>
      <c r="M163" s="23"/>
      <c r="N163" s="23"/>
      <c r="O163" s="24">
        <v>440.16000000014901</v>
      </c>
      <c r="P163" s="24">
        <v>7.9228800000026816</v>
      </c>
      <c r="Q163" s="25"/>
      <c r="T163" s="25"/>
    </row>
    <row r="164" spans="2:20" x14ac:dyDescent="0.25">
      <c r="B164" s="12"/>
      <c r="D164" s="22">
        <v>14</v>
      </c>
      <c r="E164" s="22">
        <v>200</v>
      </c>
      <c r="F164" s="26" t="s">
        <v>582</v>
      </c>
      <c r="G164" s="26" t="s">
        <v>583</v>
      </c>
      <c r="H164" s="26" t="s">
        <v>584</v>
      </c>
      <c r="I164" s="26" t="s">
        <v>585</v>
      </c>
      <c r="J164" s="26" t="s">
        <v>586</v>
      </c>
      <c r="K164" s="26"/>
      <c r="L164" s="26"/>
      <c r="M164" s="26"/>
      <c r="N164" s="26"/>
      <c r="O164" s="24">
        <v>880.29999999981374</v>
      </c>
      <c r="P164" s="24">
        <v>7.9226999999983239</v>
      </c>
      <c r="Q164" s="25"/>
      <c r="T164" s="25"/>
    </row>
    <row r="165" spans="2:20" x14ac:dyDescent="0.25">
      <c r="B165" s="12"/>
      <c r="D165" s="22">
        <v>16</v>
      </c>
      <c r="E165" s="22">
        <v>100</v>
      </c>
      <c r="F165" s="23" t="s">
        <v>587</v>
      </c>
      <c r="G165" s="23" t="s">
        <v>588</v>
      </c>
      <c r="H165" s="23" t="s">
        <v>589</v>
      </c>
      <c r="I165" s="23" t="s">
        <v>590</v>
      </c>
      <c r="J165" s="23" t="s">
        <v>591</v>
      </c>
      <c r="K165" s="23"/>
      <c r="L165" s="23"/>
      <c r="M165" s="23"/>
      <c r="N165" s="23"/>
      <c r="O165" s="24">
        <v>547.54000000003725</v>
      </c>
      <c r="P165" s="24">
        <v>9.8557200000006713</v>
      </c>
      <c r="Q165" s="25"/>
      <c r="T165" s="25"/>
    </row>
    <row r="166" spans="2:20" x14ac:dyDescent="0.25">
      <c r="B166" s="12"/>
      <c r="D166" s="22">
        <v>16</v>
      </c>
      <c r="E166" s="22">
        <v>200</v>
      </c>
      <c r="F166" s="26" t="s">
        <v>592</v>
      </c>
      <c r="G166" s="26" t="s">
        <v>593</v>
      </c>
      <c r="H166" s="26" t="s">
        <v>594</v>
      </c>
      <c r="I166" s="26" t="s">
        <v>595</v>
      </c>
      <c r="J166" s="26" t="s">
        <v>596</v>
      </c>
      <c r="K166" s="26"/>
      <c r="L166" s="26"/>
      <c r="M166" s="26"/>
      <c r="N166" s="26"/>
      <c r="O166" s="24">
        <v>1095.0600000005215</v>
      </c>
      <c r="P166" s="24">
        <v>9.8555400000046944</v>
      </c>
      <c r="Q166" s="25"/>
      <c r="T166" s="25"/>
    </row>
    <row r="167" spans="2:20" x14ac:dyDescent="0.25">
      <c r="B167" s="12"/>
      <c r="D167" s="22">
        <v>18</v>
      </c>
      <c r="E167" s="22">
        <v>100</v>
      </c>
      <c r="F167" s="23" t="s">
        <v>597</v>
      </c>
      <c r="G167" s="23" t="s">
        <v>598</v>
      </c>
      <c r="H167" s="23" t="s">
        <v>599</v>
      </c>
      <c r="I167" s="23" t="s">
        <v>600</v>
      </c>
      <c r="J167" s="23" t="s">
        <v>601</v>
      </c>
      <c r="K167" s="23"/>
      <c r="L167" s="23"/>
      <c r="M167" s="23"/>
      <c r="N167" s="23"/>
      <c r="O167" s="24">
        <v>684.95999999996275</v>
      </c>
      <c r="P167" s="24">
        <v>12.329279999999331</v>
      </c>
      <c r="Q167" s="25"/>
      <c r="T167" s="25"/>
    </row>
    <row r="168" spans="2:20" x14ac:dyDescent="0.25">
      <c r="B168" s="12"/>
      <c r="D168" s="22">
        <v>18</v>
      </c>
      <c r="E168" s="22">
        <v>200</v>
      </c>
      <c r="F168" s="23" t="s">
        <v>117</v>
      </c>
      <c r="G168" s="23" t="s">
        <v>117</v>
      </c>
      <c r="H168" s="23" t="s">
        <v>117</v>
      </c>
      <c r="I168" s="23" t="s">
        <v>117</v>
      </c>
      <c r="J168" s="23" t="s">
        <v>602</v>
      </c>
      <c r="K168" s="23"/>
      <c r="L168" s="23"/>
      <c r="M168" s="23"/>
      <c r="N168" s="23"/>
      <c r="O168" s="24">
        <v>1369.9399999994785</v>
      </c>
      <c r="P168" s="24">
        <v>12.329459999995306</v>
      </c>
      <c r="Q168" s="25"/>
      <c r="T168" s="25"/>
    </row>
    <row r="169" spans="2:20" x14ac:dyDescent="0.25">
      <c r="B169" s="12"/>
      <c r="D169" s="22">
        <v>20</v>
      </c>
      <c r="E169" s="22">
        <v>200</v>
      </c>
      <c r="F169" s="27" t="s">
        <v>117</v>
      </c>
      <c r="G169" s="27" t="s">
        <v>117</v>
      </c>
      <c r="H169" s="27" t="s">
        <v>117</v>
      </c>
      <c r="I169" s="27" t="s">
        <v>117</v>
      </c>
      <c r="J169" s="27" t="s">
        <v>603</v>
      </c>
      <c r="K169" s="27"/>
      <c r="L169" s="27"/>
      <c r="M169" s="27"/>
      <c r="N169" s="27"/>
      <c r="O169" s="24">
        <v>1589.2100000008941</v>
      </c>
      <c r="P169" s="24">
        <v>14.302890000008047</v>
      </c>
      <c r="Q169" s="25"/>
      <c r="T169" s="25"/>
    </row>
    <row r="170" spans="2:20" x14ac:dyDescent="0.25">
      <c r="B170" s="12"/>
      <c r="D170" s="22"/>
      <c r="E170" s="22"/>
      <c r="F170" s="27"/>
      <c r="G170" s="27"/>
      <c r="H170" s="27"/>
      <c r="I170" s="27"/>
      <c r="J170" s="27"/>
      <c r="K170" s="27"/>
      <c r="L170" s="27"/>
      <c r="M170" s="27"/>
      <c r="N170" s="27"/>
      <c r="O170" s="24"/>
      <c r="P170" s="24"/>
      <c r="Q170" s="25"/>
      <c r="T170" s="25"/>
    </row>
    <row r="171" spans="2:20" ht="19.05" x14ac:dyDescent="0.35">
      <c r="B171" s="12"/>
      <c r="D171" s="13" t="s">
        <v>604</v>
      </c>
      <c r="E171" s="13"/>
      <c r="F171" s="13"/>
      <c r="O171" s="3"/>
      <c r="P171" s="18" t="s">
        <v>396</v>
      </c>
      <c r="Q171" s="25"/>
      <c r="T171" s="25"/>
    </row>
    <row r="172" spans="2:20" x14ac:dyDescent="0.25">
      <c r="B172" s="12"/>
      <c r="D172" s="19" t="s">
        <v>14</v>
      </c>
      <c r="E172" s="19" t="s">
        <v>15</v>
      </c>
      <c r="F172" s="19" t="s">
        <v>180</v>
      </c>
      <c r="G172" s="19"/>
      <c r="H172" s="19"/>
      <c r="I172" s="19"/>
      <c r="J172" s="19"/>
      <c r="K172" s="19"/>
      <c r="L172" s="19"/>
      <c r="M172" s="19"/>
      <c r="N172" s="19"/>
      <c r="O172" s="19" t="s">
        <v>20</v>
      </c>
      <c r="P172" s="19" t="s">
        <v>21</v>
      </c>
      <c r="Q172" s="25"/>
      <c r="T172" s="25"/>
    </row>
    <row r="173" spans="2:20" x14ac:dyDescent="0.25">
      <c r="B173" s="12"/>
      <c r="D173" s="22">
        <v>8</v>
      </c>
      <c r="E173" s="22">
        <v>100</v>
      </c>
      <c r="F173" s="23" t="s">
        <v>605</v>
      </c>
      <c r="G173" s="23"/>
      <c r="H173" s="23"/>
      <c r="I173" s="23"/>
      <c r="J173" s="23"/>
      <c r="K173" s="23"/>
      <c r="L173" s="23"/>
      <c r="M173" s="23"/>
      <c r="N173" s="23"/>
      <c r="O173" s="24">
        <v>130.21999999997206</v>
      </c>
      <c r="P173" s="24">
        <v>2.3439599999994969</v>
      </c>
      <c r="Q173" s="25"/>
      <c r="T173" s="25"/>
    </row>
    <row r="174" spans="2:20" x14ac:dyDescent="0.25">
      <c r="B174" s="12"/>
      <c r="D174" s="22">
        <v>8</v>
      </c>
      <c r="E174" s="22">
        <v>200</v>
      </c>
      <c r="F174" s="26" t="s">
        <v>606</v>
      </c>
      <c r="G174" s="26"/>
      <c r="H174" s="26"/>
      <c r="I174" s="26"/>
      <c r="J174" s="26"/>
      <c r="K174" s="26"/>
      <c r="L174" s="26"/>
      <c r="M174" s="26"/>
      <c r="N174" s="26"/>
      <c r="O174" s="24">
        <v>260.45999999996275</v>
      </c>
      <c r="P174" s="24">
        <v>2.3441399999996646</v>
      </c>
      <c r="Q174" s="25"/>
      <c r="T174" s="25"/>
    </row>
    <row r="175" spans="2:20" x14ac:dyDescent="0.25">
      <c r="B175" s="12"/>
      <c r="D175" s="22">
        <v>10</v>
      </c>
      <c r="E175" s="22">
        <v>100</v>
      </c>
      <c r="F175" s="23" t="s">
        <v>607</v>
      </c>
      <c r="G175" s="23"/>
      <c r="H175" s="23"/>
      <c r="I175" s="23"/>
      <c r="J175" s="23"/>
      <c r="K175" s="23"/>
      <c r="L175" s="23"/>
      <c r="M175" s="23"/>
      <c r="N175" s="23"/>
      <c r="O175" s="24">
        <v>190.85000000009313</v>
      </c>
      <c r="P175" s="24">
        <v>3.4353000000016767</v>
      </c>
      <c r="Q175" s="25"/>
      <c r="T175" s="25"/>
    </row>
    <row r="176" spans="2:20" ht="19.05" x14ac:dyDescent="0.35">
      <c r="B176" s="12"/>
      <c r="D176" s="13" t="s">
        <v>608</v>
      </c>
      <c r="E176" s="13"/>
      <c r="F176" s="13"/>
      <c r="O176" s="3"/>
      <c r="P176" s="18" t="s">
        <v>396</v>
      </c>
      <c r="Q176" s="25"/>
      <c r="T176" s="25"/>
    </row>
    <row r="177" spans="2:20" x14ac:dyDescent="0.25">
      <c r="B177" s="12"/>
      <c r="D177" s="19" t="s">
        <v>14</v>
      </c>
      <c r="E177" s="19" t="s">
        <v>15</v>
      </c>
      <c r="F177" s="19" t="s">
        <v>180</v>
      </c>
      <c r="G177" s="19"/>
      <c r="H177" s="19"/>
      <c r="I177" s="19"/>
      <c r="J177" s="19"/>
      <c r="K177" s="19"/>
      <c r="L177" s="19"/>
      <c r="M177" s="19"/>
      <c r="N177" s="19"/>
      <c r="O177" s="19" t="s">
        <v>20</v>
      </c>
      <c r="P177" s="19" t="s">
        <v>21</v>
      </c>
      <c r="Q177" s="25"/>
      <c r="T177" s="25"/>
    </row>
    <row r="178" spans="2:20" x14ac:dyDescent="0.25">
      <c r="B178" s="12"/>
      <c r="D178" s="22">
        <v>12</v>
      </c>
      <c r="E178" s="22">
        <v>200</v>
      </c>
      <c r="F178" s="23" t="s">
        <v>609</v>
      </c>
      <c r="G178" s="23"/>
      <c r="H178" s="23"/>
      <c r="I178" s="23"/>
      <c r="J178" s="23"/>
      <c r="K178" s="23"/>
      <c r="L178" s="23"/>
      <c r="M178" s="23"/>
      <c r="N178" s="23"/>
      <c r="O178" s="24">
        <v>549.91000000014901</v>
      </c>
      <c r="P178" s="24">
        <v>4.9491900000013409</v>
      </c>
      <c r="Q178" s="25"/>
      <c r="T178" s="25"/>
    </row>
    <row r="179" spans="2:20" x14ac:dyDescent="0.25">
      <c r="B179" s="12"/>
      <c r="D179" s="22">
        <v>14</v>
      </c>
      <c r="E179" s="22">
        <v>100</v>
      </c>
      <c r="F179" s="26" t="s">
        <v>610</v>
      </c>
      <c r="G179" s="26"/>
      <c r="H179" s="26"/>
      <c r="I179" s="26"/>
      <c r="J179" s="26"/>
      <c r="K179" s="26"/>
      <c r="L179" s="26"/>
      <c r="M179" s="26"/>
      <c r="N179" s="26"/>
      <c r="O179" s="24">
        <v>375.58000000007451</v>
      </c>
      <c r="P179" s="24">
        <v>6.7604400000013412</v>
      </c>
      <c r="Q179" s="25"/>
      <c r="T179" s="25"/>
    </row>
    <row r="180" spans="2:20" x14ac:dyDescent="0.25">
      <c r="B180" s="12"/>
      <c r="D180" s="22">
        <v>14</v>
      </c>
      <c r="E180" s="22">
        <v>200</v>
      </c>
      <c r="F180" s="23" t="s">
        <v>611</v>
      </c>
      <c r="G180" s="23"/>
      <c r="H180" s="23"/>
      <c r="I180" s="23"/>
      <c r="J180" s="23"/>
      <c r="K180" s="23"/>
      <c r="L180" s="23"/>
      <c r="M180" s="23"/>
      <c r="N180" s="23"/>
      <c r="O180" s="24">
        <v>751.09999999962747</v>
      </c>
      <c r="P180" s="24">
        <v>6.7598999999966471</v>
      </c>
      <c r="Q180" s="25"/>
      <c r="T180" s="25"/>
    </row>
    <row r="181" spans="2:20" x14ac:dyDescent="0.25">
      <c r="B181" s="12"/>
      <c r="D181" s="22">
        <v>16</v>
      </c>
      <c r="E181" s="22">
        <v>100</v>
      </c>
      <c r="F181" s="23" t="s">
        <v>612</v>
      </c>
      <c r="G181" s="23"/>
      <c r="H181" s="23"/>
      <c r="I181" s="23"/>
      <c r="J181" s="23"/>
      <c r="K181" s="23"/>
      <c r="L181" s="23"/>
      <c r="M181" s="23"/>
      <c r="N181" s="23"/>
      <c r="O181" s="24">
        <v>453.08000000007451</v>
      </c>
      <c r="P181" s="24">
        <v>8.1554400000013416</v>
      </c>
      <c r="Q181" s="25"/>
      <c r="T181" s="25"/>
    </row>
    <row r="182" spans="2:20" x14ac:dyDescent="0.25">
      <c r="B182" s="12"/>
      <c r="D182" s="22">
        <v>16</v>
      </c>
      <c r="E182" s="22">
        <v>200</v>
      </c>
      <c r="F182" s="26" t="s">
        <v>613</v>
      </c>
      <c r="G182" s="26"/>
      <c r="H182" s="26"/>
      <c r="I182" s="26"/>
      <c r="J182" s="26"/>
      <c r="K182" s="26"/>
      <c r="L182" s="26"/>
      <c r="M182" s="26"/>
      <c r="N182" s="26"/>
      <c r="O182" s="24">
        <v>906.19000000040978</v>
      </c>
      <c r="P182" s="24">
        <v>8.1557100000036886</v>
      </c>
      <c r="Q182" s="25"/>
      <c r="T182" s="25"/>
    </row>
    <row r="183" spans="2:20" x14ac:dyDescent="0.25">
      <c r="B183" s="12"/>
      <c r="D183" s="22">
        <v>18</v>
      </c>
      <c r="E183" s="22">
        <v>100</v>
      </c>
      <c r="F183" s="23" t="s">
        <v>614</v>
      </c>
      <c r="G183" s="23"/>
      <c r="H183" s="23"/>
      <c r="I183" s="23"/>
      <c r="J183" s="23"/>
      <c r="K183" s="23"/>
      <c r="L183" s="23"/>
      <c r="M183" s="23"/>
      <c r="N183" s="23"/>
      <c r="O183" s="24">
        <v>575.04999999981374</v>
      </c>
      <c r="P183" s="24">
        <v>10.350899999996647</v>
      </c>
      <c r="Q183" s="25"/>
      <c r="T183" s="25"/>
    </row>
    <row r="184" spans="2:20" x14ac:dyDescent="0.25">
      <c r="B184" s="12"/>
      <c r="D184" s="22">
        <v>18</v>
      </c>
      <c r="E184" s="22">
        <v>200</v>
      </c>
      <c r="F184" s="26" t="s">
        <v>615</v>
      </c>
      <c r="G184" s="26"/>
      <c r="H184" s="26"/>
      <c r="I184" s="26"/>
      <c r="J184" s="26"/>
      <c r="K184" s="26"/>
      <c r="L184" s="26"/>
      <c r="M184" s="26"/>
      <c r="N184" s="26"/>
      <c r="O184" s="24">
        <v>1150.140000000596</v>
      </c>
      <c r="P184" s="24">
        <v>10.351260000005366</v>
      </c>
      <c r="Q184" s="25"/>
      <c r="T184" s="25"/>
    </row>
    <row r="185" spans="2:20" x14ac:dyDescent="0.25">
      <c r="B185" s="12"/>
      <c r="D185" s="22">
        <v>20</v>
      </c>
      <c r="E185" s="22">
        <v>100</v>
      </c>
      <c r="F185" s="27" t="s">
        <v>616</v>
      </c>
      <c r="G185" s="27"/>
      <c r="H185" s="27"/>
      <c r="I185" s="27"/>
      <c r="J185" s="27"/>
      <c r="K185" s="27"/>
      <c r="L185" s="27"/>
      <c r="M185" s="27"/>
      <c r="N185" s="27"/>
      <c r="O185" s="24">
        <v>748.69000000040978</v>
      </c>
      <c r="P185" s="24">
        <v>13.476420000007376</v>
      </c>
      <c r="Q185" s="25"/>
      <c r="T185" s="25"/>
    </row>
    <row r="186" spans="2:20" x14ac:dyDescent="0.25">
      <c r="B186" s="12"/>
      <c r="D186" s="22"/>
      <c r="E186" s="22"/>
      <c r="F186" s="27"/>
      <c r="G186" s="27"/>
      <c r="H186" s="27"/>
      <c r="I186" s="27"/>
      <c r="J186" s="27"/>
      <c r="K186" s="27"/>
      <c r="L186" s="27"/>
      <c r="M186" s="27"/>
      <c r="N186" s="27"/>
      <c r="O186" s="24"/>
      <c r="P186" s="24"/>
      <c r="Q186" s="25"/>
      <c r="T186" s="25"/>
    </row>
    <row r="187" spans="2:20" ht="19.05" x14ac:dyDescent="0.35">
      <c r="B187" s="12"/>
      <c r="D187" s="13" t="s">
        <v>604</v>
      </c>
      <c r="E187" s="13"/>
      <c r="F187" s="13" t="s">
        <v>536</v>
      </c>
      <c r="O187" s="3"/>
      <c r="P187" s="18" t="s">
        <v>396</v>
      </c>
      <c r="Q187" s="25"/>
      <c r="T187" s="25"/>
    </row>
    <row r="188" spans="2:20" x14ac:dyDescent="0.25">
      <c r="B188" s="12"/>
      <c r="D188" s="19" t="s">
        <v>14</v>
      </c>
      <c r="E188" s="19" t="s">
        <v>15</v>
      </c>
      <c r="F188" s="19" t="s">
        <v>179</v>
      </c>
      <c r="G188" s="19" t="s">
        <v>16</v>
      </c>
      <c r="H188" s="19" t="s">
        <v>17</v>
      </c>
      <c r="I188" s="19"/>
      <c r="J188" s="19"/>
      <c r="K188" s="19"/>
      <c r="L188" s="19"/>
      <c r="M188" s="19"/>
      <c r="N188" s="19"/>
      <c r="O188" s="19" t="s">
        <v>20</v>
      </c>
      <c r="P188" s="19" t="s">
        <v>21</v>
      </c>
      <c r="Q188" s="25"/>
      <c r="T188" s="25"/>
    </row>
    <row r="189" spans="2:20" x14ac:dyDescent="0.25">
      <c r="B189" s="12"/>
      <c r="D189" s="22">
        <v>8</v>
      </c>
      <c r="E189" s="22">
        <v>100</v>
      </c>
      <c r="F189" s="23" t="s">
        <v>617</v>
      </c>
      <c r="G189" s="23" t="s">
        <v>618</v>
      </c>
      <c r="H189" s="23" t="s">
        <v>619</v>
      </c>
      <c r="I189" s="23"/>
      <c r="J189" s="23"/>
      <c r="K189" s="23"/>
      <c r="L189" s="23"/>
      <c r="M189" s="23"/>
      <c r="N189" s="23"/>
      <c r="O189" s="24">
        <v>145.07000000006519</v>
      </c>
      <c r="P189" s="24">
        <v>2.6112600000011734</v>
      </c>
      <c r="Q189" s="25"/>
      <c r="T189" s="25"/>
    </row>
    <row r="190" spans="2:20" x14ac:dyDescent="0.25">
      <c r="B190" s="12"/>
      <c r="D190" s="22">
        <v>8</v>
      </c>
      <c r="E190" s="22">
        <v>200</v>
      </c>
      <c r="F190" s="26" t="s">
        <v>620</v>
      </c>
      <c r="G190" s="26" t="s">
        <v>621</v>
      </c>
      <c r="H190" s="26" t="s">
        <v>622</v>
      </c>
      <c r="I190" s="26"/>
      <c r="J190" s="26"/>
      <c r="K190" s="26"/>
      <c r="L190" s="26"/>
      <c r="M190" s="26"/>
      <c r="N190" s="26"/>
      <c r="O190" s="24">
        <v>290.16000000014901</v>
      </c>
      <c r="P190" s="24">
        <v>2.6114400000013411</v>
      </c>
      <c r="Q190" s="25"/>
      <c r="T190" s="25"/>
    </row>
    <row r="191" spans="2:20" x14ac:dyDescent="0.25">
      <c r="B191" s="12"/>
      <c r="D191" s="22">
        <v>10</v>
      </c>
      <c r="E191" s="22">
        <v>100</v>
      </c>
      <c r="F191" s="23" t="s">
        <v>623</v>
      </c>
      <c r="G191" s="23" t="s">
        <v>624</v>
      </c>
      <c r="H191" s="23" t="s">
        <v>625</v>
      </c>
      <c r="I191" s="23"/>
      <c r="J191" s="23"/>
      <c r="K191" s="23"/>
      <c r="L191" s="23"/>
      <c r="M191" s="23"/>
      <c r="N191" s="23"/>
      <c r="O191" s="24">
        <v>210.40999999991618</v>
      </c>
      <c r="P191" s="24">
        <v>3.7873799999984912</v>
      </c>
      <c r="Q191" s="25"/>
      <c r="T191" s="25"/>
    </row>
    <row r="192" spans="2:20" x14ac:dyDescent="0.25">
      <c r="B192" s="12"/>
      <c r="D192" s="22">
        <v>10</v>
      </c>
      <c r="E192" s="22">
        <v>200</v>
      </c>
      <c r="F192" s="23" t="s">
        <v>626</v>
      </c>
      <c r="G192" s="23" t="s">
        <v>627</v>
      </c>
      <c r="H192" s="23" t="s">
        <v>628</v>
      </c>
      <c r="I192" s="23"/>
      <c r="J192" s="23"/>
      <c r="K192" s="23"/>
      <c r="L192" s="23"/>
      <c r="M192" s="23"/>
      <c r="N192" s="23"/>
      <c r="O192" s="24">
        <v>420.81000000005588</v>
      </c>
      <c r="P192" s="24">
        <v>3.7872900000005028</v>
      </c>
      <c r="Q192" s="25"/>
      <c r="T192" s="25"/>
    </row>
    <row r="193" spans="2:20" x14ac:dyDescent="0.25">
      <c r="B193" s="12"/>
      <c r="D193" s="22">
        <v>12</v>
      </c>
      <c r="E193" s="22">
        <v>100</v>
      </c>
      <c r="F193" s="26" t="s">
        <v>629</v>
      </c>
      <c r="G193" s="26" t="s">
        <v>630</v>
      </c>
      <c r="H193" s="26" t="s">
        <v>631</v>
      </c>
      <c r="I193" s="26"/>
      <c r="J193" s="26"/>
      <c r="K193" s="26"/>
      <c r="L193" s="26"/>
      <c r="M193" s="26"/>
      <c r="N193" s="26"/>
      <c r="O193" s="24">
        <v>294.56000000005588</v>
      </c>
      <c r="P193" s="24">
        <v>5.3020800000010055</v>
      </c>
      <c r="Q193" s="25"/>
      <c r="T193" s="25"/>
    </row>
    <row r="194" spans="2:20" x14ac:dyDescent="0.25">
      <c r="B194" s="12"/>
      <c r="D194" s="22">
        <v>12</v>
      </c>
      <c r="E194" s="22">
        <v>200</v>
      </c>
      <c r="F194" s="23" t="s">
        <v>632</v>
      </c>
      <c r="G194" s="23" t="s">
        <v>633</v>
      </c>
      <c r="H194" s="23" t="s">
        <v>634</v>
      </c>
      <c r="I194" s="23"/>
      <c r="J194" s="23"/>
      <c r="K194" s="23"/>
      <c r="L194" s="23"/>
      <c r="M194" s="23"/>
      <c r="N194" s="23"/>
      <c r="O194" s="24">
        <v>589.11000000033528</v>
      </c>
      <c r="P194" s="24">
        <v>5.301990000003018</v>
      </c>
      <c r="Q194" s="25"/>
      <c r="T194" s="25"/>
    </row>
    <row r="195" spans="2:20" x14ac:dyDescent="0.25">
      <c r="B195" s="12"/>
      <c r="D195" s="22">
        <v>14</v>
      </c>
      <c r="E195" s="22">
        <v>100</v>
      </c>
      <c r="F195" s="26" t="s">
        <v>635</v>
      </c>
      <c r="G195" s="26" t="s">
        <v>636</v>
      </c>
      <c r="H195" s="26" t="s">
        <v>637</v>
      </c>
      <c r="I195" s="26"/>
      <c r="J195" s="26"/>
      <c r="K195" s="26"/>
      <c r="L195" s="26"/>
      <c r="M195" s="26"/>
      <c r="N195" s="26"/>
      <c r="O195" s="24">
        <v>396.02000000001863</v>
      </c>
      <c r="P195" s="24">
        <v>7.1283600000003355</v>
      </c>
      <c r="Q195" s="25"/>
      <c r="T195" s="25"/>
    </row>
    <row r="196" spans="2:20" x14ac:dyDescent="0.25">
      <c r="B196" s="12"/>
      <c r="D196" s="22">
        <v>14</v>
      </c>
      <c r="E196" s="22">
        <v>200</v>
      </c>
      <c r="F196" s="23" t="s">
        <v>638</v>
      </c>
      <c r="G196" s="23" t="s">
        <v>639</v>
      </c>
      <c r="H196" s="23" t="s">
        <v>640</v>
      </c>
      <c r="I196" s="23"/>
      <c r="J196" s="23"/>
      <c r="K196" s="23"/>
      <c r="L196" s="23"/>
      <c r="M196" s="23"/>
      <c r="N196" s="23"/>
      <c r="O196" s="24">
        <v>792.08999999985099</v>
      </c>
      <c r="P196" s="24">
        <v>7.1288099999986594</v>
      </c>
      <c r="Q196" s="25"/>
      <c r="T196" s="25"/>
    </row>
    <row r="197" spans="2:20" x14ac:dyDescent="0.25">
      <c r="B197" s="12"/>
      <c r="D197" s="22">
        <v>16</v>
      </c>
      <c r="E197" s="22">
        <v>100</v>
      </c>
      <c r="F197" s="23" t="s">
        <v>641</v>
      </c>
      <c r="G197" s="23" t="s">
        <v>642</v>
      </c>
      <c r="H197" s="23" t="s">
        <v>643</v>
      </c>
      <c r="I197" s="23"/>
      <c r="J197" s="23"/>
      <c r="K197" s="23"/>
      <c r="L197" s="23"/>
      <c r="M197" s="23"/>
      <c r="N197" s="23"/>
      <c r="O197" s="24">
        <v>483.64000000013039</v>
      </c>
      <c r="P197" s="24">
        <v>8.7055200000023465</v>
      </c>
      <c r="Q197" s="25"/>
      <c r="T197" s="25"/>
    </row>
    <row r="198" spans="2:20" x14ac:dyDescent="0.25">
      <c r="B198" s="12"/>
      <c r="D198" s="22">
        <v>16</v>
      </c>
      <c r="E198" s="22">
        <v>200</v>
      </c>
      <c r="F198" s="26" t="s">
        <v>644</v>
      </c>
      <c r="G198" s="26" t="s">
        <v>645</v>
      </c>
      <c r="H198" s="26" t="s">
        <v>646</v>
      </c>
      <c r="I198" s="26"/>
      <c r="J198" s="26"/>
      <c r="K198" s="26"/>
      <c r="L198" s="26"/>
      <c r="M198" s="26"/>
      <c r="N198" s="26"/>
      <c r="O198" s="24">
        <v>967.25</v>
      </c>
      <c r="P198" s="24">
        <v>8.7052499999999995</v>
      </c>
      <c r="Q198" s="25"/>
      <c r="T198" s="25"/>
    </row>
    <row r="199" spans="2:20" x14ac:dyDescent="0.25">
      <c r="B199" s="12"/>
      <c r="D199" s="22">
        <v>18</v>
      </c>
      <c r="E199" s="22">
        <v>100</v>
      </c>
      <c r="F199" s="23" t="s">
        <v>647</v>
      </c>
      <c r="G199" s="23" t="s">
        <v>648</v>
      </c>
      <c r="H199" s="23" t="s">
        <v>649</v>
      </c>
      <c r="I199" s="23"/>
      <c r="J199" s="23"/>
      <c r="K199" s="23"/>
      <c r="L199" s="23"/>
      <c r="M199" s="23"/>
      <c r="N199" s="23"/>
      <c r="O199" s="24">
        <v>613.82000000029802</v>
      </c>
      <c r="P199" s="24">
        <v>11.048760000005366</v>
      </c>
      <c r="Q199" s="25"/>
      <c r="T199" s="25"/>
    </row>
    <row r="200" spans="2:20" x14ac:dyDescent="0.25">
      <c r="B200" s="12"/>
      <c r="D200" s="22">
        <v>18</v>
      </c>
      <c r="E200" s="22">
        <v>200</v>
      </c>
      <c r="F200" s="26" t="s">
        <v>650</v>
      </c>
      <c r="G200" s="26" t="s">
        <v>651</v>
      </c>
      <c r="H200" s="26" t="s">
        <v>652</v>
      </c>
      <c r="I200" s="26"/>
      <c r="J200" s="26"/>
      <c r="K200" s="26"/>
      <c r="L200" s="26"/>
      <c r="M200" s="26"/>
      <c r="N200" s="26"/>
      <c r="O200" s="24">
        <v>1227.6199999991804</v>
      </c>
      <c r="P200" s="24">
        <v>11.048579999992624</v>
      </c>
      <c r="Q200" s="25"/>
      <c r="T200" s="25"/>
    </row>
    <row r="201" spans="2:20" x14ac:dyDescent="0.25">
      <c r="B201" s="12"/>
      <c r="D201" s="22">
        <v>20</v>
      </c>
      <c r="E201" s="22">
        <v>100</v>
      </c>
      <c r="F201" s="27" t="s">
        <v>653</v>
      </c>
      <c r="G201" s="27" t="s">
        <v>654</v>
      </c>
      <c r="H201" s="27" t="s">
        <v>655</v>
      </c>
      <c r="I201" s="27"/>
      <c r="J201" s="27"/>
      <c r="K201" s="27"/>
      <c r="L201" s="27"/>
      <c r="M201" s="27"/>
      <c r="N201" s="27"/>
      <c r="O201" s="24">
        <v>798.84999999962747</v>
      </c>
      <c r="P201" s="24">
        <v>14.379299999993295</v>
      </c>
      <c r="Q201" s="25"/>
      <c r="T201" s="25"/>
    </row>
    <row r="202" spans="2:20" x14ac:dyDescent="0.25">
      <c r="B202" s="12"/>
      <c r="D202" s="22"/>
      <c r="E202" s="22"/>
      <c r="F202" s="27"/>
      <c r="G202" s="27"/>
      <c r="H202" s="27"/>
      <c r="I202" s="27"/>
      <c r="J202" s="27"/>
      <c r="K202" s="27"/>
      <c r="L202" s="27"/>
      <c r="M202" s="27"/>
      <c r="N202" s="27"/>
      <c r="O202" s="24"/>
      <c r="P202" s="24"/>
      <c r="Q202" s="25"/>
      <c r="T202" s="25"/>
    </row>
    <row r="203" spans="2:20" ht="19.05" x14ac:dyDescent="0.35">
      <c r="B203" s="12"/>
      <c r="D203" s="13" t="s">
        <v>656</v>
      </c>
      <c r="E203" s="13"/>
      <c r="F203" s="13"/>
      <c r="O203" s="3"/>
      <c r="P203" s="18" t="s">
        <v>657</v>
      </c>
      <c r="Q203" s="25"/>
      <c r="T203" s="25"/>
    </row>
    <row r="204" spans="2:20" x14ac:dyDescent="0.25">
      <c r="B204" s="12"/>
      <c r="D204" s="19" t="s">
        <v>14</v>
      </c>
      <c r="E204" s="19" t="s">
        <v>15</v>
      </c>
      <c r="F204" s="19" t="s">
        <v>18</v>
      </c>
      <c r="G204" s="19" t="s">
        <v>180</v>
      </c>
      <c r="H204" s="19"/>
      <c r="I204" s="19"/>
      <c r="J204" s="19"/>
      <c r="K204" s="19"/>
      <c r="L204" s="19"/>
      <c r="M204" s="19"/>
      <c r="N204" s="19"/>
      <c r="O204" s="19" t="s">
        <v>20</v>
      </c>
      <c r="P204" s="19" t="s">
        <v>21</v>
      </c>
      <c r="Q204" s="25"/>
      <c r="T204" s="25"/>
    </row>
    <row r="205" spans="2:20" x14ac:dyDescent="0.25">
      <c r="B205" s="12"/>
      <c r="D205" s="22">
        <v>4</v>
      </c>
      <c r="E205" s="22">
        <v>100</v>
      </c>
      <c r="F205" s="23" t="s">
        <v>658</v>
      </c>
      <c r="G205" s="23" t="s">
        <v>659</v>
      </c>
      <c r="H205" s="23"/>
      <c r="I205" s="23"/>
      <c r="J205" s="23"/>
      <c r="K205" s="23"/>
      <c r="L205" s="23"/>
      <c r="M205" s="23"/>
      <c r="N205" s="23"/>
      <c r="O205" s="24">
        <v>76.589999999967404</v>
      </c>
      <c r="P205" s="24">
        <v>1.3786199999994133</v>
      </c>
      <c r="Q205" s="25"/>
      <c r="T205" s="25"/>
    </row>
    <row r="206" spans="2:20" x14ac:dyDescent="0.25">
      <c r="B206" s="12"/>
      <c r="D206" s="22">
        <v>4</v>
      </c>
      <c r="E206" s="22">
        <v>200</v>
      </c>
      <c r="F206" s="26" t="s">
        <v>660</v>
      </c>
      <c r="G206" s="26" t="s">
        <v>661</v>
      </c>
      <c r="H206" s="26"/>
      <c r="I206" s="26"/>
      <c r="J206" s="26"/>
      <c r="K206" s="26"/>
      <c r="L206" s="26"/>
      <c r="M206" s="26"/>
      <c r="N206" s="26"/>
      <c r="O206" s="24">
        <v>153.16999999992549</v>
      </c>
      <c r="P206" s="24">
        <v>1.3785299999993297</v>
      </c>
      <c r="Q206" s="25"/>
      <c r="T206" s="25"/>
    </row>
    <row r="207" spans="2:20" x14ac:dyDescent="0.25">
      <c r="B207" s="12"/>
      <c r="D207" s="22">
        <v>5</v>
      </c>
      <c r="E207" s="22">
        <v>100</v>
      </c>
      <c r="F207" s="23" t="s">
        <v>662</v>
      </c>
      <c r="G207" s="23" t="s">
        <v>663</v>
      </c>
      <c r="H207" s="23"/>
      <c r="I207" s="23"/>
      <c r="J207" s="23"/>
      <c r="K207" s="23"/>
      <c r="L207" s="23"/>
      <c r="M207" s="23"/>
      <c r="N207" s="23"/>
      <c r="O207" s="24">
        <v>103.43000000005122</v>
      </c>
      <c r="P207" s="24">
        <v>1.8617400000009221</v>
      </c>
      <c r="Q207" s="25"/>
      <c r="T207" s="25"/>
    </row>
    <row r="208" spans="2:20" x14ac:dyDescent="0.25">
      <c r="B208" s="12"/>
      <c r="D208" s="22">
        <v>5</v>
      </c>
      <c r="E208" s="22">
        <v>200</v>
      </c>
      <c r="F208" s="23" t="s">
        <v>664</v>
      </c>
      <c r="G208" s="23" t="s">
        <v>665</v>
      </c>
      <c r="H208" s="23"/>
      <c r="I208" s="23"/>
      <c r="J208" s="23"/>
      <c r="K208" s="23"/>
      <c r="L208" s="23"/>
      <c r="M208" s="23"/>
      <c r="N208" s="23"/>
      <c r="O208" s="24">
        <v>206.86000000010245</v>
      </c>
      <c r="P208" s="24">
        <v>1.8617400000009221</v>
      </c>
      <c r="Q208" s="25"/>
      <c r="T208" s="25"/>
    </row>
    <row r="209" spans="2:20" x14ac:dyDescent="0.25">
      <c r="B209" s="12"/>
      <c r="D209" s="22">
        <v>6</v>
      </c>
      <c r="E209" s="22">
        <v>100</v>
      </c>
      <c r="F209" s="26" t="s">
        <v>666</v>
      </c>
      <c r="G209" s="26" t="s">
        <v>117</v>
      </c>
      <c r="H209" s="26"/>
      <c r="I209" s="26"/>
      <c r="J209" s="26"/>
      <c r="K209" s="26"/>
      <c r="L209" s="26"/>
      <c r="M209" s="26"/>
      <c r="N209" s="26"/>
      <c r="O209" s="24">
        <v>122.39000000001397</v>
      </c>
      <c r="P209" s="24">
        <v>2.2030200000002513</v>
      </c>
      <c r="Q209" s="25"/>
      <c r="T209" s="25"/>
    </row>
    <row r="210" spans="2:20" x14ac:dyDescent="0.25">
      <c r="B210" s="12"/>
      <c r="D210" s="22">
        <v>6</v>
      </c>
      <c r="E210" s="22">
        <v>200</v>
      </c>
      <c r="F210" s="27" t="s">
        <v>667</v>
      </c>
      <c r="G210" s="27" t="s">
        <v>668</v>
      </c>
      <c r="H210" s="27"/>
      <c r="I210" s="27"/>
      <c r="J210" s="27"/>
      <c r="K210" s="27"/>
      <c r="L210" s="27"/>
      <c r="M210" s="27"/>
      <c r="N210" s="27"/>
      <c r="O210" s="24">
        <v>244.83000000007451</v>
      </c>
      <c r="P210" s="24">
        <v>2.2034700000006704</v>
      </c>
      <c r="Q210" s="25"/>
      <c r="T210" s="25"/>
    </row>
    <row r="211" spans="2:20" x14ac:dyDescent="0.25">
      <c r="B211" s="22"/>
      <c r="D211" s="22"/>
      <c r="E211" s="22"/>
      <c r="F211" s="27"/>
      <c r="G211" s="27"/>
      <c r="H211" s="27"/>
      <c r="I211" s="27"/>
      <c r="J211" s="27"/>
      <c r="K211" s="27"/>
      <c r="L211" s="27"/>
      <c r="M211" s="27"/>
      <c r="N211" s="27"/>
      <c r="O211" s="24"/>
      <c r="P211" s="24"/>
      <c r="Q211" s="25"/>
      <c r="T211" s="25"/>
    </row>
    <row r="212" spans="2:20" x14ac:dyDescent="0.25">
      <c r="B212" s="22"/>
      <c r="D212" s="22"/>
      <c r="E212" s="22"/>
      <c r="F212" s="27"/>
      <c r="G212" s="27"/>
      <c r="H212" s="27"/>
      <c r="I212" s="27"/>
      <c r="J212" s="27"/>
      <c r="K212" s="27"/>
      <c r="L212" s="27"/>
      <c r="M212" s="27"/>
      <c r="N212" s="27"/>
      <c r="O212" s="24"/>
      <c r="P212" s="24"/>
      <c r="Q212" s="25"/>
      <c r="T212" s="25"/>
    </row>
    <row r="213" spans="2:20" ht="19.05" x14ac:dyDescent="0.35">
      <c r="B213" s="34"/>
      <c r="D213" s="13" t="s">
        <v>669</v>
      </c>
      <c r="E213" s="13"/>
      <c r="F213" s="13"/>
      <c r="O213" s="3"/>
      <c r="P213" s="18" t="s">
        <v>670</v>
      </c>
      <c r="Q213" s="25"/>
      <c r="T213" s="25"/>
    </row>
    <row r="214" spans="2:20" x14ac:dyDescent="0.25">
      <c r="B214" s="34"/>
      <c r="D214" s="19" t="s">
        <v>14</v>
      </c>
      <c r="E214" s="19" t="s">
        <v>15</v>
      </c>
      <c r="F214" s="19" t="s">
        <v>16</v>
      </c>
      <c r="G214" s="19" t="s">
        <v>17</v>
      </c>
      <c r="H214" s="19"/>
      <c r="I214" s="19"/>
      <c r="J214" s="19"/>
      <c r="K214" s="19"/>
      <c r="L214" s="19"/>
      <c r="M214" s="19"/>
      <c r="N214" s="19"/>
      <c r="O214" s="19" t="s">
        <v>20</v>
      </c>
      <c r="P214" s="19" t="s">
        <v>21</v>
      </c>
      <c r="Q214" s="25"/>
      <c r="T214" s="25"/>
    </row>
    <row r="215" spans="2:20" x14ac:dyDescent="0.25">
      <c r="B215" s="34"/>
      <c r="D215" s="22">
        <v>4</v>
      </c>
      <c r="E215" s="22">
        <v>100</v>
      </c>
      <c r="F215" s="23" t="s">
        <v>671</v>
      </c>
      <c r="G215" s="23" t="s">
        <v>672</v>
      </c>
      <c r="H215" s="23"/>
      <c r="I215" s="23"/>
      <c r="J215" s="23"/>
      <c r="K215" s="23"/>
      <c r="L215" s="23"/>
      <c r="M215" s="23"/>
      <c r="N215" s="23"/>
      <c r="O215" s="24">
        <v>213.60000000009313</v>
      </c>
      <c r="P215" s="24">
        <v>3.8448000000016767</v>
      </c>
      <c r="Q215" s="25"/>
      <c r="T215" s="25"/>
    </row>
    <row r="216" spans="2:20" x14ac:dyDescent="0.25">
      <c r="B216" s="34"/>
      <c r="D216" s="22">
        <v>4</v>
      </c>
      <c r="E216" s="22">
        <v>200</v>
      </c>
      <c r="F216" s="26" t="s">
        <v>673</v>
      </c>
      <c r="G216" s="26" t="s">
        <v>674</v>
      </c>
      <c r="H216" s="26"/>
      <c r="I216" s="26"/>
      <c r="J216" s="26"/>
      <c r="K216" s="26"/>
      <c r="L216" s="26"/>
      <c r="M216" s="26"/>
      <c r="N216" s="26"/>
      <c r="O216" s="24">
        <v>427.20999999996275</v>
      </c>
      <c r="P216" s="24">
        <v>3.8448899999996651</v>
      </c>
      <c r="Q216" s="25"/>
      <c r="T216" s="25"/>
    </row>
    <row r="217" spans="2:20" x14ac:dyDescent="0.25">
      <c r="B217" s="34"/>
      <c r="D217" s="22">
        <v>5</v>
      </c>
      <c r="E217" s="22">
        <v>100</v>
      </c>
      <c r="F217" s="23" t="s">
        <v>675</v>
      </c>
      <c r="G217" s="23" t="s">
        <v>676</v>
      </c>
      <c r="H217" s="23"/>
      <c r="I217" s="23"/>
      <c r="J217" s="23"/>
      <c r="K217" s="23"/>
      <c r="L217" s="23"/>
      <c r="M217" s="23"/>
      <c r="N217" s="23"/>
      <c r="O217" s="24">
        <v>321.27999999979511</v>
      </c>
      <c r="P217" s="24">
        <v>5.783039999996312</v>
      </c>
      <c r="Q217" s="25"/>
      <c r="T217" s="25"/>
    </row>
    <row r="218" spans="2:20" x14ac:dyDescent="0.25">
      <c r="B218" s="34"/>
      <c r="D218" s="22">
        <v>5</v>
      </c>
      <c r="E218" s="22">
        <v>200</v>
      </c>
      <c r="F218" s="23" t="s">
        <v>677</v>
      </c>
      <c r="G218" s="23" t="s">
        <v>678</v>
      </c>
      <c r="H218" s="23"/>
      <c r="I218" s="23"/>
      <c r="J218" s="23"/>
      <c r="K218" s="23"/>
      <c r="L218" s="23"/>
      <c r="M218" s="23"/>
      <c r="N218" s="23"/>
      <c r="O218" s="24">
        <v>642.54999999981374</v>
      </c>
      <c r="P218" s="24">
        <v>5.7829499999983236</v>
      </c>
      <c r="Q218" s="25"/>
      <c r="T218" s="25"/>
    </row>
    <row r="219" spans="2:20" x14ac:dyDescent="0.25">
      <c r="B219" s="34"/>
      <c r="D219" s="22">
        <v>6</v>
      </c>
      <c r="E219" s="22">
        <v>100</v>
      </c>
      <c r="F219" s="26" t="s">
        <v>679</v>
      </c>
      <c r="G219" s="26" t="s">
        <v>680</v>
      </c>
      <c r="H219" s="26"/>
      <c r="I219" s="26"/>
      <c r="J219" s="26"/>
      <c r="K219" s="26"/>
      <c r="L219" s="26"/>
      <c r="M219" s="26"/>
      <c r="N219" s="26"/>
      <c r="O219" s="24">
        <v>417.91000000014901</v>
      </c>
      <c r="P219" s="24">
        <v>7.5223800000026824</v>
      </c>
      <c r="Q219" s="25"/>
      <c r="T219" s="25"/>
    </row>
    <row r="220" spans="2:20" x14ac:dyDescent="0.25">
      <c r="B220" s="34"/>
      <c r="D220" s="22">
        <v>6</v>
      </c>
      <c r="E220" s="22">
        <v>200</v>
      </c>
      <c r="F220" s="27" t="s">
        <v>681</v>
      </c>
      <c r="G220" s="27" t="s">
        <v>682</v>
      </c>
      <c r="H220" s="27"/>
      <c r="I220" s="27"/>
      <c r="J220" s="27"/>
      <c r="K220" s="27"/>
      <c r="L220" s="27"/>
      <c r="M220" s="27"/>
      <c r="N220" s="27"/>
      <c r="O220" s="24">
        <v>835.83999999985099</v>
      </c>
      <c r="P220" s="24">
        <v>7.5225599999986592</v>
      </c>
      <c r="Q220" s="25"/>
      <c r="T220" s="25"/>
    </row>
    <row r="221" spans="2:20" x14ac:dyDescent="0.25">
      <c r="B221" s="34"/>
      <c r="D221" s="22"/>
      <c r="E221" s="22"/>
      <c r="F221" s="27"/>
      <c r="G221" s="27"/>
      <c r="H221" s="27"/>
      <c r="I221" s="27"/>
      <c r="J221" s="27"/>
      <c r="K221" s="27"/>
      <c r="L221" s="27"/>
      <c r="M221" s="27"/>
      <c r="N221" s="27"/>
      <c r="O221" s="24"/>
      <c r="P221" s="24"/>
      <c r="Q221" s="25"/>
      <c r="T221" s="25"/>
    </row>
    <row r="222" spans="2:20" ht="19.05" x14ac:dyDescent="0.35">
      <c r="B222" s="34"/>
      <c r="D222" s="13" t="s">
        <v>683</v>
      </c>
      <c r="E222" s="13"/>
      <c r="F222" s="13"/>
      <c r="O222" s="3"/>
      <c r="P222" s="18" t="s">
        <v>670</v>
      </c>
      <c r="Q222" s="25"/>
      <c r="T222" s="25"/>
    </row>
    <row r="223" spans="2:20" x14ac:dyDescent="0.25">
      <c r="B223" s="34"/>
      <c r="D223" s="19" t="s">
        <v>14</v>
      </c>
      <c r="E223" s="19" t="s">
        <v>15</v>
      </c>
      <c r="F223" s="19" t="s">
        <v>19</v>
      </c>
      <c r="G223" s="19" t="s">
        <v>684</v>
      </c>
      <c r="H223" s="19" t="s">
        <v>181</v>
      </c>
      <c r="I223" s="19"/>
      <c r="J223" s="19"/>
      <c r="K223" s="19"/>
      <c r="L223" s="19"/>
      <c r="M223" s="19"/>
      <c r="N223" s="19"/>
      <c r="O223" s="19" t="s">
        <v>20</v>
      </c>
      <c r="P223" s="19" t="s">
        <v>21</v>
      </c>
      <c r="Q223" s="25"/>
      <c r="T223" s="25"/>
    </row>
    <row r="224" spans="2:20" x14ac:dyDescent="0.25">
      <c r="B224" s="34"/>
      <c r="D224" s="22">
        <v>4</v>
      </c>
      <c r="E224" s="22">
        <v>100</v>
      </c>
      <c r="F224" s="23" t="s">
        <v>685</v>
      </c>
      <c r="G224" s="23" t="s">
        <v>686</v>
      </c>
      <c r="H224" s="23" t="s">
        <v>687</v>
      </c>
      <c r="I224" s="23"/>
      <c r="J224" s="23"/>
      <c r="K224" s="23"/>
      <c r="L224" s="23"/>
      <c r="M224" s="23"/>
      <c r="N224" s="23"/>
      <c r="O224" s="24">
        <v>189.68999999994412</v>
      </c>
      <c r="P224" s="24">
        <v>3.4144199999989944</v>
      </c>
      <c r="Q224" s="25"/>
      <c r="T224" s="25"/>
    </row>
    <row r="225" spans="2:20" x14ac:dyDescent="0.25">
      <c r="B225" s="34"/>
      <c r="D225" s="22">
        <v>4</v>
      </c>
      <c r="E225" s="22">
        <v>200</v>
      </c>
      <c r="F225" s="26" t="s">
        <v>688</v>
      </c>
      <c r="G225" s="26" t="s">
        <v>689</v>
      </c>
      <c r="H225" s="26" t="s">
        <v>690</v>
      </c>
      <c r="I225" s="26"/>
      <c r="J225" s="26"/>
      <c r="K225" s="26"/>
      <c r="L225" s="26"/>
      <c r="M225" s="26"/>
      <c r="N225" s="26"/>
      <c r="O225" s="24">
        <v>379.41000000014901</v>
      </c>
      <c r="P225" s="24">
        <v>3.4146900000013414</v>
      </c>
      <c r="Q225" s="25"/>
      <c r="T225" s="25"/>
    </row>
    <row r="226" spans="2:20" x14ac:dyDescent="0.25">
      <c r="B226" s="34"/>
      <c r="D226" s="22">
        <v>5</v>
      </c>
      <c r="E226" s="22">
        <v>100</v>
      </c>
      <c r="F226" s="23" t="s">
        <v>691</v>
      </c>
      <c r="G226" s="23" t="s">
        <v>692</v>
      </c>
      <c r="H226" s="23" t="s">
        <v>693</v>
      </c>
      <c r="I226" s="23"/>
      <c r="J226" s="23"/>
      <c r="K226" s="23"/>
      <c r="L226" s="23"/>
      <c r="M226" s="23"/>
      <c r="N226" s="23"/>
      <c r="O226" s="24">
        <v>300.24000000022352</v>
      </c>
      <c r="P226" s="24">
        <v>5.4043200000040237</v>
      </c>
      <c r="Q226" s="25"/>
      <c r="T226" s="25"/>
    </row>
    <row r="227" spans="2:20" x14ac:dyDescent="0.25">
      <c r="B227" s="34"/>
      <c r="D227" s="22">
        <v>5</v>
      </c>
      <c r="E227" s="22">
        <v>200</v>
      </c>
      <c r="F227" s="23" t="s">
        <v>694</v>
      </c>
      <c r="G227" s="23" t="s">
        <v>695</v>
      </c>
      <c r="H227" s="23" t="s">
        <v>696</v>
      </c>
      <c r="I227" s="23"/>
      <c r="J227" s="23"/>
      <c r="K227" s="23"/>
      <c r="L227" s="23"/>
      <c r="M227" s="23"/>
      <c r="N227" s="23"/>
      <c r="O227" s="24">
        <v>600.45999999996275</v>
      </c>
      <c r="P227" s="24">
        <v>5.4041399999996642</v>
      </c>
      <c r="Q227" s="25"/>
      <c r="T227" s="25"/>
    </row>
    <row r="228" spans="2:20" x14ac:dyDescent="0.25">
      <c r="B228" s="34"/>
      <c r="D228" s="22">
        <v>6</v>
      </c>
      <c r="E228" s="22">
        <v>100</v>
      </c>
      <c r="F228" s="26" t="s">
        <v>697</v>
      </c>
      <c r="G228" s="26" t="s">
        <v>698</v>
      </c>
      <c r="H228" s="26" t="s">
        <v>699</v>
      </c>
      <c r="I228" s="26"/>
      <c r="J228" s="26"/>
      <c r="K228" s="26"/>
      <c r="L228" s="26"/>
      <c r="M228" s="26"/>
      <c r="N228" s="26"/>
      <c r="O228" s="24">
        <v>385.12000000011176</v>
      </c>
      <c r="P228" s="24">
        <v>6.9321600000020123</v>
      </c>
      <c r="Q228" s="25"/>
      <c r="T228" s="25"/>
    </row>
    <row r="229" spans="2:20" x14ac:dyDescent="0.25">
      <c r="B229" s="34"/>
      <c r="D229" s="22">
        <v>6</v>
      </c>
      <c r="E229" s="22">
        <v>200</v>
      </c>
      <c r="F229" s="27" t="s">
        <v>700</v>
      </c>
      <c r="G229" s="27" t="s">
        <v>701</v>
      </c>
      <c r="H229" s="27" t="s">
        <v>702</v>
      </c>
      <c r="I229" s="27"/>
      <c r="J229" s="27"/>
      <c r="K229" s="27"/>
      <c r="L229" s="27"/>
      <c r="M229" s="27"/>
      <c r="N229" s="27"/>
      <c r="O229" s="24">
        <v>770.24000000022352</v>
      </c>
      <c r="P229" s="24">
        <v>6.9321600000020123</v>
      </c>
      <c r="Q229" s="25"/>
      <c r="T229" s="25"/>
    </row>
    <row r="230" spans="2:20" x14ac:dyDescent="0.25">
      <c r="B230" s="34"/>
      <c r="D230" s="22"/>
      <c r="E230" s="22"/>
      <c r="F230" s="27"/>
      <c r="G230" s="27"/>
      <c r="H230" s="27"/>
      <c r="I230" s="27"/>
      <c r="J230" s="27"/>
      <c r="K230" s="27"/>
      <c r="L230" s="27"/>
      <c r="M230" s="27"/>
      <c r="N230" s="27"/>
      <c r="O230" s="24"/>
      <c r="P230" s="24"/>
      <c r="Q230" s="25"/>
      <c r="T230" s="25"/>
    </row>
    <row r="231" spans="2:20" ht="19.05" x14ac:dyDescent="0.35">
      <c r="B231" s="34"/>
      <c r="D231" s="13" t="s">
        <v>703</v>
      </c>
      <c r="E231" s="13"/>
      <c r="F231" s="13"/>
      <c r="G231" s="13"/>
      <c r="H231" s="13"/>
      <c r="I231" s="13"/>
      <c r="J231" s="13"/>
      <c r="K231" s="13"/>
      <c r="L231" s="13"/>
      <c r="O231" s="3"/>
      <c r="P231" s="18" t="s">
        <v>670</v>
      </c>
      <c r="Q231" s="25"/>
      <c r="T231" s="25"/>
    </row>
    <row r="232" spans="2:20" x14ac:dyDescent="0.25">
      <c r="B232" s="34"/>
      <c r="D232" s="19" t="s">
        <v>14</v>
      </c>
      <c r="E232" s="19" t="s">
        <v>15</v>
      </c>
      <c r="F232" s="19" t="s">
        <v>704</v>
      </c>
      <c r="G232" s="19" t="s">
        <v>705</v>
      </c>
      <c r="H232" s="19" t="s">
        <v>706</v>
      </c>
      <c r="I232" s="19" t="s">
        <v>707</v>
      </c>
      <c r="J232" s="19" t="s">
        <v>708</v>
      </c>
      <c r="K232" s="19" t="s">
        <v>709</v>
      </c>
      <c r="L232" s="19" t="s">
        <v>16</v>
      </c>
      <c r="M232" s="19" t="s">
        <v>17</v>
      </c>
      <c r="N232" s="19" t="s">
        <v>19</v>
      </c>
      <c r="O232" s="19" t="s">
        <v>20</v>
      </c>
      <c r="P232" s="19" t="s">
        <v>21</v>
      </c>
      <c r="Q232" s="25"/>
      <c r="T232" s="25"/>
    </row>
    <row r="233" spans="2:20" x14ac:dyDescent="0.25">
      <c r="B233" s="34"/>
      <c r="D233" s="22">
        <v>1.5</v>
      </c>
      <c r="E233" s="22">
        <v>100</v>
      </c>
      <c r="F233" s="23" t="s">
        <v>117</v>
      </c>
      <c r="G233" s="23" t="s">
        <v>117</v>
      </c>
      <c r="H233" s="23" t="s">
        <v>117</v>
      </c>
      <c r="I233" s="23" t="s">
        <v>117</v>
      </c>
      <c r="J233" s="23" t="s">
        <v>117</v>
      </c>
      <c r="K233" s="23" t="s">
        <v>117</v>
      </c>
      <c r="L233" s="23" t="s">
        <v>710</v>
      </c>
      <c r="M233" s="23" t="s">
        <v>711</v>
      </c>
      <c r="N233" s="23" t="s">
        <v>712</v>
      </c>
      <c r="O233" s="24">
        <v>42.169999999983702</v>
      </c>
      <c r="P233" s="24">
        <v>0.75905999999970664</v>
      </c>
      <c r="Q233" s="25"/>
      <c r="T233" s="25"/>
    </row>
    <row r="234" spans="2:20" x14ac:dyDescent="0.25">
      <c r="B234" s="34"/>
      <c r="D234" s="22">
        <v>1.5</v>
      </c>
      <c r="E234" s="22">
        <v>200</v>
      </c>
      <c r="F234" s="26" t="s">
        <v>117</v>
      </c>
      <c r="G234" s="26" t="s">
        <v>117</v>
      </c>
      <c r="H234" s="26" t="s">
        <v>117</v>
      </c>
      <c r="I234" s="26" t="s">
        <v>117</v>
      </c>
      <c r="J234" s="26" t="s">
        <v>117</v>
      </c>
      <c r="K234" s="26" t="s">
        <v>117</v>
      </c>
      <c r="L234" s="26" t="s">
        <v>713</v>
      </c>
      <c r="M234" s="26" t="s">
        <v>714</v>
      </c>
      <c r="N234" s="26" t="s">
        <v>715</v>
      </c>
      <c r="O234" s="24">
        <v>84.319999999948777</v>
      </c>
      <c r="P234" s="24">
        <v>0.75887999999953903</v>
      </c>
      <c r="Q234" s="25"/>
      <c r="T234" s="25"/>
    </row>
    <row r="235" spans="2:20" x14ac:dyDescent="0.25">
      <c r="B235" s="34"/>
      <c r="D235" s="22">
        <v>2</v>
      </c>
      <c r="E235" s="22">
        <v>100</v>
      </c>
      <c r="F235" s="23" t="s">
        <v>117</v>
      </c>
      <c r="G235" s="23" t="s">
        <v>117</v>
      </c>
      <c r="H235" s="23" t="s">
        <v>117</v>
      </c>
      <c r="I235" s="23" t="s">
        <v>117</v>
      </c>
      <c r="J235" s="23" t="s">
        <v>117</v>
      </c>
      <c r="K235" s="23" t="s">
        <v>117</v>
      </c>
      <c r="L235" s="23" t="s">
        <v>716</v>
      </c>
      <c r="M235" s="23" t="s">
        <v>717</v>
      </c>
      <c r="N235" s="23" t="s">
        <v>718</v>
      </c>
      <c r="O235" s="24">
        <v>57.28000000002794</v>
      </c>
      <c r="P235" s="24">
        <v>1.0310400000005029</v>
      </c>
      <c r="Q235" s="25"/>
      <c r="T235" s="25"/>
    </row>
    <row r="236" spans="2:20" x14ac:dyDescent="0.25">
      <c r="B236" s="34"/>
      <c r="D236" s="22">
        <v>2</v>
      </c>
      <c r="E236" s="22">
        <v>200</v>
      </c>
      <c r="F236" s="23" t="s">
        <v>117</v>
      </c>
      <c r="G236" s="23" t="s">
        <v>117</v>
      </c>
      <c r="H236" s="23" t="s">
        <v>117</v>
      </c>
      <c r="I236" s="23" t="s">
        <v>117</v>
      </c>
      <c r="J236" s="23" t="s">
        <v>117</v>
      </c>
      <c r="K236" s="23" t="s">
        <v>117</v>
      </c>
      <c r="L236" s="23" t="s">
        <v>719</v>
      </c>
      <c r="M236" s="23" t="s">
        <v>720</v>
      </c>
      <c r="N236" s="23" t="s">
        <v>721</v>
      </c>
      <c r="O236" s="24">
        <v>114.54000000003725</v>
      </c>
      <c r="P236" s="24">
        <v>1.0308600000003354</v>
      </c>
      <c r="Q236" s="25"/>
      <c r="T236" s="25"/>
    </row>
    <row r="237" spans="2:20" x14ac:dyDescent="0.25">
      <c r="B237" s="34"/>
      <c r="D237" s="22">
        <v>3</v>
      </c>
      <c r="E237" s="22">
        <v>100</v>
      </c>
      <c r="F237" s="26" t="s">
        <v>722</v>
      </c>
      <c r="G237" s="26" t="s">
        <v>723</v>
      </c>
      <c r="H237" s="26" t="s">
        <v>724</v>
      </c>
      <c r="I237" s="26" t="s">
        <v>725</v>
      </c>
      <c r="J237" s="26" t="s">
        <v>726</v>
      </c>
      <c r="K237" s="26" t="s">
        <v>727</v>
      </c>
      <c r="L237" s="26" t="s">
        <v>117</v>
      </c>
      <c r="M237" s="26" t="s">
        <v>117</v>
      </c>
      <c r="N237" s="26" t="s">
        <v>117</v>
      </c>
      <c r="O237" s="24">
        <v>85.010000000009313</v>
      </c>
      <c r="P237" s="24">
        <v>1.5301800000001677</v>
      </c>
      <c r="Q237" s="25"/>
      <c r="T237" s="25"/>
    </row>
    <row r="238" spans="2:20" x14ac:dyDescent="0.25">
      <c r="B238" s="34"/>
      <c r="D238" s="22">
        <v>3</v>
      </c>
      <c r="E238" s="22">
        <v>200</v>
      </c>
      <c r="F238" s="23" t="s">
        <v>728</v>
      </c>
      <c r="G238" s="23" t="s">
        <v>729</v>
      </c>
      <c r="H238" s="23" t="s">
        <v>730</v>
      </c>
      <c r="I238" s="23" t="s">
        <v>731</v>
      </c>
      <c r="J238" s="23" t="s">
        <v>732</v>
      </c>
      <c r="K238" s="23" t="s">
        <v>733</v>
      </c>
      <c r="L238" s="23" t="s">
        <v>117</v>
      </c>
      <c r="M238" s="23" t="s">
        <v>117</v>
      </c>
      <c r="N238" s="23" t="s">
        <v>117</v>
      </c>
      <c r="O238" s="24">
        <v>170.02000000001863</v>
      </c>
      <c r="P238" s="24">
        <v>1.5301800000001677</v>
      </c>
      <c r="Q238" s="25"/>
      <c r="T238" s="25"/>
    </row>
    <row r="239" spans="2:20" x14ac:dyDescent="0.25">
      <c r="B239" s="34"/>
      <c r="D239" s="22">
        <v>4</v>
      </c>
      <c r="E239" s="22">
        <v>100</v>
      </c>
      <c r="F239" s="26" t="s">
        <v>734</v>
      </c>
      <c r="G239" s="26" t="s">
        <v>735</v>
      </c>
      <c r="H239" s="26" t="s">
        <v>736</v>
      </c>
      <c r="I239" s="26" t="s">
        <v>737</v>
      </c>
      <c r="J239" s="26" t="s">
        <v>738</v>
      </c>
      <c r="K239" s="26" t="s">
        <v>739</v>
      </c>
      <c r="L239" s="26" t="s">
        <v>117</v>
      </c>
      <c r="M239" s="26" t="s">
        <v>117</v>
      </c>
      <c r="N239" s="26" t="s">
        <v>117</v>
      </c>
      <c r="O239" s="24">
        <v>144</v>
      </c>
      <c r="P239" s="24">
        <v>2.5920000000000001</v>
      </c>
      <c r="Q239" s="25"/>
      <c r="T239" s="25"/>
    </row>
    <row r="240" spans="2:20" x14ac:dyDescent="0.25">
      <c r="B240" s="34"/>
      <c r="D240" s="22">
        <v>4</v>
      </c>
      <c r="E240" s="22">
        <v>200</v>
      </c>
      <c r="F240" s="23" t="s">
        <v>740</v>
      </c>
      <c r="G240" s="23" t="s">
        <v>741</v>
      </c>
      <c r="H240" s="23" t="s">
        <v>742</v>
      </c>
      <c r="I240" s="23" t="s">
        <v>743</v>
      </c>
      <c r="J240" s="23" t="s">
        <v>744</v>
      </c>
      <c r="K240" s="23" t="s">
        <v>745</v>
      </c>
      <c r="L240" s="23" t="s">
        <v>117</v>
      </c>
      <c r="M240" s="23" t="s">
        <v>117</v>
      </c>
      <c r="N240" s="23" t="s">
        <v>117</v>
      </c>
      <c r="O240" s="24">
        <v>288.02000000001863</v>
      </c>
      <c r="P240" s="24">
        <v>2.5921800000001678</v>
      </c>
      <c r="Q240" s="25"/>
      <c r="T240" s="25"/>
    </row>
    <row r="241" spans="2:20" x14ac:dyDescent="0.25">
      <c r="B241" s="34"/>
      <c r="D241" s="22">
        <v>5</v>
      </c>
      <c r="E241" s="22">
        <v>100</v>
      </c>
      <c r="F241" s="23" t="s">
        <v>746</v>
      </c>
      <c r="G241" s="23" t="s">
        <v>747</v>
      </c>
      <c r="H241" s="23" t="s">
        <v>748</v>
      </c>
      <c r="I241" s="23" t="s">
        <v>749</v>
      </c>
      <c r="J241" s="23" t="s">
        <v>750</v>
      </c>
      <c r="K241" s="23" t="s">
        <v>751</v>
      </c>
      <c r="L241" s="23" t="s">
        <v>117</v>
      </c>
      <c r="M241" s="23" t="s">
        <v>117</v>
      </c>
      <c r="N241" s="23" t="s">
        <v>117</v>
      </c>
      <c r="O241" s="24">
        <v>202.64999999990687</v>
      </c>
      <c r="P241" s="24">
        <v>3.6476999999983235</v>
      </c>
      <c r="Q241" s="25"/>
      <c r="T241" s="25"/>
    </row>
    <row r="242" spans="2:20" x14ac:dyDescent="0.25">
      <c r="B242" s="34"/>
      <c r="D242" s="22">
        <v>5</v>
      </c>
      <c r="E242" s="22">
        <v>200</v>
      </c>
      <c r="F242" s="26" t="s">
        <v>752</v>
      </c>
      <c r="G242" s="26" t="s">
        <v>753</v>
      </c>
      <c r="H242" s="26" t="s">
        <v>754</v>
      </c>
      <c r="I242" s="26" t="s">
        <v>755</v>
      </c>
      <c r="J242" s="26" t="s">
        <v>756</v>
      </c>
      <c r="K242" s="26" t="s">
        <v>757</v>
      </c>
      <c r="L242" s="26" t="s">
        <v>117</v>
      </c>
      <c r="M242" s="26" t="s">
        <v>117</v>
      </c>
      <c r="N242" s="26" t="s">
        <v>117</v>
      </c>
      <c r="O242" s="24">
        <v>405.22999999998137</v>
      </c>
      <c r="P242" s="24">
        <v>3.6470699999998324</v>
      </c>
      <c r="Q242" s="25"/>
      <c r="T242" s="25"/>
    </row>
    <row r="243" spans="2:20" x14ac:dyDescent="0.25">
      <c r="B243" s="34"/>
      <c r="D243" s="22">
        <v>6</v>
      </c>
      <c r="E243" s="22">
        <v>100</v>
      </c>
      <c r="F243" s="23" t="s">
        <v>758</v>
      </c>
      <c r="G243" s="23" t="s">
        <v>759</v>
      </c>
      <c r="H243" s="23" t="s">
        <v>760</v>
      </c>
      <c r="I243" s="23" t="s">
        <v>761</v>
      </c>
      <c r="J243" s="23" t="s">
        <v>762</v>
      </c>
      <c r="K243" s="23" t="s">
        <v>763</v>
      </c>
      <c r="L243" s="23" t="s">
        <v>117</v>
      </c>
      <c r="M243" s="23" t="s">
        <v>117</v>
      </c>
      <c r="N243" s="23" t="s">
        <v>117</v>
      </c>
      <c r="O243" s="24">
        <v>247.52000000001863</v>
      </c>
      <c r="P243" s="24">
        <v>4.4553600000003355</v>
      </c>
      <c r="Q243" s="25"/>
      <c r="T243" s="25"/>
    </row>
    <row r="244" spans="2:20" x14ac:dyDescent="0.25">
      <c r="B244" s="34"/>
      <c r="D244" s="22">
        <v>6</v>
      </c>
      <c r="E244" s="22">
        <v>200</v>
      </c>
      <c r="F244" s="27" t="s">
        <v>764</v>
      </c>
      <c r="G244" s="27" t="s">
        <v>765</v>
      </c>
      <c r="H244" s="27" t="s">
        <v>766</v>
      </c>
      <c r="I244" s="27" t="s">
        <v>767</v>
      </c>
      <c r="J244" s="27" t="s">
        <v>768</v>
      </c>
      <c r="K244" s="27" t="s">
        <v>769</v>
      </c>
      <c r="L244" s="27" t="s">
        <v>117</v>
      </c>
      <c r="M244" s="27" t="s">
        <v>117</v>
      </c>
      <c r="N244" s="27" t="s">
        <v>117</v>
      </c>
      <c r="O244" s="24">
        <v>495.02000000001863</v>
      </c>
      <c r="P244" s="24">
        <v>4.4551800000001682</v>
      </c>
      <c r="Q244" s="25"/>
      <c r="T244" s="25"/>
    </row>
    <row r="245" spans="2:20" ht="19.05" x14ac:dyDescent="0.35">
      <c r="B245" s="34"/>
      <c r="D245" s="13" t="s">
        <v>770</v>
      </c>
      <c r="E245" s="13"/>
      <c r="F245" s="13"/>
      <c r="G245" s="13"/>
      <c r="H245" s="13"/>
      <c r="I245" s="13"/>
      <c r="J245" s="13"/>
      <c r="K245" s="13"/>
      <c r="L245" s="13"/>
      <c r="O245" s="3"/>
      <c r="P245" s="18" t="s">
        <v>670</v>
      </c>
      <c r="Q245" s="25"/>
      <c r="T245" s="25"/>
    </row>
    <row r="246" spans="2:20" x14ac:dyDescent="0.25">
      <c r="B246" s="34"/>
      <c r="D246" s="19" t="s">
        <v>14</v>
      </c>
      <c r="E246" s="19" t="s">
        <v>15</v>
      </c>
      <c r="F246" s="19" t="s">
        <v>179</v>
      </c>
      <c r="G246" s="19" t="s">
        <v>771</v>
      </c>
      <c r="H246" s="19" t="s">
        <v>684</v>
      </c>
      <c r="I246" s="19"/>
      <c r="J246" s="19"/>
      <c r="K246" s="19"/>
      <c r="L246" s="19"/>
      <c r="M246" s="19"/>
      <c r="N246" s="19"/>
      <c r="O246" s="19" t="s">
        <v>20</v>
      </c>
      <c r="P246" s="19" t="s">
        <v>21</v>
      </c>
      <c r="Q246" s="25"/>
      <c r="T246" s="25"/>
    </row>
    <row r="247" spans="2:20" x14ac:dyDescent="0.25">
      <c r="B247" s="34"/>
      <c r="D247" s="22">
        <v>4</v>
      </c>
      <c r="E247" s="22">
        <v>100</v>
      </c>
      <c r="F247" s="23" t="s">
        <v>772</v>
      </c>
      <c r="G247" s="23" t="s">
        <v>773</v>
      </c>
      <c r="H247" s="23" t="s">
        <v>774</v>
      </c>
      <c r="I247" s="23"/>
      <c r="J247" s="23"/>
      <c r="K247" s="23"/>
      <c r="L247" s="23"/>
      <c r="M247" s="23"/>
      <c r="N247" s="23"/>
      <c r="O247" s="24">
        <v>156.04000000003725</v>
      </c>
      <c r="P247" s="24">
        <v>2.8087200000006707</v>
      </c>
      <c r="Q247" s="25"/>
      <c r="T247" s="25"/>
    </row>
    <row r="248" spans="2:20" x14ac:dyDescent="0.25">
      <c r="B248" s="34"/>
      <c r="D248" s="22">
        <v>4</v>
      </c>
      <c r="E248" s="22">
        <v>200</v>
      </c>
      <c r="F248" s="26" t="s">
        <v>775</v>
      </c>
      <c r="G248" s="26" t="s">
        <v>776</v>
      </c>
      <c r="H248" s="26" t="s">
        <v>777</v>
      </c>
      <c r="I248" s="26"/>
      <c r="J248" s="26"/>
      <c r="K248" s="26"/>
      <c r="L248" s="26"/>
      <c r="M248" s="26"/>
      <c r="N248" s="26"/>
      <c r="O248" s="24">
        <v>312.08000000007451</v>
      </c>
      <c r="P248" s="24">
        <v>2.8087200000006707</v>
      </c>
      <c r="Q248" s="25"/>
      <c r="T248" s="25"/>
    </row>
    <row r="249" spans="2:20" x14ac:dyDescent="0.25">
      <c r="B249" s="34"/>
      <c r="D249" s="22">
        <v>5</v>
      </c>
      <c r="E249" s="22">
        <v>100</v>
      </c>
      <c r="F249" s="23" t="s">
        <v>778</v>
      </c>
      <c r="G249" s="23" t="s">
        <v>779</v>
      </c>
      <c r="H249" s="23" t="s">
        <v>780</v>
      </c>
      <c r="I249" s="23"/>
      <c r="J249" s="23"/>
      <c r="K249" s="23"/>
      <c r="L249" s="23"/>
      <c r="M249" s="23"/>
      <c r="N249" s="23"/>
      <c r="O249" s="24">
        <v>216.91999999992549</v>
      </c>
      <c r="P249" s="24">
        <v>3.9045599999986593</v>
      </c>
      <c r="Q249" s="25"/>
      <c r="T249" s="25"/>
    </row>
    <row r="250" spans="2:20" x14ac:dyDescent="0.25">
      <c r="B250" s="34"/>
      <c r="D250" s="22">
        <v>5</v>
      </c>
      <c r="E250" s="22">
        <v>200</v>
      </c>
      <c r="F250" s="23" t="s">
        <v>781</v>
      </c>
      <c r="G250" s="23" t="s">
        <v>782</v>
      </c>
      <c r="H250" s="23" t="s">
        <v>783</v>
      </c>
      <c r="I250" s="23"/>
      <c r="J250" s="23"/>
      <c r="K250" s="23"/>
      <c r="L250" s="23"/>
      <c r="M250" s="23"/>
      <c r="N250" s="23"/>
      <c r="O250" s="24">
        <v>433.81000000005588</v>
      </c>
      <c r="P250" s="24">
        <v>3.9042900000005027</v>
      </c>
      <c r="Q250" s="25"/>
      <c r="T250" s="25"/>
    </row>
    <row r="251" spans="2:20" x14ac:dyDescent="0.25">
      <c r="B251" s="34"/>
      <c r="D251" s="22">
        <v>7</v>
      </c>
      <c r="E251" s="22">
        <v>100</v>
      </c>
      <c r="F251" s="26" t="s">
        <v>784</v>
      </c>
      <c r="G251" s="26" t="s">
        <v>785</v>
      </c>
      <c r="H251" s="26" t="s">
        <v>786</v>
      </c>
      <c r="I251" s="26"/>
      <c r="J251" s="26"/>
      <c r="K251" s="26"/>
      <c r="L251" s="26"/>
      <c r="M251" s="26"/>
      <c r="N251" s="26"/>
      <c r="O251" s="24">
        <v>323.70999999996275</v>
      </c>
      <c r="P251" s="24">
        <v>5.8267799999993288</v>
      </c>
      <c r="Q251" s="25"/>
      <c r="T251" s="25"/>
    </row>
    <row r="252" spans="2:20" x14ac:dyDescent="0.25">
      <c r="B252" s="34"/>
      <c r="D252" s="22">
        <v>7</v>
      </c>
      <c r="E252" s="22">
        <v>200</v>
      </c>
      <c r="F252" s="23" t="s">
        <v>787</v>
      </c>
      <c r="G252" s="23" t="s">
        <v>788</v>
      </c>
      <c r="H252" s="23" t="s">
        <v>789</v>
      </c>
      <c r="I252" s="23"/>
      <c r="J252" s="23"/>
      <c r="K252" s="23"/>
      <c r="L252" s="23"/>
      <c r="M252" s="23"/>
      <c r="N252" s="23"/>
      <c r="O252" s="24">
        <v>647.41999999992549</v>
      </c>
      <c r="P252" s="24">
        <v>5.8267799999993288</v>
      </c>
      <c r="Q252" s="25"/>
      <c r="T252" s="25"/>
    </row>
    <row r="253" spans="2:20" x14ac:dyDescent="0.25">
      <c r="B253" s="34"/>
      <c r="D253" s="22">
        <v>8</v>
      </c>
      <c r="E253" s="22">
        <v>100</v>
      </c>
      <c r="F253" s="23" t="s">
        <v>790</v>
      </c>
      <c r="G253" s="23" t="s">
        <v>791</v>
      </c>
      <c r="H253" s="23" t="s">
        <v>792</v>
      </c>
      <c r="I253" s="23"/>
      <c r="J253" s="23"/>
      <c r="K253" s="23"/>
      <c r="L253" s="23"/>
      <c r="M253" s="23"/>
      <c r="N253" s="23"/>
      <c r="O253" s="24">
        <v>493.08000000007451</v>
      </c>
      <c r="P253" s="24">
        <v>8.8754400000013405</v>
      </c>
      <c r="Q253" s="25"/>
      <c r="T253" s="25"/>
    </row>
    <row r="254" spans="2:20" x14ac:dyDescent="0.25">
      <c r="B254" s="34"/>
      <c r="D254" s="22">
        <v>8</v>
      </c>
      <c r="E254" s="22">
        <v>200</v>
      </c>
      <c r="F254" s="27" t="s">
        <v>793</v>
      </c>
      <c r="G254" s="27" t="s">
        <v>794</v>
      </c>
      <c r="H254" s="27" t="s">
        <v>795</v>
      </c>
      <c r="I254" s="27"/>
      <c r="J254" s="27"/>
      <c r="K254" s="27"/>
      <c r="L254" s="27"/>
      <c r="M254" s="27"/>
      <c r="N254" s="27"/>
      <c r="O254" s="24">
        <v>986.16000000014901</v>
      </c>
      <c r="P254" s="24">
        <v>8.8754400000013405</v>
      </c>
      <c r="Q254" s="25"/>
      <c r="T254" s="25"/>
    </row>
    <row r="255" spans="2:20" x14ac:dyDescent="0.25">
      <c r="B255" s="34"/>
      <c r="D255" s="22"/>
      <c r="E255" s="22"/>
      <c r="F255" s="27"/>
      <c r="G255" s="27"/>
      <c r="H255" s="27"/>
      <c r="I255" s="27"/>
      <c r="J255" s="27"/>
      <c r="K255" s="27"/>
      <c r="L255" s="27"/>
      <c r="M255" s="27"/>
      <c r="N255" s="27"/>
      <c r="O255" s="24"/>
      <c r="P255" s="24"/>
      <c r="Q255" s="25"/>
      <c r="T255" s="25"/>
    </row>
    <row r="256" spans="2:20" x14ac:dyDescent="0.25">
      <c r="B256" s="34"/>
      <c r="D256" s="22"/>
      <c r="E256" s="22"/>
      <c r="F256" s="27"/>
      <c r="G256" s="27"/>
      <c r="H256" s="27"/>
      <c r="I256" s="27"/>
      <c r="J256" s="27"/>
      <c r="K256" s="27"/>
      <c r="L256" s="27"/>
      <c r="M256" s="27"/>
      <c r="N256" s="27"/>
      <c r="O256" s="24"/>
      <c r="P256" s="24"/>
      <c r="Q256" s="25"/>
      <c r="T256" s="25"/>
    </row>
    <row r="257" spans="2:20" x14ac:dyDescent="0.25">
      <c r="B257" s="34"/>
      <c r="D257" s="22"/>
      <c r="E257" s="22"/>
      <c r="F257" s="27"/>
      <c r="G257" s="27"/>
      <c r="H257" s="27"/>
      <c r="I257" s="27"/>
      <c r="J257" s="27"/>
      <c r="K257" s="27"/>
      <c r="L257" s="27"/>
      <c r="M257" s="27"/>
      <c r="N257" s="27"/>
      <c r="O257" s="24"/>
      <c r="P257" s="24"/>
      <c r="Q257" s="25"/>
      <c r="T257" s="25"/>
    </row>
    <row r="258" spans="2:20" x14ac:dyDescent="0.25">
      <c r="B258" s="34"/>
      <c r="D258" s="22"/>
      <c r="E258" s="22"/>
      <c r="F258" s="27"/>
      <c r="G258" s="27"/>
      <c r="H258" s="27"/>
      <c r="I258" s="27"/>
      <c r="J258" s="27"/>
      <c r="K258" s="27"/>
      <c r="L258" s="27"/>
      <c r="M258" s="27"/>
      <c r="N258" s="27"/>
      <c r="O258" s="24"/>
      <c r="P258" s="24"/>
      <c r="Q258" s="25"/>
      <c r="T258" s="25"/>
    </row>
    <row r="259" spans="2:20" ht="19.05" x14ac:dyDescent="0.35">
      <c r="B259" s="34"/>
      <c r="D259" s="13" t="s">
        <v>796</v>
      </c>
      <c r="E259" s="13"/>
      <c r="F259" s="13"/>
      <c r="G259" s="13"/>
      <c r="H259" s="13"/>
      <c r="I259" s="13"/>
      <c r="J259" s="13"/>
      <c r="K259" s="13"/>
      <c r="L259" s="13"/>
      <c r="O259" s="3"/>
      <c r="P259" s="18" t="s">
        <v>670</v>
      </c>
      <c r="Q259" s="25"/>
      <c r="T259" s="25"/>
    </row>
    <row r="260" spans="2:20" x14ac:dyDescent="0.25">
      <c r="B260" s="34"/>
      <c r="D260" s="19" t="s">
        <v>14</v>
      </c>
      <c r="E260" s="19" t="s">
        <v>15</v>
      </c>
      <c r="F260" s="19" t="s">
        <v>16</v>
      </c>
      <c r="G260" s="19" t="s">
        <v>17</v>
      </c>
      <c r="H260" s="19"/>
      <c r="I260" s="19"/>
      <c r="J260" s="19"/>
      <c r="K260" s="19"/>
      <c r="L260" s="19"/>
      <c r="M260" s="19"/>
      <c r="N260" s="19"/>
      <c r="O260" s="19" t="s">
        <v>20</v>
      </c>
      <c r="P260" s="19" t="s">
        <v>21</v>
      </c>
      <c r="Q260" s="25"/>
      <c r="T260" s="25"/>
    </row>
    <row r="261" spans="2:20" x14ac:dyDescent="0.25">
      <c r="B261" s="34"/>
      <c r="D261" s="22">
        <v>6</v>
      </c>
      <c r="E261" s="22">
        <v>100</v>
      </c>
      <c r="F261" s="23" t="s">
        <v>797</v>
      </c>
      <c r="G261" s="23" t="s">
        <v>798</v>
      </c>
      <c r="H261" s="23"/>
      <c r="I261" s="23"/>
      <c r="J261" s="23"/>
      <c r="K261" s="23"/>
      <c r="L261" s="23"/>
      <c r="M261" s="23"/>
      <c r="N261" s="23"/>
      <c r="O261" s="24">
        <v>285.77999999979511</v>
      </c>
      <c r="P261" s="24">
        <v>5.1440399999963118</v>
      </c>
      <c r="Q261" s="25"/>
      <c r="T261" s="25"/>
    </row>
    <row r="262" spans="2:20" x14ac:dyDescent="0.25">
      <c r="B262" s="34"/>
      <c r="D262" s="22">
        <v>6</v>
      </c>
      <c r="E262" s="22">
        <v>200</v>
      </c>
      <c r="F262" s="26" t="s">
        <v>799</v>
      </c>
      <c r="G262" s="26" t="s">
        <v>800</v>
      </c>
      <c r="H262" s="26"/>
      <c r="I262" s="26"/>
      <c r="J262" s="26"/>
      <c r="K262" s="26"/>
      <c r="L262" s="26"/>
      <c r="M262" s="26"/>
      <c r="N262" s="26"/>
      <c r="O262" s="24">
        <v>571.58000000007451</v>
      </c>
      <c r="P262" s="24">
        <v>5.1442200000006713</v>
      </c>
      <c r="Q262" s="25"/>
      <c r="T262" s="25"/>
    </row>
    <row r="263" spans="2:20" x14ac:dyDescent="0.25">
      <c r="B263" s="34"/>
      <c r="D263" s="22">
        <v>7</v>
      </c>
      <c r="E263" s="22">
        <v>100</v>
      </c>
      <c r="F263" s="23" t="s">
        <v>801</v>
      </c>
      <c r="G263" s="23" t="s">
        <v>802</v>
      </c>
      <c r="H263" s="23"/>
      <c r="I263" s="23"/>
      <c r="J263" s="23"/>
      <c r="K263" s="23"/>
      <c r="L263" s="23"/>
      <c r="M263" s="23"/>
      <c r="N263" s="23"/>
      <c r="O263" s="24">
        <v>331.64999999990687</v>
      </c>
      <c r="P263" s="24">
        <v>5.9696999999983236</v>
      </c>
      <c r="Q263" s="25"/>
      <c r="T263" s="25"/>
    </row>
    <row r="264" spans="2:20" x14ac:dyDescent="0.25">
      <c r="B264" s="34"/>
      <c r="D264" s="22">
        <v>7</v>
      </c>
      <c r="E264" s="22">
        <v>200</v>
      </c>
      <c r="F264" s="27" t="s">
        <v>803</v>
      </c>
      <c r="G264" s="27" t="s">
        <v>804</v>
      </c>
      <c r="H264" s="27"/>
      <c r="I264" s="27"/>
      <c r="J264" s="27"/>
      <c r="K264" s="27"/>
      <c r="L264" s="27"/>
      <c r="M264" s="27"/>
      <c r="N264" s="27"/>
      <c r="O264" s="24">
        <v>663.37000000011176</v>
      </c>
      <c r="P264" s="24">
        <v>5.970330000001006</v>
      </c>
      <c r="Q264" s="25"/>
      <c r="T264" s="25"/>
    </row>
    <row r="265" spans="2:20" x14ac:dyDescent="0.25">
      <c r="B265" s="34"/>
      <c r="D265" s="22"/>
      <c r="E265" s="22"/>
      <c r="F265" s="27"/>
      <c r="G265" s="27"/>
      <c r="H265" s="27"/>
      <c r="I265" s="27"/>
      <c r="J265" s="27"/>
      <c r="K265" s="27"/>
      <c r="L265" s="27"/>
      <c r="M265" s="27"/>
      <c r="N265" s="27"/>
      <c r="O265" s="24"/>
      <c r="P265" s="24"/>
      <c r="Q265" s="25"/>
      <c r="T265" s="25"/>
    </row>
    <row r="266" spans="2:20" ht="19.05" x14ac:dyDescent="0.35">
      <c r="B266" s="34"/>
      <c r="D266" s="13" t="s">
        <v>805</v>
      </c>
      <c r="E266" s="13"/>
      <c r="F266" s="13"/>
      <c r="G266" s="13"/>
      <c r="H266" s="13"/>
      <c r="I266" s="13"/>
      <c r="J266" s="13"/>
      <c r="K266" s="13"/>
      <c r="L266" s="13"/>
      <c r="O266" s="3"/>
      <c r="P266" s="18" t="s">
        <v>670</v>
      </c>
      <c r="Q266" s="25"/>
      <c r="T266" s="25"/>
    </row>
    <row r="267" spans="2:20" x14ac:dyDescent="0.25">
      <c r="B267" s="34"/>
      <c r="D267" s="19" t="s">
        <v>14</v>
      </c>
      <c r="E267" s="19" t="s">
        <v>15</v>
      </c>
      <c r="F267" s="19" t="s">
        <v>16</v>
      </c>
      <c r="G267" s="19" t="s">
        <v>17</v>
      </c>
      <c r="H267" s="19" t="s">
        <v>179</v>
      </c>
      <c r="I267" s="19"/>
      <c r="J267" s="19"/>
      <c r="K267" s="19"/>
      <c r="L267" s="19"/>
      <c r="M267" s="19"/>
      <c r="N267" s="19"/>
      <c r="O267" s="19" t="s">
        <v>20</v>
      </c>
      <c r="P267" s="19" t="s">
        <v>21</v>
      </c>
      <c r="Q267" s="25"/>
      <c r="T267" s="25"/>
    </row>
    <row r="268" spans="2:20" x14ac:dyDescent="0.25">
      <c r="B268" s="34"/>
      <c r="D268" s="22">
        <v>6</v>
      </c>
      <c r="E268" s="22">
        <v>100</v>
      </c>
      <c r="F268" s="23" t="s">
        <v>806</v>
      </c>
      <c r="G268" s="23" t="s">
        <v>807</v>
      </c>
      <c r="H268" s="23" t="s">
        <v>808</v>
      </c>
      <c r="I268" s="23"/>
      <c r="J268" s="23"/>
      <c r="K268" s="23"/>
      <c r="L268" s="23"/>
      <c r="M268" s="23"/>
      <c r="N268" s="23"/>
      <c r="O268" s="24">
        <v>236.86000000010245</v>
      </c>
      <c r="P268" s="24">
        <v>4.2634800000018442</v>
      </c>
      <c r="Q268" s="25"/>
      <c r="T268" s="25"/>
    </row>
    <row r="269" spans="2:20" x14ac:dyDescent="0.25">
      <c r="B269" s="34"/>
      <c r="D269" s="22">
        <v>6</v>
      </c>
      <c r="E269" s="22">
        <v>200</v>
      </c>
      <c r="F269" s="26" t="s">
        <v>809</v>
      </c>
      <c r="G269" s="26" t="s">
        <v>810</v>
      </c>
      <c r="H269" s="26" t="s">
        <v>811</v>
      </c>
      <c r="I269" s="26"/>
      <c r="J269" s="26"/>
      <c r="K269" s="26"/>
      <c r="L269" s="26"/>
      <c r="M269" s="26"/>
      <c r="N269" s="26"/>
      <c r="O269" s="24">
        <v>473.72000000020489</v>
      </c>
      <c r="P269" s="24">
        <v>4.2634800000018442</v>
      </c>
      <c r="Q269" s="25"/>
      <c r="T269" s="25"/>
    </row>
    <row r="270" spans="2:20" x14ac:dyDescent="0.25">
      <c r="B270" s="34"/>
      <c r="D270" s="22">
        <v>7</v>
      </c>
      <c r="E270" s="22">
        <v>100</v>
      </c>
      <c r="F270" s="23" t="s">
        <v>812</v>
      </c>
      <c r="G270" s="23" t="s">
        <v>813</v>
      </c>
      <c r="H270" s="23" t="s">
        <v>814</v>
      </c>
      <c r="I270" s="23"/>
      <c r="J270" s="23"/>
      <c r="K270" s="23"/>
      <c r="L270" s="23"/>
      <c r="M270" s="23"/>
      <c r="N270" s="23"/>
      <c r="O270" s="24">
        <v>307.87000000011176</v>
      </c>
      <c r="P270" s="24">
        <v>5.541660000002012</v>
      </c>
      <c r="Q270" s="25"/>
      <c r="T270" s="25"/>
    </row>
    <row r="271" spans="2:20" x14ac:dyDescent="0.25">
      <c r="B271" s="34"/>
      <c r="D271" s="22">
        <v>7</v>
      </c>
      <c r="E271" s="22">
        <v>200</v>
      </c>
      <c r="F271" s="23" t="s">
        <v>815</v>
      </c>
      <c r="G271" s="23" t="s">
        <v>816</v>
      </c>
      <c r="H271" s="23" t="s">
        <v>817</v>
      </c>
      <c r="I271" s="23"/>
      <c r="J271" s="23"/>
      <c r="K271" s="23"/>
      <c r="L271" s="23"/>
      <c r="M271" s="23"/>
      <c r="N271" s="23"/>
      <c r="O271" s="24">
        <v>615.74000000022352</v>
      </c>
      <c r="P271" s="24">
        <v>5.541660000002012</v>
      </c>
      <c r="Q271" s="25"/>
      <c r="T271" s="25"/>
    </row>
    <row r="272" spans="2:20" x14ac:dyDescent="0.25">
      <c r="B272" s="34"/>
      <c r="D272" s="22">
        <v>8</v>
      </c>
      <c r="E272" s="22">
        <v>100</v>
      </c>
      <c r="F272" s="26" t="s">
        <v>818</v>
      </c>
      <c r="G272" s="26" t="s">
        <v>819</v>
      </c>
      <c r="H272" s="26" t="s">
        <v>820</v>
      </c>
      <c r="I272" s="26"/>
      <c r="J272" s="26"/>
      <c r="K272" s="26"/>
      <c r="L272" s="26"/>
      <c r="M272" s="26"/>
      <c r="N272" s="26"/>
      <c r="O272" s="24">
        <v>378.85999999986961</v>
      </c>
      <c r="P272" s="24">
        <v>6.819479999997653</v>
      </c>
      <c r="Q272" s="25"/>
      <c r="T272" s="25"/>
    </row>
    <row r="273" spans="2:20" x14ac:dyDescent="0.25">
      <c r="B273" s="34"/>
      <c r="D273" s="22">
        <v>8</v>
      </c>
      <c r="E273" s="22">
        <v>200</v>
      </c>
      <c r="F273" s="23" t="s">
        <v>821</v>
      </c>
      <c r="G273" s="23" t="s">
        <v>822</v>
      </c>
      <c r="H273" s="23" t="s">
        <v>823</v>
      </c>
      <c r="I273" s="23"/>
      <c r="J273" s="23"/>
      <c r="K273" s="23"/>
      <c r="L273" s="23"/>
      <c r="M273" s="23"/>
      <c r="N273" s="23"/>
      <c r="O273" s="24">
        <v>757.75999999977648</v>
      </c>
      <c r="P273" s="24">
        <v>6.8198399999979884</v>
      </c>
      <c r="Q273" s="25"/>
      <c r="T273" s="25"/>
    </row>
    <row r="274" spans="2:20" x14ac:dyDescent="0.25">
      <c r="B274" s="34"/>
      <c r="D274" s="22">
        <v>10</v>
      </c>
      <c r="E274" s="22">
        <v>100</v>
      </c>
      <c r="F274" s="23" t="s">
        <v>824</v>
      </c>
      <c r="G274" s="23" t="s">
        <v>825</v>
      </c>
      <c r="H274" s="23" t="s">
        <v>826</v>
      </c>
      <c r="I274" s="23"/>
      <c r="J274" s="23"/>
      <c r="K274" s="23"/>
      <c r="L274" s="23"/>
      <c r="M274" s="23"/>
      <c r="N274" s="23"/>
      <c r="O274" s="24">
        <v>596.86000000033528</v>
      </c>
      <c r="P274" s="24">
        <v>10.743480000006036</v>
      </c>
      <c r="Q274" s="25"/>
      <c r="T274" s="25"/>
    </row>
    <row r="275" spans="2:20" x14ac:dyDescent="0.25">
      <c r="B275" s="34"/>
      <c r="D275" s="22">
        <v>10</v>
      </c>
      <c r="E275" s="22">
        <v>200</v>
      </c>
      <c r="F275" s="27" t="s">
        <v>827</v>
      </c>
      <c r="G275" s="27" t="s">
        <v>828</v>
      </c>
      <c r="H275" s="27" t="s">
        <v>829</v>
      </c>
      <c r="I275" s="27"/>
      <c r="J275" s="27"/>
      <c r="K275" s="27"/>
      <c r="L275" s="27"/>
      <c r="M275" s="27"/>
      <c r="N275" s="27"/>
      <c r="O275" s="24">
        <v>1193.6500000003725</v>
      </c>
      <c r="P275" s="24">
        <v>10.742850000003353</v>
      </c>
      <c r="Q275" s="25"/>
      <c r="T275" s="25"/>
    </row>
    <row r="276" spans="2:20" x14ac:dyDescent="0.25">
      <c r="B276" s="34"/>
      <c r="D276" s="22"/>
      <c r="E276" s="22"/>
      <c r="F276" s="27"/>
      <c r="G276" s="27"/>
      <c r="H276" s="27"/>
      <c r="I276" s="27"/>
      <c r="J276" s="27"/>
      <c r="K276" s="27"/>
      <c r="L276" s="27"/>
      <c r="M276" s="27"/>
      <c r="N276" s="27"/>
      <c r="O276" s="24"/>
      <c r="P276" s="24"/>
      <c r="Q276" s="25"/>
      <c r="T276" s="25"/>
    </row>
    <row r="277" spans="2:20" ht="19.05" x14ac:dyDescent="0.35">
      <c r="B277" s="34"/>
      <c r="D277" s="13" t="s">
        <v>830</v>
      </c>
      <c r="E277" s="13"/>
      <c r="F277" s="13"/>
      <c r="G277" s="13"/>
      <c r="H277" s="13"/>
      <c r="I277" s="13"/>
      <c r="J277" s="13"/>
      <c r="K277" s="13"/>
      <c r="L277" s="13"/>
      <c r="O277" s="3"/>
      <c r="P277" s="18" t="s">
        <v>670</v>
      </c>
      <c r="Q277" s="25"/>
      <c r="T277" s="25"/>
    </row>
    <row r="278" spans="2:20" x14ac:dyDescent="0.25">
      <c r="B278" s="34"/>
      <c r="D278" s="19" t="s">
        <v>14</v>
      </c>
      <c r="E278" s="19" t="s">
        <v>15</v>
      </c>
      <c r="F278" s="19" t="s">
        <v>684</v>
      </c>
      <c r="G278" s="19"/>
      <c r="H278" s="19"/>
      <c r="I278" s="19"/>
      <c r="J278" s="19"/>
      <c r="K278" s="19"/>
      <c r="L278" s="19"/>
      <c r="M278" s="19"/>
      <c r="N278" s="19"/>
      <c r="O278" s="19" t="s">
        <v>20</v>
      </c>
      <c r="P278" s="19" t="s">
        <v>21</v>
      </c>
      <c r="Q278" s="25"/>
      <c r="T278" s="25"/>
    </row>
    <row r="279" spans="2:20" x14ac:dyDescent="0.25">
      <c r="B279" s="34"/>
      <c r="D279" s="22">
        <v>7</v>
      </c>
      <c r="E279" s="22">
        <v>100</v>
      </c>
      <c r="F279" s="23" t="s">
        <v>831</v>
      </c>
      <c r="G279" s="23"/>
      <c r="H279" s="23"/>
      <c r="I279" s="23"/>
      <c r="J279" s="23"/>
      <c r="K279" s="23"/>
      <c r="L279" s="23"/>
      <c r="M279" s="23"/>
      <c r="N279" s="23"/>
      <c r="O279" s="24">
        <v>400.12000000011176</v>
      </c>
      <c r="P279" s="24">
        <v>7.2021600000020127</v>
      </c>
      <c r="Q279" s="25"/>
      <c r="T279" s="25"/>
    </row>
    <row r="280" spans="2:20" x14ac:dyDescent="0.25">
      <c r="B280" s="34"/>
      <c r="D280" s="22">
        <v>7</v>
      </c>
      <c r="E280" s="22">
        <v>200</v>
      </c>
      <c r="F280" s="26" t="s">
        <v>832</v>
      </c>
      <c r="G280" s="26"/>
      <c r="H280" s="26"/>
      <c r="I280" s="26"/>
      <c r="J280" s="26"/>
      <c r="K280" s="26"/>
      <c r="L280" s="26"/>
      <c r="M280" s="26"/>
      <c r="N280" s="26"/>
      <c r="O280" s="24">
        <v>800.25999999977648</v>
      </c>
      <c r="P280" s="24">
        <v>7.2023399999979878</v>
      </c>
      <c r="Q280" s="25"/>
      <c r="T280" s="25"/>
    </row>
    <row r="281" spans="2:20" x14ac:dyDescent="0.25">
      <c r="B281" s="34"/>
      <c r="D281" s="22">
        <v>9</v>
      </c>
      <c r="E281" s="22">
        <v>100</v>
      </c>
      <c r="F281" s="23" t="s">
        <v>833</v>
      </c>
      <c r="G281" s="23"/>
      <c r="H281" s="23"/>
      <c r="I281" s="23"/>
      <c r="J281" s="23"/>
      <c r="K281" s="23"/>
      <c r="L281" s="23"/>
      <c r="M281" s="23"/>
      <c r="N281" s="23"/>
      <c r="O281" s="24">
        <v>492.52000000001863</v>
      </c>
      <c r="P281" s="24">
        <v>8.8653600000003365</v>
      </c>
      <c r="Q281" s="25"/>
      <c r="T281" s="25"/>
    </row>
    <row r="282" spans="2:20" x14ac:dyDescent="0.25">
      <c r="B282" s="34"/>
      <c r="D282" s="22">
        <v>9</v>
      </c>
      <c r="E282" s="22">
        <v>200</v>
      </c>
      <c r="F282" s="27" t="s">
        <v>834</v>
      </c>
      <c r="G282" s="27"/>
      <c r="H282" s="27"/>
      <c r="I282" s="27"/>
      <c r="J282" s="27"/>
      <c r="K282" s="27"/>
      <c r="L282" s="27"/>
      <c r="M282" s="27"/>
      <c r="N282" s="27"/>
      <c r="O282" s="24">
        <v>985.04999999981374</v>
      </c>
      <c r="P282" s="24">
        <v>8.8654499999983241</v>
      </c>
      <c r="Q282" s="25"/>
      <c r="T282" s="25"/>
    </row>
    <row r="283" spans="2:20" x14ac:dyDescent="0.25">
      <c r="B283" s="34"/>
      <c r="D283" s="22"/>
      <c r="E283" s="22"/>
      <c r="F283" s="27"/>
      <c r="G283" s="27"/>
      <c r="H283" s="27"/>
      <c r="I283" s="27"/>
      <c r="J283" s="27"/>
      <c r="K283" s="27"/>
      <c r="L283" s="27"/>
      <c r="M283" s="27"/>
      <c r="N283" s="27"/>
      <c r="O283" s="24"/>
      <c r="P283" s="24"/>
      <c r="Q283" s="25"/>
      <c r="T283" s="25"/>
    </row>
    <row r="284" spans="2:20" ht="19.05" x14ac:dyDescent="0.35">
      <c r="B284" s="34"/>
      <c r="D284" s="13" t="s">
        <v>835</v>
      </c>
      <c r="E284" s="13"/>
      <c r="F284" s="13"/>
      <c r="G284" s="13"/>
      <c r="H284" s="13"/>
      <c r="I284" s="13"/>
      <c r="J284" s="13"/>
      <c r="K284" s="13"/>
      <c r="L284" s="13"/>
      <c r="O284" s="3"/>
      <c r="P284" s="18" t="s">
        <v>657</v>
      </c>
      <c r="Q284" s="25"/>
      <c r="T284" s="25"/>
    </row>
    <row r="285" spans="2:20" x14ac:dyDescent="0.25">
      <c r="B285" s="34"/>
      <c r="D285" s="19" t="s">
        <v>14</v>
      </c>
      <c r="E285" s="19" t="s">
        <v>15</v>
      </c>
      <c r="F285" s="19" t="s">
        <v>19</v>
      </c>
      <c r="G285" s="19" t="s">
        <v>180</v>
      </c>
      <c r="H285" s="19" t="s">
        <v>16</v>
      </c>
      <c r="I285" s="19" t="s">
        <v>181</v>
      </c>
      <c r="J285" s="19" t="s">
        <v>35</v>
      </c>
      <c r="K285" s="19" t="s">
        <v>17</v>
      </c>
      <c r="L285" s="19" t="s">
        <v>179</v>
      </c>
      <c r="M285" s="19" t="s">
        <v>18</v>
      </c>
      <c r="N285" s="19"/>
      <c r="O285" s="19" t="s">
        <v>20</v>
      </c>
      <c r="P285" s="19" t="s">
        <v>21</v>
      </c>
      <c r="Q285" s="25"/>
      <c r="T285" s="25"/>
    </row>
    <row r="286" spans="2:20" x14ac:dyDescent="0.25">
      <c r="B286" s="34"/>
      <c r="D286" s="22">
        <v>2.5</v>
      </c>
      <c r="E286" s="22">
        <v>100</v>
      </c>
      <c r="F286" s="23" t="s">
        <v>836</v>
      </c>
      <c r="G286" s="23" t="s">
        <v>837</v>
      </c>
      <c r="H286" s="23" t="s">
        <v>838</v>
      </c>
      <c r="I286" s="23" t="s">
        <v>117</v>
      </c>
      <c r="J286" s="23" t="s">
        <v>117</v>
      </c>
      <c r="K286" s="23" t="s">
        <v>839</v>
      </c>
      <c r="L286" s="23" t="s">
        <v>840</v>
      </c>
      <c r="M286" s="23" t="s">
        <v>841</v>
      </c>
      <c r="N286" s="23"/>
      <c r="O286" s="24">
        <v>100.43000000005122</v>
      </c>
      <c r="P286" s="24">
        <v>1.8077400000009221</v>
      </c>
      <c r="Q286" s="25"/>
      <c r="T286" s="25"/>
    </row>
    <row r="287" spans="2:20" x14ac:dyDescent="0.25">
      <c r="B287" s="34"/>
      <c r="D287" s="22">
        <v>2.5</v>
      </c>
      <c r="E287" s="22">
        <v>200</v>
      </c>
      <c r="F287" s="26" t="s">
        <v>186</v>
      </c>
      <c r="G287" s="26" t="s">
        <v>183</v>
      </c>
      <c r="H287" s="26" t="s">
        <v>184</v>
      </c>
      <c r="I287" s="26" t="s">
        <v>117</v>
      </c>
      <c r="J287" s="26" t="s">
        <v>117</v>
      </c>
      <c r="K287" s="26" t="s">
        <v>185</v>
      </c>
      <c r="L287" s="26" t="s">
        <v>182</v>
      </c>
      <c r="M287" s="26" t="s">
        <v>187</v>
      </c>
      <c r="N287" s="26"/>
      <c r="O287" s="24">
        <v>200.84000000008382</v>
      </c>
      <c r="P287" s="24">
        <v>1.8075600000007543</v>
      </c>
      <c r="Q287" s="25"/>
      <c r="T287" s="25"/>
    </row>
    <row r="288" spans="2:20" x14ac:dyDescent="0.25">
      <c r="B288" s="34"/>
      <c r="D288" s="22">
        <v>3</v>
      </c>
      <c r="E288" s="22">
        <v>100</v>
      </c>
      <c r="F288" s="23" t="s">
        <v>842</v>
      </c>
      <c r="G288" s="23" t="s">
        <v>843</v>
      </c>
      <c r="H288" s="23" t="s">
        <v>844</v>
      </c>
      <c r="I288" s="23" t="s">
        <v>117</v>
      </c>
      <c r="J288" s="23" t="s">
        <v>117</v>
      </c>
      <c r="K288" s="23" t="s">
        <v>845</v>
      </c>
      <c r="L288" s="23" t="s">
        <v>846</v>
      </c>
      <c r="M288" s="23" t="s">
        <v>847</v>
      </c>
      <c r="N288" s="23"/>
      <c r="O288" s="24">
        <v>159.57000000006519</v>
      </c>
      <c r="P288" s="24">
        <v>2.872260000001174</v>
      </c>
      <c r="Q288" s="25"/>
      <c r="T288" s="25"/>
    </row>
    <row r="289" spans="2:20" x14ac:dyDescent="0.25">
      <c r="B289" s="34"/>
      <c r="D289" s="22">
        <v>3</v>
      </c>
      <c r="E289" s="22">
        <v>200</v>
      </c>
      <c r="F289" s="23" t="s">
        <v>192</v>
      </c>
      <c r="G289" s="23" t="s">
        <v>189</v>
      </c>
      <c r="H289" s="23" t="s">
        <v>190</v>
      </c>
      <c r="I289" s="23" t="s">
        <v>117</v>
      </c>
      <c r="J289" s="23" t="s">
        <v>117</v>
      </c>
      <c r="K289" s="23" t="s">
        <v>191</v>
      </c>
      <c r="L289" s="23" t="s">
        <v>188</v>
      </c>
      <c r="M289" s="23" t="s">
        <v>193</v>
      </c>
      <c r="N289" s="23"/>
      <c r="O289" s="24">
        <v>319.14000000013039</v>
      </c>
      <c r="P289" s="24">
        <v>2.872260000001174</v>
      </c>
      <c r="Q289" s="25"/>
      <c r="T289" s="25"/>
    </row>
    <row r="290" spans="2:20" x14ac:dyDescent="0.25">
      <c r="B290" s="34"/>
      <c r="D290" s="22">
        <v>4</v>
      </c>
      <c r="E290" s="22">
        <v>100</v>
      </c>
      <c r="F290" s="26" t="s">
        <v>848</v>
      </c>
      <c r="G290" s="26" t="s">
        <v>849</v>
      </c>
      <c r="H290" s="26" t="s">
        <v>850</v>
      </c>
      <c r="I290" s="26" t="s">
        <v>851</v>
      </c>
      <c r="J290" s="26" t="s">
        <v>852</v>
      </c>
      <c r="K290" s="26" t="s">
        <v>853</v>
      </c>
      <c r="L290" s="26" t="s">
        <v>854</v>
      </c>
      <c r="M290" s="26" t="s">
        <v>855</v>
      </c>
      <c r="N290" s="26"/>
      <c r="O290" s="24">
        <v>202.21999999997206</v>
      </c>
      <c r="P290" s="24">
        <v>3.6399599999994972</v>
      </c>
      <c r="Q290" s="25"/>
      <c r="T290" s="25"/>
    </row>
    <row r="291" spans="2:20" x14ac:dyDescent="0.25">
      <c r="B291" s="34"/>
      <c r="D291" s="22">
        <v>4</v>
      </c>
      <c r="E291" s="22">
        <v>200</v>
      </c>
      <c r="F291" s="23" t="s">
        <v>200</v>
      </c>
      <c r="G291" s="23" t="s">
        <v>195</v>
      </c>
      <c r="H291" s="23" t="s">
        <v>196</v>
      </c>
      <c r="I291" s="23" t="s">
        <v>197</v>
      </c>
      <c r="J291" s="23" t="s">
        <v>198</v>
      </c>
      <c r="K291" s="23" t="s">
        <v>199</v>
      </c>
      <c r="L291" s="23" t="s">
        <v>194</v>
      </c>
      <c r="M291" s="23" t="s">
        <v>201</v>
      </c>
      <c r="N291" s="23"/>
      <c r="O291" s="24">
        <v>404.43000000016764</v>
      </c>
      <c r="P291" s="24">
        <v>3.6398700000015087</v>
      </c>
      <c r="Q291" s="25"/>
      <c r="T291" s="25"/>
    </row>
    <row r="292" spans="2:20" x14ac:dyDescent="0.25">
      <c r="B292" s="34"/>
      <c r="D292" s="22">
        <v>5</v>
      </c>
      <c r="E292" s="22">
        <v>100</v>
      </c>
      <c r="F292" s="23" t="s">
        <v>856</v>
      </c>
      <c r="G292" s="23" t="s">
        <v>857</v>
      </c>
      <c r="H292" s="23" t="s">
        <v>858</v>
      </c>
      <c r="I292" s="23" t="s">
        <v>859</v>
      </c>
      <c r="J292" s="23" t="s">
        <v>860</v>
      </c>
      <c r="K292" s="23" t="s">
        <v>861</v>
      </c>
      <c r="L292" s="23" t="s">
        <v>862</v>
      </c>
      <c r="M292" s="23" t="s">
        <v>863</v>
      </c>
      <c r="N292" s="23"/>
      <c r="O292" s="24">
        <v>298.52000000001863</v>
      </c>
      <c r="P292" s="24">
        <v>5.3733600000003356</v>
      </c>
      <c r="Q292" s="25"/>
      <c r="T292" s="25"/>
    </row>
    <row r="293" spans="2:20" x14ac:dyDescent="0.25">
      <c r="B293" s="34"/>
      <c r="D293" s="22">
        <v>5</v>
      </c>
      <c r="E293" s="22">
        <v>200</v>
      </c>
      <c r="F293" s="26" t="s">
        <v>208</v>
      </c>
      <c r="G293" s="26" t="s">
        <v>203</v>
      </c>
      <c r="H293" s="26" t="s">
        <v>204</v>
      </c>
      <c r="I293" s="26" t="s">
        <v>205</v>
      </c>
      <c r="J293" s="26" t="s">
        <v>206</v>
      </c>
      <c r="K293" s="26" t="s">
        <v>207</v>
      </c>
      <c r="L293" s="26" t="s">
        <v>202</v>
      </c>
      <c r="M293" s="26" t="s">
        <v>209</v>
      </c>
      <c r="N293" s="26"/>
      <c r="O293" s="24">
        <v>597</v>
      </c>
      <c r="P293" s="24">
        <v>5.3730000000000011</v>
      </c>
      <c r="Q293" s="25"/>
      <c r="T293" s="25"/>
    </row>
    <row r="294" spans="2:20" x14ac:dyDescent="0.25">
      <c r="B294" s="34"/>
      <c r="D294" s="22">
        <v>6</v>
      </c>
      <c r="E294" s="22">
        <v>100</v>
      </c>
      <c r="F294" s="23" t="s">
        <v>864</v>
      </c>
      <c r="G294" s="23" t="s">
        <v>865</v>
      </c>
      <c r="H294" s="23" t="s">
        <v>866</v>
      </c>
      <c r="I294" s="23" t="s">
        <v>867</v>
      </c>
      <c r="J294" s="23" t="s">
        <v>868</v>
      </c>
      <c r="K294" s="23" t="s">
        <v>869</v>
      </c>
      <c r="L294" s="23" t="s">
        <v>870</v>
      </c>
      <c r="M294" s="23" t="s">
        <v>871</v>
      </c>
      <c r="N294" s="23"/>
      <c r="O294" s="24">
        <v>431.93000000016764</v>
      </c>
      <c r="P294" s="24">
        <v>7.7747400000030176</v>
      </c>
      <c r="Q294" s="25"/>
      <c r="T294" s="25"/>
    </row>
    <row r="295" spans="2:20" x14ac:dyDescent="0.25">
      <c r="B295" s="34"/>
      <c r="D295" s="22">
        <v>6</v>
      </c>
      <c r="E295" s="22">
        <v>200</v>
      </c>
      <c r="F295" s="27" t="s">
        <v>216</v>
      </c>
      <c r="G295" s="27" t="s">
        <v>211</v>
      </c>
      <c r="H295" s="27" t="s">
        <v>212</v>
      </c>
      <c r="I295" s="27" t="s">
        <v>213</v>
      </c>
      <c r="J295" s="27" t="s">
        <v>214</v>
      </c>
      <c r="K295" s="27" t="s">
        <v>215</v>
      </c>
      <c r="L295" s="27" t="s">
        <v>210</v>
      </c>
      <c r="M295" s="27" t="s">
        <v>217</v>
      </c>
      <c r="N295" s="27"/>
      <c r="O295" s="24">
        <v>863.88999999966472</v>
      </c>
      <c r="P295" s="24">
        <v>7.7750099999969828</v>
      </c>
      <c r="Q295" s="25"/>
      <c r="T295" s="25"/>
    </row>
    <row r="296" spans="2:20" x14ac:dyDescent="0.25">
      <c r="B296" s="34"/>
      <c r="D296" s="22"/>
      <c r="E296" s="22"/>
      <c r="F296" s="27"/>
      <c r="G296" s="27"/>
      <c r="H296" s="27"/>
      <c r="I296" s="27"/>
      <c r="J296" s="27"/>
      <c r="K296" s="27"/>
      <c r="L296" s="27"/>
      <c r="M296" s="27"/>
      <c r="N296" s="27"/>
      <c r="O296" s="24"/>
      <c r="P296" s="24"/>
      <c r="Q296" s="25"/>
      <c r="T296" s="25"/>
    </row>
    <row r="297" spans="2:20" ht="19.05" x14ac:dyDescent="0.35">
      <c r="B297" s="34"/>
      <c r="D297" s="13" t="s">
        <v>872</v>
      </c>
      <c r="E297" s="13"/>
      <c r="F297" s="13"/>
      <c r="G297" s="13"/>
      <c r="H297" s="13"/>
      <c r="I297" s="13"/>
      <c r="J297" s="13"/>
      <c r="K297" s="13"/>
      <c r="L297" s="13"/>
      <c r="O297" s="3"/>
      <c r="P297" s="18" t="s">
        <v>657</v>
      </c>
      <c r="Q297" s="25"/>
      <c r="T297" s="25"/>
    </row>
    <row r="298" spans="2:20" x14ac:dyDescent="0.25">
      <c r="B298" s="34"/>
      <c r="D298" s="19" t="s">
        <v>14</v>
      </c>
      <c r="E298" s="19" t="s">
        <v>15</v>
      </c>
      <c r="F298" s="19" t="s">
        <v>179</v>
      </c>
      <c r="G298" s="19"/>
      <c r="H298" s="19"/>
      <c r="I298" s="19"/>
      <c r="J298" s="19"/>
      <c r="K298" s="19"/>
      <c r="L298" s="19"/>
      <c r="M298" s="19"/>
      <c r="N298" s="19"/>
      <c r="O298" s="19" t="s">
        <v>20</v>
      </c>
      <c r="P298" s="19" t="s">
        <v>21</v>
      </c>
      <c r="Q298" s="25"/>
      <c r="T298" s="25"/>
    </row>
    <row r="299" spans="2:20" x14ac:dyDescent="0.25">
      <c r="B299" s="34"/>
      <c r="D299" s="22">
        <v>2.5</v>
      </c>
      <c r="E299" s="22">
        <v>100</v>
      </c>
      <c r="F299" s="23" t="s">
        <v>873</v>
      </c>
      <c r="G299" s="23"/>
      <c r="H299" s="23"/>
      <c r="I299" s="23"/>
      <c r="J299" s="23"/>
      <c r="K299" s="23"/>
      <c r="L299" s="23"/>
      <c r="M299" s="23"/>
      <c r="N299" s="23"/>
      <c r="O299" s="24">
        <v>184.33000000007451</v>
      </c>
      <c r="P299" s="24">
        <v>3.3179400000013413</v>
      </c>
      <c r="Q299" s="25"/>
      <c r="T299" s="25"/>
    </row>
    <row r="300" spans="2:20" x14ac:dyDescent="0.25">
      <c r="B300" s="34"/>
      <c r="D300" s="22">
        <v>2.5</v>
      </c>
      <c r="E300" s="22">
        <v>200</v>
      </c>
      <c r="F300" s="26" t="s">
        <v>874</v>
      </c>
      <c r="G300" s="26"/>
      <c r="H300" s="26"/>
      <c r="I300" s="26"/>
      <c r="J300" s="26"/>
      <c r="K300" s="26"/>
      <c r="L300" s="26"/>
      <c r="M300" s="26"/>
      <c r="N300" s="26"/>
      <c r="O300" s="24">
        <v>368.66000000014901</v>
      </c>
      <c r="P300" s="24">
        <v>3.3179400000013413</v>
      </c>
      <c r="Q300" s="25"/>
      <c r="T300" s="25"/>
    </row>
    <row r="301" spans="2:20" x14ac:dyDescent="0.25">
      <c r="B301" s="34"/>
      <c r="D301" s="22">
        <v>3</v>
      </c>
      <c r="E301" s="22">
        <v>100</v>
      </c>
      <c r="F301" s="23" t="s">
        <v>875</v>
      </c>
      <c r="G301" s="23"/>
      <c r="H301" s="23"/>
      <c r="I301" s="23"/>
      <c r="J301" s="23"/>
      <c r="K301" s="23"/>
      <c r="L301" s="23"/>
      <c r="M301" s="23"/>
      <c r="N301" s="23"/>
      <c r="O301" s="24">
        <v>195.34000000008382</v>
      </c>
      <c r="P301" s="24">
        <v>3.5161200000015089</v>
      </c>
      <c r="Q301" s="25"/>
      <c r="T301" s="25"/>
    </row>
    <row r="302" spans="2:20" x14ac:dyDescent="0.25">
      <c r="B302" s="34"/>
      <c r="D302" s="22">
        <v>3</v>
      </c>
      <c r="E302" s="22">
        <v>200</v>
      </c>
      <c r="F302" s="23" t="s">
        <v>876</v>
      </c>
      <c r="G302" s="23"/>
      <c r="H302" s="23"/>
      <c r="I302" s="23"/>
      <c r="J302" s="23"/>
      <c r="K302" s="23"/>
      <c r="L302" s="23"/>
      <c r="M302" s="23"/>
      <c r="N302" s="23"/>
      <c r="O302" s="24">
        <v>390.68000000016764</v>
      </c>
      <c r="P302" s="24">
        <v>3.5161200000015089</v>
      </c>
      <c r="Q302" s="25"/>
      <c r="T302" s="25"/>
    </row>
    <row r="303" spans="2:20" x14ac:dyDescent="0.25">
      <c r="B303" s="34"/>
      <c r="D303" s="22">
        <v>4</v>
      </c>
      <c r="E303" s="22">
        <v>100</v>
      </c>
      <c r="F303" s="26" t="s">
        <v>877</v>
      </c>
      <c r="G303" s="26"/>
      <c r="H303" s="26"/>
      <c r="I303" s="26"/>
      <c r="J303" s="26"/>
      <c r="K303" s="26"/>
      <c r="L303" s="26"/>
      <c r="M303" s="26"/>
      <c r="N303" s="26"/>
      <c r="O303" s="24">
        <v>258.60999999986961</v>
      </c>
      <c r="P303" s="24">
        <v>4.6549799999976536</v>
      </c>
      <c r="Q303" s="25"/>
      <c r="T303" s="25"/>
    </row>
    <row r="304" spans="2:20" x14ac:dyDescent="0.25">
      <c r="B304" s="34"/>
      <c r="D304" s="22">
        <v>4</v>
      </c>
      <c r="E304" s="22">
        <v>200</v>
      </c>
      <c r="F304" s="23" t="s">
        <v>878</v>
      </c>
      <c r="G304" s="23"/>
      <c r="H304" s="23"/>
      <c r="I304" s="23"/>
      <c r="J304" s="23"/>
      <c r="K304" s="23"/>
      <c r="L304" s="23"/>
      <c r="M304" s="23"/>
      <c r="N304" s="23"/>
      <c r="O304" s="24">
        <v>517.24000000022352</v>
      </c>
      <c r="P304" s="24">
        <v>4.6551600000020121</v>
      </c>
      <c r="Q304" s="25"/>
      <c r="T304" s="25"/>
    </row>
    <row r="305" spans="2:20" x14ac:dyDescent="0.25">
      <c r="B305" s="34"/>
      <c r="D305" s="22">
        <v>5</v>
      </c>
      <c r="E305" s="22">
        <v>100</v>
      </c>
      <c r="F305" s="23" t="s">
        <v>879</v>
      </c>
      <c r="G305" s="23"/>
      <c r="H305" s="23"/>
      <c r="I305" s="23"/>
      <c r="J305" s="23"/>
      <c r="K305" s="23"/>
      <c r="L305" s="23"/>
      <c r="M305" s="23"/>
      <c r="N305" s="23"/>
      <c r="O305" s="24">
        <v>346.66999999992549</v>
      </c>
      <c r="P305" s="24">
        <v>6.2400599999986595</v>
      </c>
      <c r="Q305" s="25"/>
      <c r="T305" s="25"/>
    </row>
    <row r="306" spans="2:20" x14ac:dyDescent="0.25">
      <c r="B306" s="34"/>
      <c r="D306" s="22">
        <v>5</v>
      </c>
      <c r="E306" s="22">
        <v>200</v>
      </c>
      <c r="F306" s="26" t="s">
        <v>880</v>
      </c>
      <c r="G306" s="26"/>
      <c r="H306" s="26"/>
      <c r="I306" s="26"/>
      <c r="J306" s="26"/>
      <c r="K306" s="26"/>
      <c r="L306" s="26"/>
      <c r="M306" s="26"/>
      <c r="N306" s="26"/>
      <c r="O306" s="24">
        <v>693.29000000003725</v>
      </c>
      <c r="P306" s="24">
        <v>6.2396100000003356</v>
      </c>
      <c r="Q306" s="25"/>
      <c r="T306" s="25"/>
    </row>
    <row r="307" spans="2:20" x14ac:dyDescent="0.25">
      <c r="B307" s="34"/>
      <c r="D307" s="22">
        <v>6</v>
      </c>
      <c r="E307" s="22">
        <v>100</v>
      </c>
      <c r="F307" s="23" t="s">
        <v>881</v>
      </c>
      <c r="G307" s="23"/>
      <c r="H307" s="23"/>
      <c r="I307" s="23"/>
      <c r="J307" s="23"/>
      <c r="K307" s="23"/>
      <c r="L307" s="23"/>
      <c r="M307" s="23"/>
      <c r="N307" s="23"/>
      <c r="O307" s="24">
        <v>507.60000000009313</v>
      </c>
      <c r="P307" s="24">
        <v>9.136800000001676</v>
      </c>
      <c r="Q307" s="25"/>
      <c r="T307" s="25"/>
    </row>
    <row r="308" spans="2:20" x14ac:dyDescent="0.25">
      <c r="B308" s="34"/>
      <c r="D308" s="22">
        <v>6</v>
      </c>
      <c r="E308" s="22">
        <v>200</v>
      </c>
      <c r="F308" s="23" t="s">
        <v>882</v>
      </c>
      <c r="G308" s="23"/>
      <c r="H308" s="23"/>
      <c r="I308" s="23"/>
      <c r="J308" s="23"/>
      <c r="K308" s="23"/>
      <c r="L308" s="23"/>
      <c r="M308" s="23"/>
      <c r="N308" s="23"/>
      <c r="O308" s="24">
        <v>1015.2000000001863</v>
      </c>
      <c r="P308" s="24">
        <v>9.136800000001676</v>
      </c>
      <c r="Q308" s="25"/>
      <c r="T308" s="25"/>
    </row>
    <row r="309" spans="2:20" x14ac:dyDescent="0.25">
      <c r="B309" s="34"/>
      <c r="D309" s="22">
        <v>7</v>
      </c>
      <c r="E309" s="22">
        <v>100</v>
      </c>
      <c r="F309" s="26" t="s">
        <v>883</v>
      </c>
      <c r="G309" s="26"/>
      <c r="H309" s="26"/>
      <c r="I309" s="26"/>
      <c r="J309" s="26"/>
      <c r="K309" s="26"/>
      <c r="L309" s="26"/>
      <c r="M309" s="26"/>
      <c r="N309" s="26"/>
      <c r="O309" s="24">
        <v>707.05999999959022</v>
      </c>
      <c r="P309" s="24">
        <v>12.727079999992625</v>
      </c>
      <c r="Q309" s="25"/>
      <c r="T309" s="25"/>
    </row>
    <row r="310" spans="2:20" x14ac:dyDescent="0.25">
      <c r="B310" s="34"/>
      <c r="D310" s="22">
        <v>7</v>
      </c>
      <c r="E310" s="22">
        <v>200</v>
      </c>
      <c r="F310" s="23" t="s">
        <v>884</v>
      </c>
      <c r="G310" s="23"/>
      <c r="H310" s="23"/>
      <c r="I310" s="23"/>
      <c r="J310" s="23"/>
      <c r="K310" s="23"/>
      <c r="L310" s="23"/>
      <c r="M310" s="23"/>
      <c r="N310" s="23"/>
      <c r="O310" s="24">
        <v>1414.1500000003725</v>
      </c>
      <c r="P310" s="24">
        <v>12.727350000003353</v>
      </c>
      <c r="Q310" s="25"/>
      <c r="T310" s="25"/>
    </row>
    <row r="311" spans="2:20" x14ac:dyDescent="0.25">
      <c r="B311" s="34"/>
      <c r="D311" s="22">
        <v>8</v>
      </c>
      <c r="E311" s="22">
        <v>100</v>
      </c>
      <c r="F311" s="23" t="s">
        <v>885</v>
      </c>
      <c r="G311" s="23"/>
      <c r="H311" s="23"/>
      <c r="I311" s="23"/>
      <c r="J311" s="23"/>
      <c r="K311" s="23"/>
      <c r="L311" s="23"/>
      <c r="M311" s="23"/>
      <c r="N311" s="23"/>
      <c r="O311" s="24">
        <v>940.92999999970198</v>
      </c>
      <c r="P311" s="24">
        <v>16.936739999994636</v>
      </c>
      <c r="Q311" s="25"/>
      <c r="T311" s="25"/>
    </row>
    <row r="312" spans="2:20" x14ac:dyDescent="0.25">
      <c r="B312" s="34"/>
      <c r="D312" s="22">
        <v>8</v>
      </c>
      <c r="E312" s="22">
        <v>200</v>
      </c>
      <c r="F312" s="26" t="s">
        <v>886</v>
      </c>
      <c r="G312" s="26"/>
      <c r="H312" s="26"/>
      <c r="I312" s="26"/>
      <c r="J312" s="26"/>
      <c r="K312" s="26"/>
      <c r="L312" s="26"/>
      <c r="M312" s="26"/>
      <c r="N312" s="26"/>
      <c r="O312" s="24">
        <v>1881.8499999996275</v>
      </c>
      <c r="P312" s="24">
        <v>16.936649999996646</v>
      </c>
      <c r="Q312" s="25"/>
      <c r="T312" s="25"/>
    </row>
    <row r="313" spans="2:20" x14ac:dyDescent="0.25">
      <c r="B313" s="34"/>
      <c r="D313" s="22">
        <v>9</v>
      </c>
      <c r="E313" s="22">
        <v>100</v>
      </c>
      <c r="F313" s="23" t="s">
        <v>887</v>
      </c>
      <c r="G313" s="23"/>
      <c r="H313" s="23"/>
      <c r="I313" s="23"/>
      <c r="J313" s="23"/>
      <c r="K313" s="23"/>
      <c r="L313" s="23"/>
      <c r="M313" s="23"/>
      <c r="N313" s="23"/>
      <c r="O313" s="24">
        <v>1072.9900000002235</v>
      </c>
      <c r="P313" s="24">
        <v>19.313820000004021</v>
      </c>
      <c r="Q313" s="25"/>
      <c r="T313" s="25"/>
    </row>
    <row r="314" spans="2:20" x14ac:dyDescent="0.25">
      <c r="B314" s="34"/>
      <c r="D314" s="22">
        <v>9</v>
      </c>
      <c r="E314" s="22">
        <v>200</v>
      </c>
      <c r="F314" s="27" t="s">
        <v>888</v>
      </c>
      <c r="G314" s="27"/>
      <c r="H314" s="27"/>
      <c r="I314" s="27"/>
      <c r="J314" s="27"/>
      <c r="K314" s="27"/>
      <c r="L314" s="27"/>
      <c r="M314" s="27"/>
      <c r="N314" s="27"/>
      <c r="O314" s="24">
        <v>2145.9499999992549</v>
      </c>
      <c r="P314" s="24">
        <v>19.313549999993295</v>
      </c>
      <c r="Q314" s="25"/>
      <c r="T314" s="25"/>
    </row>
    <row r="315" spans="2:20" x14ac:dyDescent="0.25">
      <c r="B315" s="34"/>
      <c r="D315" s="22"/>
      <c r="E315" s="22"/>
      <c r="F315" s="27"/>
      <c r="G315" s="27"/>
      <c r="H315" s="27"/>
      <c r="I315" s="27"/>
      <c r="J315" s="27"/>
      <c r="K315" s="27"/>
      <c r="L315" s="27"/>
      <c r="M315" s="27"/>
      <c r="N315" s="27"/>
      <c r="O315" s="24"/>
      <c r="P315" s="24"/>
      <c r="Q315" s="25"/>
      <c r="T315" s="25"/>
    </row>
    <row r="316" spans="2:20" ht="19.05" x14ac:dyDescent="0.35">
      <c r="B316" s="34"/>
      <c r="D316" s="13" t="s">
        <v>889</v>
      </c>
      <c r="E316" s="13"/>
      <c r="F316" s="13"/>
      <c r="G316" s="13"/>
      <c r="H316" s="13"/>
      <c r="I316" s="13"/>
      <c r="J316" s="13"/>
      <c r="K316" s="13"/>
      <c r="L316" s="13"/>
      <c r="O316" s="3"/>
      <c r="P316" s="18" t="s">
        <v>890</v>
      </c>
      <c r="Q316" s="25"/>
      <c r="T316" s="25"/>
    </row>
    <row r="317" spans="2:20" x14ac:dyDescent="0.25">
      <c r="B317" s="34"/>
      <c r="D317" s="19" t="s">
        <v>14</v>
      </c>
      <c r="E317" s="19" t="s">
        <v>15</v>
      </c>
      <c r="F317" s="19" t="s">
        <v>179</v>
      </c>
      <c r="G317" s="19"/>
      <c r="H317" s="19"/>
      <c r="I317" s="19"/>
      <c r="J317" s="19"/>
      <c r="K317" s="19"/>
      <c r="L317" s="19"/>
      <c r="M317" s="19"/>
      <c r="N317" s="19"/>
      <c r="O317" s="19" t="s">
        <v>20</v>
      </c>
      <c r="P317" s="19" t="s">
        <v>21</v>
      </c>
      <c r="Q317" s="25"/>
      <c r="T317" s="25"/>
    </row>
    <row r="318" spans="2:20" x14ac:dyDescent="0.25">
      <c r="B318" s="34"/>
      <c r="D318" s="22">
        <v>3</v>
      </c>
      <c r="E318" s="22">
        <v>100</v>
      </c>
      <c r="F318" s="23" t="s">
        <v>891</v>
      </c>
      <c r="G318" s="23"/>
      <c r="H318" s="23"/>
      <c r="I318" s="23"/>
      <c r="J318" s="23"/>
      <c r="K318" s="23"/>
      <c r="L318" s="23"/>
      <c r="M318" s="23"/>
      <c r="N318" s="23"/>
      <c r="O318" s="24">
        <v>253.12000000011176</v>
      </c>
      <c r="P318" s="24">
        <v>4.5561600000020119</v>
      </c>
      <c r="Q318" s="25"/>
      <c r="T318" s="25"/>
    </row>
    <row r="319" spans="2:20" x14ac:dyDescent="0.25">
      <c r="B319" s="34"/>
      <c r="D319" s="22">
        <v>3</v>
      </c>
      <c r="E319" s="22">
        <v>200</v>
      </c>
      <c r="F319" s="26" t="s">
        <v>892</v>
      </c>
      <c r="G319" s="26"/>
      <c r="H319" s="26"/>
      <c r="I319" s="26"/>
      <c r="J319" s="26"/>
      <c r="K319" s="26"/>
      <c r="L319" s="26"/>
      <c r="M319" s="26"/>
      <c r="N319" s="26"/>
      <c r="O319" s="24">
        <v>506.22000000020489</v>
      </c>
      <c r="P319" s="24">
        <v>4.5559800000018438</v>
      </c>
      <c r="Q319" s="25"/>
      <c r="T319" s="25"/>
    </row>
    <row r="320" spans="2:20" x14ac:dyDescent="0.25">
      <c r="B320" s="34"/>
      <c r="D320" s="22">
        <v>4</v>
      </c>
      <c r="E320" s="22">
        <v>100</v>
      </c>
      <c r="F320" s="23" t="s">
        <v>893</v>
      </c>
      <c r="G320" s="23"/>
      <c r="H320" s="23"/>
      <c r="I320" s="23"/>
      <c r="J320" s="23"/>
      <c r="K320" s="23"/>
      <c r="L320" s="23"/>
      <c r="M320" s="23"/>
      <c r="N320" s="23"/>
      <c r="O320" s="24">
        <v>337.02000000001863</v>
      </c>
      <c r="P320" s="24">
        <v>6.0663600000003353</v>
      </c>
      <c r="Q320" s="25"/>
      <c r="T320" s="25"/>
    </row>
    <row r="321" spans="2:20" x14ac:dyDescent="0.25">
      <c r="B321" s="34"/>
      <c r="D321" s="22">
        <v>4</v>
      </c>
      <c r="E321" s="22">
        <v>200</v>
      </c>
      <c r="F321" s="23" t="s">
        <v>894</v>
      </c>
      <c r="G321" s="23"/>
      <c r="H321" s="23"/>
      <c r="I321" s="23"/>
      <c r="J321" s="23"/>
      <c r="K321" s="23"/>
      <c r="L321" s="23"/>
      <c r="M321" s="23"/>
      <c r="N321" s="23"/>
      <c r="O321" s="24">
        <v>674.04999999981374</v>
      </c>
      <c r="P321" s="24">
        <v>6.0664499999983237</v>
      </c>
      <c r="Q321" s="25"/>
      <c r="T321" s="25"/>
    </row>
    <row r="322" spans="2:20" x14ac:dyDescent="0.25">
      <c r="B322" s="34"/>
      <c r="D322" s="22">
        <v>5</v>
      </c>
      <c r="E322" s="22">
        <v>100</v>
      </c>
      <c r="F322" s="26" t="s">
        <v>895</v>
      </c>
      <c r="G322" s="26"/>
      <c r="H322" s="26"/>
      <c r="I322" s="26"/>
      <c r="J322" s="26"/>
      <c r="K322" s="26"/>
      <c r="L322" s="26"/>
      <c r="M322" s="26"/>
      <c r="N322" s="26"/>
      <c r="O322" s="24">
        <v>422.31000000005588</v>
      </c>
      <c r="P322" s="24">
        <v>7.6015800000010065</v>
      </c>
      <c r="Q322" s="25"/>
      <c r="T322" s="25"/>
    </row>
    <row r="323" spans="2:20" x14ac:dyDescent="0.25">
      <c r="B323" s="34"/>
      <c r="D323" s="22">
        <v>5</v>
      </c>
      <c r="E323" s="22">
        <v>200</v>
      </c>
      <c r="F323" s="23" t="s">
        <v>896</v>
      </c>
      <c r="G323" s="23"/>
      <c r="H323" s="23"/>
      <c r="I323" s="23"/>
      <c r="J323" s="23"/>
      <c r="K323" s="23"/>
      <c r="L323" s="23"/>
      <c r="M323" s="23"/>
      <c r="N323" s="23"/>
      <c r="O323" s="24">
        <v>844.62999999988824</v>
      </c>
      <c r="P323" s="24">
        <v>7.6016699999989941</v>
      </c>
      <c r="Q323" s="25"/>
      <c r="T323" s="25"/>
    </row>
    <row r="324" spans="2:20" x14ac:dyDescent="0.25">
      <c r="B324" s="34"/>
      <c r="D324" s="22">
        <v>6</v>
      </c>
      <c r="E324" s="22">
        <v>100</v>
      </c>
      <c r="F324" s="23" t="s">
        <v>897</v>
      </c>
      <c r="G324" s="23"/>
      <c r="H324" s="23"/>
      <c r="I324" s="23"/>
      <c r="J324" s="23"/>
      <c r="K324" s="23"/>
      <c r="L324" s="23"/>
      <c r="M324" s="23"/>
      <c r="N324" s="23"/>
      <c r="O324" s="24">
        <v>656.16000000014901</v>
      </c>
      <c r="P324" s="24">
        <v>11.810880000002683</v>
      </c>
      <c r="Q324" s="25"/>
      <c r="T324" s="25"/>
    </row>
    <row r="325" spans="2:20" x14ac:dyDescent="0.25">
      <c r="B325" s="34"/>
      <c r="D325" s="22">
        <v>6</v>
      </c>
      <c r="E325" s="22">
        <v>200</v>
      </c>
      <c r="F325" s="26" t="s">
        <v>898</v>
      </c>
      <c r="G325" s="26"/>
      <c r="H325" s="26"/>
      <c r="I325" s="26"/>
      <c r="J325" s="26"/>
      <c r="K325" s="26"/>
      <c r="L325" s="26"/>
      <c r="M325" s="26"/>
      <c r="N325" s="26"/>
      <c r="O325" s="24">
        <v>1312.339999999851</v>
      </c>
      <c r="P325" s="24">
        <v>11.811059999998658</v>
      </c>
      <c r="Q325" s="25"/>
      <c r="T325" s="25"/>
    </row>
    <row r="326" spans="2:20" x14ac:dyDescent="0.25">
      <c r="B326" s="34"/>
      <c r="D326" s="22">
        <v>7</v>
      </c>
      <c r="E326" s="22">
        <v>100</v>
      </c>
      <c r="F326" s="23" t="s">
        <v>899</v>
      </c>
      <c r="G326" s="23"/>
      <c r="H326" s="23"/>
      <c r="I326" s="23"/>
      <c r="J326" s="23"/>
      <c r="K326" s="23"/>
      <c r="L326" s="23"/>
      <c r="M326" s="23"/>
      <c r="N326" s="23"/>
      <c r="O326" s="24">
        <v>913.40000000037253</v>
      </c>
      <c r="P326" s="24">
        <v>16.441200000006706</v>
      </c>
      <c r="Q326" s="25"/>
      <c r="T326" s="25"/>
    </row>
    <row r="327" spans="2:20" x14ac:dyDescent="0.25">
      <c r="B327" s="34"/>
      <c r="D327" s="22">
        <v>7</v>
      </c>
      <c r="E327" s="22">
        <v>200</v>
      </c>
      <c r="F327" s="23" t="s">
        <v>900</v>
      </c>
      <c r="G327" s="23"/>
      <c r="H327" s="23"/>
      <c r="I327" s="23"/>
      <c r="J327" s="23"/>
      <c r="K327" s="23"/>
      <c r="L327" s="23"/>
      <c r="M327" s="23"/>
      <c r="N327" s="23"/>
      <c r="O327" s="24">
        <v>1826.820000000298</v>
      </c>
      <c r="P327" s="24">
        <v>16.441380000002681</v>
      </c>
      <c r="Q327" s="25"/>
      <c r="T327" s="25"/>
    </row>
    <row r="328" spans="2:20" x14ac:dyDescent="0.25">
      <c r="B328" s="34"/>
      <c r="D328" s="22">
        <v>8</v>
      </c>
      <c r="E328" s="22">
        <v>100</v>
      </c>
      <c r="F328" s="26" t="s">
        <v>901</v>
      </c>
      <c r="G328" s="26"/>
      <c r="H328" s="26"/>
      <c r="I328" s="26"/>
      <c r="J328" s="26"/>
      <c r="K328" s="26"/>
      <c r="L328" s="26"/>
      <c r="M328" s="26"/>
      <c r="N328" s="26"/>
      <c r="O328" s="24">
        <v>1148.640000000596</v>
      </c>
      <c r="P328" s="24">
        <v>20.675520000010728</v>
      </c>
      <c r="Q328" s="25"/>
      <c r="T328" s="25"/>
    </row>
    <row r="329" spans="2:20" x14ac:dyDescent="0.25">
      <c r="B329" s="34"/>
      <c r="D329" s="22">
        <v>8</v>
      </c>
      <c r="E329" s="22">
        <v>200</v>
      </c>
      <c r="F329" s="23" t="s">
        <v>902</v>
      </c>
      <c r="G329" s="23"/>
      <c r="H329" s="23"/>
      <c r="I329" s="23"/>
      <c r="J329" s="23"/>
      <c r="K329" s="23"/>
      <c r="L329" s="23"/>
      <c r="M329" s="23"/>
      <c r="N329" s="23"/>
      <c r="O329" s="24">
        <v>2297.2800000011921</v>
      </c>
      <c r="P329" s="24">
        <v>20.675520000010728</v>
      </c>
      <c r="Q329" s="25"/>
      <c r="T329" s="25"/>
    </row>
    <row r="330" spans="2:20" x14ac:dyDescent="0.25">
      <c r="B330" s="34"/>
      <c r="D330" s="22">
        <v>9</v>
      </c>
      <c r="E330" s="22">
        <v>200</v>
      </c>
      <c r="F330" s="23" t="s">
        <v>903</v>
      </c>
      <c r="G330" s="23"/>
      <c r="H330" s="23"/>
      <c r="I330" s="23"/>
      <c r="J330" s="23"/>
      <c r="K330" s="23"/>
      <c r="L330" s="23"/>
      <c r="M330" s="23"/>
      <c r="N330" s="23"/>
      <c r="O330" s="24">
        <v>2773.2399999983609</v>
      </c>
      <c r="P330" s="24">
        <v>24.95915999998525</v>
      </c>
      <c r="Q330" s="25"/>
      <c r="T330" s="25"/>
    </row>
    <row r="331" spans="2:20" x14ac:dyDescent="0.25">
      <c r="B331" s="34"/>
      <c r="D331" s="22">
        <v>10</v>
      </c>
      <c r="E331" s="22">
        <v>200</v>
      </c>
      <c r="F331" s="27" t="s">
        <v>904</v>
      </c>
      <c r="G331" s="27"/>
      <c r="H331" s="27"/>
      <c r="I331" s="27"/>
      <c r="J331" s="27"/>
      <c r="K331" s="27"/>
      <c r="L331" s="27"/>
      <c r="M331" s="27"/>
      <c r="N331" s="27"/>
      <c r="O331" s="24">
        <v>3320.7399999983609</v>
      </c>
      <c r="P331" s="24">
        <v>29.886659999985248</v>
      </c>
      <c r="Q331" s="25"/>
      <c r="T331" s="25"/>
    </row>
    <row r="332" spans="2:20" x14ac:dyDescent="0.25">
      <c r="B332" s="34"/>
      <c r="D332" s="22"/>
      <c r="E332" s="22"/>
      <c r="F332" s="27"/>
      <c r="G332" s="27"/>
      <c r="H332" s="27"/>
      <c r="I332" s="27"/>
      <c r="J332" s="27"/>
      <c r="K332" s="27"/>
      <c r="L332" s="27"/>
      <c r="M332" s="27"/>
      <c r="N332" s="27"/>
      <c r="O332" s="24"/>
      <c r="P332" s="24"/>
      <c r="Q332" s="25"/>
      <c r="T332" s="25"/>
    </row>
    <row r="333" spans="2:20" ht="19.05" x14ac:dyDescent="0.35">
      <c r="B333" s="34"/>
      <c r="D333" s="13" t="s">
        <v>905</v>
      </c>
      <c r="E333" s="13"/>
      <c r="F333" s="13"/>
      <c r="G333" s="13"/>
      <c r="H333" s="13"/>
      <c r="I333" s="13"/>
      <c r="J333" s="13"/>
      <c r="K333" s="13"/>
      <c r="L333" s="13"/>
      <c r="O333" s="3"/>
      <c r="P333" s="18" t="s">
        <v>657</v>
      </c>
      <c r="Q333" s="25"/>
      <c r="T333" s="25"/>
    </row>
    <row r="334" spans="2:20" x14ac:dyDescent="0.25">
      <c r="B334" s="34"/>
      <c r="D334" s="19" t="s">
        <v>14</v>
      </c>
      <c r="E334" s="19" t="s">
        <v>15</v>
      </c>
      <c r="F334" s="19" t="s">
        <v>17</v>
      </c>
      <c r="G334" s="19" t="s">
        <v>684</v>
      </c>
      <c r="H334" s="19" t="s">
        <v>19</v>
      </c>
      <c r="I334" s="19" t="s">
        <v>180</v>
      </c>
      <c r="J334" s="19" t="s">
        <v>16</v>
      </c>
      <c r="K334" s="19" t="s">
        <v>181</v>
      </c>
      <c r="L334" s="19"/>
      <c r="M334" s="19"/>
      <c r="N334" s="19"/>
      <c r="O334" s="19" t="s">
        <v>20</v>
      </c>
      <c r="P334" s="19" t="s">
        <v>21</v>
      </c>
      <c r="Q334" s="25"/>
      <c r="T334" s="25"/>
    </row>
    <row r="335" spans="2:20" x14ac:dyDescent="0.25">
      <c r="B335" s="34"/>
      <c r="D335" s="22">
        <v>4</v>
      </c>
      <c r="E335" s="22">
        <v>100</v>
      </c>
      <c r="F335" s="23" t="s">
        <v>906</v>
      </c>
      <c r="G335" s="23" t="s">
        <v>907</v>
      </c>
      <c r="H335" s="23" t="s">
        <v>908</v>
      </c>
      <c r="I335" s="23" t="s">
        <v>909</v>
      </c>
      <c r="J335" s="23" t="s">
        <v>910</v>
      </c>
      <c r="K335" s="23" t="s">
        <v>911</v>
      </c>
      <c r="L335" s="23"/>
      <c r="M335" s="23"/>
      <c r="N335" s="23"/>
      <c r="O335" s="24">
        <v>82.229999999981374</v>
      </c>
      <c r="P335" s="24">
        <v>1.4801399999996647</v>
      </c>
      <c r="Q335" s="25"/>
      <c r="T335" s="25"/>
    </row>
    <row r="336" spans="2:20" x14ac:dyDescent="0.25">
      <c r="B336" s="34"/>
      <c r="D336" s="22">
        <v>4</v>
      </c>
      <c r="E336" s="22">
        <v>200</v>
      </c>
      <c r="F336" s="26" t="s">
        <v>912</v>
      </c>
      <c r="G336" s="26" t="s">
        <v>913</v>
      </c>
      <c r="H336" s="26" t="s">
        <v>914</v>
      </c>
      <c r="I336" s="26" t="s">
        <v>915</v>
      </c>
      <c r="J336" s="26" t="s">
        <v>916</v>
      </c>
      <c r="K336" s="26" t="s">
        <v>917</v>
      </c>
      <c r="L336" s="26"/>
      <c r="M336" s="26"/>
      <c r="N336" s="26"/>
      <c r="O336" s="24">
        <v>164.52000000001863</v>
      </c>
      <c r="P336" s="24">
        <v>1.4806800000001679</v>
      </c>
      <c r="Q336" s="25"/>
      <c r="T336" s="25"/>
    </row>
    <row r="337" spans="2:20" x14ac:dyDescent="0.25">
      <c r="B337" s="34"/>
      <c r="D337" s="22">
        <v>5</v>
      </c>
      <c r="E337" s="22">
        <v>100</v>
      </c>
      <c r="F337" s="23" t="s">
        <v>918</v>
      </c>
      <c r="G337" s="23" t="s">
        <v>919</v>
      </c>
      <c r="H337" s="23" t="s">
        <v>920</v>
      </c>
      <c r="I337" s="23" t="s">
        <v>921</v>
      </c>
      <c r="J337" s="23" t="s">
        <v>922</v>
      </c>
      <c r="K337" s="23" t="s">
        <v>923</v>
      </c>
      <c r="L337" s="23"/>
      <c r="M337" s="23"/>
      <c r="N337" s="23"/>
      <c r="O337" s="24">
        <v>130.21999999997206</v>
      </c>
      <c r="P337" s="24">
        <v>2.3439599999994969</v>
      </c>
      <c r="Q337" s="25"/>
      <c r="T337" s="25"/>
    </row>
    <row r="338" spans="2:20" x14ac:dyDescent="0.25">
      <c r="B338" s="34"/>
      <c r="D338" s="22">
        <v>5</v>
      </c>
      <c r="E338" s="22">
        <v>200</v>
      </c>
      <c r="F338" s="27" t="s">
        <v>924</v>
      </c>
      <c r="G338" s="27" t="s">
        <v>925</v>
      </c>
      <c r="H338" s="27" t="s">
        <v>926</v>
      </c>
      <c r="I338" s="27" t="s">
        <v>927</v>
      </c>
      <c r="J338" s="27" t="s">
        <v>928</v>
      </c>
      <c r="K338" s="27" t="s">
        <v>929</v>
      </c>
      <c r="L338" s="27"/>
      <c r="M338" s="27"/>
      <c r="N338" s="27"/>
      <c r="O338" s="24">
        <v>260.45999999996275</v>
      </c>
      <c r="P338" s="24">
        <v>2.3441399999996646</v>
      </c>
      <c r="Q338" s="25"/>
      <c r="T338" s="25"/>
    </row>
    <row r="339" spans="2:20" x14ac:dyDescent="0.25">
      <c r="B339" s="34"/>
      <c r="D339" s="22"/>
      <c r="E339" s="22"/>
      <c r="F339" s="27"/>
      <c r="G339" s="27"/>
      <c r="H339" s="27"/>
      <c r="I339" s="27"/>
      <c r="J339" s="27"/>
      <c r="K339" s="27"/>
      <c r="L339" s="27"/>
      <c r="M339" s="27"/>
      <c r="N339" s="27"/>
      <c r="O339" s="24"/>
      <c r="P339" s="24"/>
      <c r="Q339" s="25"/>
      <c r="T339" s="25"/>
    </row>
    <row r="340" spans="2:20" ht="19.05" x14ac:dyDescent="0.35">
      <c r="B340" s="34"/>
      <c r="D340" s="13" t="s">
        <v>930</v>
      </c>
      <c r="E340" s="13"/>
      <c r="F340" s="13"/>
      <c r="G340" s="13"/>
      <c r="H340" s="13"/>
      <c r="I340" s="13"/>
      <c r="J340" s="13"/>
      <c r="K340" s="13"/>
      <c r="L340" s="13"/>
      <c r="O340" s="3"/>
      <c r="P340" s="18" t="s">
        <v>657</v>
      </c>
      <c r="Q340" s="25"/>
      <c r="T340" s="25"/>
    </row>
    <row r="341" spans="2:20" x14ac:dyDescent="0.25">
      <c r="B341" s="34"/>
      <c r="D341" s="19" t="s">
        <v>14</v>
      </c>
      <c r="E341" s="19" t="s">
        <v>15</v>
      </c>
      <c r="F341" s="19" t="s">
        <v>538</v>
      </c>
      <c r="G341" s="19" t="s">
        <v>179</v>
      </c>
      <c r="H341" s="19"/>
      <c r="I341" s="19"/>
      <c r="J341" s="19"/>
      <c r="K341" s="19"/>
      <c r="L341" s="19"/>
      <c r="M341" s="19"/>
      <c r="N341" s="19"/>
      <c r="O341" s="19" t="s">
        <v>20</v>
      </c>
      <c r="P341" s="19" t="s">
        <v>21</v>
      </c>
      <c r="Q341" s="25"/>
      <c r="T341" s="25"/>
    </row>
    <row r="342" spans="2:20" x14ac:dyDescent="0.25">
      <c r="B342" s="34"/>
      <c r="D342" s="22">
        <v>2.5</v>
      </c>
      <c r="E342" s="22">
        <v>100</v>
      </c>
      <c r="F342" s="23" t="s">
        <v>931</v>
      </c>
      <c r="G342" s="23" t="s">
        <v>932</v>
      </c>
      <c r="H342" s="23"/>
      <c r="I342" s="23"/>
      <c r="J342" s="23"/>
      <c r="K342" s="23"/>
      <c r="L342" s="23"/>
      <c r="M342" s="23"/>
      <c r="N342" s="23"/>
      <c r="O342" s="24">
        <v>172.28000000002794</v>
      </c>
      <c r="P342" s="24">
        <v>3.1010400000005029</v>
      </c>
      <c r="Q342" s="25"/>
      <c r="T342" s="25"/>
    </row>
    <row r="343" spans="2:20" x14ac:dyDescent="0.25">
      <c r="B343" s="34"/>
      <c r="D343" s="22">
        <v>2.5</v>
      </c>
      <c r="E343" s="22">
        <v>200</v>
      </c>
      <c r="F343" s="26" t="s">
        <v>933</v>
      </c>
      <c r="G343" s="26" t="s">
        <v>934</v>
      </c>
      <c r="H343" s="26"/>
      <c r="I343" s="26"/>
      <c r="J343" s="26"/>
      <c r="K343" s="26"/>
      <c r="L343" s="26"/>
      <c r="M343" s="26"/>
      <c r="N343" s="26"/>
      <c r="O343" s="24">
        <v>344.49000000022352</v>
      </c>
      <c r="P343" s="24">
        <v>3.1004100000020118</v>
      </c>
      <c r="Q343" s="25"/>
      <c r="T343" s="25"/>
    </row>
    <row r="344" spans="2:20" x14ac:dyDescent="0.25">
      <c r="B344" s="34"/>
      <c r="D344" s="22">
        <v>3</v>
      </c>
      <c r="E344" s="22">
        <v>100</v>
      </c>
      <c r="F344" s="23" t="s">
        <v>935</v>
      </c>
      <c r="G344" s="23" t="s">
        <v>936</v>
      </c>
      <c r="H344" s="23"/>
      <c r="I344" s="23"/>
      <c r="J344" s="23"/>
      <c r="K344" s="23"/>
      <c r="L344" s="23"/>
      <c r="M344" s="23"/>
      <c r="N344" s="23"/>
      <c r="O344" s="24">
        <v>198.91999999992549</v>
      </c>
      <c r="P344" s="24">
        <v>3.580559999998659</v>
      </c>
      <c r="Q344" s="25"/>
      <c r="T344" s="25"/>
    </row>
    <row r="345" spans="2:20" x14ac:dyDescent="0.25">
      <c r="B345" s="34"/>
      <c r="D345" s="22">
        <v>3</v>
      </c>
      <c r="E345" s="22">
        <v>200</v>
      </c>
      <c r="F345" s="23" t="s">
        <v>937</v>
      </c>
      <c r="G345" s="23" t="s">
        <v>938</v>
      </c>
      <c r="H345" s="23"/>
      <c r="I345" s="23"/>
      <c r="J345" s="23"/>
      <c r="K345" s="23"/>
      <c r="L345" s="23"/>
      <c r="M345" s="23"/>
      <c r="N345" s="23"/>
      <c r="O345" s="24">
        <v>397.87000000011176</v>
      </c>
      <c r="P345" s="24">
        <v>3.580830000001006</v>
      </c>
      <c r="Q345" s="25"/>
      <c r="T345" s="25"/>
    </row>
    <row r="346" spans="2:20" x14ac:dyDescent="0.25">
      <c r="B346" s="34"/>
      <c r="D346" s="22">
        <v>4</v>
      </c>
      <c r="E346" s="22">
        <v>100</v>
      </c>
      <c r="F346" s="26" t="s">
        <v>939</v>
      </c>
      <c r="G346" s="26" t="s">
        <v>940</v>
      </c>
      <c r="H346" s="26"/>
      <c r="I346" s="26"/>
      <c r="J346" s="26"/>
      <c r="K346" s="26"/>
      <c r="L346" s="26"/>
      <c r="M346" s="26"/>
      <c r="N346" s="26"/>
      <c r="O346" s="24">
        <v>244.54000000003725</v>
      </c>
      <c r="P346" s="24">
        <v>4.4017200000006707</v>
      </c>
      <c r="Q346" s="25"/>
      <c r="T346" s="25"/>
    </row>
    <row r="347" spans="2:20" x14ac:dyDescent="0.25">
      <c r="B347" s="34"/>
      <c r="D347" s="22">
        <v>4</v>
      </c>
      <c r="E347" s="22">
        <v>200</v>
      </c>
      <c r="F347" s="23" t="s">
        <v>941</v>
      </c>
      <c r="G347" s="23" t="s">
        <v>942</v>
      </c>
      <c r="H347" s="23"/>
      <c r="I347" s="23"/>
      <c r="J347" s="23"/>
      <c r="K347" s="23"/>
      <c r="L347" s="23"/>
      <c r="M347" s="23"/>
      <c r="N347" s="23"/>
      <c r="O347" s="24">
        <v>489.10999999986961</v>
      </c>
      <c r="P347" s="24">
        <v>4.4019899999988272</v>
      </c>
      <c r="Q347" s="25"/>
      <c r="T347" s="25"/>
    </row>
    <row r="348" spans="2:20" x14ac:dyDescent="0.25">
      <c r="B348" s="34"/>
      <c r="D348" s="22">
        <v>5</v>
      </c>
      <c r="E348" s="22">
        <v>100</v>
      </c>
      <c r="F348" s="23" t="s">
        <v>943</v>
      </c>
      <c r="G348" s="23" t="s">
        <v>944</v>
      </c>
      <c r="H348" s="23"/>
      <c r="I348" s="23"/>
      <c r="J348" s="23"/>
      <c r="K348" s="23"/>
      <c r="L348" s="23"/>
      <c r="M348" s="23"/>
      <c r="N348" s="23"/>
      <c r="O348" s="24">
        <v>391.60000000009313</v>
      </c>
      <c r="P348" s="24">
        <v>7.0488000000016768</v>
      </c>
      <c r="Q348" s="25"/>
      <c r="T348" s="25"/>
    </row>
    <row r="349" spans="2:20" x14ac:dyDescent="0.25">
      <c r="B349" s="34"/>
      <c r="D349" s="22">
        <v>5</v>
      </c>
      <c r="E349" s="22">
        <v>200</v>
      </c>
      <c r="F349" s="26" t="s">
        <v>945</v>
      </c>
      <c r="G349" s="26" t="s">
        <v>946</v>
      </c>
      <c r="H349" s="26"/>
      <c r="I349" s="26"/>
      <c r="J349" s="26"/>
      <c r="K349" s="26"/>
      <c r="L349" s="26"/>
      <c r="M349" s="26"/>
      <c r="N349" s="26"/>
      <c r="O349" s="24">
        <v>783.20000000018626</v>
      </c>
      <c r="P349" s="24">
        <v>7.0488000000016768</v>
      </c>
      <c r="Q349" s="25"/>
      <c r="T349" s="25"/>
    </row>
    <row r="350" spans="2:20" x14ac:dyDescent="0.25">
      <c r="B350" s="34"/>
      <c r="D350" s="22">
        <v>6</v>
      </c>
      <c r="E350" s="22">
        <v>100</v>
      </c>
      <c r="F350" s="23" t="s">
        <v>947</v>
      </c>
      <c r="G350" s="23" t="s">
        <v>948</v>
      </c>
      <c r="H350" s="23"/>
      <c r="I350" s="23"/>
      <c r="J350" s="23"/>
      <c r="K350" s="23"/>
      <c r="L350" s="23"/>
      <c r="M350" s="23"/>
      <c r="N350" s="23"/>
      <c r="O350" s="24">
        <v>470.83999999985099</v>
      </c>
      <c r="P350" s="24">
        <v>8.4751199999973181</v>
      </c>
      <c r="Q350" s="25"/>
      <c r="T350" s="25"/>
    </row>
    <row r="351" spans="2:20" x14ac:dyDescent="0.25">
      <c r="B351" s="34"/>
      <c r="D351" s="22">
        <v>6</v>
      </c>
      <c r="E351" s="22">
        <v>200</v>
      </c>
      <c r="F351" s="27" t="s">
        <v>949</v>
      </c>
      <c r="G351" s="27" t="s">
        <v>950</v>
      </c>
      <c r="H351" s="27"/>
      <c r="I351" s="27"/>
      <c r="J351" s="27"/>
      <c r="K351" s="27"/>
      <c r="L351" s="27"/>
      <c r="M351" s="27"/>
      <c r="N351" s="27"/>
      <c r="O351" s="24">
        <v>941.66999999992549</v>
      </c>
      <c r="P351" s="24">
        <v>8.4750299999993288</v>
      </c>
      <c r="Q351" s="25"/>
      <c r="T351" s="25"/>
    </row>
    <row r="352" spans="2:20" x14ac:dyDescent="0.25">
      <c r="B352" s="34"/>
      <c r="D352" s="22"/>
      <c r="E352" s="22"/>
      <c r="F352" s="27"/>
      <c r="G352" s="27"/>
      <c r="H352" s="27"/>
      <c r="I352" s="27"/>
      <c r="J352" s="27"/>
      <c r="K352" s="27"/>
      <c r="L352" s="27"/>
      <c r="M352" s="27"/>
      <c r="N352" s="27"/>
      <c r="O352" s="24"/>
      <c r="P352" s="24"/>
      <c r="Q352" s="25"/>
      <c r="T352" s="25"/>
    </row>
    <row r="353" spans="2:20" ht="19.05" x14ac:dyDescent="0.35">
      <c r="B353" s="34"/>
      <c r="D353" s="13" t="s">
        <v>951</v>
      </c>
      <c r="E353" s="13"/>
      <c r="G353" s="13"/>
      <c r="H353" s="13"/>
      <c r="I353" s="13"/>
      <c r="J353" s="13"/>
      <c r="K353" s="13"/>
      <c r="L353" s="13"/>
      <c r="O353" s="3"/>
      <c r="P353" s="18" t="s">
        <v>657</v>
      </c>
      <c r="Q353" s="25"/>
      <c r="T353" s="25"/>
    </row>
    <row r="354" spans="2:20" x14ac:dyDescent="0.25">
      <c r="B354" s="34"/>
      <c r="D354" s="19" t="s">
        <v>14</v>
      </c>
      <c r="E354" s="19" t="s">
        <v>15</v>
      </c>
      <c r="F354" s="19" t="s">
        <v>17</v>
      </c>
      <c r="G354" s="19" t="s">
        <v>180</v>
      </c>
      <c r="H354" s="19" t="s">
        <v>18</v>
      </c>
      <c r="I354" s="19" t="s">
        <v>179</v>
      </c>
      <c r="J354" s="19" t="s">
        <v>16</v>
      </c>
      <c r="K354" s="19" t="s">
        <v>19</v>
      </c>
      <c r="L354" s="19"/>
      <c r="M354" s="19"/>
      <c r="N354" s="19"/>
      <c r="O354" s="19" t="s">
        <v>20</v>
      </c>
      <c r="P354" s="19" t="s">
        <v>21</v>
      </c>
      <c r="Q354" s="25"/>
      <c r="T354" s="25"/>
    </row>
    <row r="355" spans="2:20" x14ac:dyDescent="0.25">
      <c r="B355" s="34"/>
      <c r="D355" s="22">
        <v>2</v>
      </c>
      <c r="E355" s="22">
        <v>100</v>
      </c>
      <c r="F355" s="23" t="s">
        <v>952</v>
      </c>
      <c r="G355" s="23" t="s">
        <v>953</v>
      </c>
      <c r="H355" s="23" t="s">
        <v>954</v>
      </c>
      <c r="I355" s="23" t="s">
        <v>955</v>
      </c>
      <c r="J355" s="23" t="s">
        <v>956</v>
      </c>
      <c r="K355" s="23" t="s">
        <v>957</v>
      </c>
      <c r="L355" s="23"/>
      <c r="M355" s="23"/>
      <c r="N355" s="23"/>
      <c r="O355" s="24">
        <v>30.190000000002328</v>
      </c>
      <c r="P355" s="24">
        <v>0.54342000000004187</v>
      </c>
      <c r="Q355" s="25"/>
      <c r="T355" s="25"/>
    </row>
    <row r="356" spans="2:20" x14ac:dyDescent="0.25">
      <c r="B356" s="34"/>
      <c r="D356" s="22">
        <v>2</v>
      </c>
      <c r="E356" s="22">
        <v>200</v>
      </c>
      <c r="F356" s="26" t="s">
        <v>958</v>
      </c>
      <c r="G356" s="26" t="s">
        <v>959</v>
      </c>
      <c r="H356" s="26" t="s">
        <v>960</v>
      </c>
      <c r="I356" s="26" t="s">
        <v>961</v>
      </c>
      <c r="J356" s="26" t="s">
        <v>962</v>
      </c>
      <c r="K356" s="26" t="s">
        <v>963</v>
      </c>
      <c r="L356" s="26"/>
      <c r="M356" s="26"/>
      <c r="N356" s="26"/>
      <c r="O356" s="24">
        <v>60.400000000023283</v>
      </c>
      <c r="P356" s="24">
        <v>0.54360000000020958</v>
      </c>
      <c r="Q356" s="25"/>
      <c r="T356" s="25"/>
    </row>
    <row r="357" spans="2:20" x14ac:dyDescent="0.25">
      <c r="B357" s="34"/>
      <c r="D357" s="22">
        <v>3</v>
      </c>
      <c r="E357" s="22">
        <v>100</v>
      </c>
      <c r="F357" s="23" t="s">
        <v>964</v>
      </c>
      <c r="G357" s="23" t="s">
        <v>965</v>
      </c>
      <c r="H357" s="23" t="s">
        <v>966</v>
      </c>
      <c r="I357" s="23" t="s">
        <v>967</v>
      </c>
      <c r="J357" s="23" t="s">
        <v>968</v>
      </c>
      <c r="K357" s="23" t="s">
        <v>969</v>
      </c>
      <c r="L357" s="23"/>
      <c r="M357" s="23"/>
      <c r="N357" s="23"/>
      <c r="O357" s="24">
        <v>43.340000000025611</v>
      </c>
      <c r="P357" s="24">
        <v>0.780120000000461</v>
      </c>
      <c r="Q357" s="25"/>
      <c r="T357" s="25"/>
    </row>
    <row r="358" spans="2:20" x14ac:dyDescent="0.25">
      <c r="B358" s="34"/>
      <c r="D358" s="22">
        <v>3</v>
      </c>
      <c r="E358" s="22">
        <v>200</v>
      </c>
      <c r="F358" s="23" t="s">
        <v>970</v>
      </c>
      <c r="G358" s="23" t="s">
        <v>971</v>
      </c>
      <c r="H358" s="23" t="s">
        <v>972</v>
      </c>
      <c r="I358" s="23" t="s">
        <v>973</v>
      </c>
      <c r="J358" s="23" t="s">
        <v>974</v>
      </c>
      <c r="K358" s="23" t="s">
        <v>975</v>
      </c>
      <c r="L358" s="23"/>
      <c r="M358" s="23"/>
      <c r="N358" s="23"/>
      <c r="O358" s="24">
        <v>86.71999999997206</v>
      </c>
      <c r="P358" s="24">
        <v>0.7804799999997486</v>
      </c>
      <c r="Q358" s="25"/>
      <c r="T358" s="25"/>
    </row>
    <row r="359" spans="2:20" x14ac:dyDescent="0.25">
      <c r="B359" s="34"/>
      <c r="D359" s="22">
        <v>4</v>
      </c>
      <c r="E359" s="22">
        <v>100</v>
      </c>
      <c r="F359" s="26" t="s">
        <v>976</v>
      </c>
      <c r="G359" s="26" t="s">
        <v>977</v>
      </c>
      <c r="H359" s="26" t="s">
        <v>978</v>
      </c>
      <c r="I359" s="26" t="s">
        <v>979</v>
      </c>
      <c r="J359" s="26" t="s">
        <v>980</v>
      </c>
      <c r="K359" s="26" t="s">
        <v>981</v>
      </c>
      <c r="L359" s="26"/>
      <c r="M359" s="26"/>
      <c r="N359" s="26"/>
      <c r="O359" s="24">
        <v>61.53000000002794</v>
      </c>
      <c r="P359" s="24">
        <v>1.1075400000005029</v>
      </c>
      <c r="Q359" s="25"/>
      <c r="T359" s="25"/>
    </row>
    <row r="360" spans="2:20" x14ac:dyDescent="0.25">
      <c r="B360" s="34"/>
      <c r="D360" s="22">
        <v>4</v>
      </c>
      <c r="E360" s="22">
        <v>200</v>
      </c>
      <c r="F360" s="23" t="s">
        <v>982</v>
      </c>
      <c r="G360" s="23" t="s">
        <v>983</v>
      </c>
      <c r="H360" s="23" t="s">
        <v>984</v>
      </c>
      <c r="I360" s="23" t="s">
        <v>985</v>
      </c>
      <c r="J360" s="23" t="s">
        <v>986</v>
      </c>
      <c r="K360" s="23" t="s">
        <v>987</v>
      </c>
      <c r="L360" s="23"/>
      <c r="M360" s="23"/>
      <c r="N360" s="23"/>
      <c r="O360" s="24">
        <v>123.06999999994878</v>
      </c>
      <c r="P360" s="24">
        <v>1.1076299999995391</v>
      </c>
      <c r="Q360" s="25"/>
      <c r="T360" s="25"/>
    </row>
    <row r="361" spans="2:20" x14ac:dyDescent="0.25">
      <c r="B361" s="34"/>
      <c r="D361" s="22">
        <v>5</v>
      </c>
      <c r="E361" s="22">
        <v>100</v>
      </c>
      <c r="F361" s="23" t="s">
        <v>988</v>
      </c>
      <c r="G361" s="23" t="s">
        <v>989</v>
      </c>
      <c r="H361" s="23" t="s">
        <v>990</v>
      </c>
      <c r="I361" s="23" t="s">
        <v>991</v>
      </c>
      <c r="J361" s="23" t="s">
        <v>992</v>
      </c>
      <c r="K361" s="23" t="s">
        <v>993</v>
      </c>
      <c r="L361" s="23"/>
      <c r="M361" s="23"/>
      <c r="N361" s="23"/>
      <c r="O361" s="24">
        <v>82.589999999967404</v>
      </c>
      <c r="P361" s="24">
        <v>1.4866199999994134</v>
      </c>
      <c r="Q361" s="25"/>
      <c r="T361" s="25"/>
    </row>
    <row r="362" spans="2:20" x14ac:dyDescent="0.25">
      <c r="B362" s="34"/>
      <c r="D362" s="22">
        <v>5</v>
      </c>
      <c r="E362" s="22">
        <v>200</v>
      </c>
      <c r="F362" s="26" t="s">
        <v>994</v>
      </c>
      <c r="G362" s="26" t="s">
        <v>995</v>
      </c>
      <c r="H362" s="26" t="s">
        <v>996</v>
      </c>
      <c r="I362" s="26" t="s">
        <v>997</v>
      </c>
      <c r="J362" s="26" t="s">
        <v>998</v>
      </c>
      <c r="K362" s="26" t="s">
        <v>999</v>
      </c>
      <c r="L362" s="26"/>
      <c r="M362" s="26"/>
      <c r="N362" s="26"/>
      <c r="O362" s="24">
        <v>165.17999999993481</v>
      </c>
      <c r="P362" s="24">
        <v>1.4866199999994134</v>
      </c>
      <c r="Q362" s="25"/>
      <c r="R362" s="25"/>
      <c r="T362" s="25"/>
    </row>
    <row r="363" spans="2:20" x14ac:dyDescent="0.25">
      <c r="B363" s="34"/>
      <c r="D363" s="22">
        <v>6</v>
      </c>
      <c r="E363" s="22">
        <v>100</v>
      </c>
      <c r="F363" s="23" t="s">
        <v>1000</v>
      </c>
      <c r="G363" s="23" t="s">
        <v>1001</v>
      </c>
      <c r="H363" s="23" t="s">
        <v>1002</v>
      </c>
      <c r="I363" s="23" t="s">
        <v>1003</v>
      </c>
      <c r="J363" s="23" t="s">
        <v>1004</v>
      </c>
      <c r="K363" s="23" t="s">
        <v>1005</v>
      </c>
      <c r="L363" s="23"/>
      <c r="M363" s="23"/>
      <c r="N363" s="23"/>
      <c r="O363" s="24">
        <v>99.209999999962747</v>
      </c>
      <c r="P363" s="24">
        <v>1.7857799999993296</v>
      </c>
      <c r="Q363" s="25"/>
      <c r="T363" s="25"/>
    </row>
    <row r="364" spans="2:20" x14ac:dyDescent="0.25">
      <c r="B364" s="34"/>
      <c r="D364" s="22">
        <v>6</v>
      </c>
      <c r="E364" s="22">
        <v>200</v>
      </c>
      <c r="F364" s="27" t="s">
        <v>1006</v>
      </c>
      <c r="G364" s="27" t="s">
        <v>1007</v>
      </c>
      <c r="H364" s="27" t="s">
        <v>1008</v>
      </c>
      <c r="I364" s="27" t="s">
        <v>1009</v>
      </c>
      <c r="J364" s="27" t="s">
        <v>1010</v>
      </c>
      <c r="K364" s="27" t="s">
        <v>1011</v>
      </c>
      <c r="L364" s="27"/>
      <c r="M364" s="27"/>
      <c r="N364" s="27"/>
      <c r="O364" s="24">
        <v>198.41999999992549</v>
      </c>
      <c r="P364" s="24">
        <v>1.7857799999993296</v>
      </c>
      <c r="Q364" s="25"/>
      <c r="T364" s="25"/>
    </row>
    <row r="365" spans="2:20" x14ac:dyDescent="0.25">
      <c r="B365" s="34"/>
      <c r="D365" s="35" t="s">
        <v>1012</v>
      </c>
      <c r="E365" s="22" t="s">
        <v>1013</v>
      </c>
      <c r="F365" s="19" t="s">
        <v>17</v>
      </c>
      <c r="G365" s="19" t="s">
        <v>180</v>
      </c>
      <c r="H365" s="19" t="s">
        <v>18</v>
      </c>
      <c r="I365" s="19" t="s">
        <v>179</v>
      </c>
      <c r="J365" s="19" t="s">
        <v>16</v>
      </c>
      <c r="K365" s="19" t="s">
        <v>19</v>
      </c>
      <c r="L365" s="19" t="s">
        <v>1014</v>
      </c>
      <c r="O365" s="3" t="s">
        <v>20</v>
      </c>
      <c r="P365" s="18" t="s">
        <v>1015</v>
      </c>
      <c r="Q365" s="25"/>
      <c r="T365" s="25"/>
    </row>
    <row r="366" spans="2:20" x14ac:dyDescent="0.25">
      <c r="B366" s="34"/>
      <c r="D366" s="22">
        <v>2</v>
      </c>
      <c r="E366" s="22">
        <v>10</v>
      </c>
      <c r="F366" s="23" t="s">
        <v>1016</v>
      </c>
      <c r="G366" s="23" t="s">
        <v>1017</v>
      </c>
      <c r="H366" s="23" t="s">
        <v>1018</v>
      </c>
      <c r="I366" s="23" t="s">
        <v>1019</v>
      </c>
      <c r="J366" s="23" t="s">
        <v>1020</v>
      </c>
      <c r="K366" s="23" t="s">
        <v>1021</v>
      </c>
      <c r="L366" s="23" t="s">
        <v>1022</v>
      </c>
      <c r="M366" s="23" t="s">
        <v>1023</v>
      </c>
      <c r="N366" s="23"/>
      <c r="O366" s="24">
        <v>71.85999999998603</v>
      </c>
      <c r="P366" s="24">
        <v>12.934799999997486</v>
      </c>
      <c r="Q366" s="25"/>
      <c r="T366" s="25"/>
    </row>
    <row r="367" spans="2:20" x14ac:dyDescent="0.25">
      <c r="B367" s="34"/>
      <c r="D367" s="22">
        <v>3</v>
      </c>
      <c r="E367" s="22">
        <v>10</v>
      </c>
      <c r="F367" s="27" t="s">
        <v>1024</v>
      </c>
      <c r="G367" s="27" t="s">
        <v>1025</v>
      </c>
      <c r="H367" s="27" t="s">
        <v>1026</v>
      </c>
      <c r="I367" s="27" t="s">
        <v>1027</v>
      </c>
      <c r="J367" s="27" t="s">
        <v>1028</v>
      </c>
      <c r="K367" s="27" t="s">
        <v>1029</v>
      </c>
      <c r="L367" s="27" t="s">
        <v>1030</v>
      </c>
      <c r="M367" s="27" t="s">
        <v>1031</v>
      </c>
      <c r="N367" s="27"/>
      <c r="O367" s="24">
        <v>71.85999999998603</v>
      </c>
      <c r="P367" s="24">
        <v>12.934799999997486</v>
      </c>
      <c r="Q367" s="25"/>
      <c r="T367" s="25"/>
    </row>
    <row r="368" spans="2:20" ht="19.05" x14ac:dyDescent="0.35">
      <c r="B368" s="34"/>
      <c r="D368" s="35" t="s">
        <v>1032</v>
      </c>
      <c r="E368" s="22"/>
      <c r="F368" s="19" t="s">
        <v>1014</v>
      </c>
      <c r="G368" s="13"/>
      <c r="H368" s="13"/>
      <c r="I368" s="13"/>
      <c r="J368" s="13"/>
      <c r="K368" s="13"/>
      <c r="L368" s="13"/>
      <c r="O368" s="3" t="s">
        <v>20</v>
      </c>
      <c r="P368" s="18" t="s">
        <v>1015</v>
      </c>
      <c r="Q368" s="25"/>
      <c r="R368" s="25"/>
      <c r="T368" s="25"/>
    </row>
    <row r="369" spans="2:20" x14ac:dyDescent="0.25">
      <c r="B369" s="34"/>
      <c r="D369" s="22">
        <v>2</v>
      </c>
      <c r="E369" s="22">
        <v>15</v>
      </c>
      <c r="F369" s="23" t="s">
        <v>1033</v>
      </c>
      <c r="G369" s="23" t="s">
        <v>1023</v>
      </c>
      <c r="H369" s="23"/>
      <c r="I369" s="23"/>
      <c r="J369" s="23"/>
      <c r="K369" s="23"/>
      <c r="L369" s="23"/>
      <c r="M369" s="23"/>
      <c r="N369" s="23"/>
      <c r="O369" s="24">
        <v>148.47999999998137</v>
      </c>
      <c r="P369" s="24">
        <v>17.817599999997764</v>
      </c>
      <c r="Q369" s="25"/>
      <c r="T369" s="25"/>
    </row>
    <row r="370" spans="2:20" x14ac:dyDescent="0.25">
      <c r="B370" s="34"/>
      <c r="D370" s="22">
        <v>3</v>
      </c>
      <c r="E370" s="22">
        <v>15</v>
      </c>
      <c r="F370" s="27" t="s">
        <v>1034</v>
      </c>
      <c r="G370" s="27" t="s">
        <v>1031</v>
      </c>
      <c r="H370" s="27"/>
      <c r="I370" s="27"/>
      <c r="J370" s="27"/>
      <c r="K370" s="27"/>
      <c r="L370" s="27"/>
      <c r="M370" s="27"/>
      <c r="N370" s="27"/>
      <c r="O370" s="24">
        <v>148.47999999998137</v>
      </c>
      <c r="P370" s="24">
        <v>17.817599999997764</v>
      </c>
      <c r="Q370" s="25"/>
      <c r="T370" s="25"/>
    </row>
    <row r="371" spans="2:20" x14ac:dyDescent="0.25">
      <c r="B371" s="34"/>
      <c r="D371" s="22"/>
      <c r="E371" s="22"/>
      <c r="F371" s="27"/>
      <c r="G371" s="27"/>
      <c r="H371" s="27"/>
      <c r="I371" s="27"/>
      <c r="J371" s="27"/>
      <c r="K371" s="27"/>
      <c r="L371" s="27"/>
      <c r="M371" s="27"/>
      <c r="N371" s="27"/>
      <c r="O371" s="24"/>
      <c r="P371" s="24"/>
      <c r="Q371" s="25"/>
      <c r="T371" s="25"/>
    </row>
    <row r="372" spans="2:20" ht="19.05" x14ac:dyDescent="0.35">
      <c r="B372" s="34"/>
      <c r="D372" s="13" t="s">
        <v>1035</v>
      </c>
      <c r="E372" s="13"/>
      <c r="G372" s="13"/>
      <c r="H372" s="13"/>
      <c r="I372" s="13"/>
      <c r="J372" s="13"/>
      <c r="K372" s="13"/>
      <c r="L372" s="13"/>
      <c r="O372" s="3"/>
      <c r="P372" s="18" t="s">
        <v>1036</v>
      </c>
      <c r="Q372" s="25"/>
      <c r="T372" s="25"/>
    </row>
    <row r="373" spans="2:20" x14ac:dyDescent="0.25">
      <c r="B373" s="34"/>
      <c r="D373" s="19" t="s">
        <v>14</v>
      </c>
      <c r="E373" s="19" t="s">
        <v>15</v>
      </c>
      <c r="F373" s="19" t="s">
        <v>179</v>
      </c>
      <c r="G373" s="19"/>
      <c r="H373" s="19"/>
      <c r="I373" s="19"/>
      <c r="J373" s="19"/>
      <c r="K373" s="19"/>
      <c r="L373" s="19"/>
      <c r="M373" s="19"/>
      <c r="N373" s="19"/>
      <c r="O373" s="19" t="s">
        <v>20</v>
      </c>
      <c r="P373" s="19" t="s">
        <v>21</v>
      </c>
      <c r="Q373" s="25"/>
      <c r="T373" s="25"/>
    </row>
    <row r="374" spans="2:20" x14ac:dyDescent="0.25">
      <c r="B374" s="34"/>
      <c r="D374" s="22">
        <v>1.5</v>
      </c>
      <c r="E374" s="22">
        <v>100</v>
      </c>
      <c r="F374" s="23" t="s">
        <v>1037</v>
      </c>
      <c r="G374" s="23"/>
      <c r="H374" s="23"/>
      <c r="I374" s="23"/>
      <c r="J374" s="23"/>
      <c r="K374" s="23"/>
      <c r="L374" s="23"/>
      <c r="M374" s="23"/>
      <c r="N374" s="23"/>
      <c r="O374" s="24">
        <v>49.440000000002328</v>
      </c>
      <c r="P374" s="24">
        <v>0.88992000000004201</v>
      </c>
      <c r="Q374" s="25"/>
      <c r="T374" s="25"/>
    </row>
    <row r="375" spans="2:20" x14ac:dyDescent="0.25">
      <c r="B375" s="34"/>
      <c r="D375" s="22">
        <v>1.5</v>
      </c>
      <c r="E375" s="22">
        <v>200</v>
      </c>
      <c r="F375" s="26" t="s">
        <v>1038</v>
      </c>
      <c r="G375" s="26"/>
      <c r="H375" s="26"/>
      <c r="I375" s="26"/>
      <c r="J375" s="26"/>
      <c r="K375" s="26"/>
      <c r="L375" s="26"/>
      <c r="M375" s="26"/>
      <c r="N375" s="26"/>
      <c r="O375" s="24">
        <v>98.839999999967404</v>
      </c>
      <c r="P375" s="24">
        <v>0.8895599999997067</v>
      </c>
      <c r="Q375" s="25"/>
      <c r="T375" s="25"/>
    </row>
    <row r="376" spans="2:20" x14ac:dyDescent="0.25">
      <c r="B376" s="34"/>
      <c r="D376" s="22">
        <v>2</v>
      </c>
      <c r="E376" s="22">
        <v>100</v>
      </c>
      <c r="F376" s="23" t="s">
        <v>1039</v>
      </c>
      <c r="G376" s="23"/>
      <c r="H376" s="23"/>
      <c r="I376" s="23"/>
      <c r="J376" s="23"/>
      <c r="K376" s="23"/>
      <c r="L376" s="23"/>
      <c r="M376" s="23"/>
      <c r="N376" s="23"/>
      <c r="O376" s="24">
        <v>72.040000000037253</v>
      </c>
      <c r="P376" s="24">
        <v>1.2967200000006707</v>
      </c>
      <c r="Q376" s="25"/>
      <c r="T376" s="25"/>
    </row>
    <row r="377" spans="2:20" x14ac:dyDescent="0.25">
      <c r="B377" s="34"/>
      <c r="D377" s="22">
        <v>2</v>
      </c>
      <c r="E377" s="22">
        <v>200</v>
      </c>
      <c r="F377" s="23" t="s">
        <v>1040</v>
      </c>
      <c r="G377" s="23"/>
      <c r="H377" s="23"/>
      <c r="I377" s="23"/>
      <c r="J377" s="23"/>
      <c r="K377" s="23"/>
      <c r="L377" s="23"/>
      <c r="M377" s="23"/>
      <c r="N377" s="23"/>
      <c r="O377" s="24">
        <v>144.06000000005588</v>
      </c>
      <c r="P377" s="24">
        <v>1.296540000000503</v>
      </c>
      <c r="Q377" s="25"/>
      <c r="T377" s="25"/>
    </row>
    <row r="378" spans="2:20" x14ac:dyDescent="0.25">
      <c r="B378" s="34"/>
      <c r="D378" s="22">
        <v>3</v>
      </c>
      <c r="E378" s="22">
        <v>100</v>
      </c>
      <c r="F378" s="26" t="s">
        <v>1041</v>
      </c>
      <c r="G378" s="26"/>
      <c r="H378" s="26"/>
      <c r="I378" s="26"/>
      <c r="J378" s="26"/>
      <c r="K378" s="26"/>
      <c r="L378" s="26"/>
      <c r="M378" s="26"/>
      <c r="N378" s="26"/>
      <c r="O378" s="24">
        <v>94.650000000023283</v>
      </c>
      <c r="P378" s="24">
        <v>1.7037000000004192</v>
      </c>
      <c r="Q378" s="25"/>
      <c r="T378" s="25"/>
    </row>
    <row r="379" spans="2:20" x14ac:dyDescent="0.25">
      <c r="B379" s="34"/>
      <c r="D379" s="22">
        <v>3</v>
      </c>
      <c r="E379" s="22">
        <v>200</v>
      </c>
      <c r="F379" s="23" t="s">
        <v>1042</v>
      </c>
      <c r="G379" s="23"/>
      <c r="H379" s="23"/>
      <c r="I379" s="23"/>
      <c r="J379" s="23"/>
      <c r="K379" s="23"/>
      <c r="L379" s="23"/>
      <c r="M379" s="23"/>
      <c r="N379" s="23"/>
      <c r="O379" s="24">
        <v>189.27000000001863</v>
      </c>
      <c r="P379" s="24">
        <v>1.7034300000001676</v>
      </c>
      <c r="Q379" s="25"/>
      <c r="T379" s="25"/>
    </row>
    <row r="380" spans="2:20" x14ac:dyDescent="0.25">
      <c r="B380" s="34"/>
      <c r="D380" s="22">
        <v>4</v>
      </c>
      <c r="E380" s="22">
        <v>100</v>
      </c>
      <c r="F380" s="23" t="s">
        <v>1043</v>
      </c>
      <c r="G380" s="23"/>
      <c r="H380" s="23"/>
      <c r="I380" s="23"/>
      <c r="J380" s="23"/>
      <c r="K380" s="23"/>
      <c r="L380" s="23"/>
      <c r="M380" s="23"/>
      <c r="N380" s="23"/>
      <c r="O380" s="24">
        <v>177.59000000008382</v>
      </c>
      <c r="P380" s="24">
        <v>3.1966200000015088</v>
      </c>
      <c r="Q380" s="25"/>
      <c r="T380" s="25"/>
    </row>
    <row r="381" spans="2:20" x14ac:dyDescent="0.25">
      <c r="B381" s="34"/>
      <c r="D381" s="22">
        <v>4</v>
      </c>
      <c r="E381" s="22">
        <v>200</v>
      </c>
      <c r="F381" s="27" t="s">
        <v>1044</v>
      </c>
      <c r="G381" s="27"/>
      <c r="H381" s="27"/>
      <c r="I381" s="27"/>
      <c r="J381" s="27"/>
      <c r="K381" s="27"/>
      <c r="L381" s="27"/>
      <c r="M381" s="27"/>
      <c r="N381" s="27"/>
      <c r="O381" s="24">
        <v>355.16000000014901</v>
      </c>
      <c r="P381" s="24">
        <v>3.1964400000013411</v>
      </c>
      <c r="Q381" s="25"/>
      <c r="T381" s="25"/>
    </row>
    <row r="382" spans="2:20" ht="19.05" x14ac:dyDescent="0.35">
      <c r="B382" s="34"/>
      <c r="D382" s="35" t="s">
        <v>1012</v>
      </c>
      <c r="E382" s="22" t="s">
        <v>1013</v>
      </c>
      <c r="F382" s="19" t="s">
        <v>1014</v>
      </c>
      <c r="G382" s="13"/>
      <c r="H382" s="13"/>
      <c r="I382" s="13"/>
      <c r="J382" s="13"/>
      <c r="K382" s="13"/>
      <c r="L382" s="13"/>
      <c r="O382" s="19" t="s">
        <v>20</v>
      </c>
      <c r="P382" s="18" t="s">
        <v>1015</v>
      </c>
      <c r="Q382" s="25"/>
      <c r="T382" s="25"/>
    </row>
    <row r="383" spans="2:20" x14ac:dyDescent="0.25">
      <c r="B383" s="34"/>
      <c r="D383" s="22">
        <v>1.5</v>
      </c>
      <c r="E383" s="22">
        <v>10</v>
      </c>
      <c r="F383" s="23" t="s">
        <v>1045</v>
      </c>
      <c r="G383" s="23" t="s">
        <v>1046</v>
      </c>
      <c r="H383" s="23"/>
      <c r="I383" s="23"/>
      <c r="J383" s="23"/>
      <c r="K383" s="23"/>
      <c r="L383" s="23"/>
      <c r="M383" s="23"/>
      <c r="N383" s="23"/>
      <c r="O383" s="24">
        <v>216.11000000010245</v>
      </c>
      <c r="P383" s="24">
        <v>38.899800000018438</v>
      </c>
      <c r="Q383" s="25"/>
      <c r="T383" s="25"/>
    </row>
    <row r="384" spans="2:20" x14ac:dyDescent="0.25">
      <c r="B384" s="34"/>
      <c r="D384" s="22">
        <v>2</v>
      </c>
      <c r="E384" s="22">
        <v>10</v>
      </c>
      <c r="F384" s="26" t="s">
        <v>1047</v>
      </c>
      <c r="G384" s="26" t="s">
        <v>1023</v>
      </c>
      <c r="H384" s="26"/>
      <c r="I384" s="26"/>
      <c r="J384" s="26"/>
      <c r="K384" s="26"/>
      <c r="L384" s="26"/>
      <c r="M384" s="26"/>
      <c r="N384" s="26"/>
      <c r="O384" s="24">
        <v>216.11000000010245</v>
      </c>
      <c r="P384" s="24">
        <v>38.899800000018438</v>
      </c>
      <c r="Q384" s="25"/>
      <c r="T384" s="25"/>
    </row>
    <row r="385" spans="2:20" x14ac:dyDescent="0.25">
      <c r="B385" s="34"/>
      <c r="D385" s="22">
        <v>3</v>
      </c>
      <c r="E385" s="22">
        <v>10</v>
      </c>
      <c r="F385" s="27" t="s">
        <v>1048</v>
      </c>
      <c r="G385" s="27" t="s">
        <v>1031</v>
      </c>
      <c r="H385" s="27"/>
      <c r="I385" s="27"/>
      <c r="J385" s="27"/>
      <c r="K385" s="27"/>
      <c r="L385" s="27"/>
      <c r="M385" s="27"/>
      <c r="N385" s="27"/>
      <c r="O385" s="24">
        <v>216.11000000010245</v>
      </c>
      <c r="P385" s="24">
        <v>38.899800000018438</v>
      </c>
      <c r="Q385" s="25"/>
      <c r="T385" s="25"/>
    </row>
    <row r="386" spans="2:20" x14ac:dyDescent="0.25">
      <c r="B386" s="34"/>
      <c r="D386" s="22"/>
      <c r="E386" s="22"/>
      <c r="F386" s="27"/>
      <c r="G386" s="27"/>
      <c r="H386" s="27"/>
      <c r="I386" s="27"/>
      <c r="J386" s="27"/>
      <c r="K386" s="27"/>
      <c r="L386" s="27"/>
      <c r="M386" s="27"/>
      <c r="N386" s="27"/>
      <c r="O386" s="24"/>
      <c r="P386" s="24"/>
      <c r="Q386" s="25"/>
      <c r="T386" s="25"/>
    </row>
    <row r="387" spans="2:20" ht="19.05" x14ac:dyDescent="0.35">
      <c r="B387" s="34"/>
      <c r="D387" s="13" t="s">
        <v>1049</v>
      </c>
      <c r="E387" s="13"/>
      <c r="G387" s="13"/>
      <c r="H387" s="13"/>
      <c r="I387" s="13"/>
      <c r="J387" s="13"/>
      <c r="K387" s="13"/>
      <c r="L387" s="13"/>
      <c r="O387" s="3"/>
      <c r="P387" s="18" t="s">
        <v>1036</v>
      </c>
      <c r="Q387" s="25"/>
      <c r="T387" s="25"/>
    </row>
    <row r="388" spans="2:20" x14ac:dyDescent="0.25">
      <c r="B388" s="34"/>
      <c r="D388" s="19" t="s">
        <v>14</v>
      </c>
      <c r="E388" s="19" t="s">
        <v>15</v>
      </c>
      <c r="F388" s="19" t="s">
        <v>16</v>
      </c>
      <c r="G388" s="19" t="s">
        <v>35</v>
      </c>
      <c r="H388" s="19" t="s">
        <v>771</v>
      </c>
      <c r="I388" s="19" t="s">
        <v>18</v>
      </c>
      <c r="J388" s="19"/>
      <c r="K388" s="19"/>
      <c r="L388" s="19"/>
      <c r="M388" s="19"/>
      <c r="N388" s="19"/>
      <c r="O388" s="19" t="s">
        <v>20</v>
      </c>
      <c r="P388" s="19" t="s">
        <v>21</v>
      </c>
      <c r="Q388" s="25"/>
      <c r="T388" s="25"/>
    </row>
    <row r="389" spans="2:20" x14ac:dyDescent="0.25">
      <c r="B389" s="34"/>
      <c r="D389" s="22">
        <v>6</v>
      </c>
      <c r="E389" s="22">
        <v>100</v>
      </c>
      <c r="F389" s="23" t="s">
        <v>1050</v>
      </c>
      <c r="G389" s="23" t="s">
        <v>1051</v>
      </c>
      <c r="H389" s="23" t="s">
        <v>1052</v>
      </c>
      <c r="I389" s="23" t="s">
        <v>1053</v>
      </c>
      <c r="J389" s="23"/>
      <c r="K389" s="23"/>
      <c r="L389" s="23"/>
      <c r="M389" s="23"/>
      <c r="N389" s="23"/>
      <c r="O389" s="24">
        <v>89.430000000051223</v>
      </c>
      <c r="P389" s="24">
        <v>1.6097400000009221</v>
      </c>
      <c r="Q389" s="25"/>
      <c r="T389" s="25"/>
    </row>
    <row r="390" spans="2:20" x14ac:dyDescent="0.25">
      <c r="B390" s="34"/>
      <c r="D390" s="22">
        <v>6</v>
      </c>
      <c r="E390" s="22">
        <v>200</v>
      </c>
      <c r="F390" s="26" t="s">
        <v>1054</v>
      </c>
      <c r="G390" s="26" t="s">
        <v>1055</v>
      </c>
      <c r="H390" s="26" t="s">
        <v>1056</v>
      </c>
      <c r="I390" s="26" t="s">
        <v>1057</v>
      </c>
      <c r="J390" s="26"/>
      <c r="K390" s="26"/>
      <c r="L390" s="26"/>
      <c r="M390" s="26"/>
      <c r="N390" s="26"/>
      <c r="O390" s="24">
        <v>178.86000000010245</v>
      </c>
      <c r="P390" s="24">
        <v>1.6097400000009221</v>
      </c>
      <c r="Q390" s="25"/>
      <c r="T390" s="25"/>
    </row>
    <row r="391" spans="2:20" x14ac:dyDescent="0.25">
      <c r="B391" s="34"/>
      <c r="D391" s="22">
        <v>7</v>
      </c>
      <c r="E391" s="22">
        <v>100</v>
      </c>
      <c r="F391" s="23" t="s">
        <v>1058</v>
      </c>
      <c r="G391" s="23" t="s">
        <v>117</v>
      </c>
      <c r="H391" s="23" t="s">
        <v>1059</v>
      </c>
      <c r="I391" s="23" t="s">
        <v>1060</v>
      </c>
      <c r="J391" s="23"/>
      <c r="K391" s="23"/>
      <c r="L391" s="23"/>
      <c r="M391" s="23"/>
      <c r="N391" s="23"/>
      <c r="O391" s="24">
        <v>141.68999999994412</v>
      </c>
      <c r="P391" s="24">
        <v>2.550419999998994</v>
      </c>
      <c r="Q391" s="25"/>
      <c r="T391" s="25"/>
    </row>
    <row r="392" spans="2:20" x14ac:dyDescent="0.25">
      <c r="B392" s="34"/>
      <c r="D392" s="22">
        <v>7</v>
      </c>
      <c r="E392" s="22">
        <v>200</v>
      </c>
      <c r="F392" s="26" t="s">
        <v>1061</v>
      </c>
      <c r="G392" s="26" t="s">
        <v>117</v>
      </c>
      <c r="H392" s="26" t="s">
        <v>1062</v>
      </c>
      <c r="I392" s="26" t="s">
        <v>1063</v>
      </c>
      <c r="J392" s="26"/>
      <c r="K392" s="26"/>
      <c r="L392" s="26"/>
      <c r="M392" s="26"/>
      <c r="N392" s="26"/>
      <c r="O392" s="24">
        <v>283.37999999988824</v>
      </c>
      <c r="P392" s="24">
        <v>2.550419999998994</v>
      </c>
      <c r="Q392" s="25"/>
      <c r="T392" s="25"/>
    </row>
    <row r="393" spans="2:20" x14ac:dyDescent="0.25">
      <c r="B393" s="34"/>
      <c r="D393" s="22">
        <v>8</v>
      </c>
      <c r="E393" s="22">
        <v>100</v>
      </c>
      <c r="F393" s="23" t="s">
        <v>1064</v>
      </c>
      <c r="G393" s="23" t="s">
        <v>1065</v>
      </c>
      <c r="H393" s="23" t="s">
        <v>1066</v>
      </c>
      <c r="I393" s="23" t="s">
        <v>1067</v>
      </c>
      <c r="J393" s="23"/>
      <c r="K393" s="23"/>
      <c r="L393" s="23"/>
      <c r="M393" s="23"/>
      <c r="N393" s="23"/>
      <c r="O393" s="24">
        <v>172.95999999996275</v>
      </c>
      <c r="P393" s="24">
        <v>3.1132799999993295</v>
      </c>
      <c r="Q393" s="25"/>
      <c r="T393" s="25"/>
    </row>
    <row r="394" spans="2:20" x14ac:dyDescent="0.25">
      <c r="B394" s="34"/>
      <c r="D394" s="22">
        <v>8</v>
      </c>
      <c r="E394" s="22">
        <v>200</v>
      </c>
      <c r="F394" s="27" t="s">
        <v>1068</v>
      </c>
      <c r="G394" s="27" t="s">
        <v>1069</v>
      </c>
      <c r="H394" s="27" t="s">
        <v>1070</v>
      </c>
      <c r="I394" s="27" t="s">
        <v>1071</v>
      </c>
      <c r="J394" s="27"/>
      <c r="K394" s="27"/>
      <c r="L394" s="27"/>
      <c r="M394" s="27"/>
      <c r="N394" s="27"/>
      <c r="O394" s="24">
        <v>345.89999999990687</v>
      </c>
      <c r="P394" s="24">
        <v>3.1130999999991622</v>
      </c>
      <c r="Q394" s="25"/>
      <c r="T394" s="25"/>
    </row>
    <row r="395" spans="2:20" x14ac:dyDescent="0.25">
      <c r="B395" s="34"/>
      <c r="D395" s="22"/>
      <c r="E395" s="22"/>
      <c r="F395" s="27"/>
      <c r="G395" s="27"/>
      <c r="H395" s="27"/>
      <c r="I395" s="27"/>
      <c r="J395" s="27"/>
      <c r="K395" s="27"/>
      <c r="L395" s="27"/>
      <c r="M395" s="27"/>
      <c r="N395" s="27"/>
      <c r="O395" s="24"/>
      <c r="P395" s="24"/>
      <c r="Q395" s="25"/>
      <c r="T395" s="25"/>
    </row>
    <row r="396" spans="2:20" ht="19.05" x14ac:dyDescent="0.35">
      <c r="B396" s="34"/>
      <c r="D396" s="13" t="s">
        <v>1072</v>
      </c>
      <c r="E396" s="13"/>
      <c r="G396" s="13"/>
      <c r="H396" s="13"/>
      <c r="I396" s="13"/>
      <c r="J396" s="13"/>
      <c r="K396" s="13"/>
      <c r="L396" s="13"/>
      <c r="O396" s="3"/>
      <c r="P396" s="18" t="s">
        <v>1036</v>
      </c>
      <c r="Q396" s="25"/>
      <c r="T396" s="25"/>
    </row>
    <row r="397" spans="2:20" x14ac:dyDescent="0.25">
      <c r="B397" s="34"/>
      <c r="D397" s="19" t="s">
        <v>14</v>
      </c>
      <c r="E397" s="19" t="s">
        <v>15</v>
      </c>
      <c r="F397" s="19" t="s">
        <v>17</v>
      </c>
      <c r="G397" s="19"/>
      <c r="H397" s="19"/>
      <c r="I397" s="19"/>
      <c r="J397" s="19"/>
      <c r="K397" s="19"/>
      <c r="L397" s="19"/>
      <c r="M397" s="19"/>
      <c r="N397" s="19"/>
      <c r="O397" s="19" t="s">
        <v>20</v>
      </c>
      <c r="P397" s="19" t="s">
        <v>21</v>
      </c>
      <c r="Q397" s="25"/>
      <c r="T397" s="25"/>
    </row>
    <row r="398" spans="2:20" x14ac:dyDescent="0.25">
      <c r="B398" s="34"/>
      <c r="D398" s="22">
        <v>6</v>
      </c>
      <c r="E398" s="22">
        <v>100</v>
      </c>
      <c r="F398" s="23" t="s">
        <v>1073</v>
      </c>
      <c r="G398" s="23"/>
      <c r="H398" s="23"/>
      <c r="I398" s="23"/>
      <c r="J398" s="23"/>
      <c r="K398" s="23"/>
      <c r="L398" s="23"/>
      <c r="M398" s="23"/>
      <c r="N398" s="23"/>
      <c r="O398" s="24">
        <v>63.950000000011642</v>
      </c>
      <c r="P398" s="24">
        <v>1.1511000000002096</v>
      </c>
      <c r="Q398" s="25"/>
      <c r="T398" s="25"/>
    </row>
    <row r="399" spans="2:20" x14ac:dyDescent="0.25">
      <c r="B399" s="34"/>
      <c r="D399" s="22">
        <v>6</v>
      </c>
      <c r="E399" s="22">
        <v>200</v>
      </c>
      <c r="F399" s="26" t="s">
        <v>1074</v>
      </c>
      <c r="G399" s="26"/>
      <c r="H399" s="26"/>
      <c r="I399" s="26"/>
      <c r="J399" s="26"/>
      <c r="K399" s="26"/>
      <c r="L399" s="26"/>
      <c r="M399" s="26"/>
      <c r="N399" s="26"/>
      <c r="O399" s="24">
        <v>127.88000000000466</v>
      </c>
      <c r="P399" s="24">
        <v>1.1509200000000419</v>
      </c>
      <c r="Q399" s="25"/>
      <c r="T399" s="25"/>
    </row>
    <row r="400" spans="2:20" x14ac:dyDescent="0.25">
      <c r="B400" s="34"/>
      <c r="D400" s="22">
        <v>8</v>
      </c>
      <c r="E400" s="22">
        <v>100</v>
      </c>
      <c r="F400" s="23" t="s">
        <v>1075</v>
      </c>
      <c r="G400" s="23"/>
      <c r="H400" s="23"/>
      <c r="I400" s="23"/>
      <c r="J400" s="23"/>
      <c r="K400" s="23"/>
      <c r="L400" s="23"/>
      <c r="M400" s="23"/>
      <c r="N400" s="23"/>
      <c r="O400" s="24">
        <v>102.55000000004657</v>
      </c>
      <c r="P400" s="24">
        <v>1.8459000000008381</v>
      </c>
      <c r="Q400" s="25"/>
      <c r="T400" s="25"/>
    </row>
    <row r="401" spans="2:20" x14ac:dyDescent="0.25">
      <c r="B401" s="34"/>
      <c r="D401" s="22">
        <v>8</v>
      </c>
      <c r="E401" s="22">
        <v>200</v>
      </c>
      <c r="F401" s="27" t="s">
        <v>1076</v>
      </c>
      <c r="G401" s="27"/>
      <c r="H401" s="27"/>
      <c r="I401" s="27"/>
      <c r="J401" s="27"/>
      <c r="K401" s="27"/>
      <c r="L401" s="27"/>
      <c r="M401" s="27"/>
      <c r="N401" s="27"/>
      <c r="O401" s="24">
        <v>205.11000000010245</v>
      </c>
      <c r="P401" s="24">
        <v>1.8459900000009222</v>
      </c>
      <c r="Q401" s="25"/>
      <c r="T401" s="25"/>
    </row>
    <row r="402" spans="2:20" x14ac:dyDescent="0.25">
      <c r="B402" s="34"/>
      <c r="D402" s="22"/>
      <c r="E402" s="22"/>
      <c r="F402" s="27"/>
      <c r="G402" s="27"/>
      <c r="H402" s="27"/>
      <c r="I402" s="27"/>
      <c r="J402" s="27"/>
      <c r="K402" s="27"/>
      <c r="L402" s="27"/>
      <c r="M402" s="27"/>
      <c r="N402" s="27"/>
      <c r="O402" s="24"/>
      <c r="P402" s="24"/>
      <c r="Q402" s="25"/>
      <c r="T402" s="25"/>
    </row>
    <row r="403" spans="2:20" ht="19.05" x14ac:dyDescent="0.35">
      <c r="B403" s="34"/>
      <c r="D403" s="13" t="s">
        <v>1077</v>
      </c>
      <c r="E403" s="13"/>
      <c r="G403" s="13"/>
      <c r="H403" s="13"/>
      <c r="I403" s="13"/>
      <c r="J403" s="13"/>
      <c r="K403" s="13"/>
      <c r="L403" s="13"/>
      <c r="O403" s="3"/>
      <c r="P403" s="18" t="s">
        <v>1036</v>
      </c>
      <c r="Q403" s="25"/>
      <c r="T403" s="25"/>
    </row>
    <row r="404" spans="2:20" x14ac:dyDescent="0.25">
      <c r="B404" s="34"/>
      <c r="D404" s="19" t="s">
        <v>14</v>
      </c>
      <c r="E404" s="19" t="s">
        <v>15</v>
      </c>
      <c r="F404" s="19" t="s">
        <v>180</v>
      </c>
      <c r="G404" s="19"/>
      <c r="H404" s="19"/>
      <c r="I404" s="19"/>
      <c r="J404" s="19"/>
      <c r="K404" s="19"/>
      <c r="L404" s="19"/>
      <c r="M404" s="19"/>
      <c r="N404" s="19"/>
      <c r="O404" s="19" t="s">
        <v>20</v>
      </c>
      <c r="P404" s="19" t="s">
        <v>21</v>
      </c>
      <c r="Q404" s="25"/>
      <c r="T404" s="25"/>
    </row>
    <row r="405" spans="2:20" x14ac:dyDescent="0.25">
      <c r="B405" s="34"/>
      <c r="D405" s="22">
        <v>4</v>
      </c>
      <c r="E405" s="22">
        <v>100</v>
      </c>
      <c r="F405" s="23" t="s">
        <v>1078</v>
      </c>
      <c r="G405" s="23"/>
      <c r="H405" s="23"/>
      <c r="I405" s="23"/>
      <c r="J405" s="23"/>
      <c r="K405" s="23"/>
      <c r="L405" s="23"/>
      <c r="M405" s="23"/>
      <c r="N405" s="23"/>
      <c r="O405" s="24">
        <v>54.830000000016298</v>
      </c>
      <c r="P405" s="24">
        <v>0.98694000000029336</v>
      </c>
      <c r="Q405" s="25"/>
      <c r="T405" s="25"/>
    </row>
    <row r="406" spans="2:20" x14ac:dyDescent="0.25">
      <c r="B406" s="34"/>
      <c r="D406" s="22">
        <v>4</v>
      </c>
      <c r="E406" s="22">
        <v>200</v>
      </c>
      <c r="F406" s="26" t="s">
        <v>1079</v>
      </c>
      <c r="G406" s="26"/>
      <c r="H406" s="26"/>
      <c r="I406" s="26"/>
      <c r="J406" s="26"/>
      <c r="K406" s="26"/>
      <c r="L406" s="26"/>
      <c r="M406" s="26"/>
      <c r="N406" s="26"/>
      <c r="O406" s="24">
        <v>109.68999999994412</v>
      </c>
      <c r="P406" s="24">
        <v>0.9872099999994971</v>
      </c>
      <c r="Q406" s="25"/>
      <c r="T406" s="25"/>
    </row>
    <row r="407" spans="2:20" x14ac:dyDescent="0.25">
      <c r="B407" s="34"/>
      <c r="D407" s="22">
        <v>5</v>
      </c>
      <c r="E407" s="22">
        <v>100</v>
      </c>
      <c r="F407" s="23" t="s">
        <v>1080</v>
      </c>
      <c r="G407" s="23"/>
      <c r="H407" s="23"/>
      <c r="I407" s="23"/>
      <c r="J407" s="23"/>
      <c r="K407" s="23"/>
      <c r="L407" s="23"/>
      <c r="M407" s="23"/>
      <c r="N407" s="23"/>
      <c r="O407" s="24">
        <v>74.92000000004191</v>
      </c>
      <c r="P407" s="24">
        <v>1.3485600000007545</v>
      </c>
      <c r="Q407" s="25"/>
      <c r="T407" s="25"/>
    </row>
    <row r="408" spans="2:20" x14ac:dyDescent="0.25">
      <c r="B408" s="34"/>
      <c r="D408" s="22">
        <v>5</v>
      </c>
      <c r="E408" s="22">
        <v>200</v>
      </c>
      <c r="F408" s="23" t="s">
        <v>1081</v>
      </c>
      <c r="G408" s="23"/>
      <c r="H408" s="23"/>
      <c r="I408" s="23"/>
      <c r="J408" s="23"/>
      <c r="K408" s="23"/>
      <c r="L408" s="23"/>
      <c r="M408" s="23"/>
      <c r="N408" s="23"/>
      <c r="O408" s="24">
        <v>149.85000000009313</v>
      </c>
      <c r="P408" s="24">
        <v>1.3486500000008383</v>
      </c>
      <c r="Q408" s="25"/>
      <c r="T408" s="25"/>
    </row>
    <row r="409" spans="2:20" x14ac:dyDescent="0.25">
      <c r="B409" s="34"/>
      <c r="D409" s="22">
        <v>6</v>
      </c>
      <c r="E409" s="22">
        <v>100</v>
      </c>
      <c r="F409" s="26" t="s">
        <v>1082</v>
      </c>
      <c r="G409" s="26"/>
      <c r="H409" s="26"/>
      <c r="I409" s="26"/>
      <c r="J409" s="26"/>
      <c r="K409" s="26"/>
      <c r="L409" s="26"/>
      <c r="M409" s="26"/>
      <c r="N409" s="26"/>
      <c r="O409" s="24">
        <v>89.369999999995343</v>
      </c>
      <c r="P409" s="24">
        <v>1.6086599999999163</v>
      </c>
      <c r="Q409" s="25"/>
      <c r="T409" s="25"/>
    </row>
    <row r="410" spans="2:20" x14ac:dyDescent="0.25">
      <c r="B410" s="34"/>
      <c r="D410" s="22">
        <v>6</v>
      </c>
      <c r="E410" s="22">
        <v>200</v>
      </c>
      <c r="F410" s="23" t="s">
        <v>1083</v>
      </c>
      <c r="G410" s="23"/>
      <c r="H410" s="23"/>
      <c r="I410" s="23"/>
      <c r="J410" s="23"/>
      <c r="K410" s="23"/>
      <c r="L410" s="23"/>
      <c r="M410" s="23"/>
      <c r="N410" s="23"/>
      <c r="O410" s="24">
        <v>178.69999999995343</v>
      </c>
      <c r="P410" s="24">
        <v>1.6082999999995808</v>
      </c>
      <c r="Q410" s="25"/>
      <c r="T410" s="25"/>
    </row>
    <row r="411" spans="2:20" x14ac:dyDescent="0.25">
      <c r="B411" s="34"/>
      <c r="D411" s="22">
        <v>8</v>
      </c>
      <c r="E411" s="22">
        <v>100</v>
      </c>
      <c r="F411" s="23" t="s">
        <v>1084</v>
      </c>
      <c r="G411" s="23"/>
      <c r="H411" s="23"/>
      <c r="I411" s="23"/>
      <c r="J411" s="23"/>
      <c r="K411" s="23"/>
      <c r="L411" s="23"/>
      <c r="M411" s="23"/>
      <c r="N411" s="23"/>
      <c r="O411" s="24">
        <v>139.43999999994412</v>
      </c>
      <c r="P411" s="24">
        <v>2.5099199999989943</v>
      </c>
      <c r="Q411" s="25"/>
      <c r="T411" s="25"/>
    </row>
    <row r="412" spans="2:20" x14ac:dyDescent="0.25">
      <c r="B412" s="34"/>
      <c r="D412" s="22">
        <v>8</v>
      </c>
      <c r="E412" s="22">
        <v>200</v>
      </c>
      <c r="F412" s="27" t="s">
        <v>1085</v>
      </c>
      <c r="G412" s="27"/>
      <c r="H412" s="27"/>
      <c r="I412" s="27"/>
      <c r="J412" s="27"/>
      <c r="K412" s="27"/>
      <c r="L412" s="27"/>
      <c r="M412" s="27"/>
      <c r="N412" s="27"/>
      <c r="O412" s="24">
        <v>278.81000000005588</v>
      </c>
      <c r="P412" s="24">
        <v>2.5092900000005032</v>
      </c>
      <c r="Q412" s="25"/>
      <c r="T412" s="25"/>
    </row>
    <row r="413" spans="2:20" x14ac:dyDescent="0.25">
      <c r="B413" s="34"/>
      <c r="D413" s="22"/>
      <c r="E413" s="22"/>
      <c r="F413" s="27"/>
      <c r="G413" s="27"/>
      <c r="H413" s="27"/>
      <c r="I413" s="27"/>
      <c r="J413" s="27"/>
      <c r="K413" s="27"/>
      <c r="L413" s="27"/>
      <c r="M413" s="27"/>
      <c r="N413" s="27"/>
      <c r="O413" s="24"/>
      <c r="P413" s="24"/>
      <c r="Q413" s="25"/>
      <c r="T413" s="25"/>
    </row>
    <row r="414" spans="2:20" ht="19.05" x14ac:dyDescent="0.35">
      <c r="B414" s="34"/>
      <c r="D414" s="13" t="s">
        <v>1077</v>
      </c>
      <c r="E414" s="13"/>
      <c r="G414" s="13" t="s">
        <v>536</v>
      </c>
      <c r="H414" s="13"/>
      <c r="I414" s="13"/>
      <c r="J414" s="13"/>
      <c r="K414" s="13"/>
      <c r="L414" s="13"/>
      <c r="O414" s="3"/>
      <c r="P414" s="18" t="s">
        <v>1036</v>
      </c>
      <c r="Q414" s="25"/>
      <c r="T414" s="25"/>
    </row>
    <row r="415" spans="2:20" x14ac:dyDescent="0.25">
      <c r="B415" s="34"/>
      <c r="D415" s="19" t="s">
        <v>14</v>
      </c>
      <c r="E415" s="19" t="s">
        <v>15</v>
      </c>
      <c r="F415" s="19" t="s">
        <v>16</v>
      </c>
      <c r="G415" s="19" t="s">
        <v>180</v>
      </c>
      <c r="H415" s="19" t="s">
        <v>17</v>
      </c>
      <c r="I415" s="19" t="s">
        <v>179</v>
      </c>
      <c r="J415" s="19" t="s">
        <v>19</v>
      </c>
      <c r="K415" s="19"/>
      <c r="L415" s="19"/>
      <c r="M415" s="19"/>
      <c r="N415" s="19"/>
      <c r="O415" s="19" t="s">
        <v>20</v>
      </c>
      <c r="P415" s="19" t="s">
        <v>21</v>
      </c>
      <c r="Q415" s="25"/>
      <c r="T415" s="25"/>
    </row>
    <row r="416" spans="2:20" x14ac:dyDescent="0.25">
      <c r="B416" s="34"/>
      <c r="D416" s="22">
        <v>4</v>
      </c>
      <c r="E416" s="22">
        <v>100</v>
      </c>
      <c r="F416" s="23" t="s">
        <v>1086</v>
      </c>
      <c r="G416" s="23" t="s">
        <v>1078</v>
      </c>
      <c r="H416" s="23" t="s">
        <v>1087</v>
      </c>
      <c r="I416" s="23" t="s">
        <v>1088</v>
      </c>
      <c r="J416" s="23" t="s">
        <v>1089</v>
      </c>
      <c r="K416" s="23"/>
      <c r="L416" s="23"/>
      <c r="M416" s="23"/>
      <c r="N416" s="23"/>
      <c r="O416" s="24">
        <v>68.400000000023283</v>
      </c>
      <c r="P416" s="24">
        <v>1.2312000000004191</v>
      </c>
      <c r="Q416" s="25"/>
      <c r="T416" s="25"/>
    </row>
    <row r="417" spans="2:20" x14ac:dyDescent="0.25">
      <c r="B417" s="34"/>
      <c r="D417" s="22">
        <v>4</v>
      </c>
      <c r="E417" s="22">
        <v>200</v>
      </c>
      <c r="F417" s="26" t="s">
        <v>1090</v>
      </c>
      <c r="G417" s="26" t="s">
        <v>1079</v>
      </c>
      <c r="H417" s="26" t="s">
        <v>1091</v>
      </c>
      <c r="I417" s="26" t="s">
        <v>1092</v>
      </c>
      <c r="J417" s="26" t="s">
        <v>1093</v>
      </c>
      <c r="K417" s="26"/>
      <c r="L417" s="26"/>
      <c r="M417" s="26"/>
      <c r="N417" s="26"/>
      <c r="O417" s="24">
        <v>136.77000000001863</v>
      </c>
      <c r="P417" s="24">
        <v>1.2309300000001677</v>
      </c>
      <c r="Q417" s="25"/>
      <c r="T417" s="25"/>
    </row>
    <row r="418" spans="2:20" x14ac:dyDescent="0.25">
      <c r="B418" s="34"/>
      <c r="D418" s="22">
        <v>5</v>
      </c>
      <c r="E418" s="22">
        <v>100</v>
      </c>
      <c r="F418" s="23" t="s">
        <v>1094</v>
      </c>
      <c r="G418" s="23" t="s">
        <v>1080</v>
      </c>
      <c r="H418" s="23" t="s">
        <v>1095</v>
      </c>
      <c r="I418" s="23" t="s">
        <v>1096</v>
      </c>
      <c r="J418" s="23" t="s">
        <v>1097</v>
      </c>
      <c r="K418" s="23"/>
      <c r="L418" s="23"/>
      <c r="M418" s="23"/>
      <c r="N418" s="23"/>
      <c r="O418" s="24">
        <v>91.92000000004191</v>
      </c>
      <c r="P418" s="24">
        <v>1.6545600000007545</v>
      </c>
      <c r="Q418" s="25"/>
      <c r="T418" s="25"/>
    </row>
    <row r="419" spans="2:20" x14ac:dyDescent="0.25">
      <c r="B419" s="34"/>
      <c r="D419" s="22">
        <v>5</v>
      </c>
      <c r="E419" s="22">
        <v>200</v>
      </c>
      <c r="F419" s="23" t="s">
        <v>1098</v>
      </c>
      <c r="G419" s="23" t="s">
        <v>1081</v>
      </c>
      <c r="H419" s="23" t="s">
        <v>1099</v>
      </c>
      <c r="I419" s="23" t="s">
        <v>1100</v>
      </c>
      <c r="J419" s="23" t="s">
        <v>1101</v>
      </c>
      <c r="K419" s="23"/>
      <c r="L419" s="23"/>
      <c r="M419" s="23"/>
      <c r="N419" s="23"/>
      <c r="O419" s="24">
        <v>183.87999999988824</v>
      </c>
      <c r="P419" s="24">
        <v>1.6549199999989943</v>
      </c>
      <c r="Q419" s="25"/>
      <c r="T419" s="25"/>
    </row>
    <row r="420" spans="2:20" x14ac:dyDescent="0.25">
      <c r="B420" s="34"/>
      <c r="D420" s="22">
        <v>6</v>
      </c>
      <c r="E420" s="22">
        <v>100</v>
      </c>
      <c r="F420" s="26" t="s">
        <v>1102</v>
      </c>
      <c r="G420" s="26" t="s">
        <v>1082</v>
      </c>
      <c r="H420" s="26" t="s">
        <v>1103</v>
      </c>
      <c r="I420" s="26" t="s">
        <v>1104</v>
      </c>
      <c r="J420" s="26" t="s">
        <v>1105</v>
      </c>
      <c r="K420" s="26"/>
      <c r="L420" s="26"/>
      <c r="M420" s="26"/>
      <c r="N420" s="26"/>
      <c r="O420" s="24">
        <v>110.22999999998137</v>
      </c>
      <c r="P420" s="24">
        <v>1.9841399999996647</v>
      </c>
      <c r="Q420" s="25"/>
      <c r="T420" s="25"/>
    </row>
    <row r="421" spans="2:20" x14ac:dyDescent="0.25">
      <c r="B421" s="34"/>
      <c r="D421" s="22">
        <v>6</v>
      </c>
      <c r="E421" s="22">
        <v>200</v>
      </c>
      <c r="F421" s="27" t="s">
        <v>1106</v>
      </c>
      <c r="G421" s="27" t="s">
        <v>1083</v>
      </c>
      <c r="H421" s="27" t="s">
        <v>1107</v>
      </c>
      <c r="I421" s="27" t="s">
        <v>1108</v>
      </c>
      <c r="J421" s="27" t="s">
        <v>1109</v>
      </c>
      <c r="K421" s="27"/>
      <c r="L421" s="27"/>
      <c r="M421" s="27"/>
      <c r="N421" s="27"/>
      <c r="O421" s="24">
        <v>220.44999999995343</v>
      </c>
      <c r="P421" s="24">
        <v>1.9840499999995811</v>
      </c>
      <c r="Q421" s="25"/>
      <c r="T421" s="25"/>
    </row>
    <row r="422" spans="2:20" x14ac:dyDescent="0.25">
      <c r="B422" s="34"/>
      <c r="D422" s="22"/>
      <c r="E422" s="22"/>
      <c r="F422" s="27"/>
      <c r="G422" s="27"/>
      <c r="H422" s="27"/>
      <c r="I422" s="27"/>
      <c r="J422" s="27"/>
      <c r="K422" s="27"/>
      <c r="L422" s="27"/>
      <c r="M422" s="27"/>
      <c r="N422" s="27"/>
      <c r="O422" s="24"/>
      <c r="P422" s="24"/>
      <c r="Q422" s="25"/>
      <c r="T422" s="25"/>
    </row>
    <row r="423" spans="2:20" ht="19.05" x14ac:dyDescent="0.35">
      <c r="B423" s="34"/>
      <c r="D423" s="13" t="s">
        <v>1110</v>
      </c>
      <c r="E423" s="13"/>
      <c r="G423" s="13"/>
      <c r="H423" s="13"/>
      <c r="I423" s="13"/>
      <c r="J423" s="13"/>
      <c r="K423" s="13"/>
      <c r="L423" s="13"/>
      <c r="O423" s="3"/>
      <c r="P423" s="18" t="s">
        <v>1036</v>
      </c>
      <c r="Q423" s="25"/>
      <c r="T423" s="25"/>
    </row>
    <row r="424" spans="2:20" x14ac:dyDescent="0.25">
      <c r="B424" s="34"/>
      <c r="D424" s="19" t="s">
        <v>14</v>
      </c>
      <c r="E424" s="19" t="s">
        <v>15</v>
      </c>
      <c r="F424" s="19" t="s">
        <v>180</v>
      </c>
      <c r="G424" s="19"/>
      <c r="H424" s="19"/>
      <c r="I424" s="19"/>
      <c r="J424" s="19"/>
      <c r="K424" s="19"/>
      <c r="L424" s="19"/>
      <c r="M424" s="19"/>
      <c r="N424" s="19"/>
      <c r="O424" s="19" t="s">
        <v>20</v>
      </c>
      <c r="P424" s="19" t="s">
        <v>21</v>
      </c>
      <c r="Q424" s="25"/>
      <c r="T424" s="25"/>
    </row>
    <row r="425" spans="2:20" x14ac:dyDescent="0.25">
      <c r="B425" s="34"/>
      <c r="D425" s="22">
        <v>4</v>
      </c>
      <c r="E425" s="22">
        <v>100</v>
      </c>
      <c r="F425" s="23" t="s">
        <v>1111</v>
      </c>
      <c r="G425" s="23"/>
      <c r="H425" s="23"/>
      <c r="I425" s="23"/>
      <c r="J425" s="23"/>
      <c r="K425" s="23"/>
      <c r="L425" s="23"/>
      <c r="M425" s="23"/>
      <c r="N425" s="23"/>
      <c r="O425" s="24">
        <v>57.950000000011642</v>
      </c>
      <c r="P425" s="24">
        <v>1.0431000000002095</v>
      </c>
      <c r="Q425" s="25"/>
      <c r="T425" s="25"/>
    </row>
    <row r="426" spans="2:20" x14ac:dyDescent="0.25">
      <c r="B426" s="34"/>
      <c r="D426" s="22">
        <v>4</v>
      </c>
      <c r="E426" s="22">
        <v>200</v>
      </c>
      <c r="F426" s="26" t="s">
        <v>1112</v>
      </c>
      <c r="G426" s="26"/>
      <c r="H426" s="26"/>
      <c r="I426" s="26"/>
      <c r="J426" s="26"/>
      <c r="K426" s="26"/>
      <c r="L426" s="26"/>
      <c r="M426" s="26"/>
      <c r="N426" s="26"/>
      <c r="O426" s="24">
        <v>115.88000000000466</v>
      </c>
      <c r="P426" s="24">
        <v>1.042920000000042</v>
      </c>
      <c r="Q426" s="25"/>
      <c r="T426" s="25"/>
    </row>
    <row r="427" spans="2:20" x14ac:dyDescent="0.25">
      <c r="B427" s="34"/>
      <c r="D427" s="22">
        <v>5</v>
      </c>
      <c r="E427" s="22">
        <v>100</v>
      </c>
      <c r="F427" s="23" t="s">
        <v>1113</v>
      </c>
      <c r="G427" s="23"/>
      <c r="H427" s="23"/>
      <c r="I427" s="23"/>
      <c r="J427" s="23"/>
      <c r="K427" s="23"/>
      <c r="L427" s="23"/>
      <c r="M427" s="23"/>
      <c r="N427" s="23"/>
      <c r="O427" s="24">
        <v>68.869999999995343</v>
      </c>
      <c r="P427" s="24">
        <v>1.2396599999999163</v>
      </c>
      <c r="Q427" s="25"/>
      <c r="T427" s="25"/>
    </row>
    <row r="428" spans="2:20" x14ac:dyDescent="0.25">
      <c r="B428" s="34"/>
      <c r="D428" s="22">
        <v>5</v>
      </c>
      <c r="E428" s="22">
        <v>200</v>
      </c>
      <c r="F428" s="23" t="s">
        <v>1114</v>
      </c>
      <c r="G428" s="23"/>
      <c r="H428" s="23"/>
      <c r="I428" s="23"/>
      <c r="J428" s="23"/>
      <c r="K428" s="23"/>
      <c r="L428" s="23"/>
      <c r="M428" s="23"/>
      <c r="N428" s="23"/>
      <c r="O428" s="24">
        <v>137.71999999997206</v>
      </c>
      <c r="P428" s="24">
        <v>1.2394799999997486</v>
      </c>
      <c r="Q428" s="25"/>
      <c r="T428" s="25"/>
    </row>
    <row r="429" spans="2:20" x14ac:dyDescent="0.25">
      <c r="B429" s="34"/>
      <c r="D429" s="22">
        <v>6</v>
      </c>
      <c r="E429" s="22">
        <v>100</v>
      </c>
      <c r="F429" s="26" t="s">
        <v>1115</v>
      </c>
      <c r="G429" s="26"/>
      <c r="H429" s="26"/>
      <c r="I429" s="26"/>
      <c r="J429" s="26"/>
      <c r="K429" s="26"/>
      <c r="L429" s="26"/>
      <c r="M429" s="26"/>
      <c r="N429" s="26"/>
      <c r="O429" s="24">
        <v>78.42000000004191</v>
      </c>
      <c r="P429" s="24">
        <v>1.4115600000007544</v>
      </c>
      <c r="Q429" s="25"/>
      <c r="T429" s="25"/>
    </row>
    <row r="430" spans="2:20" x14ac:dyDescent="0.25">
      <c r="B430" s="34"/>
      <c r="D430" s="22">
        <v>6</v>
      </c>
      <c r="E430" s="22">
        <v>200</v>
      </c>
      <c r="F430" s="23" t="s">
        <v>1116</v>
      </c>
      <c r="G430" s="23"/>
      <c r="H430" s="23"/>
      <c r="I430" s="23"/>
      <c r="J430" s="23"/>
      <c r="K430" s="23"/>
      <c r="L430" s="23"/>
      <c r="M430" s="23"/>
      <c r="N430" s="23"/>
      <c r="O430" s="24">
        <v>156.85000000009313</v>
      </c>
      <c r="P430" s="24">
        <v>1.4116500000008383</v>
      </c>
      <c r="Q430" s="25"/>
      <c r="T430" s="25"/>
    </row>
    <row r="431" spans="2:20" x14ac:dyDescent="0.25">
      <c r="B431" s="34"/>
      <c r="D431" s="22">
        <v>8</v>
      </c>
      <c r="E431" s="22">
        <v>100</v>
      </c>
      <c r="F431" s="26" t="s">
        <v>1117</v>
      </c>
      <c r="G431" s="26"/>
      <c r="H431" s="26"/>
      <c r="I431" s="26"/>
      <c r="J431" s="26"/>
      <c r="K431" s="26"/>
      <c r="L431" s="26"/>
      <c r="M431" s="26"/>
      <c r="N431" s="26"/>
      <c r="O431" s="24">
        <v>118.5</v>
      </c>
      <c r="P431" s="24">
        <v>2.133</v>
      </c>
      <c r="Q431" s="25"/>
      <c r="T431" s="25"/>
    </row>
    <row r="432" spans="2:20" x14ac:dyDescent="0.25">
      <c r="B432" s="34"/>
      <c r="D432" s="22">
        <v>8</v>
      </c>
      <c r="E432" s="22">
        <v>200</v>
      </c>
      <c r="F432" s="27" t="s">
        <v>1118</v>
      </c>
      <c r="G432" s="27"/>
      <c r="H432" s="27"/>
      <c r="I432" s="27"/>
      <c r="J432" s="27"/>
      <c r="K432" s="27"/>
      <c r="L432" s="27"/>
      <c r="M432" s="27"/>
      <c r="N432" s="27"/>
      <c r="O432" s="24">
        <v>237.01000000000931</v>
      </c>
      <c r="P432" s="24">
        <v>2.1330900000000836</v>
      </c>
      <c r="Q432" s="25"/>
      <c r="T432" s="25"/>
    </row>
    <row r="433" spans="2:20" x14ac:dyDescent="0.25">
      <c r="B433" s="34"/>
      <c r="D433" s="22"/>
      <c r="E433" s="22"/>
      <c r="F433" s="27"/>
      <c r="G433" s="27"/>
      <c r="H433" s="27"/>
      <c r="I433" s="27"/>
      <c r="J433" s="27"/>
      <c r="K433" s="27"/>
      <c r="L433" s="27"/>
      <c r="M433" s="27"/>
      <c r="N433" s="27"/>
      <c r="O433" s="24"/>
      <c r="P433" s="24"/>
      <c r="Q433" s="25"/>
      <c r="T433" s="25"/>
    </row>
    <row r="434" spans="2:20" ht="19.05" x14ac:dyDescent="0.35">
      <c r="B434" s="34"/>
      <c r="D434" s="13" t="s">
        <v>1110</v>
      </c>
      <c r="E434" s="13"/>
      <c r="G434" s="13" t="s">
        <v>536</v>
      </c>
      <c r="H434" s="13"/>
      <c r="I434" s="13"/>
      <c r="J434" s="13"/>
      <c r="K434" s="13"/>
      <c r="L434" s="13"/>
      <c r="O434" s="3"/>
      <c r="P434" s="18" t="s">
        <v>1036</v>
      </c>
      <c r="Q434" s="25"/>
      <c r="T434" s="25"/>
    </row>
    <row r="435" spans="2:20" x14ac:dyDescent="0.25">
      <c r="B435" s="34"/>
      <c r="D435" s="19" t="s">
        <v>14</v>
      </c>
      <c r="E435" s="19" t="s">
        <v>15</v>
      </c>
      <c r="F435" s="19" t="s">
        <v>17</v>
      </c>
      <c r="G435" s="19" t="s">
        <v>16</v>
      </c>
      <c r="H435" s="19" t="s">
        <v>179</v>
      </c>
      <c r="I435" s="19"/>
      <c r="J435" s="19"/>
      <c r="K435" s="19"/>
      <c r="L435" s="19"/>
      <c r="M435" s="19"/>
      <c r="N435" s="19"/>
      <c r="O435" s="19" t="s">
        <v>20</v>
      </c>
      <c r="P435" s="19" t="s">
        <v>21</v>
      </c>
      <c r="Q435" s="25"/>
      <c r="T435" s="25"/>
    </row>
    <row r="436" spans="2:20" x14ac:dyDescent="0.25">
      <c r="B436" s="34"/>
      <c r="D436" s="22">
        <v>4</v>
      </c>
      <c r="E436" s="22">
        <v>100</v>
      </c>
      <c r="F436" s="23" t="s">
        <v>1119</v>
      </c>
      <c r="G436" s="23" t="s">
        <v>1120</v>
      </c>
      <c r="H436" s="23" t="s">
        <v>1121</v>
      </c>
      <c r="I436" s="23"/>
      <c r="J436" s="23"/>
      <c r="K436" s="23"/>
      <c r="L436" s="23"/>
      <c r="M436" s="23"/>
      <c r="N436" s="23"/>
      <c r="O436" s="24">
        <v>69.760000000009313</v>
      </c>
      <c r="P436" s="24">
        <v>1.2556800000001678</v>
      </c>
      <c r="Q436" s="25"/>
      <c r="T436" s="25"/>
    </row>
    <row r="437" spans="2:20" x14ac:dyDescent="0.25">
      <c r="B437" s="34"/>
      <c r="D437" s="22">
        <v>4</v>
      </c>
      <c r="E437" s="22">
        <v>200</v>
      </c>
      <c r="F437" s="26" t="s">
        <v>1122</v>
      </c>
      <c r="G437" s="26" t="s">
        <v>1123</v>
      </c>
      <c r="H437" s="26" t="s">
        <v>1124</v>
      </c>
      <c r="I437" s="26"/>
      <c r="J437" s="26"/>
      <c r="K437" s="26"/>
      <c r="L437" s="26"/>
      <c r="M437" s="26"/>
      <c r="N437" s="26"/>
      <c r="O437" s="24">
        <v>139.51000000000931</v>
      </c>
      <c r="P437" s="24">
        <v>1.2555900000000839</v>
      </c>
      <c r="Q437" s="25"/>
      <c r="T437" s="25"/>
    </row>
    <row r="438" spans="2:20" x14ac:dyDescent="0.25">
      <c r="B438" s="34"/>
      <c r="D438" s="22">
        <v>5</v>
      </c>
      <c r="E438" s="22">
        <v>100</v>
      </c>
      <c r="F438" s="23" t="s">
        <v>1125</v>
      </c>
      <c r="G438" s="23" t="s">
        <v>1126</v>
      </c>
      <c r="H438" s="23" t="s">
        <v>1127</v>
      </c>
      <c r="I438" s="23"/>
      <c r="J438" s="23"/>
      <c r="K438" s="23"/>
      <c r="L438" s="23"/>
      <c r="M438" s="23"/>
      <c r="N438" s="23"/>
      <c r="O438" s="24">
        <v>72.839999999967404</v>
      </c>
      <c r="P438" s="24">
        <v>1.3111199999994134</v>
      </c>
      <c r="Q438" s="25"/>
      <c r="T438" s="25"/>
    </row>
    <row r="439" spans="2:20" x14ac:dyDescent="0.25">
      <c r="B439" s="34"/>
      <c r="D439" s="22">
        <v>5</v>
      </c>
      <c r="E439" s="22">
        <v>200</v>
      </c>
      <c r="F439" s="23" t="s">
        <v>1128</v>
      </c>
      <c r="G439" s="23" t="s">
        <v>1129</v>
      </c>
      <c r="H439" s="23" t="s">
        <v>1130</v>
      </c>
      <c r="I439" s="23"/>
      <c r="J439" s="23"/>
      <c r="K439" s="23"/>
      <c r="L439" s="23"/>
      <c r="M439" s="23"/>
      <c r="N439" s="23"/>
      <c r="O439" s="24">
        <v>145.62000000011176</v>
      </c>
      <c r="P439" s="24">
        <v>1.3105800000010057</v>
      </c>
      <c r="Q439" s="25"/>
      <c r="T439" s="25"/>
    </row>
    <row r="440" spans="2:20" x14ac:dyDescent="0.25">
      <c r="B440" s="34"/>
      <c r="D440" s="22">
        <v>6</v>
      </c>
      <c r="E440" s="22">
        <v>100</v>
      </c>
      <c r="F440" s="26" t="s">
        <v>1131</v>
      </c>
      <c r="G440" s="26" t="s">
        <v>1132</v>
      </c>
      <c r="H440" s="26" t="s">
        <v>1133</v>
      </c>
      <c r="I440" s="26"/>
      <c r="J440" s="26"/>
      <c r="K440" s="26"/>
      <c r="L440" s="26"/>
      <c r="M440" s="26"/>
      <c r="N440" s="26"/>
      <c r="O440" s="24">
        <v>92.310000000055879</v>
      </c>
      <c r="P440" s="24">
        <v>1.6615800000010059</v>
      </c>
      <c r="Q440" s="25"/>
      <c r="T440" s="25"/>
    </row>
    <row r="441" spans="2:20" x14ac:dyDescent="0.25">
      <c r="B441" s="34"/>
      <c r="D441" s="22">
        <v>6</v>
      </c>
      <c r="E441" s="22">
        <v>200</v>
      </c>
      <c r="F441" s="27" t="s">
        <v>1134</v>
      </c>
      <c r="G441" s="27" t="s">
        <v>1135</v>
      </c>
      <c r="H441" s="27" t="s">
        <v>1136</v>
      </c>
      <c r="I441" s="27"/>
      <c r="J441" s="27"/>
      <c r="K441" s="27"/>
      <c r="L441" s="27"/>
      <c r="M441" s="27"/>
      <c r="N441" s="27"/>
      <c r="O441" s="24">
        <v>184.62000000011176</v>
      </c>
      <c r="P441" s="24">
        <v>1.6615800000010059</v>
      </c>
      <c r="Q441" s="25"/>
      <c r="T441" s="25"/>
    </row>
    <row r="442" spans="2:20" x14ac:dyDescent="0.25">
      <c r="B442" s="22"/>
      <c r="D442" s="22"/>
      <c r="E442" s="22"/>
      <c r="F442" s="27"/>
      <c r="G442" s="27"/>
      <c r="H442" s="27"/>
      <c r="I442" s="27"/>
      <c r="J442" s="27"/>
      <c r="K442" s="27"/>
      <c r="L442" s="27"/>
      <c r="M442" s="27"/>
      <c r="N442" s="27"/>
      <c r="O442" s="24"/>
      <c r="P442" s="24"/>
      <c r="Q442" s="25"/>
      <c r="T442" s="25"/>
    </row>
    <row r="443" spans="2:20" x14ac:dyDescent="0.25">
      <c r="B443" s="22"/>
      <c r="D443" s="22"/>
      <c r="E443" s="22"/>
      <c r="F443" s="27"/>
      <c r="G443" s="27"/>
      <c r="H443" s="27"/>
      <c r="I443" s="27"/>
      <c r="J443" s="27"/>
      <c r="K443" s="27"/>
      <c r="L443" s="27"/>
      <c r="M443" s="27"/>
      <c r="N443" s="27"/>
      <c r="O443" s="24"/>
      <c r="P443" s="24"/>
      <c r="Q443" s="25"/>
      <c r="T443" s="25"/>
    </row>
    <row r="444" spans="2:20" ht="19.05" x14ac:dyDescent="0.35">
      <c r="B444" s="36"/>
      <c r="D444" s="13" t="s">
        <v>1137</v>
      </c>
      <c r="E444" s="13"/>
      <c r="G444" s="13"/>
      <c r="H444" s="13"/>
      <c r="I444" s="13"/>
      <c r="J444" s="13"/>
      <c r="K444" s="13"/>
      <c r="L444" s="13"/>
      <c r="O444" s="3"/>
      <c r="P444" s="18" t="s">
        <v>1138</v>
      </c>
      <c r="Q444" s="25"/>
      <c r="T444" s="25"/>
    </row>
    <row r="445" spans="2:20" x14ac:dyDescent="0.25">
      <c r="B445" s="36"/>
      <c r="D445" s="19" t="s">
        <v>14</v>
      </c>
      <c r="E445" s="19" t="s">
        <v>15</v>
      </c>
      <c r="F445" s="19" t="s">
        <v>180</v>
      </c>
      <c r="G445" s="19" t="s">
        <v>1139</v>
      </c>
      <c r="H445" s="19"/>
      <c r="I445" s="19"/>
      <c r="J445" s="19"/>
      <c r="K445" s="19"/>
      <c r="L445" s="19"/>
      <c r="M445" s="19"/>
      <c r="N445" s="19"/>
      <c r="O445" s="19" t="s">
        <v>20</v>
      </c>
      <c r="P445" s="19" t="s">
        <v>21</v>
      </c>
      <c r="Q445" s="25"/>
      <c r="T445" s="25"/>
    </row>
    <row r="446" spans="2:20" x14ac:dyDescent="0.25">
      <c r="B446" s="36"/>
      <c r="D446" s="22">
        <v>3.8</v>
      </c>
      <c r="E446" s="22">
        <v>100</v>
      </c>
      <c r="F446" s="23" t="s">
        <v>1140</v>
      </c>
      <c r="G446" s="23" t="s">
        <v>1141</v>
      </c>
      <c r="H446" s="23"/>
      <c r="I446" s="23"/>
      <c r="J446" s="23"/>
      <c r="K446" s="23"/>
      <c r="L446" s="23"/>
      <c r="M446" s="23"/>
      <c r="N446" s="23"/>
      <c r="O446" s="24">
        <v>202.47999999998137</v>
      </c>
      <c r="P446" s="24">
        <v>3.6446399999996646</v>
      </c>
      <c r="Q446" s="25"/>
      <c r="T446" s="25"/>
    </row>
    <row r="447" spans="2:20" x14ac:dyDescent="0.25">
      <c r="B447" s="36"/>
      <c r="D447" s="22">
        <v>3.8</v>
      </c>
      <c r="E447" s="22">
        <v>200</v>
      </c>
      <c r="F447" s="27" t="s">
        <v>1142</v>
      </c>
      <c r="G447" s="27" t="s">
        <v>1143</v>
      </c>
      <c r="H447" s="27"/>
      <c r="I447" s="27"/>
      <c r="J447" s="27"/>
      <c r="K447" s="27"/>
      <c r="L447" s="27"/>
      <c r="M447" s="27"/>
      <c r="N447" s="27"/>
      <c r="O447" s="24">
        <v>404.93999999994412</v>
      </c>
      <c r="P447" s="24">
        <v>3.6444599999994973</v>
      </c>
      <c r="Q447" s="25"/>
      <c r="T447" s="25"/>
    </row>
    <row r="448" spans="2:20" x14ac:dyDescent="0.25">
      <c r="B448" s="36"/>
      <c r="D448" s="22"/>
      <c r="E448" s="22"/>
      <c r="F448" s="27"/>
      <c r="G448" s="27"/>
      <c r="H448" s="27"/>
      <c r="I448" s="27"/>
      <c r="J448" s="27"/>
      <c r="K448" s="27"/>
      <c r="L448" s="27"/>
      <c r="M448" s="27"/>
      <c r="N448" s="27"/>
      <c r="O448" s="24"/>
      <c r="P448" s="24"/>
      <c r="Q448" s="25"/>
      <c r="T448" s="25"/>
    </row>
    <row r="449" spans="2:20" ht="19.05" x14ac:dyDescent="0.35">
      <c r="B449" s="36"/>
      <c r="D449" s="13" t="s">
        <v>1144</v>
      </c>
      <c r="E449" s="13"/>
      <c r="G449" s="13"/>
      <c r="H449" s="13"/>
      <c r="I449" s="13"/>
      <c r="J449" s="13"/>
      <c r="K449" s="13"/>
      <c r="L449" s="13"/>
      <c r="O449" s="3"/>
      <c r="P449" s="18" t="s">
        <v>1138</v>
      </c>
      <c r="Q449" s="25"/>
      <c r="T449" s="25"/>
    </row>
    <row r="450" spans="2:20" x14ac:dyDescent="0.25">
      <c r="B450" s="36"/>
      <c r="D450" s="19" t="s">
        <v>14</v>
      </c>
      <c r="E450" s="19" t="s">
        <v>15</v>
      </c>
      <c r="F450" s="19" t="s">
        <v>180</v>
      </c>
      <c r="G450" s="19"/>
      <c r="H450" s="19"/>
      <c r="I450" s="19"/>
      <c r="J450" s="19"/>
      <c r="K450" s="19"/>
      <c r="L450" s="19"/>
      <c r="M450" s="19"/>
      <c r="N450" s="19"/>
      <c r="O450" s="19" t="s">
        <v>20</v>
      </c>
      <c r="P450" s="19" t="s">
        <v>21</v>
      </c>
      <c r="Q450" s="25"/>
      <c r="T450" s="25"/>
    </row>
    <row r="451" spans="2:20" x14ac:dyDescent="0.25">
      <c r="B451" s="36"/>
      <c r="D451" s="22">
        <v>3.8</v>
      </c>
      <c r="E451" s="22">
        <v>100</v>
      </c>
      <c r="F451" s="23" t="s">
        <v>1145</v>
      </c>
      <c r="G451" s="23"/>
      <c r="H451" s="23"/>
      <c r="I451" s="23"/>
      <c r="J451" s="23"/>
      <c r="K451" s="23"/>
      <c r="L451" s="23"/>
      <c r="M451" s="23"/>
      <c r="N451" s="23"/>
      <c r="O451" s="24">
        <v>202.47999999998137</v>
      </c>
      <c r="P451" s="24">
        <v>3.6446399999996646</v>
      </c>
      <c r="Q451" s="25"/>
      <c r="T451" s="25"/>
    </row>
    <row r="452" spans="2:20" x14ac:dyDescent="0.25">
      <c r="B452" s="36"/>
      <c r="D452" s="22">
        <v>3.8</v>
      </c>
      <c r="E452" s="22">
        <v>200</v>
      </c>
      <c r="F452" s="27" t="s">
        <v>1146</v>
      </c>
      <c r="G452" s="27"/>
      <c r="H452" s="27"/>
      <c r="I452" s="27"/>
      <c r="J452" s="27"/>
      <c r="K452" s="27"/>
      <c r="L452" s="27"/>
      <c r="M452" s="27"/>
      <c r="N452" s="27"/>
      <c r="O452" s="24">
        <v>404.93999999994412</v>
      </c>
      <c r="P452" s="24">
        <v>3.6444599999994973</v>
      </c>
      <c r="Q452" s="25"/>
      <c r="T452" s="25"/>
    </row>
    <row r="453" spans="2:20" x14ac:dyDescent="0.25">
      <c r="B453" s="36"/>
      <c r="D453" s="22"/>
      <c r="E453" s="22"/>
      <c r="F453" s="27"/>
      <c r="G453" s="27"/>
      <c r="H453" s="27"/>
      <c r="I453" s="27"/>
      <c r="J453" s="27"/>
      <c r="K453" s="27"/>
      <c r="L453" s="27"/>
      <c r="M453" s="27"/>
      <c r="N453" s="27"/>
      <c r="O453" s="24"/>
      <c r="P453" s="24"/>
      <c r="Q453" s="25"/>
      <c r="T453" s="25"/>
    </row>
    <row r="454" spans="2:20" ht="19.05" x14ac:dyDescent="0.35">
      <c r="B454" s="36"/>
      <c r="D454" s="13" t="s">
        <v>1147</v>
      </c>
      <c r="E454" s="13"/>
      <c r="G454" s="13"/>
      <c r="H454" s="13"/>
      <c r="I454" s="13"/>
      <c r="J454" s="13"/>
      <c r="K454" s="13"/>
      <c r="L454" s="13"/>
      <c r="O454" s="3"/>
      <c r="P454" s="18" t="s">
        <v>1138</v>
      </c>
      <c r="Q454" s="25"/>
      <c r="T454" s="25"/>
    </row>
    <row r="455" spans="2:20" x14ac:dyDescent="0.25">
      <c r="B455" s="36"/>
      <c r="D455" s="19" t="s">
        <v>14</v>
      </c>
      <c r="E455" s="19" t="s">
        <v>15</v>
      </c>
      <c r="F455" s="19" t="s">
        <v>179</v>
      </c>
      <c r="G455" s="19" t="s">
        <v>17</v>
      </c>
      <c r="H455" s="19" t="s">
        <v>16</v>
      </c>
      <c r="I455" s="19" t="s">
        <v>1148</v>
      </c>
      <c r="J455" s="19"/>
      <c r="K455" s="19"/>
      <c r="L455" s="19"/>
      <c r="M455" s="19"/>
      <c r="N455" s="19"/>
      <c r="O455" s="19" t="s">
        <v>20</v>
      </c>
      <c r="P455" s="19" t="s">
        <v>21</v>
      </c>
      <c r="Q455" s="25"/>
      <c r="T455" s="25"/>
    </row>
    <row r="456" spans="2:20" x14ac:dyDescent="0.25">
      <c r="B456" s="36"/>
      <c r="D456" s="22">
        <v>1.3</v>
      </c>
      <c r="E456" s="22">
        <v>100</v>
      </c>
      <c r="F456" s="23" t="s">
        <v>1149</v>
      </c>
      <c r="G456" s="23" t="s">
        <v>1150</v>
      </c>
      <c r="H456" s="23" t="s">
        <v>1151</v>
      </c>
      <c r="I456" s="23" t="s">
        <v>1152</v>
      </c>
      <c r="J456" s="23"/>
      <c r="K456" s="23"/>
      <c r="L456" s="23"/>
      <c r="M456" s="23"/>
      <c r="N456" s="23"/>
      <c r="O456" s="24">
        <v>44.150000000023283</v>
      </c>
      <c r="P456" s="24">
        <v>0.79470000000041907</v>
      </c>
      <c r="Q456" s="25"/>
      <c r="T456" s="25"/>
    </row>
    <row r="457" spans="2:20" x14ac:dyDescent="0.25">
      <c r="B457" s="36"/>
      <c r="D457" s="22">
        <v>1.3</v>
      </c>
      <c r="E457" s="22">
        <v>500</v>
      </c>
      <c r="F457" s="23" t="s">
        <v>1153</v>
      </c>
      <c r="G457" s="23" t="s">
        <v>1154</v>
      </c>
      <c r="H457" s="23" t="s">
        <v>1155</v>
      </c>
      <c r="I457" s="23" t="s">
        <v>1156</v>
      </c>
      <c r="J457" s="23"/>
      <c r="K457" s="23"/>
      <c r="L457" s="23"/>
      <c r="M457" s="23"/>
      <c r="N457" s="23"/>
      <c r="O457" s="24">
        <v>220.83000000007451</v>
      </c>
      <c r="P457" s="24">
        <v>0.79498800000026826</v>
      </c>
      <c r="Q457" s="25"/>
      <c r="T457" s="25"/>
    </row>
    <row r="458" spans="2:20" x14ac:dyDescent="0.25">
      <c r="B458" s="36"/>
      <c r="D458" s="22">
        <v>1.3</v>
      </c>
      <c r="E458" s="22">
        <v>1000</v>
      </c>
      <c r="F458" s="23" t="s">
        <v>1157</v>
      </c>
      <c r="G458" s="23" t="s">
        <v>1158</v>
      </c>
      <c r="H458" s="23" t="s">
        <v>1159</v>
      </c>
      <c r="I458" s="23" t="s">
        <v>1160</v>
      </c>
      <c r="J458" s="23"/>
      <c r="K458" s="23"/>
      <c r="L458" s="23"/>
      <c r="M458" s="23"/>
      <c r="N458" s="23"/>
      <c r="O458" s="24">
        <v>441.64999999990687</v>
      </c>
      <c r="P458" s="24">
        <v>0.79496999999983231</v>
      </c>
      <c r="Q458" s="25"/>
      <c r="T458" s="25"/>
    </row>
    <row r="459" spans="2:20" x14ac:dyDescent="0.25">
      <c r="B459" s="36"/>
      <c r="D459" s="22">
        <v>1.5</v>
      </c>
      <c r="E459" s="22">
        <v>100</v>
      </c>
      <c r="F459" s="23" t="s">
        <v>1161</v>
      </c>
      <c r="G459" s="23" t="s">
        <v>1162</v>
      </c>
      <c r="H459" s="23" t="s">
        <v>1163</v>
      </c>
      <c r="I459" s="23" t="s">
        <v>1164</v>
      </c>
      <c r="J459" s="23"/>
      <c r="K459" s="23"/>
      <c r="L459" s="23"/>
      <c r="M459" s="23"/>
      <c r="N459" s="23"/>
      <c r="O459" s="24">
        <v>53.760000000009313</v>
      </c>
      <c r="P459" s="24">
        <v>0.96768000000016774</v>
      </c>
      <c r="Q459" s="25"/>
      <c r="T459" s="25"/>
    </row>
    <row r="460" spans="2:20" x14ac:dyDescent="0.25">
      <c r="B460" s="36"/>
      <c r="D460" s="22">
        <v>1.5</v>
      </c>
      <c r="E460" s="22">
        <v>500</v>
      </c>
      <c r="F460" s="23" t="s">
        <v>1165</v>
      </c>
      <c r="G460" s="23" t="s">
        <v>1166</v>
      </c>
      <c r="H460" s="23" t="s">
        <v>1167</v>
      </c>
      <c r="I460" s="23" t="s">
        <v>1168</v>
      </c>
      <c r="J460" s="23"/>
      <c r="K460" s="23"/>
      <c r="L460" s="23"/>
      <c r="M460" s="23"/>
      <c r="N460" s="23"/>
      <c r="O460" s="24">
        <v>268.89000000013039</v>
      </c>
      <c r="P460" s="24">
        <v>0.96800400000046938</v>
      </c>
      <c r="Q460" s="25"/>
      <c r="T460" s="25"/>
    </row>
    <row r="461" spans="2:20" x14ac:dyDescent="0.25">
      <c r="B461" s="36"/>
      <c r="D461" s="22">
        <v>1.5</v>
      </c>
      <c r="E461" s="22">
        <v>1000</v>
      </c>
      <c r="F461" s="27" t="s">
        <v>1169</v>
      </c>
      <c r="G461" s="27" t="s">
        <v>1170</v>
      </c>
      <c r="H461" s="27" t="s">
        <v>1171</v>
      </c>
      <c r="I461" s="27" t="s">
        <v>1172</v>
      </c>
      <c r="J461" s="27"/>
      <c r="K461" s="27"/>
      <c r="L461" s="27"/>
      <c r="M461" s="27"/>
      <c r="N461" s="27"/>
      <c r="O461" s="24">
        <v>0</v>
      </c>
      <c r="P461" s="24">
        <v>0</v>
      </c>
      <c r="Q461" s="25"/>
      <c r="T461" s="25"/>
    </row>
    <row r="462" spans="2:20" x14ac:dyDescent="0.25">
      <c r="B462" s="36"/>
      <c r="D462" s="22"/>
      <c r="E462" s="22"/>
      <c r="F462" s="27"/>
      <c r="G462" s="27"/>
      <c r="H462" s="27"/>
      <c r="I462" s="27"/>
      <c r="J462" s="27"/>
      <c r="K462" s="27"/>
      <c r="L462" s="27"/>
      <c r="M462" s="27"/>
      <c r="N462" s="27"/>
      <c r="O462" s="24"/>
      <c r="P462" s="24"/>
      <c r="Q462" s="25"/>
      <c r="T462" s="25"/>
    </row>
    <row r="463" spans="2:20" ht="19.05" x14ac:dyDescent="0.35">
      <c r="B463" s="36"/>
      <c r="D463" s="13" t="s">
        <v>1173</v>
      </c>
      <c r="E463" s="13"/>
      <c r="G463" s="13"/>
      <c r="H463" s="13"/>
      <c r="I463" s="13"/>
      <c r="J463" s="13"/>
      <c r="K463" s="13"/>
      <c r="L463" s="13"/>
      <c r="O463" s="3"/>
      <c r="P463" s="18" t="s">
        <v>1138</v>
      </c>
      <c r="Q463" s="25"/>
      <c r="T463" s="25"/>
    </row>
    <row r="464" spans="2:20" x14ac:dyDescent="0.25">
      <c r="B464" s="36"/>
      <c r="D464" s="19" t="s">
        <v>14</v>
      </c>
      <c r="E464" s="19" t="s">
        <v>15</v>
      </c>
      <c r="F464" s="19" t="s">
        <v>179</v>
      </c>
      <c r="G464" s="19" t="s">
        <v>17</v>
      </c>
      <c r="H464" s="19" t="s">
        <v>16</v>
      </c>
      <c r="I464" s="19" t="s">
        <v>1148</v>
      </c>
      <c r="J464" s="19"/>
      <c r="K464" s="19"/>
      <c r="L464" s="19"/>
      <c r="M464" s="19"/>
      <c r="N464" s="19"/>
      <c r="O464" s="19" t="s">
        <v>20</v>
      </c>
      <c r="P464" s="19" t="s">
        <v>21</v>
      </c>
      <c r="Q464" s="25"/>
      <c r="T464" s="25"/>
    </row>
    <row r="465" spans="1:20" x14ac:dyDescent="0.25">
      <c r="B465" s="36"/>
      <c r="D465" s="22">
        <v>1.8</v>
      </c>
      <c r="E465" s="22">
        <v>100</v>
      </c>
      <c r="F465" s="23" t="s">
        <v>1174</v>
      </c>
      <c r="G465" s="23" t="s">
        <v>1175</v>
      </c>
      <c r="H465" s="23" t="s">
        <v>1176</v>
      </c>
      <c r="I465" s="23" t="s">
        <v>1177</v>
      </c>
      <c r="J465" s="23"/>
      <c r="K465" s="23"/>
      <c r="L465" s="23"/>
      <c r="M465" s="23"/>
      <c r="N465" s="23"/>
      <c r="O465" s="24">
        <v>51.570000000006985</v>
      </c>
      <c r="P465" s="24">
        <v>0.92826000000012565</v>
      </c>
      <c r="Q465" s="25"/>
      <c r="T465" s="25"/>
    </row>
    <row r="466" spans="1:20" x14ac:dyDescent="0.25">
      <c r="B466" s="36"/>
      <c r="D466" s="22">
        <v>1.8</v>
      </c>
      <c r="E466" s="22">
        <v>500</v>
      </c>
      <c r="F466" s="23" t="s">
        <v>1178</v>
      </c>
      <c r="G466" s="23" t="s">
        <v>117</v>
      </c>
      <c r="H466" s="23" t="s">
        <v>117</v>
      </c>
      <c r="I466" s="23" t="s">
        <v>117</v>
      </c>
      <c r="J466" s="23"/>
      <c r="K466" s="23"/>
      <c r="L466" s="23"/>
      <c r="M466" s="23"/>
      <c r="N466" s="23"/>
      <c r="O466" s="24">
        <v>257.85999999986961</v>
      </c>
      <c r="P466" s="24">
        <v>0.92829599999953061</v>
      </c>
      <c r="Q466" s="25"/>
      <c r="T466" s="25"/>
    </row>
    <row r="467" spans="1:20" x14ac:dyDescent="0.25">
      <c r="B467" s="36"/>
      <c r="D467" s="22">
        <v>1.8</v>
      </c>
      <c r="E467" s="22">
        <v>1000</v>
      </c>
      <c r="F467" s="27" t="s">
        <v>1179</v>
      </c>
      <c r="G467" s="27" t="s">
        <v>1180</v>
      </c>
      <c r="H467" s="27" t="s">
        <v>1181</v>
      </c>
      <c r="I467" s="27" t="s">
        <v>117</v>
      </c>
      <c r="J467" s="27"/>
      <c r="K467" s="27"/>
      <c r="L467" s="27"/>
      <c r="M467" s="27"/>
      <c r="N467" s="27"/>
      <c r="O467" s="24">
        <v>515.75</v>
      </c>
      <c r="P467" s="24">
        <v>0.92835000000000001</v>
      </c>
      <c r="Q467" s="25"/>
      <c r="T467" s="25"/>
    </row>
    <row r="468" spans="1:20" x14ac:dyDescent="0.25">
      <c r="A468" s="22"/>
      <c r="B468" s="22"/>
      <c r="D468" s="22"/>
      <c r="E468" s="22"/>
      <c r="F468" s="27"/>
      <c r="G468" s="27"/>
      <c r="H468" s="27"/>
      <c r="I468" s="27"/>
      <c r="J468" s="27"/>
      <c r="K468" s="27"/>
      <c r="L468" s="27"/>
      <c r="M468" s="27"/>
      <c r="N468" s="27"/>
      <c r="O468" s="24"/>
      <c r="P468" s="24"/>
      <c r="Q468" s="25"/>
      <c r="T468" s="25"/>
    </row>
    <row r="469" spans="1:20" x14ac:dyDescent="0.25">
      <c r="A469" s="22"/>
      <c r="B469" s="22"/>
      <c r="D469" s="22"/>
      <c r="E469" s="22"/>
      <c r="F469" s="27"/>
      <c r="G469" s="27"/>
      <c r="H469" s="27"/>
      <c r="I469" s="27"/>
      <c r="J469" s="27"/>
      <c r="K469" s="27"/>
      <c r="L469" s="27"/>
      <c r="M469" s="27"/>
      <c r="N469" s="27"/>
      <c r="O469" s="24"/>
      <c r="P469" s="24"/>
      <c r="Q469" s="25"/>
      <c r="T469" s="25"/>
    </row>
    <row r="470" spans="1:20" ht="19.05" x14ac:dyDescent="0.35">
      <c r="B470" s="37"/>
      <c r="D470" s="13" t="s">
        <v>1182</v>
      </c>
      <c r="E470" s="13"/>
      <c r="G470" s="13"/>
      <c r="H470" s="13"/>
      <c r="I470" s="13"/>
      <c r="J470" s="13"/>
      <c r="K470" s="13"/>
      <c r="L470" s="13"/>
      <c r="O470" s="3"/>
      <c r="P470" s="18" t="s">
        <v>1183</v>
      </c>
      <c r="Q470" s="25"/>
      <c r="T470" s="25"/>
    </row>
    <row r="471" spans="1:20" x14ac:dyDescent="0.25">
      <c r="B471" s="37"/>
      <c r="D471" s="19" t="s">
        <v>14</v>
      </c>
      <c r="E471" s="19" t="s">
        <v>15</v>
      </c>
      <c r="F471" s="19" t="s">
        <v>179</v>
      </c>
      <c r="G471" s="19" t="s">
        <v>180</v>
      </c>
      <c r="H471" s="19"/>
      <c r="I471" s="19"/>
      <c r="J471" s="19"/>
      <c r="K471" s="19"/>
      <c r="L471" s="19"/>
      <c r="O471" s="19" t="s">
        <v>20</v>
      </c>
      <c r="P471" s="19" t="s">
        <v>21</v>
      </c>
      <c r="Q471" s="25"/>
      <c r="R471" s="25"/>
    </row>
    <row r="472" spans="1:20" x14ac:dyDescent="0.25">
      <c r="B472" s="37"/>
      <c r="D472" s="22">
        <v>12</v>
      </c>
      <c r="E472" s="22">
        <v>100</v>
      </c>
      <c r="F472" s="23" t="s">
        <v>1184</v>
      </c>
      <c r="G472" s="23" t="s">
        <v>1185</v>
      </c>
      <c r="H472" s="23"/>
      <c r="I472" s="23"/>
      <c r="J472" s="23"/>
      <c r="K472" s="23"/>
      <c r="L472" s="23"/>
      <c r="M472" s="23"/>
      <c r="N472" s="23"/>
      <c r="O472" s="24">
        <v>234.79000000003725</v>
      </c>
      <c r="P472" s="24">
        <v>4.2262200000006711</v>
      </c>
      <c r="Q472" s="25"/>
      <c r="R472" s="25"/>
    </row>
    <row r="473" spans="1:20" x14ac:dyDescent="0.25">
      <c r="B473" s="37"/>
      <c r="D473" s="22">
        <v>12</v>
      </c>
      <c r="E473" s="22">
        <v>200</v>
      </c>
      <c r="F473" s="23" t="s">
        <v>1186</v>
      </c>
      <c r="G473" s="23" t="s">
        <v>1187</v>
      </c>
      <c r="H473" s="23"/>
      <c r="I473" s="23"/>
      <c r="J473" s="23"/>
      <c r="K473" s="23"/>
      <c r="L473" s="23"/>
      <c r="M473" s="23"/>
      <c r="N473" s="23"/>
      <c r="O473" s="24">
        <v>469.58999999985099</v>
      </c>
      <c r="P473" s="24">
        <v>4.2263099999986586</v>
      </c>
      <c r="Q473" s="25"/>
      <c r="R473" s="25"/>
    </row>
    <row r="474" spans="1:20" x14ac:dyDescent="0.25">
      <c r="B474" s="37"/>
      <c r="D474" s="22">
        <v>14</v>
      </c>
      <c r="E474" s="22">
        <v>100</v>
      </c>
      <c r="F474" s="23" t="s">
        <v>1188</v>
      </c>
      <c r="G474" s="23" t="s">
        <v>1189</v>
      </c>
      <c r="H474" s="23"/>
      <c r="I474" s="23"/>
      <c r="J474" s="23"/>
      <c r="K474" s="23"/>
      <c r="L474" s="23"/>
      <c r="M474" s="23"/>
      <c r="N474" s="23"/>
      <c r="O474" s="24">
        <v>316.83000000007451</v>
      </c>
      <c r="P474" s="24">
        <v>5.702940000001341</v>
      </c>
      <c r="Q474" s="25"/>
      <c r="R474" s="25"/>
    </row>
    <row r="475" spans="1:20" x14ac:dyDescent="0.25">
      <c r="B475" s="37"/>
      <c r="D475" s="22">
        <v>14</v>
      </c>
      <c r="E475" s="22">
        <v>200</v>
      </c>
      <c r="F475" s="23" t="s">
        <v>1190</v>
      </c>
      <c r="G475" s="23" t="s">
        <v>1191</v>
      </c>
      <c r="H475" s="23"/>
      <c r="I475" s="23"/>
      <c r="J475" s="23"/>
      <c r="K475" s="23"/>
      <c r="L475" s="23"/>
      <c r="M475" s="23"/>
      <c r="N475" s="23"/>
      <c r="O475" s="24">
        <v>633.67999999970198</v>
      </c>
      <c r="P475" s="24">
        <v>5.7031199999973179</v>
      </c>
      <c r="Q475" s="25"/>
      <c r="R475" s="25"/>
    </row>
    <row r="476" spans="1:20" x14ac:dyDescent="0.25">
      <c r="B476" s="37"/>
      <c r="D476" s="22">
        <v>16</v>
      </c>
      <c r="E476" s="22">
        <v>100</v>
      </c>
      <c r="F476" s="23" t="s">
        <v>1192</v>
      </c>
      <c r="G476" s="23" t="s">
        <v>1193</v>
      </c>
      <c r="H476" s="23"/>
      <c r="I476" s="23"/>
      <c r="J476" s="23"/>
      <c r="K476" s="23"/>
      <c r="L476" s="23"/>
      <c r="M476" s="23"/>
      <c r="N476" s="23"/>
      <c r="O476" s="24">
        <v>411.72999999998137</v>
      </c>
      <c r="P476" s="24">
        <v>7.4111399999996648</v>
      </c>
      <c r="Q476" s="25"/>
      <c r="R476" s="25"/>
    </row>
    <row r="477" spans="1:20" x14ac:dyDescent="0.25">
      <c r="B477" s="37"/>
      <c r="D477" s="22">
        <v>16</v>
      </c>
      <c r="E477" s="22">
        <v>200</v>
      </c>
      <c r="F477" s="23" t="s">
        <v>1194</v>
      </c>
      <c r="G477" s="23" t="s">
        <v>1195</v>
      </c>
      <c r="H477" s="23"/>
      <c r="I477" s="23"/>
      <c r="J477" s="23"/>
      <c r="K477" s="23"/>
      <c r="L477" s="23"/>
      <c r="M477" s="23"/>
      <c r="N477" s="23"/>
      <c r="O477" s="24">
        <v>823.45000000018626</v>
      </c>
      <c r="P477" s="24">
        <v>7.4110500000016772</v>
      </c>
      <c r="Q477" s="25"/>
      <c r="R477" s="25"/>
    </row>
    <row r="478" spans="1:20" x14ac:dyDescent="0.25">
      <c r="B478" s="37"/>
      <c r="D478" s="38" t="s">
        <v>1196</v>
      </c>
      <c r="E478" s="35"/>
      <c r="F478" s="27"/>
      <c r="G478" s="27"/>
      <c r="H478" s="27"/>
      <c r="I478" s="27"/>
      <c r="J478" s="27"/>
      <c r="K478" s="27"/>
      <c r="O478" s="3"/>
      <c r="P478" s="18" t="s">
        <v>1183</v>
      </c>
      <c r="Q478" s="25"/>
      <c r="R478" s="25"/>
    </row>
    <row r="479" spans="1:20" x14ac:dyDescent="0.25">
      <c r="B479" s="37"/>
      <c r="D479" s="19" t="s">
        <v>14</v>
      </c>
      <c r="E479" s="19" t="s">
        <v>15</v>
      </c>
      <c r="F479" s="19" t="s">
        <v>179</v>
      </c>
      <c r="G479" s="19" t="s">
        <v>180</v>
      </c>
      <c r="H479" s="19"/>
      <c r="I479" s="19"/>
      <c r="J479" s="19"/>
      <c r="K479" s="19"/>
      <c r="L479" s="19"/>
      <c r="O479" s="19" t="s">
        <v>20</v>
      </c>
      <c r="P479" s="19" t="s">
        <v>1015</v>
      </c>
      <c r="Q479" s="25"/>
      <c r="R479" s="25"/>
    </row>
    <row r="480" spans="1:20" x14ac:dyDescent="0.25">
      <c r="B480" s="37"/>
      <c r="D480" s="22">
        <v>12</v>
      </c>
      <c r="E480" s="22">
        <v>6</v>
      </c>
      <c r="F480" s="23" t="s">
        <v>1197</v>
      </c>
      <c r="G480" s="23" t="s">
        <v>1198</v>
      </c>
      <c r="H480" s="23"/>
      <c r="I480" s="23"/>
      <c r="J480" s="23"/>
      <c r="K480" s="23"/>
      <c r="L480" s="23"/>
      <c r="M480" s="23"/>
      <c r="N480" s="23"/>
      <c r="O480" s="24">
        <v>22.989999999990687</v>
      </c>
      <c r="P480" s="24">
        <v>41.381999999983236</v>
      </c>
      <c r="Q480" s="25"/>
      <c r="R480" s="25"/>
    </row>
    <row r="481" spans="2:20" x14ac:dyDescent="0.25">
      <c r="B481" s="37"/>
      <c r="D481" s="22">
        <v>12</v>
      </c>
      <c r="E481" s="22">
        <v>9</v>
      </c>
      <c r="F481" s="23" t="s">
        <v>1199</v>
      </c>
      <c r="G481" s="23" t="s">
        <v>1200</v>
      </c>
      <c r="H481" s="23"/>
      <c r="I481" s="23"/>
      <c r="J481" s="23"/>
      <c r="K481" s="23"/>
      <c r="L481" s="23"/>
      <c r="M481" s="23"/>
      <c r="N481" s="23"/>
      <c r="O481" s="24">
        <v>29.799999999988358</v>
      </c>
      <c r="P481" s="24">
        <v>53.639999999979047</v>
      </c>
      <c r="Q481" s="25"/>
      <c r="R481" s="25"/>
    </row>
    <row r="482" spans="2:20" x14ac:dyDescent="0.25">
      <c r="B482" s="37"/>
      <c r="D482" s="22">
        <v>14</v>
      </c>
      <c r="E482" s="22">
        <v>9</v>
      </c>
      <c r="F482" s="23" t="s">
        <v>1201</v>
      </c>
      <c r="G482" s="23" t="s">
        <v>1202</v>
      </c>
      <c r="H482" s="23"/>
      <c r="I482" s="23"/>
      <c r="J482" s="23"/>
      <c r="K482" s="23"/>
      <c r="L482" s="23"/>
      <c r="M482" s="23"/>
      <c r="N482" s="23"/>
      <c r="O482" s="24">
        <v>35.489999999990687</v>
      </c>
      <c r="P482" s="24">
        <v>63.881999999983236</v>
      </c>
      <c r="Q482" s="25"/>
      <c r="R482" s="25"/>
    </row>
    <row r="483" spans="2:20" x14ac:dyDescent="0.25">
      <c r="B483" s="37"/>
      <c r="D483" s="22">
        <v>14</v>
      </c>
      <c r="E483" s="22">
        <v>12</v>
      </c>
      <c r="F483" s="23" t="s">
        <v>1203</v>
      </c>
      <c r="G483" s="23" t="s">
        <v>1204</v>
      </c>
      <c r="H483" s="23"/>
      <c r="I483" s="23"/>
      <c r="J483" s="23"/>
      <c r="K483" s="23"/>
      <c r="L483" s="23"/>
      <c r="M483" s="23"/>
      <c r="N483" s="23"/>
      <c r="O483" s="24">
        <v>44</v>
      </c>
      <c r="P483" s="24">
        <v>79.2</v>
      </c>
      <c r="Q483" s="25"/>
      <c r="R483" s="25"/>
    </row>
    <row r="484" spans="2:20" x14ac:dyDescent="0.25">
      <c r="B484" s="37"/>
      <c r="D484" s="22">
        <v>16</v>
      </c>
      <c r="E484" s="22">
        <v>9</v>
      </c>
      <c r="F484" s="23" t="s">
        <v>1205</v>
      </c>
      <c r="G484" s="23" t="s">
        <v>1206</v>
      </c>
      <c r="H484" s="23"/>
      <c r="I484" s="23"/>
      <c r="J484" s="23"/>
      <c r="K484" s="23"/>
      <c r="L484" s="23"/>
      <c r="M484" s="23"/>
      <c r="N484" s="23"/>
      <c r="O484" s="24">
        <v>44</v>
      </c>
      <c r="P484" s="24">
        <v>79.2</v>
      </c>
      <c r="Q484" s="25"/>
      <c r="R484" s="25"/>
    </row>
    <row r="485" spans="2:20" x14ac:dyDescent="0.25">
      <c r="B485" s="37"/>
      <c r="D485" s="22">
        <v>16</v>
      </c>
      <c r="E485" s="22">
        <v>12</v>
      </c>
      <c r="F485" s="27" t="s">
        <v>1207</v>
      </c>
      <c r="G485" s="33" t="s">
        <v>1208</v>
      </c>
      <c r="H485" s="27"/>
      <c r="I485" s="27"/>
      <c r="J485" s="27"/>
      <c r="K485" s="27"/>
      <c r="L485" s="27"/>
      <c r="M485" s="33"/>
      <c r="N485" s="33"/>
      <c r="O485" s="24">
        <v>55.070000000006985</v>
      </c>
      <c r="P485" s="24">
        <v>99.126000000012581</v>
      </c>
      <c r="Q485" s="25"/>
      <c r="R485" s="25"/>
    </row>
    <row r="486" spans="2:20" x14ac:dyDescent="0.25">
      <c r="B486" s="37"/>
      <c r="D486" s="22"/>
      <c r="E486" s="22"/>
      <c r="F486" s="27"/>
      <c r="G486" s="27"/>
      <c r="H486" s="27"/>
      <c r="I486" s="27"/>
      <c r="J486" s="27"/>
      <c r="K486" s="27"/>
      <c r="L486" s="27"/>
      <c r="M486" s="27"/>
      <c r="N486" s="27"/>
      <c r="O486" s="24"/>
      <c r="P486" s="24"/>
      <c r="Q486" s="25"/>
      <c r="T486" s="25"/>
    </row>
    <row r="487" spans="2:20" ht="19.05" x14ac:dyDescent="0.35">
      <c r="B487" s="37"/>
      <c r="D487" s="13" t="s">
        <v>1209</v>
      </c>
      <c r="E487" s="13"/>
      <c r="G487" s="13"/>
      <c r="H487" s="13"/>
      <c r="I487" s="13"/>
      <c r="J487" s="13"/>
      <c r="K487" s="13"/>
      <c r="L487" s="13"/>
      <c r="O487" s="3"/>
      <c r="P487" s="18" t="s">
        <v>1183</v>
      </c>
      <c r="Q487" s="25"/>
      <c r="T487" s="25"/>
    </row>
    <row r="488" spans="2:20" x14ac:dyDescent="0.25">
      <c r="B488" s="37"/>
      <c r="D488" s="19" t="s">
        <v>14</v>
      </c>
      <c r="E488" s="19" t="s">
        <v>15</v>
      </c>
      <c r="F488" s="19" t="s">
        <v>179</v>
      </c>
      <c r="G488" s="19" t="s">
        <v>17</v>
      </c>
      <c r="H488" s="19" t="s">
        <v>537</v>
      </c>
      <c r="I488" s="19" t="s">
        <v>180</v>
      </c>
      <c r="J488" s="19" t="s">
        <v>18</v>
      </c>
      <c r="K488" s="19"/>
      <c r="L488" s="19"/>
      <c r="M488" s="19"/>
      <c r="N488" s="19"/>
      <c r="O488" s="19" t="s">
        <v>20</v>
      </c>
      <c r="P488" s="19" t="s">
        <v>21</v>
      </c>
      <c r="Q488" s="25"/>
      <c r="T488" s="25"/>
    </row>
    <row r="489" spans="2:20" x14ac:dyDescent="0.25">
      <c r="B489" s="37"/>
      <c r="D489" s="22">
        <v>18</v>
      </c>
      <c r="E489" s="22">
        <v>100</v>
      </c>
      <c r="F489" s="23" t="s">
        <v>1210</v>
      </c>
      <c r="G489" s="23" t="s">
        <v>1211</v>
      </c>
      <c r="H489" s="23" t="s">
        <v>1212</v>
      </c>
      <c r="I489" s="23" t="s">
        <v>1213</v>
      </c>
      <c r="J489" s="23" t="s">
        <v>1214</v>
      </c>
      <c r="K489" s="23"/>
      <c r="L489" s="23"/>
      <c r="M489" s="23"/>
      <c r="N489" s="23"/>
      <c r="O489" s="24">
        <v>517.04999999981374</v>
      </c>
      <c r="P489" s="24">
        <v>9.3068999999966486</v>
      </c>
      <c r="Q489" s="25"/>
      <c r="T489" s="25"/>
    </row>
    <row r="490" spans="2:20" x14ac:dyDescent="0.25">
      <c r="B490" s="37"/>
      <c r="D490" s="22">
        <v>18</v>
      </c>
      <c r="E490" s="22">
        <v>200</v>
      </c>
      <c r="F490" s="23" t="s">
        <v>1215</v>
      </c>
      <c r="G490" s="23" t="s">
        <v>1216</v>
      </c>
      <c r="H490" s="23" t="s">
        <v>1217</v>
      </c>
      <c r="I490" s="23" t="s">
        <v>1218</v>
      </c>
      <c r="J490" s="23" t="s">
        <v>1219</v>
      </c>
      <c r="K490" s="23"/>
      <c r="L490" s="23"/>
      <c r="M490" s="23"/>
      <c r="N490" s="23"/>
      <c r="O490" s="24">
        <v>1034.089999999851</v>
      </c>
      <c r="P490" s="24">
        <v>9.3068099999986593</v>
      </c>
      <c r="Q490" s="25"/>
      <c r="T490" s="25"/>
    </row>
    <row r="491" spans="2:20" x14ac:dyDescent="0.25">
      <c r="B491" s="37"/>
      <c r="D491" s="22">
        <v>20</v>
      </c>
      <c r="E491" s="22">
        <v>100</v>
      </c>
      <c r="F491" s="23" t="s">
        <v>1220</v>
      </c>
      <c r="G491" s="23" t="s">
        <v>1221</v>
      </c>
      <c r="H491" s="23" t="s">
        <v>1222</v>
      </c>
      <c r="I491" s="23" t="s">
        <v>1223</v>
      </c>
      <c r="J491" s="23" t="s">
        <v>1224</v>
      </c>
      <c r="K491" s="23"/>
      <c r="L491" s="23"/>
      <c r="M491" s="23"/>
      <c r="N491" s="23"/>
      <c r="O491" s="24">
        <v>654.11000000033528</v>
      </c>
      <c r="P491" s="24">
        <v>11.773980000006036</v>
      </c>
      <c r="Q491" s="25"/>
      <c r="T491" s="25"/>
    </row>
    <row r="492" spans="2:20" x14ac:dyDescent="0.25">
      <c r="B492" s="37"/>
      <c r="D492" s="22">
        <v>20</v>
      </c>
      <c r="E492" s="22">
        <v>200</v>
      </c>
      <c r="F492" s="27" t="s">
        <v>1225</v>
      </c>
      <c r="G492" s="27" t="s">
        <v>1226</v>
      </c>
      <c r="H492" s="27" t="s">
        <v>1227</v>
      </c>
      <c r="I492" s="27" t="s">
        <v>1228</v>
      </c>
      <c r="J492" s="27" t="s">
        <v>1229</v>
      </c>
      <c r="K492" s="27"/>
      <c r="L492" s="27"/>
      <c r="M492" s="27"/>
      <c r="N492" s="27"/>
      <c r="O492" s="24">
        <v>1308.2400000002235</v>
      </c>
      <c r="P492" s="24">
        <v>11.774160000002011</v>
      </c>
      <c r="Q492" s="25"/>
      <c r="T492" s="25"/>
    </row>
    <row r="493" spans="2:20" x14ac:dyDescent="0.25">
      <c r="B493" s="37"/>
      <c r="D493" s="22"/>
      <c r="E493" s="22"/>
      <c r="F493" s="27"/>
      <c r="G493" s="27"/>
      <c r="H493" s="27"/>
      <c r="I493" s="27"/>
      <c r="J493" s="27"/>
      <c r="K493" s="27"/>
      <c r="L493" s="27"/>
      <c r="M493" s="27"/>
      <c r="N493" s="27"/>
      <c r="O493" s="24"/>
      <c r="P493" s="24"/>
      <c r="Q493" s="25"/>
      <c r="T493" s="25"/>
    </row>
    <row r="494" spans="2:20" ht="19.05" x14ac:dyDescent="0.35">
      <c r="B494" s="37"/>
      <c r="D494" s="13" t="s">
        <v>1230</v>
      </c>
      <c r="E494" s="13"/>
      <c r="G494" s="13"/>
      <c r="H494" s="13"/>
      <c r="I494" s="13"/>
      <c r="J494" s="13"/>
      <c r="K494" s="13"/>
      <c r="L494" s="13"/>
      <c r="O494" s="3"/>
      <c r="P494" s="18" t="s">
        <v>1231</v>
      </c>
      <c r="Q494" s="25"/>
      <c r="T494" s="25"/>
    </row>
    <row r="495" spans="2:20" x14ac:dyDescent="0.25">
      <c r="B495" s="37"/>
      <c r="D495" s="19" t="s">
        <v>14</v>
      </c>
      <c r="E495" s="19" t="s">
        <v>15</v>
      </c>
      <c r="F495" s="19" t="s">
        <v>180</v>
      </c>
      <c r="G495" s="19"/>
      <c r="H495" s="19"/>
      <c r="I495" s="19"/>
      <c r="J495" s="19"/>
      <c r="K495" s="19"/>
      <c r="L495" s="19"/>
      <c r="M495" s="19"/>
      <c r="N495" s="19"/>
      <c r="O495" s="19" t="s">
        <v>20</v>
      </c>
      <c r="P495" s="19" t="s">
        <v>21</v>
      </c>
      <c r="Q495" s="25"/>
      <c r="T495" s="25"/>
    </row>
    <row r="496" spans="2:20" x14ac:dyDescent="0.25">
      <c r="B496" s="37"/>
      <c r="D496" s="22">
        <v>3</v>
      </c>
      <c r="E496" s="22">
        <v>100</v>
      </c>
      <c r="F496" s="23" t="s">
        <v>1232</v>
      </c>
      <c r="G496" s="23"/>
      <c r="H496" s="23"/>
      <c r="I496" s="23"/>
      <c r="J496" s="23"/>
      <c r="K496" s="23"/>
      <c r="L496" s="23"/>
      <c r="M496" s="23"/>
      <c r="N496" s="23"/>
      <c r="O496" s="24">
        <v>36.020000000018626</v>
      </c>
      <c r="P496" s="24">
        <v>0.64836000000033533</v>
      </c>
      <c r="Q496" s="25"/>
      <c r="T496" s="25"/>
    </row>
    <row r="497" spans="2:20" x14ac:dyDescent="0.25">
      <c r="B497" s="37"/>
      <c r="D497" s="22">
        <v>3</v>
      </c>
      <c r="E497" s="22">
        <v>200</v>
      </c>
      <c r="F497" s="23" t="s">
        <v>1233</v>
      </c>
      <c r="G497" s="23"/>
      <c r="H497" s="23"/>
      <c r="I497" s="23"/>
      <c r="J497" s="23"/>
      <c r="K497" s="23"/>
      <c r="L497" s="23"/>
      <c r="M497" s="23"/>
      <c r="N497" s="23"/>
      <c r="O497" s="24">
        <v>72.03000000002794</v>
      </c>
      <c r="P497" s="24">
        <v>0.64827000000025148</v>
      </c>
      <c r="Q497" s="25"/>
      <c r="T497" s="25"/>
    </row>
    <row r="498" spans="2:20" x14ac:dyDescent="0.25">
      <c r="B498" s="37"/>
      <c r="D498" s="22">
        <v>4</v>
      </c>
      <c r="E498" s="22">
        <v>100</v>
      </c>
      <c r="F498" s="23" t="s">
        <v>1234</v>
      </c>
      <c r="G498" s="23"/>
      <c r="H498" s="23"/>
      <c r="I498" s="23"/>
      <c r="J498" s="23"/>
      <c r="K498" s="23"/>
      <c r="L498" s="23"/>
      <c r="M498" s="23"/>
      <c r="N498" s="23"/>
      <c r="O498" s="24">
        <v>49.900000000023283</v>
      </c>
      <c r="P498" s="24">
        <v>0.89820000000041911</v>
      </c>
      <c r="Q498" s="25"/>
      <c r="T498" s="25"/>
    </row>
    <row r="499" spans="2:20" x14ac:dyDescent="0.25">
      <c r="B499" s="37"/>
      <c r="D499" s="22">
        <v>4</v>
      </c>
      <c r="E499" s="22">
        <v>200</v>
      </c>
      <c r="F499" s="23" t="s">
        <v>1235</v>
      </c>
      <c r="G499" s="23"/>
      <c r="H499" s="23"/>
      <c r="I499" s="23"/>
      <c r="J499" s="23"/>
      <c r="K499" s="23"/>
      <c r="L499" s="23"/>
      <c r="M499" s="23"/>
      <c r="N499" s="23"/>
      <c r="O499" s="24">
        <v>99.800000000046566</v>
      </c>
      <c r="P499" s="24">
        <v>0.89820000000041911</v>
      </c>
      <c r="Q499" s="25"/>
      <c r="T499" s="25"/>
    </row>
    <row r="500" spans="2:20" x14ac:dyDescent="0.25">
      <c r="B500" s="37"/>
      <c r="D500" s="22">
        <v>5</v>
      </c>
      <c r="E500" s="22">
        <v>100</v>
      </c>
      <c r="F500" s="23" t="s">
        <v>1236</v>
      </c>
      <c r="G500" s="23"/>
      <c r="H500" s="23"/>
      <c r="I500" s="23"/>
      <c r="J500" s="23"/>
      <c r="K500" s="23"/>
      <c r="L500" s="23"/>
      <c r="M500" s="23"/>
      <c r="N500" s="23"/>
      <c r="O500" s="24">
        <v>65.57999999995809</v>
      </c>
      <c r="P500" s="24">
        <v>1.1804399999992456</v>
      </c>
      <c r="Q500" s="25"/>
      <c r="T500" s="25"/>
    </row>
    <row r="501" spans="2:20" x14ac:dyDescent="0.25">
      <c r="B501" s="37"/>
      <c r="D501" s="22">
        <v>5</v>
      </c>
      <c r="E501" s="22">
        <v>200</v>
      </c>
      <c r="F501" s="23" t="s">
        <v>1237</v>
      </c>
      <c r="G501" s="23"/>
      <c r="H501" s="23"/>
      <c r="I501" s="23"/>
      <c r="J501" s="23"/>
      <c r="K501" s="23"/>
      <c r="L501" s="23"/>
      <c r="M501" s="23"/>
      <c r="N501" s="23"/>
      <c r="O501" s="24">
        <v>131.18999999994412</v>
      </c>
      <c r="P501" s="24">
        <v>1.180709999999497</v>
      </c>
      <c r="Q501" s="25"/>
      <c r="T501" s="25"/>
    </row>
    <row r="502" spans="2:20" x14ac:dyDescent="0.25">
      <c r="B502" s="37"/>
      <c r="D502" s="22">
        <v>6</v>
      </c>
      <c r="E502" s="22">
        <v>100</v>
      </c>
      <c r="F502" s="23" t="s">
        <v>1238</v>
      </c>
      <c r="G502" s="23"/>
      <c r="H502" s="23"/>
      <c r="I502" s="23"/>
      <c r="J502" s="23"/>
      <c r="K502" s="23"/>
      <c r="L502" s="23"/>
      <c r="M502" s="23"/>
      <c r="N502" s="23"/>
      <c r="O502" s="24">
        <v>75.729999999981374</v>
      </c>
      <c r="P502" s="24">
        <v>1.3631399999996647</v>
      </c>
      <c r="Q502" s="25"/>
      <c r="T502" s="25"/>
    </row>
    <row r="503" spans="2:20" x14ac:dyDescent="0.25">
      <c r="B503" s="37"/>
      <c r="D503" s="22">
        <v>6</v>
      </c>
      <c r="E503" s="22">
        <v>200</v>
      </c>
      <c r="F503" s="23" t="s">
        <v>1239</v>
      </c>
      <c r="G503" s="23"/>
      <c r="H503" s="23"/>
      <c r="I503" s="23"/>
      <c r="J503" s="23"/>
      <c r="K503" s="23"/>
      <c r="L503" s="23"/>
      <c r="M503" s="23"/>
      <c r="N503" s="23"/>
      <c r="O503" s="24">
        <v>151.42999999993481</v>
      </c>
      <c r="P503" s="24">
        <v>1.3628699999994134</v>
      </c>
      <c r="Q503" s="25"/>
      <c r="T503" s="25"/>
    </row>
    <row r="504" spans="2:20" x14ac:dyDescent="0.25">
      <c r="B504" s="37"/>
      <c r="D504" s="22">
        <v>8</v>
      </c>
      <c r="E504" s="22">
        <v>100</v>
      </c>
      <c r="F504" s="23" t="s">
        <v>1240</v>
      </c>
      <c r="G504" s="23"/>
      <c r="H504" s="23"/>
      <c r="I504" s="23"/>
      <c r="J504" s="23"/>
      <c r="K504" s="23"/>
      <c r="L504" s="23"/>
      <c r="M504" s="23"/>
      <c r="N504" s="23"/>
      <c r="O504" s="24">
        <v>114.65000000002328</v>
      </c>
      <c r="P504" s="24">
        <v>2.0637000000004191</v>
      </c>
      <c r="Q504" s="25"/>
      <c r="T504" s="25"/>
    </row>
    <row r="505" spans="2:20" x14ac:dyDescent="0.25">
      <c r="B505" s="37"/>
      <c r="D505" s="22">
        <v>8</v>
      </c>
      <c r="E505" s="22">
        <v>200</v>
      </c>
      <c r="F505" s="23" t="s">
        <v>1241</v>
      </c>
      <c r="G505" s="23"/>
      <c r="H505" s="23"/>
      <c r="I505" s="23"/>
      <c r="J505" s="23"/>
      <c r="K505" s="23"/>
      <c r="L505" s="23"/>
      <c r="M505" s="23"/>
      <c r="N505" s="23"/>
      <c r="O505" s="24">
        <v>229.27000000001863</v>
      </c>
      <c r="P505" s="24">
        <v>2.0634300000001677</v>
      </c>
      <c r="Q505" s="25"/>
      <c r="T505" s="25"/>
    </row>
    <row r="506" spans="2:20" ht="19.05" x14ac:dyDescent="0.35">
      <c r="B506" s="37"/>
      <c r="D506" s="13" t="s">
        <v>1242</v>
      </c>
      <c r="E506" s="13"/>
      <c r="G506" s="13"/>
      <c r="H506" s="13"/>
      <c r="I506" s="13"/>
      <c r="J506" s="13"/>
      <c r="K506" s="13"/>
      <c r="L506" s="13"/>
      <c r="O506" s="3"/>
      <c r="P506" s="18" t="s">
        <v>1231</v>
      </c>
      <c r="Q506" s="25"/>
      <c r="T506" s="25"/>
    </row>
    <row r="507" spans="2:20" x14ac:dyDescent="0.25">
      <c r="B507" s="37"/>
      <c r="D507" s="19" t="s">
        <v>14</v>
      </c>
      <c r="E507" s="19" t="s">
        <v>15</v>
      </c>
      <c r="F507" s="19" t="s">
        <v>180</v>
      </c>
      <c r="G507" s="19"/>
      <c r="H507" s="19"/>
      <c r="I507" s="19"/>
      <c r="J507" s="19"/>
      <c r="K507" s="19"/>
      <c r="L507" s="19"/>
      <c r="M507" s="19"/>
      <c r="N507" s="19"/>
      <c r="O507" s="19" t="s">
        <v>20</v>
      </c>
      <c r="P507" s="19" t="s">
        <v>21</v>
      </c>
      <c r="Q507" s="25"/>
      <c r="T507" s="25"/>
    </row>
    <row r="508" spans="2:20" x14ac:dyDescent="0.25">
      <c r="B508" s="37"/>
      <c r="D508" s="22">
        <v>12</v>
      </c>
      <c r="E508" s="22">
        <v>100</v>
      </c>
      <c r="F508" s="23" t="s">
        <v>1243</v>
      </c>
      <c r="G508" s="23"/>
      <c r="H508" s="23"/>
      <c r="I508" s="23"/>
      <c r="J508" s="23"/>
      <c r="K508" s="23"/>
      <c r="L508" s="23"/>
      <c r="M508" s="23"/>
      <c r="N508" s="23"/>
      <c r="O508" s="24">
        <v>266.10000000009313</v>
      </c>
      <c r="P508" s="24">
        <v>4.7898000000016765</v>
      </c>
      <c r="Q508" s="25"/>
      <c r="T508" s="25"/>
    </row>
    <row r="509" spans="2:20" x14ac:dyDescent="0.25">
      <c r="B509" s="37"/>
      <c r="D509" s="22">
        <v>12</v>
      </c>
      <c r="E509" s="22">
        <v>200</v>
      </c>
      <c r="F509" s="27" t="s">
        <v>1244</v>
      </c>
      <c r="G509" s="27"/>
      <c r="H509" s="27"/>
      <c r="I509" s="27"/>
      <c r="J509" s="27"/>
      <c r="K509" s="27"/>
      <c r="L509" s="27"/>
      <c r="M509" s="27"/>
      <c r="N509" s="27"/>
      <c r="O509" s="24">
        <v>532.16999999992549</v>
      </c>
      <c r="P509" s="24">
        <v>4.7895299999993295</v>
      </c>
      <c r="Q509" s="25"/>
      <c r="T509" s="25"/>
    </row>
    <row r="510" spans="2:20" x14ac:dyDescent="0.25">
      <c r="B510" s="37"/>
      <c r="D510" s="22"/>
      <c r="E510" s="22"/>
      <c r="F510" s="27"/>
      <c r="G510" s="27"/>
      <c r="H510" s="27"/>
      <c r="I510" s="27"/>
      <c r="J510" s="27"/>
      <c r="K510" s="27"/>
      <c r="L510" s="27"/>
      <c r="M510" s="27"/>
      <c r="N510" s="27"/>
      <c r="O510" s="24"/>
      <c r="P510" s="24"/>
      <c r="Q510" s="25"/>
      <c r="T510" s="25"/>
    </row>
    <row r="511" spans="2:20" ht="19.05" x14ac:dyDescent="0.35">
      <c r="B511" s="37"/>
      <c r="D511" s="13" t="s">
        <v>1245</v>
      </c>
      <c r="E511" s="13"/>
      <c r="G511" s="13"/>
      <c r="H511" s="13"/>
      <c r="I511" s="13"/>
      <c r="J511" s="13"/>
      <c r="K511" s="13"/>
      <c r="L511" s="13"/>
      <c r="O511" s="3"/>
      <c r="P511" s="18" t="s">
        <v>1231</v>
      </c>
      <c r="Q511" s="25"/>
      <c r="T511" s="25"/>
    </row>
    <row r="512" spans="2:20" x14ac:dyDescent="0.25">
      <c r="B512" s="37"/>
      <c r="D512" s="19" t="s">
        <v>14</v>
      </c>
      <c r="E512" s="19" t="s">
        <v>15</v>
      </c>
      <c r="F512" s="19" t="s">
        <v>180</v>
      </c>
      <c r="G512" s="19"/>
      <c r="H512" s="19"/>
      <c r="I512" s="19"/>
      <c r="J512" s="19"/>
      <c r="K512" s="19"/>
      <c r="L512" s="19"/>
      <c r="M512" s="19"/>
      <c r="N512" s="19"/>
      <c r="O512" s="19" t="s">
        <v>20</v>
      </c>
      <c r="P512" s="19" t="s">
        <v>21</v>
      </c>
      <c r="Q512" s="25"/>
      <c r="T512" s="25"/>
    </row>
    <row r="513" spans="2:20" x14ac:dyDescent="0.25">
      <c r="B513" s="37"/>
      <c r="D513" s="22">
        <v>4</v>
      </c>
      <c r="E513" s="22">
        <v>100</v>
      </c>
      <c r="F513" s="23" t="s">
        <v>1246</v>
      </c>
      <c r="G513" s="23"/>
      <c r="H513" s="23"/>
      <c r="I513" s="23"/>
      <c r="J513" s="23"/>
      <c r="K513" s="23"/>
      <c r="L513" s="23"/>
      <c r="M513" s="23"/>
      <c r="N513" s="23"/>
      <c r="O513" s="24">
        <v>31.679999999993015</v>
      </c>
      <c r="P513" s="24">
        <v>0.57023999999987429</v>
      </c>
      <c r="Q513" s="25"/>
      <c r="T513" s="25"/>
    </row>
    <row r="514" spans="2:20" x14ac:dyDescent="0.25">
      <c r="B514" s="37"/>
      <c r="D514" s="22">
        <v>4</v>
      </c>
      <c r="E514" s="22">
        <v>200</v>
      </c>
      <c r="F514" s="23" t="s">
        <v>1247</v>
      </c>
      <c r="G514" s="23"/>
      <c r="H514" s="23"/>
      <c r="I514" s="23"/>
      <c r="J514" s="23"/>
      <c r="K514" s="23"/>
      <c r="L514" s="23"/>
      <c r="M514" s="23"/>
      <c r="N514" s="23"/>
      <c r="O514" s="24">
        <v>63.369999999995343</v>
      </c>
      <c r="P514" s="24">
        <v>0.57032999999995804</v>
      </c>
      <c r="Q514" s="25"/>
      <c r="T514" s="25"/>
    </row>
    <row r="515" spans="2:20" x14ac:dyDescent="0.25">
      <c r="B515" s="37"/>
      <c r="D515" s="22">
        <v>6</v>
      </c>
      <c r="E515" s="22">
        <v>100</v>
      </c>
      <c r="F515" s="23" t="s">
        <v>1248</v>
      </c>
      <c r="G515" s="23"/>
      <c r="H515" s="23"/>
      <c r="I515" s="23"/>
      <c r="J515" s="23"/>
      <c r="K515" s="23"/>
      <c r="L515" s="23"/>
      <c r="M515" s="23"/>
      <c r="N515" s="23"/>
      <c r="O515" s="24">
        <v>39.78000000002794</v>
      </c>
      <c r="P515" s="24">
        <v>0.71604000000050294</v>
      </c>
      <c r="Q515" s="25"/>
      <c r="T515" s="25"/>
    </row>
    <row r="516" spans="2:20" x14ac:dyDescent="0.25">
      <c r="B516" s="37"/>
      <c r="D516" s="22">
        <v>6</v>
      </c>
      <c r="E516" s="22">
        <v>200</v>
      </c>
      <c r="F516" s="23" t="s">
        <v>1249</v>
      </c>
      <c r="G516" s="23"/>
      <c r="H516" s="23"/>
      <c r="I516" s="23"/>
      <c r="J516" s="23"/>
      <c r="K516" s="23"/>
      <c r="L516" s="23"/>
      <c r="M516" s="23"/>
      <c r="N516" s="23"/>
      <c r="O516" s="24">
        <v>79.60999999998603</v>
      </c>
      <c r="P516" s="24">
        <v>0.71648999999987428</v>
      </c>
      <c r="Q516" s="25"/>
      <c r="T516" s="25"/>
    </row>
    <row r="517" spans="2:20" x14ac:dyDescent="0.25">
      <c r="B517" s="37"/>
      <c r="D517" s="22">
        <v>8</v>
      </c>
      <c r="E517" s="22">
        <v>100</v>
      </c>
      <c r="F517" s="23" t="s">
        <v>1250</v>
      </c>
      <c r="G517" s="23"/>
      <c r="H517" s="23"/>
      <c r="I517" s="23"/>
      <c r="J517" s="23"/>
      <c r="K517" s="23"/>
      <c r="L517" s="23"/>
      <c r="M517" s="23"/>
      <c r="N517" s="23"/>
      <c r="O517" s="24">
        <v>67.589999999967404</v>
      </c>
      <c r="P517" s="24">
        <v>1.2166199999994134</v>
      </c>
      <c r="Q517" s="25"/>
      <c r="T517" s="25"/>
    </row>
    <row r="518" spans="2:20" x14ac:dyDescent="0.25">
      <c r="B518" s="37"/>
      <c r="D518" s="22">
        <v>8</v>
      </c>
      <c r="E518" s="22">
        <v>200</v>
      </c>
      <c r="F518" s="23" t="s">
        <v>1251</v>
      </c>
      <c r="G518" s="23"/>
      <c r="H518" s="23"/>
      <c r="I518" s="23"/>
      <c r="J518" s="23"/>
      <c r="K518" s="23"/>
      <c r="L518" s="23"/>
      <c r="M518" s="23"/>
      <c r="N518" s="23"/>
      <c r="O518" s="24">
        <v>135.18999999994412</v>
      </c>
      <c r="P518" s="24">
        <v>1.2167099999994972</v>
      </c>
      <c r="Q518" s="25"/>
      <c r="T518" s="25"/>
    </row>
    <row r="519" spans="2:20" x14ac:dyDescent="0.25">
      <c r="B519" s="37"/>
      <c r="D519" s="22">
        <v>10</v>
      </c>
      <c r="E519" s="22">
        <v>100</v>
      </c>
      <c r="F519" s="23" t="s">
        <v>1252</v>
      </c>
      <c r="G519" s="23"/>
      <c r="H519" s="23"/>
      <c r="I519" s="23"/>
      <c r="J519" s="23"/>
      <c r="K519" s="23"/>
      <c r="L519" s="23"/>
      <c r="M519" s="23"/>
      <c r="N519" s="23"/>
      <c r="O519" s="24">
        <v>105.05000000004657</v>
      </c>
      <c r="P519" s="24">
        <v>1.8909000000008382</v>
      </c>
      <c r="Q519" s="25"/>
      <c r="T519" s="25"/>
    </row>
    <row r="520" spans="2:20" x14ac:dyDescent="0.25">
      <c r="B520" s="37"/>
      <c r="D520" s="22">
        <v>10</v>
      </c>
      <c r="E520" s="22">
        <v>200</v>
      </c>
      <c r="F520" s="23" t="s">
        <v>1253</v>
      </c>
      <c r="G520" s="23"/>
      <c r="H520" s="23"/>
      <c r="I520" s="23"/>
      <c r="J520" s="23"/>
      <c r="K520" s="23"/>
      <c r="L520" s="23"/>
      <c r="M520" s="23"/>
      <c r="N520" s="23"/>
      <c r="O520" s="24">
        <v>210.09000000008382</v>
      </c>
      <c r="P520" s="24">
        <v>1.8908100000007544</v>
      </c>
      <c r="Q520" s="25"/>
      <c r="T520" s="25"/>
    </row>
    <row r="521" spans="2:20" x14ac:dyDescent="0.25">
      <c r="B521" s="37"/>
      <c r="D521" s="22">
        <v>12</v>
      </c>
      <c r="E521" s="22">
        <v>100</v>
      </c>
      <c r="F521" s="23" t="s">
        <v>1254</v>
      </c>
      <c r="G521" s="23"/>
      <c r="H521" s="23"/>
      <c r="I521" s="23"/>
      <c r="J521" s="23"/>
      <c r="K521" s="23"/>
      <c r="L521" s="23"/>
      <c r="M521" s="23"/>
      <c r="N521" s="23"/>
      <c r="O521" s="24">
        <v>145.25</v>
      </c>
      <c r="P521" s="24">
        <v>2.6145</v>
      </c>
      <c r="Q521" s="25"/>
      <c r="T521" s="25"/>
    </row>
    <row r="522" spans="2:20" x14ac:dyDescent="0.25">
      <c r="B522" s="37"/>
      <c r="D522" s="22">
        <v>12</v>
      </c>
      <c r="E522" s="22">
        <v>200</v>
      </c>
      <c r="F522" s="23" t="s">
        <v>1255</v>
      </c>
      <c r="G522" s="23"/>
      <c r="H522" s="23"/>
      <c r="I522" s="23"/>
      <c r="J522" s="23"/>
      <c r="K522" s="23"/>
      <c r="L522" s="23"/>
      <c r="M522" s="23"/>
      <c r="N522" s="23"/>
      <c r="O522" s="24">
        <v>290.52000000001863</v>
      </c>
      <c r="P522" s="24">
        <v>2.6146800000001678</v>
      </c>
      <c r="Q522" s="25"/>
      <c r="T522" s="25"/>
    </row>
    <row r="523" spans="2:20" x14ac:dyDescent="0.25">
      <c r="B523" s="37"/>
      <c r="D523" s="22">
        <v>14</v>
      </c>
      <c r="E523" s="22">
        <v>100</v>
      </c>
      <c r="F523" s="23" t="s">
        <v>1256</v>
      </c>
      <c r="G523" s="23"/>
      <c r="H523" s="23"/>
      <c r="I523" s="23"/>
      <c r="J523" s="23"/>
      <c r="K523" s="23"/>
      <c r="L523" s="23"/>
      <c r="M523" s="23"/>
      <c r="N523" s="23"/>
      <c r="O523" s="24">
        <v>196.70999999996275</v>
      </c>
      <c r="P523" s="24">
        <v>3.5407799999993297</v>
      </c>
      <c r="Q523" s="25"/>
      <c r="T523" s="25"/>
    </row>
    <row r="524" spans="2:20" x14ac:dyDescent="0.25">
      <c r="B524" s="37"/>
      <c r="D524" s="22">
        <v>14</v>
      </c>
      <c r="E524" s="22">
        <v>200</v>
      </c>
      <c r="F524" s="23" t="s">
        <v>1257</v>
      </c>
      <c r="G524" s="23"/>
      <c r="H524" s="23"/>
      <c r="I524" s="23"/>
      <c r="J524" s="23"/>
      <c r="K524" s="23"/>
      <c r="L524" s="23"/>
      <c r="M524" s="23"/>
      <c r="N524" s="23"/>
      <c r="O524" s="24">
        <v>393.41000000014901</v>
      </c>
      <c r="P524" s="24">
        <v>3.5406900000013413</v>
      </c>
      <c r="Q524" s="25"/>
      <c r="T524" s="25"/>
    </row>
    <row r="525" spans="2:20" x14ac:dyDescent="0.25">
      <c r="B525" s="37"/>
      <c r="D525" s="22">
        <v>16</v>
      </c>
      <c r="E525" s="22">
        <v>100</v>
      </c>
      <c r="F525" s="23" t="s">
        <v>1258</v>
      </c>
      <c r="G525" s="23"/>
      <c r="H525" s="23"/>
      <c r="I525" s="23"/>
      <c r="J525" s="23"/>
      <c r="K525" s="23"/>
      <c r="L525" s="23"/>
      <c r="M525" s="23"/>
      <c r="N525" s="23"/>
      <c r="O525" s="24">
        <v>256.75999999977648</v>
      </c>
      <c r="P525" s="24">
        <v>4.621679999995977</v>
      </c>
      <c r="Q525" s="25"/>
      <c r="T525" s="25"/>
    </row>
    <row r="526" spans="2:20" x14ac:dyDescent="0.25">
      <c r="B526" s="37"/>
      <c r="D526" s="22">
        <v>16</v>
      </c>
      <c r="E526" s="22">
        <v>200</v>
      </c>
      <c r="F526" s="23" t="s">
        <v>1259</v>
      </c>
      <c r="G526" s="23"/>
      <c r="H526" s="23"/>
      <c r="I526" s="23"/>
      <c r="J526" s="23"/>
      <c r="K526" s="23"/>
      <c r="L526" s="23"/>
      <c r="M526" s="23"/>
      <c r="N526" s="23"/>
      <c r="O526" s="24">
        <v>513.49000000022352</v>
      </c>
      <c r="P526" s="24">
        <v>4.6214100000020117</v>
      </c>
      <c r="Q526" s="25"/>
      <c r="T526" s="25"/>
    </row>
    <row r="527" spans="2:20" x14ac:dyDescent="0.25">
      <c r="B527" s="37"/>
      <c r="D527" s="22">
        <v>18</v>
      </c>
      <c r="E527" s="22">
        <v>100</v>
      </c>
      <c r="F527" s="23" t="s">
        <v>1260</v>
      </c>
      <c r="G527" s="23"/>
      <c r="H527" s="23"/>
      <c r="I527" s="23"/>
      <c r="J527" s="23"/>
      <c r="K527" s="23"/>
      <c r="L527" s="23"/>
      <c r="M527" s="23"/>
      <c r="N527" s="23"/>
      <c r="O527" s="24">
        <v>325.62000000011176</v>
      </c>
      <c r="P527" s="24">
        <v>5.8611600000020125</v>
      </c>
      <c r="Q527" s="25"/>
      <c r="T527" s="25"/>
    </row>
    <row r="528" spans="2:20" x14ac:dyDescent="0.25">
      <c r="B528" s="37"/>
      <c r="D528" s="22">
        <v>18</v>
      </c>
      <c r="E528" s="22">
        <v>200</v>
      </c>
      <c r="F528" s="23" t="s">
        <v>1261</v>
      </c>
      <c r="G528" s="23"/>
      <c r="H528" s="23"/>
      <c r="I528" s="23"/>
      <c r="J528" s="23"/>
      <c r="K528" s="23"/>
      <c r="L528" s="23"/>
      <c r="M528" s="23"/>
      <c r="N528" s="23"/>
      <c r="O528" s="24">
        <v>651.29000000003725</v>
      </c>
      <c r="P528" s="24">
        <v>5.8616100000003364</v>
      </c>
      <c r="Q528" s="25"/>
      <c r="T528" s="25"/>
    </row>
    <row r="529" spans="2:20" x14ac:dyDescent="0.25">
      <c r="B529" s="37"/>
      <c r="D529" s="22">
        <v>20</v>
      </c>
      <c r="E529" s="22">
        <v>100</v>
      </c>
      <c r="F529" s="23" t="s">
        <v>1262</v>
      </c>
      <c r="G529" s="23"/>
      <c r="H529" s="23"/>
      <c r="I529" s="23"/>
      <c r="J529" s="23"/>
      <c r="K529" s="23"/>
      <c r="L529" s="23"/>
      <c r="M529" s="23"/>
      <c r="N529" s="23"/>
      <c r="O529" s="24">
        <v>396.06999999983236</v>
      </c>
      <c r="P529" s="24">
        <v>7.1292599999969832</v>
      </c>
      <c r="Q529" s="25"/>
      <c r="T529" s="25"/>
    </row>
    <row r="530" spans="2:20" x14ac:dyDescent="0.25">
      <c r="B530" s="37"/>
      <c r="D530" s="22">
        <v>20</v>
      </c>
      <c r="E530" s="22">
        <v>200</v>
      </c>
      <c r="F530" s="23" t="s">
        <v>1263</v>
      </c>
      <c r="G530" s="23"/>
      <c r="H530" s="23"/>
      <c r="I530" s="23"/>
      <c r="J530" s="23"/>
      <c r="K530" s="23"/>
      <c r="L530" s="23"/>
      <c r="M530" s="23"/>
      <c r="N530" s="23"/>
      <c r="O530" s="24">
        <v>792.16999999992549</v>
      </c>
      <c r="P530" s="24">
        <v>7.1295299999993302</v>
      </c>
      <c r="Q530" s="25"/>
      <c r="T530" s="25"/>
    </row>
    <row r="531" spans="2:20" x14ac:dyDescent="0.25">
      <c r="B531" s="37"/>
      <c r="D531" s="22">
        <v>24</v>
      </c>
      <c r="E531" s="22">
        <v>100</v>
      </c>
      <c r="F531" s="23" t="s">
        <v>1264</v>
      </c>
      <c r="G531" s="23"/>
      <c r="H531" s="23"/>
      <c r="I531" s="23"/>
      <c r="J531" s="23"/>
      <c r="K531" s="23"/>
      <c r="L531" s="23"/>
      <c r="M531" s="23"/>
      <c r="N531" s="23"/>
      <c r="O531" s="24">
        <v>542.29999999981374</v>
      </c>
      <c r="P531" s="24">
        <v>9.7613999999966481</v>
      </c>
      <c r="Q531" s="25"/>
      <c r="T531" s="25"/>
    </row>
    <row r="532" spans="2:20" x14ac:dyDescent="0.25">
      <c r="B532" s="37"/>
      <c r="D532" s="22">
        <v>24</v>
      </c>
      <c r="E532" s="22">
        <v>200</v>
      </c>
      <c r="F532" s="23" t="s">
        <v>1265</v>
      </c>
      <c r="G532" s="23"/>
      <c r="H532" s="23"/>
      <c r="I532" s="23"/>
      <c r="J532" s="23"/>
      <c r="K532" s="23"/>
      <c r="L532" s="23"/>
      <c r="M532" s="23"/>
      <c r="N532" s="23"/>
      <c r="O532" s="24">
        <v>1084.5399999991059</v>
      </c>
      <c r="P532" s="24">
        <v>9.7608599999919541</v>
      </c>
      <c r="Q532" s="25"/>
      <c r="T532" s="25"/>
    </row>
    <row r="533" spans="2:20" x14ac:dyDescent="0.25">
      <c r="B533" s="37"/>
      <c r="D533" s="22">
        <v>28</v>
      </c>
      <c r="E533" s="22">
        <v>100</v>
      </c>
      <c r="F533" s="23" t="s">
        <v>1266</v>
      </c>
      <c r="G533" s="23"/>
      <c r="H533" s="23"/>
      <c r="I533" s="23"/>
      <c r="J533" s="23"/>
      <c r="K533" s="23"/>
      <c r="L533" s="23"/>
      <c r="M533" s="23"/>
      <c r="N533" s="23"/>
      <c r="O533" s="24">
        <v>742.71999999973923</v>
      </c>
      <c r="P533" s="24">
        <v>13.368959999995306</v>
      </c>
      <c r="Q533" s="25"/>
      <c r="T533" s="25"/>
    </row>
    <row r="534" spans="2:20" x14ac:dyDescent="0.25">
      <c r="B534" s="37"/>
      <c r="D534" s="22">
        <v>28</v>
      </c>
      <c r="E534" s="22">
        <v>200</v>
      </c>
      <c r="F534" s="23" t="s">
        <v>1267</v>
      </c>
      <c r="G534" s="23"/>
      <c r="H534" s="23"/>
      <c r="I534" s="23"/>
      <c r="J534" s="23"/>
      <c r="K534" s="23"/>
      <c r="L534" s="23"/>
      <c r="M534" s="23"/>
      <c r="N534" s="23"/>
      <c r="O534" s="24">
        <v>1485.4600000008941</v>
      </c>
      <c r="P534" s="24">
        <v>13.369140000008047</v>
      </c>
      <c r="Q534" s="25"/>
      <c r="T534" s="25"/>
    </row>
    <row r="535" spans="2:20" x14ac:dyDescent="0.25">
      <c r="B535" s="37"/>
      <c r="D535" s="22">
        <v>32</v>
      </c>
      <c r="E535" s="22">
        <v>100</v>
      </c>
      <c r="F535" s="23" t="s">
        <v>1268</v>
      </c>
      <c r="G535" s="23"/>
      <c r="H535" s="23"/>
      <c r="I535" s="23"/>
      <c r="J535" s="23"/>
      <c r="K535" s="23"/>
      <c r="L535" s="23"/>
      <c r="M535" s="23"/>
      <c r="N535" s="23"/>
      <c r="O535" s="24">
        <v>966.70999999996275</v>
      </c>
      <c r="P535" s="24">
        <v>17.40077999999933</v>
      </c>
      <c r="Q535" s="25"/>
      <c r="T535" s="25"/>
    </row>
    <row r="536" spans="2:20" x14ac:dyDescent="0.25">
      <c r="B536" s="37"/>
      <c r="D536" s="22">
        <v>32</v>
      </c>
      <c r="E536" s="22">
        <v>200</v>
      </c>
      <c r="F536" s="27" t="s">
        <v>1269</v>
      </c>
      <c r="G536" s="27"/>
      <c r="H536" s="27"/>
      <c r="I536" s="27"/>
      <c r="J536" s="27"/>
      <c r="K536" s="27"/>
      <c r="L536" s="27"/>
      <c r="M536" s="27"/>
      <c r="N536" s="27"/>
      <c r="O536" s="24">
        <v>1933.410000000149</v>
      </c>
      <c r="P536" s="24">
        <v>17.40069000000134</v>
      </c>
      <c r="Q536" s="25"/>
      <c r="T536" s="25"/>
    </row>
    <row r="537" spans="2:20" x14ac:dyDescent="0.25">
      <c r="B537" s="37"/>
      <c r="D537" s="22"/>
      <c r="E537" s="22"/>
      <c r="F537" s="27"/>
      <c r="G537" s="27"/>
      <c r="H537" s="27"/>
      <c r="I537" s="27"/>
      <c r="J537" s="27"/>
      <c r="K537" s="27"/>
      <c r="L537" s="27"/>
      <c r="M537" s="27"/>
      <c r="N537" s="27"/>
      <c r="O537" s="24"/>
      <c r="P537" s="24"/>
      <c r="Q537" s="25"/>
      <c r="T537" s="25"/>
    </row>
    <row r="538" spans="2:20" ht="19.05" x14ac:dyDescent="0.35">
      <c r="B538" s="37"/>
      <c r="D538" s="13" t="s">
        <v>1245</v>
      </c>
      <c r="E538" s="13"/>
      <c r="G538" s="13" t="s">
        <v>536</v>
      </c>
      <c r="H538" s="13"/>
      <c r="I538" s="13"/>
      <c r="J538" s="13"/>
      <c r="K538" s="13"/>
      <c r="L538" s="13"/>
      <c r="O538" s="3"/>
      <c r="P538" s="18" t="s">
        <v>1231</v>
      </c>
      <c r="Q538" s="25"/>
      <c r="T538" s="25"/>
    </row>
    <row r="539" spans="2:20" x14ac:dyDescent="0.25">
      <c r="B539" s="37"/>
      <c r="D539" s="19" t="s">
        <v>14</v>
      </c>
      <c r="E539" s="19" t="s">
        <v>15</v>
      </c>
      <c r="F539" s="19" t="s">
        <v>537</v>
      </c>
      <c r="G539" s="19" t="s">
        <v>179</v>
      </c>
      <c r="H539" s="19"/>
      <c r="I539" s="19"/>
      <c r="J539" s="19"/>
      <c r="K539" s="19"/>
      <c r="L539" s="19"/>
      <c r="M539" s="19"/>
      <c r="N539" s="19"/>
      <c r="O539" s="19" t="s">
        <v>20</v>
      </c>
      <c r="P539" s="19" t="s">
        <v>21</v>
      </c>
      <c r="Q539" s="25"/>
      <c r="T539" s="25"/>
    </row>
    <row r="540" spans="2:20" x14ac:dyDescent="0.25">
      <c r="B540" s="37"/>
      <c r="D540" s="22">
        <v>4</v>
      </c>
      <c r="E540" s="22">
        <v>100</v>
      </c>
      <c r="F540" s="23" t="s">
        <v>1270</v>
      </c>
      <c r="G540" s="23" t="s">
        <v>1271</v>
      </c>
      <c r="H540" s="23"/>
      <c r="I540" s="23"/>
      <c r="J540" s="23"/>
      <c r="K540" s="23"/>
      <c r="L540" s="23"/>
      <c r="M540" s="23"/>
      <c r="N540" s="23"/>
      <c r="O540" s="24">
        <v>42.229999999981374</v>
      </c>
      <c r="P540" s="24">
        <v>0.76013999999966475</v>
      </c>
      <c r="Q540" s="25"/>
      <c r="T540" s="25"/>
    </row>
    <row r="541" spans="2:20" x14ac:dyDescent="0.25">
      <c r="B541" s="37"/>
      <c r="D541" s="22">
        <v>4</v>
      </c>
      <c r="E541" s="22">
        <v>200</v>
      </c>
      <c r="F541" s="23" t="s">
        <v>1272</v>
      </c>
      <c r="G541" s="23" t="s">
        <v>1273</v>
      </c>
      <c r="H541" s="23"/>
      <c r="I541" s="23"/>
      <c r="J541" s="23"/>
      <c r="K541" s="23"/>
      <c r="L541" s="23"/>
      <c r="M541" s="23"/>
      <c r="N541" s="23"/>
      <c r="O541" s="24">
        <v>84.459999999962747</v>
      </c>
      <c r="P541" s="24">
        <v>0.76013999999966475</v>
      </c>
      <c r="Q541" s="25"/>
      <c r="T541" s="25"/>
    </row>
    <row r="542" spans="2:20" x14ac:dyDescent="0.25">
      <c r="B542" s="37"/>
      <c r="D542" s="22">
        <v>6</v>
      </c>
      <c r="E542" s="22">
        <v>100</v>
      </c>
      <c r="F542" s="23" t="s">
        <v>1274</v>
      </c>
      <c r="G542" s="23" t="s">
        <v>1275</v>
      </c>
      <c r="H542" s="23"/>
      <c r="I542" s="23"/>
      <c r="J542" s="23"/>
      <c r="K542" s="23"/>
      <c r="L542" s="23"/>
      <c r="M542" s="23"/>
      <c r="N542" s="23"/>
      <c r="O542" s="24">
        <v>53.049999999988358</v>
      </c>
      <c r="P542" s="24">
        <v>0.95489999999979047</v>
      </c>
      <c r="Q542" s="25"/>
      <c r="T542" s="25"/>
    </row>
    <row r="543" spans="2:20" x14ac:dyDescent="0.25">
      <c r="B543" s="37"/>
      <c r="D543" s="22">
        <v>6</v>
      </c>
      <c r="E543" s="22">
        <v>200</v>
      </c>
      <c r="F543" s="23" t="s">
        <v>1276</v>
      </c>
      <c r="G543" s="23" t="s">
        <v>1277</v>
      </c>
      <c r="H543" s="23"/>
      <c r="I543" s="23"/>
      <c r="J543" s="23"/>
      <c r="K543" s="23"/>
      <c r="L543" s="23"/>
      <c r="M543" s="23"/>
      <c r="N543" s="23"/>
      <c r="O543" s="24">
        <v>106.0899999999674</v>
      </c>
      <c r="P543" s="24">
        <v>0.95480999999970662</v>
      </c>
      <c r="Q543" s="25"/>
      <c r="T543" s="25"/>
    </row>
    <row r="544" spans="2:20" x14ac:dyDescent="0.25">
      <c r="B544" s="37"/>
      <c r="D544" s="22">
        <v>8</v>
      </c>
      <c r="E544" s="22">
        <v>100</v>
      </c>
      <c r="F544" s="23" t="s">
        <v>1278</v>
      </c>
      <c r="G544" s="23" t="s">
        <v>1279</v>
      </c>
      <c r="H544" s="23"/>
      <c r="I544" s="23"/>
      <c r="J544" s="23"/>
      <c r="K544" s="23"/>
      <c r="L544" s="23"/>
      <c r="M544" s="23"/>
      <c r="N544" s="23"/>
      <c r="O544" s="24">
        <v>90.160000000032596</v>
      </c>
      <c r="P544" s="24">
        <v>1.6228800000005867</v>
      </c>
      <c r="Q544" s="25"/>
      <c r="T544" s="25"/>
    </row>
    <row r="545" spans="2:20" x14ac:dyDescent="0.25">
      <c r="B545" s="37"/>
      <c r="D545" s="22">
        <v>8</v>
      </c>
      <c r="E545" s="22">
        <v>200</v>
      </c>
      <c r="F545" s="33" t="s">
        <v>1280</v>
      </c>
      <c r="G545" s="33" t="s">
        <v>1281</v>
      </c>
      <c r="H545" s="33"/>
      <c r="I545" s="33"/>
      <c r="J545" s="33"/>
      <c r="K545" s="33"/>
      <c r="L545" s="33"/>
      <c r="M545" s="33"/>
      <c r="N545" s="33"/>
      <c r="O545" s="24">
        <v>180.27000000001863</v>
      </c>
      <c r="P545" s="24">
        <v>1.6224300000001677</v>
      </c>
      <c r="Q545" s="25"/>
      <c r="T545" s="25"/>
    </row>
    <row r="546" spans="2:20" x14ac:dyDescent="0.25">
      <c r="B546" s="37"/>
      <c r="D546" s="22"/>
      <c r="E546" s="22"/>
      <c r="F546" s="27"/>
      <c r="G546" s="27"/>
      <c r="H546" s="27"/>
      <c r="I546" s="27"/>
      <c r="J546" s="27"/>
      <c r="K546" s="27"/>
      <c r="L546" s="27"/>
      <c r="M546" s="27"/>
      <c r="N546" s="27"/>
      <c r="O546" s="24"/>
      <c r="P546" s="24"/>
      <c r="Q546" s="25"/>
      <c r="T546" s="25"/>
    </row>
    <row r="547" spans="2:20" ht="19.05" x14ac:dyDescent="0.35">
      <c r="B547" s="37"/>
      <c r="D547" s="13" t="s">
        <v>1245</v>
      </c>
      <c r="E547" s="13"/>
      <c r="G547" s="13" t="s">
        <v>536</v>
      </c>
      <c r="H547" s="13"/>
      <c r="I547" s="39" t="s">
        <v>1282</v>
      </c>
      <c r="J547" s="13"/>
      <c r="K547" s="13"/>
      <c r="L547" s="13"/>
      <c r="O547" s="3"/>
      <c r="P547" s="18" t="s">
        <v>1231</v>
      </c>
      <c r="Q547" s="25"/>
      <c r="T547" s="25"/>
    </row>
    <row r="548" spans="2:20" x14ac:dyDescent="0.25">
      <c r="B548" s="37"/>
      <c r="D548" s="19" t="s">
        <v>14</v>
      </c>
      <c r="E548" s="19" t="s">
        <v>15</v>
      </c>
      <c r="F548" s="19" t="s">
        <v>537</v>
      </c>
      <c r="G548" s="19" t="s">
        <v>179</v>
      </c>
      <c r="H548" s="19"/>
      <c r="I548" s="19"/>
      <c r="J548" s="19"/>
      <c r="K548" s="19"/>
      <c r="L548" s="19"/>
      <c r="M548" s="19"/>
      <c r="N548" s="19"/>
      <c r="O548" s="19" t="s">
        <v>20</v>
      </c>
      <c r="P548" s="19" t="s">
        <v>21</v>
      </c>
      <c r="Q548" s="25"/>
      <c r="T548" s="25"/>
    </row>
    <row r="549" spans="2:20" x14ac:dyDescent="0.25">
      <c r="B549" s="37"/>
      <c r="D549" s="22">
        <v>10</v>
      </c>
      <c r="E549" s="22">
        <v>100</v>
      </c>
      <c r="F549" s="23" t="s">
        <v>1283</v>
      </c>
      <c r="G549" s="23" t="s">
        <v>1284</v>
      </c>
      <c r="H549" s="23"/>
      <c r="I549" s="23"/>
      <c r="J549" s="23"/>
      <c r="K549" s="23"/>
      <c r="L549" s="23"/>
      <c r="M549" s="23"/>
      <c r="N549" s="23"/>
      <c r="O549" s="24">
        <v>143.25</v>
      </c>
      <c r="P549" s="24">
        <v>2.5785</v>
      </c>
      <c r="Q549" s="25"/>
      <c r="T549" s="25"/>
    </row>
    <row r="550" spans="2:20" x14ac:dyDescent="0.25">
      <c r="B550" s="37"/>
      <c r="D550" s="22">
        <v>10</v>
      </c>
      <c r="E550" s="22">
        <v>200</v>
      </c>
      <c r="F550" s="23" t="s">
        <v>1285</v>
      </c>
      <c r="G550" s="23" t="s">
        <v>1286</v>
      </c>
      <c r="H550" s="23"/>
      <c r="I550" s="23"/>
      <c r="J550" s="23"/>
      <c r="K550" s="23"/>
      <c r="L550" s="23"/>
      <c r="M550" s="23"/>
      <c r="N550" s="23"/>
      <c r="O550" s="24">
        <v>286.49000000022352</v>
      </c>
      <c r="P550" s="24">
        <v>2.5784100000020116</v>
      </c>
      <c r="Q550" s="25"/>
      <c r="T550" s="25"/>
    </row>
    <row r="551" spans="2:20" x14ac:dyDescent="0.25">
      <c r="B551" s="37"/>
      <c r="D551" s="22">
        <v>12</v>
      </c>
      <c r="E551" s="22">
        <v>100</v>
      </c>
      <c r="F551" s="23" t="s">
        <v>1287</v>
      </c>
      <c r="G551" s="23" t="s">
        <v>1288</v>
      </c>
      <c r="H551" s="23"/>
      <c r="I551" s="23"/>
      <c r="J551" s="23"/>
      <c r="K551" s="23"/>
      <c r="L551" s="23"/>
      <c r="M551" s="23"/>
      <c r="N551" s="23"/>
      <c r="O551" s="24">
        <v>205.10000000009313</v>
      </c>
      <c r="P551" s="24">
        <v>3.6918000000016762</v>
      </c>
      <c r="Q551" s="25"/>
      <c r="T551" s="25"/>
    </row>
    <row r="552" spans="2:20" x14ac:dyDescent="0.25">
      <c r="B552" s="37"/>
      <c r="D552" s="22">
        <v>12</v>
      </c>
      <c r="E552" s="22">
        <v>200</v>
      </c>
      <c r="F552" s="23" t="s">
        <v>1289</v>
      </c>
      <c r="G552" s="23" t="s">
        <v>1290</v>
      </c>
      <c r="H552" s="23"/>
      <c r="I552" s="23"/>
      <c r="J552" s="23"/>
      <c r="K552" s="23"/>
      <c r="L552" s="23"/>
      <c r="M552" s="23"/>
      <c r="N552" s="23"/>
      <c r="O552" s="24">
        <v>410.14999999990687</v>
      </c>
      <c r="P552" s="24">
        <v>3.6913499999991619</v>
      </c>
      <c r="Q552" s="25"/>
      <c r="T552" s="25"/>
    </row>
    <row r="553" spans="2:20" x14ac:dyDescent="0.25">
      <c r="B553" s="37"/>
      <c r="D553" s="22">
        <v>14</v>
      </c>
      <c r="E553" s="22">
        <v>100</v>
      </c>
      <c r="F553" s="23" t="s">
        <v>1291</v>
      </c>
      <c r="G553" s="23" t="s">
        <v>1292</v>
      </c>
      <c r="H553" s="23"/>
      <c r="I553" s="23"/>
      <c r="J553" s="23"/>
      <c r="K553" s="23"/>
      <c r="L553" s="23"/>
      <c r="M553" s="23"/>
      <c r="N553" s="23"/>
      <c r="O553" s="24">
        <v>277.66000000014901</v>
      </c>
      <c r="P553" s="24">
        <v>4.9978800000026826</v>
      </c>
      <c r="Q553" s="25"/>
      <c r="T553" s="25"/>
    </row>
    <row r="554" spans="2:20" x14ac:dyDescent="0.25">
      <c r="B554" s="37"/>
      <c r="D554" s="22">
        <v>14</v>
      </c>
      <c r="E554" s="22">
        <v>200</v>
      </c>
      <c r="F554" s="23" t="s">
        <v>1293</v>
      </c>
      <c r="G554" s="23" t="s">
        <v>1294</v>
      </c>
      <c r="H554" s="23"/>
      <c r="I554" s="23"/>
      <c r="J554" s="23"/>
      <c r="K554" s="23"/>
      <c r="L554" s="23"/>
      <c r="M554" s="23"/>
      <c r="N554" s="23"/>
      <c r="O554" s="24">
        <v>555.33999999985099</v>
      </c>
      <c r="P554" s="24">
        <v>4.9980599999986586</v>
      </c>
      <c r="Q554" s="25"/>
      <c r="T554" s="25"/>
    </row>
    <row r="555" spans="2:20" x14ac:dyDescent="0.25">
      <c r="B555" s="37"/>
      <c r="D555" s="22">
        <v>16</v>
      </c>
      <c r="E555" s="22">
        <v>100</v>
      </c>
      <c r="F555" s="23" t="s">
        <v>1295</v>
      </c>
      <c r="G555" s="23" t="s">
        <v>1296</v>
      </c>
      <c r="H555" s="23"/>
      <c r="I555" s="23"/>
      <c r="J555" s="23"/>
      <c r="K555" s="23"/>
      <c r="L555" s="23"/>
      <c r="M555" s="23"/>
      <c r="N555" s="23"/>
      <c r="O555" s="24">
        <v>362.47999999998137</v>
      </c>
      <c r="P555" s="24">
        <v>6.5246399999996649</v>
      </c>
      <c r="Q555" s="25"/>
      <c r="T555" s="25"/>
    </row>
    <row r="556" spans="2:20" x14ac:dyDescent="0.25">
      <c r="B556" s="37"/>
      <c r="D556" s="22">
        <v>16</v>
      </c>
      <c r="E556" s="22">
        <v>200</v>
      </c>
      <c r="F556" s="23" t="s">
        <v>1297</v>
      </c>
      <c r="G556" s="23" t="s">
        <v>1298</v>
      </c>
      <c r="H556" s="23"/>
      <c r="I556" s="23"/>
      <c r="J556" s="23"/>
      <c r="K556" s="23"/>
      <c r="L556" s="23"/>
      <c r="M556" s="23"/>
      <c r="N556" s="23"/>
      <c r="O556" s="24">
        <v>725.00999999977648</v>
      </c>
      <c r="P556" s="24">
        <v>6.5250899999979888</v>
      </c>
      <c r="Q556" s="25"/>
      <c r="T556" s="25"/>
    </row>
    <row r="557" spans="2:20" x14ac:dyDescent="0.25">
      <c r="B557" s="37"/>
      <c r="D557" s="22">
        <v>18</v>
      </c>
      <c r="E557" s="22">
        <v>100</v>
      </c>
      <c r="F557" s="23" t="s">
        <v>1299</v>
      </c>
      <c r="G557" s="23" t="s">
        <v>1300</v>
      </c>
      <c r="H557" s="23"/>
      <c r="I557" s="23"/>
      <c r="J557" s="23"/>
      <c r="K557" s="23"/>
      <c r="L557" s="23"/>
      <c r="M557" s="23"/>
      <c r="N557" s="23"/>
      <c r="O557" s="24">
        <v>459.72999999998137</v>
      </c>
      <c r="P557" s="24">
        <v>8.2751399999996647</v>
      </c>
      <c r="Q557" s="25"/>
      <c r="T557" s="25"/>
    </row>
    <row r="558" spans="2:20" x14ac:dyDescent="0.25">
      <c r="B558" s="37"/>
      <c r="D558" s="22">
        <v>18</v>
      </c>
      <c r="E558" s="22">
        <v>200</v>
      </c>
      <c r="F558" s="23" t="s">
        <v>1301</v>
      </c>
      <c r="G558" s="23" t="s">
        <v>1302</v>
      </c>
      <c r="H558" s="23"/>
      <c r="I558" s="23"/>
      <c r="J558" s="23"/>
      <c r="K558" s="23"/>
      <c r="L558" s="23"/>
      <c r="M558" s="23"/>
      <c r="N558" s="23"/>
      <c r="O558" s="24">
        <v>919.42999999970198</v>
      </c>
      <c r="P558" s="24">
        <v>8.2748699999973176</v>
      </c>
      <c r="Q558" s="25"/>
      <c r="T558" s="25"/>
    </row>
    <row r="559" spans="2:20" x14ac:dyDescent="0.25">
      <c r="B559" s="37"/>
      <c r="D559" s="22">
        <v>20</v>
      </c>
      <c r="E559" s="22">
        <v>100</v>
      </c>
      <c r="F559" s="23" t="s">
        <v>1303</v>
      </c>
      <c r="G559" s="23" t="s">
        <v>1304</v>
      </c>
      <c r="H559" s="23"/>
      <c r="I559" s="23"/>
      <c r="J559" s="23"/>
      <c r="K559" s="23"/>
      <c r="L559" s="23"/>
      <c r="M559" s="23"/>
      <c r="N559" s="23"/>
      <c r="O559" s="24">
        <v>565.83000000007451</v>
      </c>
      <c r="P559" s="24">
        <v>10.184940000001342</v>
      </c>
      <c r="Q559" s="25"/>
      <c r="T559" s="25"/>
    </row>
    <row r="560" spans="2:20" x14ac:dyDescent="0.25">
      <c r="B560" s="37"/>
      <c r="D560" s="22">
        <v>20</v>
      </c>
      <c r="E560" s="22">
        <v>200</v>
      </c>
      <c r="F560" s="23" t="s">
        <v>1305</v>
      </c>
      <c r="G560" s="23" t="s">
        <v>1306</v>
      </c>
      <c r="H560" s="23"/>
      <c r="I560" s="23"/>
      <c r="J560" s="23"/>
      <c r="K560" s="23"/>
      <c r="L560" s="23"/>
      <c r="M560" s="23"/>
      <c r="N560" s="23"/>
      <c r="O560" s="24">
        <v>1131.6500000003725</v>
      </c>
      <c r="P560" s="24">
        <v>10.184850000003353</v>
      </c>
      <c r="Q560" s="25"/>
      <c r="T560" s="25"/>
    </row>
    <row r="561" spans="2:20" x14ac:dyDescent="0.25">
      <c r="B561" s="37"/>
      <c r="D561" s="22">
        <v>24</v>
      </c>
      <c r="E561" s="22">
        <v>100</v>
      </c>
      <c r="F561" s="23" t="s">
        <v>1307</v>
      </c>
      <c r="G561" s="23" t="s">
        <v>1308</v>
      </c>
      <c r="H561" s="23"/>
      <c r="I561" s="23"/>
      <c r="J561" s="23"/>
      <c r="K561" s="23"/>
      <c r="L561" s="23"/>
      <c r="M561" s="23"/>
      <c r="N561" s="23"/>
      <c r="O561" s="24">
        <v>813.40000000037253</v>
      </c>
      <c r="P561" s="24">
        <v>14.641200000006707</v>
      </c>
      <c r="Q561" s="25"/>
      <c r="T561" s="25"/>
    </row>
    <row r="562" spans="2:20" x14ac:dyDescent="0.25">
      <c r="B562" s="37"/>
      <c r="D562" s="22">
        <v>24</v>
      </c>
      <c r="E562" s="22">
        <v>200</v>
      </c>
      <c r="F562" s="23" t="s">
        <v>1309</v>
      </c>
      <c r="G562" s="23" t="s">
        <v>1310</v>
      </c>
      <c r="H562" s="23"/>
      <c r="I562" s="23"/>
      <c r="J562" s="23"/>
      <c r="K562" s="23"/>
      <c r="L562" s="23"/>
      <c r="M562" s="23"/>
      <c r="N562" s="23"/>
      <c r="O562" s="24">
        <v>1626.8300000000745</v>
      </c>
      <c r="P562" s="24">
        <v>14.64147000000067</v>
      </c>
      <c r="Q562" s="25"/>
      <c r="T562" s="25"/>
    </row>
    <row r="563" spans="2:20" x14ac:dyDescent="0.25">
      <c r="B563" s="37"/>
      <c r="D563" s="22">
        <v>28</v>
      </c>
      <c r="E563" s="22">
        <v>100</v>
      </c>
      <c r="F563" s="33" t="s">
        <v>1311</v>
      </c>
      <c r="G563" s="33" t="s">
        <v>1312</v>
      </c>
      <c r="H563" s="33"/>
      <c r="I563" s="33"/>
      <c r="J563" s="33"/>
      <c r="K563" s="33"/>
      <c r="L563" s="33"/>
      <c r="M563" s="33"/>
      <c r="N563" s="33"/>
      <c r="O563" s="24">
        <v>1114.109999999404</v>
      </c>
      <c r="P563" s="24">
        <v>20.05397999998927</v>
      </c>
      <c r="Q563" s="25"/>
      <c r="T563" s="25"/>
    </row>
    <row r="564" spans="2:20" x14ac:dyDescent="0.25">
      <c r="B564" s="37"/>
      <c r="D564" s="22"/>
      <c r="E564" s="22"/>
      <c r="F564" s="27"/>
      <c r="G564" s="27"/>
      <c r="H564" s="27"/>
      <c r="I564" s="27"/>
      <c r="J564" s="27"/>
      <c r="K564" s="27"/>
      <c r="L564" s="27"/>
      <c r="M564" s="27"/>
      <c r="N564" s="27"/>
      <c r="O564" s="24"/>
      <c r="P564" s="24"/>
      <c r="Q564" s="25"/>
      <c r="T564" s="25"/>
    </row>
    <row r="565" spans="2:20" ht="19.05" x14ac:dyDescent="0.35">
      <c r="B565" s="37"/>
      <c r="D565" s="13" t="s">
        <v>1313</v>
      </c>
      <c r="E565" s="13"/>
      <c r="G565" s="13"/>
      <c r="H565" s="13"/>
      <c r="I565" s="13"/>
      <c r="J565" s="13"/>
      <c r="K565" s="13"/>
      <c r="L565" s="13"/>
      <c r="O565" s="3"/>
      <c r="P565" s="18"/>
      <c r="Q565" s="25"/>
      <c r="T565" s="25"/>
    </row>
    <row r="566" spans="2:20" x14ac:dyDescent="0.25">
      <c r="B566" s="37"/>
      <c r="D566" s="19" t="s">
        <v>14</v>
      </c>
      <c r="E566" s="19" t="s">
        <v>15</v>
      </c>
      <c r="F566" s="19" t="s">
        <v>180</v>
      </c>
      <c r="G566" s="19"/>
      <c r="H566" s="19"/>
      <c r="I566" s="19"/>
      <c r="J566" s="19"/>
      <c r="K566" s="19"/>
      <c r="L566" s="19"/>
      <c r="M566" s="19"/>
      <c r="N566" s="19"/>
      <c r="O566" s="19" t="s">
        <v>20</v>
      </c>
      <c r="P566" s="19" t="s">
        <v>21</v>
      </c>
      <c r="Q566" s="25"/>
      <c r="T566" s="25"/>
    </row>
    <row r="567" spans="2:20" x14ac:dyDescent="0.25">
      <c r="B567" s="37"/>
      <c r="D567" s="22">
        <v>6</v>
      </c>
      <c r="E567" s="22">
        <v>100</v>
      </c>
      <c r="F567" s="23" t="s">
        <v>1314</v>
      </c>
      <c r="G567" s="23"/>
      <c r="H567" s="23"/>
      <c r="I567" s="23"/>
      <c r="J567" s="23"/>
      <c r="K567" s="23"/>
      <c r="L567" s="23"/>
      <c r="M567" s="23"/>
      <c r="N567" s="23"/>
      <c r="O567" s="24">
        <v>38.659999999974389</v>
      </c>
      <c r="P567" s="24">
        <v>0.69587999999953909</v>
      </c>
      <c r="Q567" s="25"/>
      <c r="T567" s="25"/>
    </row>
    <row r="568" spans="2:20" x14ac:dyDescent="0.25">
      <c r="B568" s="37"/>
      <c r="D568" s="22">
        <v>6</v>
      </c>
      <c r="E568" s="22">
        <v>200</v>
      </c>
      <c r="F568" s="23" t="s">
        <v>1315</v>
      </c>
      <c r="G568" s="23"/>
      <c r="H568" s="23"/>
      <c r="I568" s="23"/>
      <c r="J568" s="23"/>
      <c r="K568" s="23"/>
      <c r="L568" s="23"/>
      <c r="M568" s="23"/>
      <c r="N568" s="23"/>
      <c r="O568" s="24">
        <v>77.369999999995343</v>
      </c>
      <c r="P568" s="24">
        <v>0.69632999999995815</v>
      </c>
      <c r="Q568" s="25"/>
      <c r="T568" s="25"/>
    </row>
    <row r="569" spans="2:20" x14ac:dyDescent="0.25">
      <c r="B569" s="37"/>
      <c r="D569" s="22">
        <v>8</v>
      </c>
      <c r="E569" s="22">
        <v>100</v>
      </c>
      <c r="F569" s="23" t="s">
        <v>1316</v>
      </c>
      <c r="G569" s="23"/>
      <c r="H569" s="23"/>
      <c r="I569" s="23"/>
      <c r="J569" s="23"/>
      <c r="K569" s="23"/>
      <c r="L569" s="23"/>
      <c r="M569" s="23"/>
      <c r="N569" s="23"/>
      <c r="O569" s="24">
        <v>52.849999999976717</v>
      </c>
      <c r="P569" s="24">
        <v>0.95129999999958093</v>
      </c>
      <c r="Q569" s="25"/>
      <c r="T569" s="25"/>
    </row>
    <row r="570" spans="2:20" x14ac:dyDescent="0.25">
      <c r="B570" s="37"/>
      <c r="D570" s="22">
        <v>8</v>
      </c>
      <c r="E570" s="22">
        <v>200</v>
      </c>
      <c r="F570" s="23" t="s">
        <v>1317</v>
      </c>
      <c r="G570" s="23"/>
      <c r="H570" s="23"/>
      <c r="I570" s="23"/>
      <c r="J570" s="23"/>
      <c r="K570" s="23"/>
      <c r="L570" s="23"/>
      <c r="M570" s="23"/>
      <c r="N570" s="23"/>
      <c r="O570" s="24">
        <v>105.70999999996275</v>
      </c>
      <c r="P570" s="24">
        <v>0.95138999999966467</v>
      </c>
      <c r="Q570" s="25"/>
      <c r="T570" s="25"/>
    </row>
    <row r="571" spans="2:20" x14ac:dyDescent="0.25">
      <c r="B571" s="37"/>
      <c r="D571" s="22">
        <v>10</v>
      </c>
      <c r="E571" s="22">
        <v>100</v>
      </c>
      <c r="F571" s="23" t="s">
        <v>1318</v>
      </c>
      <c r="G571" s="23"/>
      <c r="H571" s="23"/>
      <c r="I571" s="23"/>
      <c r="J571" s="23"/>
      <c r="K571" s="23"/>
      <c r="L571" s="23"/>
      <c r="M571" s="23"/>
      <c r="N571" s="23"/>
      <c r="O571" s="24">
        <v>81.800000000046566</v>
      </c>
      <c r="P571" s="24">
        <v>1.4724000000008381</v>
      </c>
      <c r="Q571" s="25"/>
      <c r="T571" s="25"/>
    </row>
    <row r="572" spans="2:20" x14ac:dyDescent="0.25">
      <c r="B572" s="37"/>
      <c r="D572" s="22">
        <v>10</v>
      </c>
      <c r="E572" s="22">
        <v>200</v>
      </c>
      <c r="F572" s="23" t="s">
        <v>1319</v>
      </c>
      <c r="G572" s="23"/>
      <c r="H572" s="23"/>
      <c r="I572" s="23"/>
      <c r="J572" s="23"/>
      <c r="K572" s="23"/>
      <c r="L572" s="23"/>
      <c r="M572" s="23"/>
      <c r="N572" s="23"/>
      <c r="O572" s="24">
        <v>163.56000000005588</v>
      </c>
      <c r="P572" s="24">
        <v>1.4720400000005029</v>
      </c>
      <c r="Q572" s="25"/>
      <c r="T572" s="25"/>
    </row>
    <row r="573" spans="2:20" x14ac:dyDescent="0.25">
      <c r="B573" s="37"/>
      <c r="D573" s="22">
        <v>12</v>
      </c>
      <c r="E573" s="22">
        <v>100</v>
      </c>
      <c r="F573" s="23" t="s">
        <v>1320</v>
      </c>
      <c r="G573" s="23"/>
      <c r="H573" s="23"/>
      <c r="I573" s="23"/>
      <c r="J573" s="23"/>
      <c r="K573" s="23"/>
      <c r="L573" s="23"/>
      <c r="M573" s="23"/>
      <c r="N573" s="23"/>
      <c r="O573" s="24">
        <v>118.3399999999674</v>
      </c>
      <c r="P573" s="24">
        <v>2.1301199999994136</v>
      </c>
      <c r="Q573" s="25"/>
      <c r="T573" s="25"/>
    </row>
    <row r="574" spans="2:20" x14ac:dyDescent="0.25">
      <c r="B574" s="37"/>
      <c r="D574" s="22">
        <v>12</v>
      </c>
      <c r="E574" s="22">
        <v>200</v>
      </c>
      <c r="F574" s="23" t="s">
        <v>1321</v>
      </c>
      <c r="G574" s="23"/>
      <c r="H574" s="23"/>
      <c r="I574" s="23"/>
      <c r="J574" s="23"/>
      <c r="K574" s="23"/>
      <c r="L574" s="23"/>
      <c r="M574" s="23"/>
      <c r="N574" s="23"/>
      <c r="O574" s="24">
        <v>236.67999999993481</v>
      </c>
      <c r="P574" s="24">
        <v>2.1301199999994136</v>
      </c>
      <c r="Q574" s="25"/>
      <c r="T574" s="25"/>
    </row>
    <row r="575" spans="2:20" x14ac:dyDescent="0.25">
      <c r="B575" s="37"/>
      <c r="D575" s="22">
        <v>14</v>
      </c>
      <c r="E575" s="22">
        <v>100</v>
      </c>
      <c r="F575" s="23" t="s">
        <v>1322</v>
      </c>
      <c r="G575" s="23"/>
      <c r="H575" s="23"/>
      <c r="I575" s="23"/>
      <c r="J575" s="23"/>
      <c r="K575" s="23"/>
      <c r="L575" s="23"/>
      <c r="M575" s="23"/>
      <c r="N575" s="23"/>
      <c r="O575" s="24">
        <v>161.09000000008382</v>
      </c>
      <c r="P575" s="24">
        <v>2.8996200000015091</v>
      </c>
      <c r="Q575" s="25"/>
      <c r="T575" s="25"/>
    </row>
    <row r="576" spans="2:20" x14ac:dyDescent="0.25">
      <c r="B576" s="37"/>
      <c r="D576" s="22">
        <v>14</v>
      </c>
      <c r="E576" s="22">
        <v>200</v>
      </c>
      <c r="F576" s="23" t="s">
        <v>1323</v>
      </c>
      <c r="G576" s="23"/>
      <c r="H576" s="23"/>
      <c r="I576" s="23"/>
      <c r="J576" s="23"/>
      <c r="K576" s="23"/>
      <c r="L576" s="23"/>
      <c r="M576" s="23"/>
      <c r="N576" s="23"/>
      <c r="O576" s="24">
        <v>322.16999999992549</v>
      </c>
      <c r="P576" s="24">
        <v>2.8995299999993294</v>
      </c>
      <c r="Q576" s="25"/>
      <c r="T576" s="25"/>
    </row>
    <row r="577" spans="2:20" x14ac:dyDescent="0.25">
      <c r="B577" s="37"/>
      <c r="D577" s="22">
        <v>16</v>
      </c>
      <c r="E577" s="22">
        <v>100</v>
      </c>
      <c r="F577" s="23" t="s">
        <v>1324</v>
      </c>
      <c r="G577" s="23"/>
      <c r="H577" s="23"/>
      <c r="I577" s="23"/>
      <c r="J577" s="23"/>
      <c r="K577" s="23"/>
      <c r="L577" s="23"/>
      <c r="M577" s="23"/>
      <c r="N577" s="23"/>
      <c r="O577" s="24">
        <v>210.32000000006519</v>
      </c>
      <c r="P577" s="24">
        <v>3.7857600000011735</v>
      </c>
      <c r="Q577" s="25"/>
      <c r="T577" s="25"/>
    </row>
    <row r="578" spans="2:20" x14ac:dyDescent="0.25">
      <c r="B578" s="37"/>
      <c r="D578" s="22">
        <v>16</v>
      </c>
      <c r="E578" s="22">
        <v>200</v>
      </c>
      <c r="F578" s="27" t="s">
        <v>1325</v>
      </c>
      <c r="G578" s="27"/>
      <c r="H578" s="27"/>
      <c r="I578" s="27"/>
      <c r="J578" s="27"/>
      <c r="K578" s="27"/>
      <c r="L578" s="27"/>
      <c r="M578" s="27"/>
      <c r="N578" s="27"/>
      <c r="O578" s="24">
        <v>420.62999999988824</v>
      </c>
      <c r="P578" s="24">
        <v>3.7856699999989947</v>
      </c>
      <c r="Q578" s="25"/>
      <c r="T578" s="25"/>
    </row>
    <row r="579" spans="2:20" x14ac:dyDescent="0.25">
      <c r="B579" s="37"/>
      <c r="D579" s="22"/>
      <c r="E579" s="22"/>
      <c r="F579" s="27"/>
      <c r="G579" s="27"/>
      <c r="H579" s="27"/>
      <c r="I579" s="27"/>
      <c r="J579" s="27"/>
      <c r="K579" s="27"/>
      <c r="L579" s="27"/>
      <c r="M579" s="27"/>
      <c r="N579" s="27"/>
      <c r="O579" s="24"/>
      <c r="P579" s="24"/>
      <c r="Q579" s="25"/>
      <c r="T579" s="25"/>
    </row>
    <row r="580" spans="2:20" ht="19.05" x14ac:dyDescent="0.35">
      <c r="B580" s="37"/>
      <c r="D580" s="13" t="s">
        <v>1326</v>
      </c>
      <c r="E580" s="13"/>
      <c r="G580" s="13"/>
      <c r="H580" s="13"/>
      <c r="I580" s="13"/>
      <c r="J580" s="13"/>
      <c r="K580" s="13"/>
      <c r="L580" s="13"/>
      <c r="O580" s="3"/>
      <c r="P580" s="18" t="s">
        <v>1231</v>
      </c>
      <c r="Q580" s="25"/>
      <c r="T580" s="25"/>
    </row>
    <row r="581" spans="2:20" x14ac:dyDescent="0.25">
      <c r="B581" s="37"/>
      <c r="D581" s="19" t="s">
        <v>14</v>
      </c>
      <c r="E581" s="19" t="s">
        <v>15</v>
      </c>
      <c r="F581" s="19" t="s">
        <v>1327</v>
      </c>
      <c r="G581" s="19"/>
      <c r="H581" s="19"/>
      <c r="I581" s="19"/>
      <c r="J581" s="19"/>
      <c r="K581" s="19"/>
      <c r="L581" s="19"/>
      <c r="M581" s="19"/>
      <c r="N581" s="19"/>
      <c r="O581" s="19" t="s">
        <v>20</v>
      </c>
      <c r="P581" s="19" t="s">
        <v>21</v>
      </c>
      <c r="Q581" s="25"/>
      <c r="T581" s="25"/>
    </row>
    <row r="582" spans="2:20" x14ac:dyDescent="0.25">
      <c r="B582" s="37"/>
      <c r="D582" s="22">
        <v>6</v>
      </c>
      <c r="E582" s="22">
        <v>100</v>
      </c>
      <c r="F582" s="23" t="s">
        <v>1328</v>
      </c>
      <c r="G582" s="23"/>
      <c r="H582" s="23"/>
      <c r="I582" s="23"/>
      <c r="J582" s="23"/>
      <c r="K582" s="23"/>
      <c r="L582" s="23"/>
      <c r="M582" s="23"/>
      <c r="N582" s="23"/>
      <c r="O582" s="24">
        <v>62.090000000025611</v>
      </c>
      <c r="P582" s="24">
        <v>1.117620000000461</v>
      </c>
      <c r="Q582" s="25"/>
      <c r="T582" s="25"/>
    </row>
    <row r="583" spans="2:20" x14ac:dyDescent="0.25">
      <c r="B583" s="37"/>
      <c r="D583" s="22">
        <v>6</v>
      </c>
      <c r="E583" s="22">
        <v>200</v>
      </c>
      <c r="F583" s="23" t="s">
        <v>1329</v>
      </c>
      <c r="G583" s="23"/>
      <c r="H583" s="23"/>
      <c r="I583" s="23"/>
      <c r="J583" s="23"/>
      <c r="K583" s="23"/>
      <c r="L583" s="23"/>
      <c r="M583" s="23"/>
      <c r="N583" s="23"/>
      <c r="O583" s="24">
        <v>124.1600000000326</v>
      </c>
      <c r="P583" s="24">
        <v>1.1174400000002935</v>
      </c>
      <c r="Q583" s="25"/>
      <c r="T583" s="25"/>
    </row>
    <row r="584" spans="2:20" x14ac:dyDescent="0.25">
      <c r="B584" s="37"/>
      <c r="D584" s="22">
        <v>8</v>
      </c>
      <c r="E584" s="22">
        <v>100</v>
      </c>
      <c r="F584" s="23" t="s">
        <v>1330</v>
      </c>
      <c r="G584" s="23"/>
      <c r="H584" s="23"/>
      <c r="I584" s="23"/>
      <c r="J584" s="23"/>
      <c r="K584" s="23"/>
      <c r="L584" s="23"/>
      <c r="M584" s="23"/>
      <c r="N584" s="23"/>
      <c r="O584" s="24">
        <v>71.32999999995809</v>
      </c>
      <c r="P584" s="24">
        <v>1.2839399999992458</v>
      </c>
      <c r="Q584" s="25"/>
      <c r="T584" s="25"/>
    </row>
    <row r="585" spans="2:20" x14ac:dyDescent="0.25">
      <c r="B585" s="37"/>
      <c r="D585" s="22">
        <v>8</v>
      </c>
      <c r="E585" s="22">
        <v>200</v>
      </c>
      <c r="F585" s="23" t="s">
        <v>1331</v>
      </c>
      <c r="G585" s="23"/>
      <c r="H585" s="23"/>
      <c r="I585" s="23"/>
      <c r="J585" s="23"/>
      <c r="K585" s="23"/>
      <c r="L585" s="23"/>
      <c r="M585" s="23"/>
      <c r="N585" s="23"/>
      <c r="O585" s="24">
        <v>142.65999999991618</v>
      </c>
      <c r="P585" s="24">
        <v>1.2839399999992458</v>
      </c>
      <c r="Q585" s="25"/>
      <c r="T585" s="25"/>
    </row>
    <row r="586" spans="2:20" x14ac:dyDescent="0.25">
      <c r="B586" s="37"/>
      <c r="D586" s="22">
        <v>10</v>
      </c>
      <c r="E586" s="22">
        <v>100</v>
      </c>
      <c r="F586" s="23" t="s">
        <v>1332</v>
      </c>
      <c r="G586" s="23"/>
      <c r="H586" s="23"/>
      <c r="I586" s="23"/>
      <c r="J586" s="23"/>
      <c r="K586" s="23"/>
      <c r="L586" s="23"/>
      <c r="M586" s="23"/>
      <c r="N586" s="23"/>
      <c r="O586" s="24">
        <v>99.930000000051223</v>
      </c>
      <c r="P586" s="24">
        <v>1.7987400000009219</v>
      </c>
      <c r="Q586" s="25"/>
      <c r="T586" s="25"/>
    </row>
    <row r="587" spans="2:20" x14ac:dyDescent="0.25">
      <c r="B587" s="37"/>
      <c r="D587" s="22">
        <v>10</v>
      </c>
      <c r="E587" s="22">
        <v>200</v>
      </c>
      <c r="F587" s="23" t="s">
        <v>1333</v>
      </c>
      <c r="G587" s="23"/>
      <c r="H587" s="23"/>
      <c r="I587" s="23"/>
      <c r="J587" s="23"/>
      <c r="K587" s="23"/>
      <c r="L587" s="23"/>
      <c r="M587" s="23"/>
      <c r="N587" s="23"/>
      <c r="O587" s="24">
        <v>199.87000000011176</v>
      </c>
      <c r="P587" s="24">
        <v>1.798830000001006</v>
      </c>
      <c r="Q587" s="25"/>
      <c r="T587" s="25"/>
    </row>
    <row r="588" spans="2:20" x14ac:dyDescent="0.25">
      <c r="B588" s="37"/>
      <c r="D588" s="22">
        <v>12</v>
      </c>
      <c r="E588" s="22">
        <v>100</v>
      </c>
      <c r="F588" s="23" t="s">
        <v>1334</v>
      </c>
      <c r="G588" s="23"/>
      <c r="H588" s="23"/>
      <c r="I588" s="23"/>
      <c r="J588" s="23"/>
      <c r="K588" s="23"/>
      <c r="L588" s="23"/>
      <c r="M588" s="23"/>
      <c r="N588" s="23"/>
      <c r="O588" s="24">
        <v>138.80000000004657</v>
      </c>
      <c r="P588" s="24">
        <v>2.4984000000008382</v>
      </c>
      <c r="Q588" s="25"/>
      <c r="T588" s="25"/>
    </row>
    <row r="589" spans="2:20" x14ac:dyDescent="0.25">
      <c r="B589" s="37"/>
      <c r="D589" s="22">
        <v>12</v>
      </c>
      <c r="E589" s="22">
        <v>200</v>
      </c>
      <c r="F589" s="23" t="s">
        <v>1335</v>
      </c>
      <c r="G589" s="23"/>
      <c r="H589" s="23"/>
      <c r="I589" s="23"/>
      <c r="J589" s="23"/>
      <c r="K589" s="23"/>
      <c r="L589" s="23"/>
      <c r="M589" s="23"/>
      <c r="N589" s="23"/>
      <c r="O589" s="24">
        <v>277.54999999981374</v>
      </c>
      <c r="P589" s="24">
        <v>2.4979499999983235</v>
      </c>
      <c r="Q589" s="25"/>
      <c r="T589" s="25"/>
    </row>
    <row r="590" spans="2:20" ht="19.05" x14ac:dyDescent="0.35">
      <c r="B590" s="37"/>
      <c r="D590" s="13" t="s">
        <v>1336</v>
      </c>
      <c r="E590" s="13"/>
      <c r="G590" s="13"/>
      <c r="H590" s="13"/>
      <c r="I590" s="13"/>
      <c r="J590" s="13"/>
      <c r="K590" s="13"/>
      <c r="L590" s="13"/>
      <c r="O590" s="3"/>
      <c r="P590" s="18" t="s">
        <v>1231</v>
      </c>
      <c r="Q590" s="25"/>
      <c r="T590" s="25"/>
    </row>
    <row r="591" spans="2:20" x14ac:dyDescent="0.25">
      <c r="B591" s="37"/>
      <c r="D591" s="19" t="s">
        <v>14</v>
      </c>
      <c r="E591" s="19" t="s">
        <v>15</v>
      </c>
      <c r="F591" s="19" t="s">
        <v>1327</v>
      </c>
      <c r="G591" s="19"/>
      <c r="H591" s="19"/>
      <c r="I591" s="19"/>
      <c r="J591" s="19"/>
      <c r="K591" s="19"/>
      <c r="L591" s="19"/>
      <c r="M591" s="19"/>
      <c r="N591" s="19"/>
      <c r="O591" s="19" t="s">
        <v>20</v>
      </c>
      <c r="P591" s="19" t="s">
        <v>21</v>
      </c>
      <c r="Q591" s="25"/>
      <c r="T591" s="25"/>
    </row>
    <row r="592" spans="2:20" x14ac:dyDescent="0.25">
      <c r="B592" s="37"/>
      <c r="D592" s="22">
        <v>16</v>
      </c>
      <c r="E592" s="22">
        <v>100</v>
      </c>
      <c r="F592" s="23" t="s">
        <v>1337</v>
      </c>
      <c r="G592" s="23"/>
      <c r="H592" s="23"/>
      <c r="I592" s="23"/>
      <c r="J592" s="23"/>
      <c r="K592" s="23"/>
      <c r="L592" s="23"/>
      <c r="M592" s="23"/>
      <c r="N592" s="23"/>
      <c r="O592" s="24">
        <v>224.12999999988824</v>
      </c>
      <c r="P592" s="24">
        <v>4.0343399999979885</v>
      </c>
      <c r="Q592" s="25"/>
      <c r="T592" s="25"/>
    </row>
    <row r="593" spans="2:20" x14ac:dyDescent="0.25">
      <c r="B593" s="37"/>
      <c r="D593" s="22">
        <v>16</v>
      </c>
      <c r="E593" s="22">
        <v>200</v>
      </c>
      <c r="F593" s="23" t="s">
        <v>1338</v>
      </c>
      <c r="G593" s="23"/>
      <c r="H593" s="23"/>
      <c r="I593" s="23"/>
      <c r="J593" s="23"/>
      <c r="K593" s="23"/>
      <c r="L593" s="23"/>
      <c r="M593" s="23"/>
      <c r="N593" s="23"/>
      <c r="O593" s="24">
        <v>448.27999999979511</v>
      </c>
      <c r="P593" s="24">
        <v>4.0345199999981558</v>
      </c>
      <c r="Q593" s="25"/>
      <c r="T593" s="25"/>
    </row>
    <row r="594" spans="2:20" x14ac:dyDescent="0.25">
      <c r="B594" s="37"/>
      <c r="D594" s="22">
        <v>18</v>
      </c>
      <c r="E594" s="22">
        <v>100</v>
      </c>
      <c r="F594" s="23" t="s">
        <v>1339</v>
      </c>
      <c r="G594" s="23"/>
      <c r="H594" s="23"/>
      <c r="I594" s="23"/>
      <c r="J594" s="23"/>
      <c r="K594" s="23"/>
      <c r="L594" s="23"/>
      <c r="M594" s="23"/>
      <c r="N594" s="23"/>
      <c r="O594" s="24">
        <v>277.45000000018626</v>
      </c>
      <c r="P594" s="24">
        <v>4.9941000000033533</v>
      </c>
      <c r="Q594" s="25"/>
      <c r="T594" s="25"/>
    </row>
    <row r="595" spans="2:20" x14ac:dyDescent="0.25">
      <c r="B595" s="37"/>
      <c r="D595" s="22">
        <v>18</v>
      </c>
      <c r="E595" s="22">
        <v>200</v>
      </c>
      <c r="F595" s="23" t="s">
        <v>1340</v>
      </c>
      <c r="G595" s="23"/>
      <c r="H595" s="23"/>
      <c r="I595" s="23"/>
      <c r="J595" s="23"/>
      <c r="K595" s="23"/>
      <c r="L595" s="23"/>
      <c r="M595" s="23"/>
      <c r="N595" s="23"/>
      <c r="O595" s="24">
        <v>554.83000000007451</v>
      </c>
      <c r="P595" s="24">
        <v>4.9934700000006709</v>
      </c>
      <c r="Q595" s="25"/>
      <c r="T595" s="25"/>
    </row>
    <row r="596" spans="2:20" x14ac:dyDescent="0.25">
      <c r="B596" s="37"/>
      <c r="D596" s="22">
        <v>20</v>
      </c>
      <c r="E596" s="22">
        <v>100</v>
      </c>
      <c r="F596" s="23" t="s">
        <v>1341</v>
      </c>
      <c r="G596" s="23"/>
      <c r="H596" s="23"/>
      <c r="I596" s="23"/>
      <c r="J596" s="23"/>
      <c r="K596" s="23"/>
      <c r="L596" s="23"/>
      <c r="M596" s="23"/>
      <c r="N596" s="23"/>
      <c r="O596" s="24">
        <v>374.29000000003725</v>
      </c>
      <c r="P596" s="24">
        <v>6.7372200000006703</v>
      </c>
      <c r="Q596" s="25"/>
      <c r="T596" s="25"/>
    </row>
    <row r="597" spans="2:20" x14ac:dyDescent="0.25">
      <c r="B597" s="37"/>
      <c r="D597" s="22">
        <v>20</v>
      </c>
      <c r="E597" s="22">
        <v>200</v>
      </c>
      <c r="F597" s="23" t="s">
        <v>1342</v>
      </c>
      <c r="G597" s="23"/>
      <c r="H597" s="23"/>
      <c r="I597" s="23"/>
      <c r="J597" s="23"/>
      <c r="K597" s="23"/>
      <c r="L597" s="23"/>
      <c r="M597" s="23"/>
      <c r="N597" s="23"/>
      <c r="O597" s="24">
        <v>748.61000000033528</v>
      </c>
      <c r="P597" s="24">
        <v>6.7374900000030173</v>
      </c>
      <c r="Q597" s="25"/>
      <c r="T597" s="25"/>
    </row>
    <row r="598" spans="2:20" x14ac:dyDescent="0.25">
      <c r="B598" s="37"/>
      <c r="D598" s="22">
        <v>24</v>
      </c>
      <c r="E598" s="22">
        <v>100</v>
      </c>
      <c r="F598" s="23" t="s">
        <v>1343</v>
      </c>
      <c r="G598" s="23"/>
      <c r="H598" s="23"/>
      <c r="I598" s="23"/>
      <c r="J598" s="23"/>
      <c r="K598" s="23"/>
      <c r="L598" s="23"/>
      <c r="M598" s="23"/>
      <c r="N598" s="23"/>
      <c r="O598" s="24">
        <v>488.50999999977648</v>
      </c>
      <c r="P598" s="24">
        <v>8.7931799999959761</v>
      </c>
      <c r="Q598" s="25"/>
      <c r="T598" s="25"/>
    </row>
    <row r="599" spans="2:20" x14ac:dyDescent="0.25">
      <c r="B599" s="37"/>
      <c r="D599" s="22">
        <v>24</v>
      </c>
      <c r="E599" s="22">
        <v>200</v>
      </c>
      <c r="F599" s="27" t="s">
        <v>1344</v>
      </c>
      <c r="G599" s="27"/>
      <c r="H599" s="27"/>
      <c r="I599" s="27"/>
      <c r="J599" s="27"/>
      <c r="K599" s="27"/>
      <c r="L599" s="27"/>
      <c r="M599" s="27"/>
      <c r="N599" s="27"/>
      <c r="O599" s="24">
        <v>977.04000000003725</v>
      </c>
      <c r="P599" s="24">
        <v>8.7933600000003356</v>
      </c>
      <c r="Q599" s="25"/>
      <c r="T599" s="25"/>
    </row>
    <row r="600" spans="2:20" x14ac:dyDescent="0.25">
      <c r="B600" s="37"/>
      <c r="D600" s="22"/>
      <c r="E600" s="22"/>
      <c r="F600" s="27"/>
      <c r="G600" s="27"/>
      <c r="H600" s="27"/>
      <c r="I600" s="27"/>
      <c r="J600" s="27"/>
      <c r="K600" s="27"/>
      <c r="L600" s="27"/>
      <c r="M600" s="27"/>
      <c r="N600" s="27"/>
      <c r="O600" s="24"/>
      <c r="P600" s="24"/>
      <c r="Q600" s="25"/>
      <c r="T600" s="25"/>
    </row>
    <row r="601" spans="2:20" ht="19.05" x14ac:dyDescent="0.35">
      <c r="B601" s="37"/>
      <c r="D601" s="13" t="s">
        <v>1345</v>
      </c>
      <c r="E601" s="13"/>
      <c r="G601" s="13"/>
      <c r="H601" s="13"/>
      <c r="I601" s="13"/>
      <c r="J601" s="13"/>
      <c r="K601" s="13"/>
      <c r="L601" s="13"/>
      <c r="O601" s="3"/>
      <c r="P601" s="18" t="s">
        <v>1231</v>
      </c>
      <c r="Q601" s="25"/>
      <c r="T601" s="25"/>
    </row>
    <row r="602" spans="2:20" x14ac:dyDescent="0.25">
      <c r="B602" s="37"/>
      <c r="D602" s="19" t="s">
        <v>14</v>
      </c>
      <c r="E602" s="19" t="s">
        <v>15</v>
      </c>
      <c r="F602" s="19" t="s">
        <v>180</v>
      </c>
      <c r="G602" s="19"/>
      <c r="H602" s="19"/>
      <c r="I602" s="19"/>
      <c r="J602" s="19"/>
      <c r="K602" s="19"/>
      <c r="L602" s="19"/>
      <c r="M602" s="19"/>
      <c r="N602" s="19"/>
      <c r="O602" s="19" t="s">
        <v>20</v>
      </c>
      <c r="P602" s="19" t="s">
        <v>21</v>
      </c>
      <c r="Q602" s="25"/>
      <c r="T602" s="25"/>
    </row>
    <row r="603" spans="2:20" x14ac:dyDescent="0.25">
      <c r="B603" s="37"/>
      <c r="D603" s="22">
        <v>12</v>
      </c>
      <c r="E603" s="22">
        <v>100</v>
      </c>
      <c r="F603" s="23" t="s">
        <v>1346</v>
      </c>
      <c r="G603" s="23"/>
      <c r="H603" s="23"/>
      <c r="I603" s="23"/>
      <c r="J603" s="23"/>
      <c r="K603" s="23"/>
      <c r="L603" s="23"/>
      <c r="M603" s="23"/>
      <c r="N603" s="23"/>
      <c r="O603" s="24">
        <v>269.79000000003725</v>
      </c>
      <c r="P603" s="24">
        <v>4.856220000000671</v>
      </c>
      <c r="Q603" s="25"/>
      <c r="T603" s="25"/>
    </row>
    <row r="604" spans="2:20" x14ac:dyDescent="0.25">
      <c r="B604" s="37"/>
      <c r="D604" s="22">
        <v>12</v>
      </c>
      <c r="E604" s="22">
        <v>200</v>
      </c>
      <c r="F604" s="23" t="s">
        <v>1347</v>
      </c>
      <c r="G604" s="23"/>
      <c r="H604" s="23"/>
      <c r="I604" s="23"/>
      <c r="J604" s="23"/>
      <c r="K604" s="23"/>
      <c r="L604" s="23"/>
      <c r="M604" s="23"/>
      <c r="N604" s="23"/>
      <c r="O604" s="24">
        <v>539.62000000011176</v>
      </c>
      <c r="P604" s="24">
        <v>4.8565800000010055</v>
      </c>
      <c r="Q604" s="25"/>
      <c r="T604" s="25"/>
    </row>
    <row r="605" spans="2:20" x14ac:dyDescent="0.25">
      <c r="B605" s="37"/>
      <c r="D605" s="22">
        <v>14</v>
      </c>
      <c r="E605" s="22">
        <v>100</v>
      </c>
      <c r="F605" s="23" t="s">
        <v>1348</v>
      </c>
      <c r="G605" s="23"/>
      <c r="H605" s="23"/>
      <c r="I605" s="23"/>
      <c r="J605" s="23"/>
      <c r="K605" s="23"/>
      <c r="L605" s="23"/>
      <c r="M605" s="23"/>
      <c r="N605" s="23"/>
      <c r="O605" s="24">
        <v>323.64000000013039</v>
      </c>
      <c r="P605" s="24">
        <v>5.8255200000023466</v>
      </c>
      <c r="Q605" s="25"/>
      <c r="T605" s="25"/>
    </row>
    <row r="606" spans="2:20" x14ac:dyDescent="0.25">
      <c r="B606" s="37"/>
      <c r="D606" s="22">
        <v>14</v>
      </c>
      <c r="E606" s="22">
        <v>200</v>
      </c>
      <c r="F606" s="23" t="s">
        <v>1349</v>
      </c>
      <c r="G606" s="23"/>
      <c r="H606" s="23"/>
      <c r="I606" s="23"/>
      <c r="J606" s="23"/>
      <c r="K606" s="23"/>
      <c r="L606" s="23"/>
      <c r="M606" s="23"/>
      <c r="N606" s="23"/>
      <c r="O606" s="24">
        <v>647.29000000003725</v>
      </c>
      <c r="P606" s="24">
        <v>5.8256100000003359</v>
      </c>
      <c r="Q606" s="25"/>
      <c r="T606" s="25"/>
    </row>
    <row r="607" spans="2:20" x14ac:dyDescent="0.25">
      <c r="B607" s="37"/>
      <c r="D607" s="22">
        <v>16</v>
      </c>
      <c r="E607" s="22">
        <v>100</v>
      </c>
      <c r="F607" s="23" t="s">
        <v>1350</v>
      </c>
      <c r="G607" s="23"/>
      <c r="H607" s="23"/>
      <c r="I607" s="23"/>
      <c r="J607" s="23"/>
      <c r="K607" s="23"/>
      <c r="L607" s="23"/>
      <c r="M607" s="23"/>
      <c r="N607" s="23"/>
      <c r="O607" s="24">
        <v>403.20000000018626</v>
      </c>
      <c r="P607" s="24">
        <v>7.2576000000033529</v>
      </c>
      <c r="Q607" s="25"/>
      <c r="T607" s="25"/>
    </row>
    <row r="608" spans="2:20" x14ac:dyDescent="0.25">
      <c r="B608" s="37"/>
      <c r="D608" s="22">
        <v>16</v>
      </c>
      <c r="E608" s="22">
        <v>200</v>
      </c>
      <c r="F608" s="23" t="s">
        <v>1351</v>
      </c>
      <c r="G608" s="23"/>
      <c r="H608" s="23"/>
      <c r="I608" s="23"/>
      <c r="J608" s="23"/>
      <c r="K608" s="23"/>
      <c r="L608" s="23"/>
      <c r="M608" s="23"/>
      <c r="N608" s="23"/>
      <c r="O608" s="24">
        <v>806.40000000037253</v>
      </c>
      <c r="P608" s="24">
        <v>7.2576000000033529</v>
      </c>
      <c r="Q608" s="25"/>
      <c r="T608" s="25"/>
    </row>
    <row r="609" spans="2:20" x14ac:dyDescent="0.25">
      <c r="B609" s="37"/>
      <c r="D609" s="22">
        <v>18</v>
      </c>
      <c r="E609" s="22">
        <v>100</v>
      </c>
      <c r="F609" s="23" t="s">
        <v>1352</v>
      </c>
      <c r="G609" s="23"/>
      <c r="H609" s="23"/>
      <c r="I609" s="23"/>
      <c r="J609" s="23"/>
      <c r="K609" s="23"/>
      <c r="L609" s="23"/>
      <c r="M609" s="23"/>
      <c r="N609" s="23"/>
      <c r="O609" s="24">
        <v>521.62999999988824</v>
      </c>
      <c r="P609" s="24">
        <v>9.3893399999979881</v>
      </c>
      <c r="Q609" s="25"/>
      <c r="T609" s="25"/>
    </row>
    <row r="610" spans="2:20" x14ac:dyDescent="0.25">
      <c r="B610" s="37"/>
      <c r="D610" s="22">
        <v>18</v>
      </c>
      <c r="E610" s="22">
        <v>200</v>
      </c>
      <c r="F610" s="23" t="s">
        <v>1353</v>
      </c>
      <c r="G610" s="23"/>
      <c r="H610" s="23"/>
      <c r="I610" s="23"/>
      <c r="J610" s="23"/>
      <c r="K610" s="23"/>
      <c r="L610" s="23"/>
      <c r="M610" s="23"/>
      <c r="N610" s="23"/>
      <c r="O610" s="24">
        <v>1043.25</v>
      </c>
      <c r="P610" s="24">
        <v>9.3892500000000005</v>
      </c>
      <c r="Q610" s="25"/>
      <c r="T610" s="25"/>
    </row>
    <row r="611" spans="2:20" x14ac:dyDescent="0.25">
      <c r="B611" s="37"/>
      <c r="D611" s="22">
        <v>20</v>
      </c>
      <c r="E611" s="22">
        <v>100</v>
      </c>
      <c r="F611" s="23" t="s">
        <v>1354</v>
      </c>
      <c r="G611" s="23"/>
      <c r="H611" s="23"/>
      <c r="I611" s="23"/>
      <c r="J611" s="23"/>
      <c r="K611" s="23"/>
      <c r="L611" s="23"/>
      <c r="M611" s="23"/>
      <c r="N611" s="23"/>
      <c r="O611" s="24">
        <v>624.25</v>
      </c>
      <c r="P611" s="24">
        <v>11.236500000000001</v>
      </c>
      <c r="Q611" s="25"/>
      <c r="T611" s="25"/>
    </row>
    <row r="612" spans="2:20" x14ac:dyDescent="0.25">
      <c r="B612" s="37"/>
      <c r="D612" s="22">
        <v>20</v>
      </c>
      <c r="E612" s="22">
        <v>200</v>
      </c>
      <c r="F612" s="23" t="s">
        <v>1355</v>
      </c>
      <c r="G612" s="23"/>
      <c r="H612" s="23"/>
      <c r="I612" s="23"/>
      <c r="J612" s="23"/>
      <c r="K612" s="23"/>
      <c r="L612" s="23"/>
      <c r="M612" s="23"/>
      <c r="N612" s="23"/>
      <c r="O612" s="24">
        <v>1248.5500000007451</v>
      </c>
      <c r="P612" s="24">
        <v>11.236950000006708</v>
      </c>
      <c r="Q612" s="25"/>
      <c r="T612" s="25"/>
    </row>
    <row r="613" spans="2:20" x14ac:dyDescent="0.25">
      <c r="B613" s="37"/>
      <c r="D613" s="22">
        <v>24</v>
      </c>
      <c r="E613" s="22">
        <v>100</v>
      </c>
      <c r="F613" s="23" t="s">
        <v>1356</v>
      </c>
      <c r="G613" s="23"/>
      <c r="H613" s="23"/>
      <c r="I613" s="23"/>
      <c r="J613" s="23"/>
      <c r="K613" s="23"/>
      <c r="L613" s="23"/>
      <c r="M613" s="23"/>
      <c r="N613" s="23"/>
      <c r="O613" s="24">
        <v>838.01999999955297</v>
      </c>
      <c r="P613" s="24">
        <v>15.084359999991955</v>
      </c>
      <c r="Q613" s="25"/>
      <c r="T613" s="25"/>
    </row>
    <row r="614" spans="2:20" x14ac:dyDescent="0.25">
      <c r="B614" s="37"/>
      <c r="D614" s="22">
        <v>24</v>
      </c>
      <c r="E614" s="22">
        <v>200</v>
      </c>
      <c r="F614" s="23" t="s">
        <v>1357</v>
      </c>
      <c r="G614" s="23"/>
      <c r="H614" s="23"/>
      <c r="I614" s="23"/>
      <c r="J614" s="23"/>
      <c r="K614" s="23"/>
      <c r="L614" s="23"/>
      <c r="M614" s="23"/>
      <c r="N614" s="23"/>
      <c r="O614" s="24">
        <v>1676.0299999993294</v>
      </c>
      <c r="P614" s="24">
        <v>15.084269999993964</v>
      </c>
      <c r="Q614" s="25"/>
      <c r="T614" s="25"/>
    </row>
    <row r="615" spans="2:20" x14ac:dyDescent="0.25">
      <c r="B615" s="37"/>
      <c r="D615" s="22">
        <v>28</v>
      </c>
      <c r="E615" s="22">
        <v>100</v>
      </c>
      <c r="F615" s="23" t="s">
        <v>1358</v>
      </c>
      <c r="G615" s="23"/>
      <c r="H615" s="23"/>
      <c r="I615" s="23"/>
      <c r="J615" s="23"/>
      <c r="K615" s="23"/>
      <c r="L615" s="23"/>
      <c r="M615" s="23"/>
      <c r="N615" s="23"/>
      <c r="O615" s="24">
        <v>1009.0300000002608</v>
      </c>
      <c r="P615" s="24">
        <v>18.162540000004693</v>
      </c>
      <c r="Q615" s="25"/>
      <c r="T615" s="25"/>
    </row>
    <row r="616" spans="2:20" x14ac:dyDescent="0.25">
      <c r="B616" s="37"/>
      <c r="D616" s="22">
        <v>28</v>
      </c>
      <c r="E616" s="22">
        <v>200</v>
      </c>
      <c r="F616" s="23" t="s">
        <v>1359</v>
      </c>
      <c r="G616" s="23"/>
      <c r="H616" s="23"/>
      <c r="I616" s="23"/>
      <c r="J616" s="23"/>
      <c r="K616" s="23"/>
      <c r="L616" s="23"/>
      <c r="M616" s="23"/>
      <c r="N616" s="23"/>
      <c r="O616" s="24">
        <v>2018.0500000007451</v>
      </c>
      <c r="P616" s="24">
        <v>18.162450000006707</v>
      </c>
      <c r="Q616" s="25"/>
      <c r="T616" s="25"/>
    </row>
    <row r="617" spans="2:20" x14ac:dyDescent="0.25">
      <c r="B617" s="37"/>
      <c r="D617" s="22">
        <v>32</v>
      </c>
      <c r="E617" s="22">
        <v>100</v>
      </c>
      <c r="F617" s="23" t="s">
        <v>1360</v>
      </c>
      <c r="G617" s="23"/>
      <c r="H617" s="23"/>
      <c r="I617" s="23"/>
      <c r="J617" s="23"/>
      <c r="K617" s="23"/>
      <c r="L617" s="23"/>
      <c r="M617" s="23"/>
      <c r="N617" s="23"/>
      <c r="O617" s="24">
        <v>1369.320000000298</v>
      </c>
      <c r="P617" s="24">
        <v>24.647760000005363</v>
      </c>
      <c r="Q617" s="25"/>
      <c r="T617" s="25"/>
    </row>
    <row r="618" spans="2:20" x14ac:dyDescent="0.25">
      <c r="B618" s="37"/>
      <c r="D618" s="22">
        <v>32</v>
      </c>
      <c r="E618" s="22">
        <v>200</v>
      </c>
      <c r="F618" s="27" t="s">
        <v>1361</v>
      </c>
      <c r="G618" s="27"/>
      <c r="H618" s="27"/>
      <c r="I618" s="27"/>
      <c r="J618" s="27"/>
      <c r="K618" s="27"/>
      <c r="L618" s="27"/>
      <c r="M618" s="27"/>
      <c r="N618" s="27"/>
      <c r="O618" s="24">
        <v>2738.640000000596</v>
      </c>
      <c r="P618" s="24">
        <v>24.647760000005363</v>
      </c>
      <c r="Q618" s="25"/>
      <c r="T618" s="25"/>
    </row>
    <row r="619" spans="2:20" x14ac:dyDescent="0.25">
      <c r="B619" s="37"/>
      <c r="D619" s="22"/>
      <c r="E619" s="22"/>
      <c r="F619" s="27"/>
      <c r="G619" s="27"/>
      <c r="H619" s="27"/>
      <c r="I619" s="27"/>
      <c r="J619" s="27"/>
      <c r="K619" s="27"/>
      <c r="L619" s="27"/>
      <c r="M619" s="27"/>
      <c r="N619" s="27"/>
      <c r="O619" s="24"/>
      <c r="P619" s="24"/>
      <c r="Q619" s="25"/>
      <c r="T619" s="25"/>
    </row>
    <row r="620" spans="2:20" ht="19.05" x14ac:dyDescent="0.35">
      <c r="B620" s="37"/>
      <c r="D620" s="13" t="s">
        <v>1362</v>
      </c>
      <c r="E620" s="13"/>
      <c r="G620" s="13"/>
      <c r="H620" s="13"/>
      <c r="I620" s="13"/>
      <c r="J620" s="13"/>
      <c r="K620" s="13"/>
      <c r="L620" s="13"/>
      <c r="O620" s="3"/>
      <c r="P620" s="18" t="s">
        <v>1231</v>
      </c>
      <c r="Q620" s="25"/>
      <c r="T620" s="25"/>
    </row>
    <row r="621" spans="2:20" x14ac:dyDescent="0.25">
      <c r="B621" s="37"/>
      <c r="D621" s="19" t="s">
        <v>14</v>
      </c>
      <c r="E621" s="19" t="s">
        <v>15</v>
      </c>
      <c r="F621" s="19" t="s">
        <v>537</v>
      </c>
      <c r="G621" s="19"/>
      <c r="H621" s="19"/>
      <c r="I621" s="19"/>
      <c r="J621" s="19"/>
      <c r="K621" s="19"/>
      <c r="L621" s="19"/>
      <c r="M621" s="19"/>
      <c r="N621" s="19"/>
      <c r="O621" s="19" t="s">
        <v>20</v>
      </c>
      <c r="P621" s="19" t="s">
        <v>21</v>
      </c>
      <c r="Q621" s="25"/>
      <c r="T621" s="25"/>
    </row>
    <row r="622" spans="2:20" x14ac:dyDescent="0.25">
      <c r="B622" s="37"/>
      <c r="D622" s="22">
        <v>12</v>
      </c>
      <c r="E622" s="22">
        <v>100</v>
      </c>
      <c r="F622" s="23" t="s">
        <v>1363</v>
      </c>
      <c r="G622" s="23"/>
      <c r="H622" s="23"/>
      <c r="I622" s="23"/>
      <c r="J622" s="23"/>
      <c r="K622" s="23"/>
      <c r="L622" s="23"/>
      <c r="M622" s="23"/>
      <c r="N622" s="23"/>
      <c r="O622" s="24">
        <v>323.75999999977648</v>
      </c>
      <c r="P622" s="24">
        <v>5.8276799999959765</v>
      </c>
      <c r="Q622" s="25"/>
      <c r="T622" s="25"/>
    </row>
    <row r="623" spans="2:20" x14ac:dyDescent="0.25">
      <c r="B623" s="37"/>
      <c r="D623" s="22">
        <v>12</v>
      </c>
      <c r="E623" s="22">
        <v>200</v>
      </c>
      <c r="F623" s="23" t="s">
        <v>1364</v>
      </c>
      <c r="G623" s="23"/>
      <c r="H623" s="23"/>
      <c r="I623" s="23"/>
      <c r="J623" s="23"/>
      <c r="K623" s="23"/>
      <c r="L623" s="23"/>
      <c r="M623" s="23"/>
      <c r="N623" s="23"/>
      <c r="O623" s="24">
        <v>647.55999999959022</v>
      </c>
      <c r="P623" s="24">
        <v>5.8280399999963119</v>
      </c>
      <c r="Q623" s="25"/>
      <c r="T623" s="25"/>
    </row>
    <row r="624" spans="2:20" x14ac:dyDescent="0.25">
      <c r="B624" s="37"/>
      <c r="D624" s="22">
        <v>14</v>
      </c>
      <c r="E624" s="22">
        <v>100</v>
      </c>
      <c r="F624" s="23" t="s">
        <v>1365</v>
      </c>
      <c r="G624" s="23"/>
      <c r="H624" s="23"/>
      <c r="I624" s="23"/>
      <c r="J624" s="23"/>
      <c r="K624" s="23"/>
      <c r="L624" s="23"/>
      <c r="M624" s="23"/>
      <c r="N624" s="23"/>
      <c r="O624" s="24">
        <v>388.37000000011176</v>
      </c>
      <c r="P624" s="24">
        <v>6.9906600000020118</v>
      </c>
      <c r="Q624" s="25"/>
      <c r="T624" s="25"/>
    </row>
    <row r="625" spans="2:20" x14ac:dyDescent="0.25">
      <c r="B625" s="37"/>
      <c r="D625" s="22">
        <v>14</v>
      </c>
      <c r="E625" s="22">
        <v>200</v>
      </c>
      <c r="F625" s="23" t="s">
        <v>1366</v>
      </c>
      <c r="G625" s="23"/>
      <c r="H625" s="23"/>
      <c r="I625" s="23"/>
      <c r="J625" s="23"/>
      <c r="K625" s="23"/>
      <c r="L625" s="23"/>
      <c r="M625" s="23"/>
      <c r="N625" s="23"/>
      <c r="O625" s="24">
        <v>776.74000000022352</v>
      </c>
      <c r="P625" s="24">
        <v>6.9906600000020118</v>
      </c>
      <c r="Q625" s="25"/>
      <c r="T625" s="25"/>
    </row>
    <row r="626" spans="2:20" x14ac:dyDescent="0.25">
      <c r="B626" s="37"/>
      <c r="D626" s="22">
        <v>16</v>
      </c>
      <c r="E626" s="22">
        <v>100</v>
      </c>
      <c r="F626" s="23" t="s">
        <v>1367</v>
      </c>
      <c r="G626" s="23"/>
      <c r="H626" s="23"/>
      <c r="I626" s="23"/>
      <c r="J626" s="23"/>
      <c r="K626" s="23"/>
      <c r="L626" s="23"/>
      <c r="M626" s="23"/>
      <c r="N626" s="23"/>
      <c r="O626" s="24">
        <v>483.83999999985099</v>
      </c>
      <c r="P626" s="24">
        <v>8.7091199999973181</v>
      </c>
      <c r="Q626" s="25"/>
      <c r="T626" s="25"/>
    </row>
    <row r="627" spans="2:20" x14ac:dyDescent="0.25">
      <c r="B627" s="37"/>
      <c r="D627" s="22">
        <v>16</v>
      </c>
      <c r="E627" s="22">
        <v>200</v>
      </c>
      <c r="F627" s="23" t="s">
        <v>1368</v>
      </c>
      <c r="G627" s="23"/>
      <c r="H627" s="23"/>
      <c r="I627" s="23"/>
      <c r="J627" s="23"/>
      <c r="K627" s="23"/>
      <c r="L627" s="23"/>
      <c r="M627" s="23"/>
      <c r="N627" s="23"/>
      <c r="O627" s="24">
        <v>967.66999999992549</v>
      </c>
      <c r="P627" s="24">
        <v>8.7090299999993288</v>
      </c>
      <c r="Q627" s="25"/>
      <c r="T627" s="25"/>
    </row>
    <row r="628" spans="2:20" x14ac:dyDescent="0.25">
      <c r="B628" s="37"/>
      <c r="D628" s="22">
        <v>18</v>
      </c>
      <c r="E628" s="22">
        <v>100</v>
      </c>
      <c r="F628" s="23" t="s">
        <v>1369</v>
      </c>
      <c r="G628" s="23"/>
      <c r="H628" s="23"/>
      <c r="I628" s="23"/>
      <c r="J628" s="23"/>
      <c r="K628" s="23"/>
      <c r="L628" s="23"/>
      <c r="M628" s="23"/>
      <c r="N628" s="23"/>
      <c r="O628" s="24">
        <v>625.91999999992549</v>
      </c>
      <c r="P628" s="24">
        <v>11.266559999998661</v>
      </c>
      <c r="Q628" s="25"/>
      <c r="T628" s="25"/>
    </row>
    <row r="629" spans="2:20" x14ac:dyDescent="0.25">
      <c r="B629" s="37"/>
      <c r="D629" s="22">
        <v>18</v>
      </c>
      <c r="E629" s="22">
        <v>200</v>
      </c>
      <c r="F629" s="23" t="s">
        <v>1370</v>
      </c>
      <c r="G629" s="23"/>
      <c r="H629" s="23"/>
      <c r="I629" s="23"/>
      <c r="J629" s="23"/>
      <c r="K629" s="23"/>
      <c r="L629" s="23"/>
      <c r="M629" s="23"/>
      <c r="N629" s="23"/>
      <c r="O629" s="24">
        <v>1251.9000000003725</v>
      </c>
      <c r="P629" s="24">
        <v>11.267100000003355</v>
      </c>
      <c r="Q629" s="25"/>
      <c r="T629" s="25"/>
    </row>
    <row r="630" spans="2:20" x14ac:dyDescent="0.25">
      <c r="B630" s="37"/>
      <c r="D630" s="22">
        <v>20</v>
      </c>
      <c r="E630" s="22">
        <v>100</v>
      </c>
      <c r="F630" s="23" t="s">
        <v>1371</v>
      </c>
      <c r="G630" s="23"/>
      <c r="H630" s="23"/>
      <c r="I630" s="23"/>
      <c r="J630" s="23"/>
      <c r="K630" s="23"/>
      <c r="L630" s="23"/>
      <c r="M630" s="23"/>
      <c r="N630" s="23"/>
      <c r="O630" s="24">
        <v>749.08999999985099</v>
      </c>
      <c r="P630" s="24">
        <v>13.483619999997318</v>
      </c>
      <c r="Q630" s="25"/>
      <c r="T630" s="25"/>
    </row>
    <row r="631" spans="2:20" x14ac:dyDescent="0.25">
      <c r="B631" s="37"/>
      <c r="D631" s="22">
        <v>20</v>
      </c>
      <c r="E631" s="22">
        <v>200</v>
      </c>
      <c r="F631" s="23" t="s">
        <v>1372</v>
      </c>
      <c r="G631" s="23"/>
      <c r="H631" s="23"/>
      <c r="I631" s="23"/>
      <c r="J631" s="23"/>
      <c r="K631" s="23"/>
      <c r="L631" s="23"/>
      <c r="M631" s="23"/>
      <c r="N631" s="23"/>
      <c r="O631" s="24">
        <v>1498.2200000006706</v>
      </c>
      <c r="P631" s="24">
        <v>13.483980000006035</v>
      </c>
      <c r="Q631" s="25"/>
      <c r="T631" s="25"/>
    </row>
    <row r="632" spans="2:20" x14ac:dyDescent="0.25">
      <c r="B632" s="37"/>
      <c r="D632" s="22">
        <v>24</v>
      </c>
      <c r="E632" s="22">
        <v>100</v>
      </c>
      <c r="F632" s="23" t="s">
        <v>1373</v>
      </c>
      <c r="G632" s="23"/>
      <c r="H632" s="23"/>
      <c r="I632" s="23"/>
      <c r="J632" s="23"/>
      <c r="K632" s="23"/>
      <c r="L632" s="23"/>
      <c r="M632" s="23"/>
      <c r="N632" s="23"/>
      <c r="O632" s="24">
        <v>1005.7800000002608</v>
      </c>
      <c r="P632" s="24">
        <v>18.104040000004694</v>
      </c>
      <c r="Q632" s="25"/>
      <c r="T632" s="25"/>
    </row>
    <row r="633" spans="2:20" x14ac:dyDescent="0.25">
      <c r="B633" s="37"/>
      <c r="D633" s="22">
        <v>24</v>
      </c>
      <c r="E633" s="22">
        <v>200</v>
      </c>
      <c r="F633" s="23" t="s">
        <v>1374</v>
      </c>
      <c r="G633" s="23"/>
      <c r="H633" s="23"/>
      <c r="I633" s="23"/>
      <c r="J633" s="23"/>
      <c r="K633" s="23"/>
      <c r="L633" s="23"/>
      <c r="M633" s="23"/>
      <c r="N633" s="23"/>
      <c r="O633" s="24">
        <v>2011.609999999404</v>
      </c>
      <c r="P633" s="24">
        <v>18.104489999994637</v>
      </c>
      <c r="Q633" s="25"/>
      <c r="T633" s="25"/>
    </row>
    <row r="634" spans="2:20" x14ac:dyDescent="0.25">
      <c r="B634" s="37"/>
      <c r="D634" s="22">
        <v>28</v>
      </c>
      <c r="E634" s="22">
        <v>100</v>
      </c>
      <c r="F634" s="23" t="s">
        <v>1375</v>
      </c>
      <c r="G634" s="23"/>
      <c r="H634" s="23"/>
      <c r="I634" s="23"/>
      <c r="J634" s="23"/>
      <c r="K634" s="23"/>
      <c r="L634" s="23"/>
      <c r="M634" s="23"/>
      <c r="N634" s="23"/>
      <c r="O634" s="24">
        <v>1210.8100000005215</v>
      </c>
      <c r="P634" s="24">
        <v>21.794580000009386</v>
      </c>
      <c r="Q634" s="25"/>
      <c r="T634" s="25"/>
    </row>
    <row r="635" spans="2:20" x14ac:dyDescent="0.25">
      <c r="B635" s="37"/>
      <c r="D635" s="22">
        <v>28</v>
      </c>
      <c r="E635" s="22">
        <v>200</v>
      </c>
      <c r="F635" s="23" t="s">
        <v>1376</v>
      </c>
      <c r="G635" s="23"/>
      <c r="H635" s="23"/>
      <c r="I635" s="23"/>
      <c r="J635" s="23"/>
      <c r="K635" s="23"/>
      <c r="L635" s="23"/>
      <c r="M635" s="23"/>
      <c r="N635" s="23"/>
      <c r="O635" s="24">
        <v>2421.660000000149</v>
      </c>
      <c r="P635" s="24">
        <v>21.794940000001343</v>
      </c>
      <c r="Q635" s="25"/>
      <c r="T635" s="25"/>
    </row>
    <row r="636" spans="2:20" x14ac:dyDescent="0.25">
      <c r="B636" s="37"/>
      <c r="D636" s="22">
        <v>32</v>
      </c>
      <c r="E636" s="22">
        <v>100</v>
      </c>
      <c r="F636" s="23" t="s">
        <v>1377</v>
      </c>
      <c r="G636" s="23"/>
      <c r="H636" s="23"/>
      <c r="I636" s="23"/>
      <c r="J636" s="23"/>
      <c r="K636" s="23"/>
      <c r="L636" s="23"/>
      <c r="M636" s="23"/>
      <c r="N636" s="23"/>
      <c r="O636" s="24">
        <v>1643.1699999999255</v>
      </c>
      <c r="P636" s="24">
        <v>29.57705999999866</v>
      </c>
      <c r="Q636" s="25"/>
      <c r="T636" s="25"/>
    </row>
    <row r="637" spans="2:20" x14ac:dyDescent="0.25">
      <c r="B637" s="37"/>
      <c r="D637" s="22">
        <v>32</v>
      </c>
      <c r="E637" s="22">
        <v>200</v>
      </c>
      <c r="F637" s="27" t="s">
        <v>1378</v>
      </c>
      <c r="G637" s="27"/>
      <c r="H637" s="27"/>
      <c r="I637" s="27"/>
      <c r="J637" s="27"/>
      <c r="K637" s="27"/>
      <c r="L637" s="27"/>
      <c r="M637" s="27"/>
      <c r="N637" s="27"/>
      <c r="O637" s="24">
        <v>3286.339999999851</v>
      </c>
      <c r="P637" s="24">
        <v>29.57705999999866</v>
      </c>
      <c r="Q637" s="25"/>
      <c r="T637" s="25"/>
    </row>
    <row r="638" spans="2:20" x14ac:dyDescent="0.25">
      <c r="B638" s="37"/>
      <c r="D638" s="22"/>
      <c r="E638" s="22"/>
      <c r="F638" s="27"/>
      <c r="G638" s="27"/>
      <c r="H638" s="27"/>
      <c r="I638" s="27"/>
      <c r="J638" s="27"/>
      <c r="K638" s="27"/>
      <c r="L638" s="27"/>
      <c r="M638" s="27"/>
      <c r="N638" s="27"/>
      <c r="O638" s="24"/>
      <c r="P638" s="24"/>
      <c r="Q638" s="25"/>
      <c r="T638" s="25"/>
    </row>
    <row r="639" spans="2:20" ht="19.05" x14ac:dyDescent="0.35">
      <c r="B639" s="37"/>
      <c r="D639" s="13" t="s">
        <v>1379</v>
      </c>
      <c r="E639" s="13"/>
      <c r="G639" s="13"/>
      <c r="H639" s="13"/>
      <c r="I639" s="13"/>
      <c r="J639" s="13"/>
      <c r="K639" s="13"/>
      <c r="L639" s="13"/>
      <c r="O639" s="3"/>
      <c r="P639" s="18" t="s">
        <v>1231</v>
      </c>
      <c r="Q639" s="25"/>
      <c r="T639" s="25"/>
    </row>
    <row r="640" spans="2:20" x14ac:dyDescent="0.25">
      <c r="B640" s="37"/>
      <c r="D640" s="19" t="s">
        <v>14</v>
      </c>
      <c r="E640" s="19" t="s">
        <v>15</v>
      </c>
      <c r="F640" s="19" t="s">
        <v>180</v>
      </c>
      <c r="G640" s="19"/>
      <c r="H640" s="19"/>
      <c r="I640" s="19"/>
      <c r="J640" s="19"/>
      <c r="K640" s="19"/>
      <c r="L640" s="19"/>
      <c r="M640" s="19"/>
      <c r="N640" s="19"/>
      <c r="O640" s="19" t="s">
        <v>20</v>
      </c>
      <c r="P640" s="19" t="s">
        <v>21</v>
      </c>
      <c r="Q640" s="25"/>
      <c r="T640" s="25"/>
    </row>
    <row r="641" spans="2:20" x14ac:dyDescent="0.25">
      <c r="B641" s="37"/>
      <c r="D641" s="22">
        <v>6</v>
      </c>
      <c r="E641" s="22">
        <v>100</v>
      </c>
      <c r="F641" s="23" t="s">
        <v>1380</v>
      </c>
      <c r="G641" s="23"/>
      <c r="H641" s="23"/>
      <c r="I641" s="23"/>
      <c r="J641" s="23"/>
      <c r="K641" s="23"/>
      <c r="L641" s="23"/>
      <c r="M641" s="23"/>
      <c r="N641" s="23"/>
      <c r="O641" s="24">
        <v>34.46999999997206</v>
      </c>
      <c r="P641" s="24">
        <v>0.62045999999949708</v>
      </c>
      <c r="Q641" s="25"/>
      <c r="T641" s="25"/>
    </row>
    <row r="642" spans="2:20" x14ac:dyDescent="0.25">
      <c r="B642" s="37"/>
      <c r="D642" s="22">
        <v>6</v>
      </c>
      <c r="E642" s="22">
        <v>200</v>
      </c>
      <c r="F642" s="23" t="s">
        <v>1381</v>
      </c>
      <c r="G642" s="23"/>
      <c r="H642" s="23"/>
      <c r="I642" s="23"/>
      <c r="J642" s="23"/>
      <c r="K642" s="23"/>
      <c r="L642" s="23"/>
      <c r="M642" s="23"/>
      <c r="N642" s="23"/>
      <c r="O642" s="24">
        <v>68.989999999990687</v>
      </c>
      <c r="P642" s="24">
        <v>0.62090999999991614</v>
      </c>
      <c r="Q642" s="25"/>
      <c r="T642" s="25"/>
    </row>
    <row r="643" spans="2:20" x14ac:dyDescent="0.25">
      <c r="B643" s="37"/>
      <c r="D643" s="22">
        <v>8</v>
      </c>
      <c r="E643" s="22">
        <v>100</v>
      </c>
      <c r="F643" s="23" t="s">
        <v>1382</v>
      </c>
      <c r="G643" s="23"/>
      <c r="H643" s="23"/>
      <c r="I643" s="23"/>
      <c r="J643" s="23"/>
      <c r="K643" s="23"/>
      <c r="L643" s="23"/>
      <c r="M643" s="23"/>
      <c r="N643" s="23"/>
      <c r="O643" s="24">
        <v>40.349999999976717</v>
      </c>
      <c r="P643" s="24">
        <v>0.72629999999958084</v>
      </c>
      <c r="Q643" s="25"/>
      <c r="T643" s="25"/>
    </row>
    <row r="644" spans="2:20" x14ac:dyDescent="0.25">
      <c r="B644" s="37"/>
      <c r="D644" s="22">
        <v>8</v>
      </c>
      <c r="E644" s="22">
        <v>200</v>
      </c>
      <c r="F644" s="23" t="s">
        <v>1383</v>
      </c>
      <c r="G644" s="23"/>
      <c r="H644" s="23"/>
      <c r="I644" s="23"/>
      <c r="J644" s="23"/>
      <c r="K644" s="23"/>
      <c r="L644" s="23"/>
      <c r="M644" s="23"/>
      <c r="N644" s="23"/>
      <c r="O644" s="24">
        <v>80.689999999944121</v>
      </c>
      <c r="P644" s="24">
        <v>0.7262099999994972</v>
      </c>
      <c r="Q644" s="25"/>
      <c r="T644" s="25"/>
    </row>
    <row r="645" spans="2:20" x14ac:dyDescent="0.25">
      <c r="B645" s="37"/>
      <c r="D645" s="22">
        <v>10</v>
      </c>
      <c r="E645" s="22">
        <v>100</v>
      </c>
      <c r="F645" s="23" t="s">
        <v>1384</v>
      </c>
      <c r="G645" s="23"/>
      <c r="H645" s="23"/>
      <c r="I645" s="23"/>
      <c r="J645" s="23"/>
      <c r="K645" s="23"/>
      <c r="L645" s="23"/>
      <c r="M645" s="23"/>
      <c r="N645" s="23"/>
      <c r="O645" s="24">
        <v>53.630000000004657</v>
      </c>
      <c r="P645" s="24">
        <v>0.96534000000008391</v>
      </c>
      <c r="Q645" s="25"/>
      <c r="T645" s="25"/>
    </row>
    <row r="646" spans="2:20" x14ac:dyDescent="0.25">
      <c r="B646" s="37"/>
      <c r="D646" s="22">
        <v>10</v>
      </c>
      <c r="E646" s="22">
        <v>200</v>
      </c>
      <c r="F646" s="23" t="s">
        <v>1385</v>
      </c>
      <c r="G646" s="23"/>
      <c r="H646" s="23"/>
      <c r="I646" s="23"/>
      <c r="J646" s="23"/>
      <c r="K646" s="23"/>
      <c r="L646" s="23"/>
      <c r="M646" s="23"/>
      <c r="N646" s="23"/>
      <c r="O646" s="24">
        <v>107.29000000003725</v>
      </c>
      <c r="P646" s="24">
        <v>0.96561000000033526</v>
      </c>
      <c r="Q646" s="25"/>
      <c r="T646" s="25"/>
    </row>
    <row r="647" spans="2:20" x14ac:dyDescent="0.25">
      <c r="B647" s="37"/>
      <c r="D647" s="22">
        <v>12</v>
      </c>
      <c r="E647" s="22">
        <v>100</v>
      </c>
      <c r="F647" s="23" t="s">
        <v>1386</v>
      </c>
      <c r="G647" s="23"/>
      <c r="H647" s="23"/>
      <c r="I647" s="23"/>
      <c r="J647" s="23"/>
      <c r="K647" s="23"/>
      <c r="L647" s="23"/>
      <c r="M647" s="23"/>
      <c r="N647" s="23"/>
      <c r="O647" s="24">
        <v>76.410000000032596</v>
      </c>
      <c r="P647" s="24">
        <v>1.3753800000005867</v>
      </c>
      <c r="Q647" s="25"/>
      <c r="T647" s="25"/>
    </row>
    <row r="648" spans="2:20" x14ac:dyDescent="0.25">
      <c r="B648" s="37"/>
      <c r="D648" s="22">
        <v>12</v>
      </c>
      <c r="E648" s="22">
        <v>200</v>
      </c>
      <c r="F648" s="23" t="s">
        <v>1387</v>
      </c>
      <c r="G648" s="23"/>
      <c r="H648" s="23"/>
      <c r="I648" s="23"/>
      <c r="J648" s="23"/>
      <c r="K648" s="23"/>
      <c r="L648" s="23"/>
      <c r="M648" s="23"/>
      <c r="N648" s="23"/>
      <c r="O648" s="24">
        <v>152.75</v>
      </c>
      <c r="P648" s="24">
        <v>1.3747499999999999</v>
      </c>
      <c r="Q648" s="25"/>
      <c r="T648" s="25"/>
    </row>
    <row r="649" spans="2:20" x14ac:dyDescent="0.25">
      <c r="B649" s="37"/>
      <c r="D649" s="22">
        <v>14</v>
      </c>
      <c r="E649" s="22">
        <v>100</v>
      </c>
      <c r="F649" s="23" t="s">
        <v>1388</v>
      </c>
      <c r="G649" s="23"/>
      <c r="H649" s="23"/>
      <c r="I649" s="23"/>
      <c r="J649" s="23"/>
      <c r="K649" s="23"/>
      <c r="L649" s="23"/>
      <c r="M649" s="23"/>
      <c r="N649" s="23"/>
      <c r="O649" s="24">
        <v>100.81000000005588</v>
      </c>
      <c r="P649" s="24">
        <v>1.8145800000010057</v>
      </c>
      <c r="Q649" s="25"/>
      <c r="T649" s="25"/>
    </row>
    <row r="650" spans="2:20" x14ac:dyDescent="0.25">
      <c r="B650" s="37"/>
      <c r="D650" s="22">
        <v>14</v>
      </c>
      <c r="E650" s="22">
        <v>200</v>
      </c>
      <c r="F650" s="23" t="s">
        <v>1389</v>
      </c>
      <c r="G650" s="23"/>
      <c r="H650" s="23"/>
      <c r="I650" s="23"/>
      <c r="J650" s="23"/>
      <c r="K650" s="23"/>
      <c r="L650" s="23"/>
      <c r="M650" s="23"/>
      <c r="N650" s="23"/>
      <c r="O650" s="24">
        <v>201.68999999994412</v>
      </c>
      <c r="P650" s="24">
        <v>1.8152099999994971</v>
      </c>
      <c r="Q650" s="25"/>
      <c r="T650" s="25"/>
    </row>
    <row r="651" spans="2:20" x14ac:dyDescent="0.25">
      <c r="B651" s="37"/>
      <c r="D651" s="22">
        <v>16</v>
      </c>
      <c r="E651" s="22">
        <v>100</v>
      </c>
      <c r="F651" s="23" t="s">
        <v>1390</v>
      </c>
      <c r="G651" s="23"/>
      <c r="H651" s="23"/>
      <c r="I651" s="23"/>
      <c r="J651" s="23"/>
      <c r="K651" s="23"/>
      <c r="L651" s="23"/>
      <c r="M651" s="23"/>
      <c r="N651" s="23"/>
      <c r="O651" s="24">
        <v>124.46999999997206</v>
      </c>
      <c r="P651" s="24">
        <v>2.240459999999497</v>
      </c>
      <c r="Q651" s="25"/>
      <c r="T651" s="25"/>
    </row>
    <row r="652" spans="2:20" x14ac:dyDescent="0.25">
      <c r="B652" s="37"/>
      <c r="D652" s="22">
        <v>16</v>
      </c>
      <c r="E652" s="22">
        <v>200</v>
      </c>
      <c r="F652" s="23" t="s">
        <v>1391</v>
      </c>
      <c r="G652" s="23"/>
      <c r="H652" s="23"/>
      <c r="I652" s="23"/>
      <c r="J652" s="23"/>
      <c r="K652" s="23"/>
      <c r="L652" s="23"/>
      <c r="M652" s="23"/>
      <c r="N652" s="23"/>
      <c r="O652" s="24">
        <v>248.91999999992549</v>
      </c>
      <c r="P652" s="24">
        <v>2.2402799999993293</v>
      </c>
      <c r="Q652" s="25"/>
      <c r="T652" s="25"/>
    </row>
    <row r="653" spans="2:20" x14ac:dyDescent="0.25">
      <c r="B653" s="37"/>
      <c r="D653" s="22">
        <v>18</v>
      </c>
      <c r="E653" s="22">
        <v>100</v>
      </c>
      <c r="F653" s="23" t="s">
        <v>1392</v>
      </c>
      <c r="G653" s="23"/>
      <c r="H653" s="23"/>
      <c r="I653" s="23"/>
      <c r="J653" s="23"/>
      <c r="K653" s="23"/>
      <c r="L653" s="23"/>
      <c r="M653" s="23"/>
      <c r="N653" s="23"/>
      <c r="O653" s="24">
        <v>155.96999999997206</v>
      </c>
      <c r="P653" s="24">
        <v>2.8074599999994971</v>
      </c>
      <c r="Q653" s="25"/>
      <c r="T653" s="25"/>
    </row>
    <row r="654" spans="2:20" x14ac:dyDescent="0.25">
      <c r="B654" s="37"/>
      <c r="D654" s="22">
        <v>18</v>
      </c>
      <c r="E654" s="22">
        <v>200</v>
      </c>
      <c r="F654" s="23" t="s">
        <v>1393</v>
      </c>
      <c r="G654" s="23"/>
      <c r="H654" s="23"/>
      <c r="I654" s="23"/>
      <c r="J654" s="23"/>
      <c r="K654" s="23"/>
      <c r="L654" s="23"/>
      <c r="M654" s="23"/>
      <c r="N654" s="23"/>
      <c r="O654" s="24">
        <v>311.89999999990687</v>
      </c>
      <c r="P654" s="24">
        <v>2.8070999999991617</v>
      </c>
      <c r="Q654" s="25"/>
      <c r="T654" s="25"/>
    </row>
    <row r="655" spans="2:20" x14ac:dyDescent="0.25">
      <c r="B655" s="37"/>
      <c r="D655" s="22">
        <v>20</v>
      </c>
      <c r="E655" s="22">
        <v>100</v>
      </c>
      <c r="F655" s="23" t="s">
        <v>1394</v>
      </c>
      <c r="G655" s="23"/>
      <c r="H655" s="23"/>
      <c r="I655" s="23"/>
      <c r="J655" s="23"/>
      <c r="K655" s="23"/>
      <c r="L655" s="23"/>
      <c r="M655" s="23"/>
      <c r="N655" s="23"/>
      <c r="O655" s="24">
        <v>189.63999999989755</v>
      </c>
      <c r="P655" s="24">
        <v>3.4135199999981563</v>
      </c>
      <c r="Q655" s="25"/>
      <c r="T655" s="25"/>
    </row>
    <row r="656" spans="2:20" x14ac:dyDescent="0.25">
      <c r="B656" s="37"/>
      <c r="D656" s="22">
        <v>20</v>
      </c>
      <c r="E656" s="22">
        <v>200</v>
      </c>
      <c r="F656" s="23" t="s">
        <v>1395</v>
      </c>
      <c r="G656" s="23"/>
      <c r="H656" s="23"/>
      <c r="I656" s="23"/>
      <c r="J656" s="23"/>
      <c r="K656" s="23"/>
      <c r="L656" s="23"/>
      <c r="M656" s="23"/>
      <c r="N656" s="23"/>
      <c r="O656" s="24">
        <v>379.29000000003725</v>
      </c>
      <c r="P656" s="24">
        <v>3.4136100000003351</v>
      </c>
      <c r="Q656" s="25"/>
      <c r="T656" s="25"/>
    </row>
    <row r="657" spans="2:20" x14ac:dyDescent="0.25">
      <c r="B657" s="37"/>
      <c r="D657" s="22">
        <v>24</v>
      </c>
      <c r="E657" s="22">
        <v>100</v>
      </c>
      <c r="F657" s="23" t="s">
        <v>1396</v>
      </c>
      <c r="G657" s="23"/>
      <c r="H657" s="23"/>
      <c r="I657" s="23"/>
      <c r="J657" s="23"/>
      <c r="K657" s="23"/>
      <c r="L657" s="23"/>
      <c r="M657" s="23"/>
      <c r="N657" s="23"/>
      <c r="O657" s="24">
        <v>256.43999999994412</v>
      </c>
      <c r="P657" s="24">
        <v>4.6159199999989946</v>
      </c>
      <c r="Q657" s="25"/>
      <c r="T657" s="25"/>
    </row>
    <row r="658" spans="2:20" x14ac:dyDescent="0.25">
      <c r="B658" s="37"/>
      <c r="D658" s="22">
        <v>24</v>
      </c>
      <c r="E658" s="22">
        <v>200</v>
      </c>
      <c r="F658" s="23" t="s">
        <v>1397</v>
      </c>
      <c r="G658" s="23"/>
      <c r="H658" s="23"/>
      <c r="I658" s="23"/>
      <c r="J658" s="23"/>
      <c r="K658" s="23"/>
      <c r="L658" s="23"/>
      <c r="M658" s="23"/>
      <c r="N658" s="23"/>
      <c r="O658" s="24">
        <v>512.87000000011176</v>
      </c>
      <c r="P658" s="24">
        <v>4.6158300000010062</v>
      </c>
      <c r="Q658" s="25"/>
      <c r="T658" s="25"/>
    </row>
    <row r="659" spans="2:20" x14ac:dyDescent="0.25">
      <c r="B659" s="37"/>
      <c r="D659" s="22">
        <v>28</v>
      </c>
      <c r="E659" s="22">
        <v>100</v>
      </c>
      <c r="F659" s="23" t="s">
        <v>1398</v>
      </c>
      <c r="G659" s="23"/>
      <c r="H659" s="23"/>
      <c r="I659" s="23"/>
      <c r="J659" s="23"/>
      <c r="K659" s="23"/>
      <c r="L659" s="23"/>
      <c r="M659" s="23"/>
      <c r="N659" s="23"/>
      <c r="O659" s="24">
        <v>350.29999999981374</v>
      </c>
      <c r="P659" s="24">
        <v>6.3053999999966468</v>
      </c>
      <c r="Q659" s="25"/>
      <c r="T659" s="25"/>
    </row>
    <row r="660" spans="2:20" x14ac:dyDescent="0.25">
      <c r="B660" s="37"/>
      <c r="D660" s="22">
        <v>28</v>
      </c>
      <c r="E660" s="22">
        <v>200</v>
      </c>
      <c r="F660" s="23" t="s">
        <v>1399</v>
      </c>
      <c r="G660" s="23"/>
      <c r="H660" s="23"/>
      <c r="I660" s="23"/>
      <c r="J660" s="23"/>
      <c r="K660" s="23"/>
      <c r="L660" s="23"/>
      <c r="M660" s="23"/>
      <c r="N660" s="23"/>
      <c r="O660" s="24">
        <v>700.58999999985099</v>
      </c>
      <c r="P660" s="24">
        <v>6.3053099999986593</v>
      </c>
      <c r="Q660" s="25"/>
      <c r="T660" s="25"/>
    </row>
    <row r="661" spans="2:20" x14ac:dyDescent="0.25">
      <c r="B661" s="37"/>
      <c r="D661" s="22">
        <v>32</v>
      </c>
      <c r="E661" s="22">
        <v>100</v>
      </c>
      <c r="F661" s="23" t="s">
        <v>1400</v>
      </c>
      <c r="G661" s="23"/>
      <c r="H661" s="23"/>
      <c r="I661" s="23"/>
      <c r="J661" s="23"/>
      <c r="K661" s="23"/>
      <c r="L661" s="23"/>
      <c r="M661" s="23"/>
      <c r="N661" s="23"/>
      <c r="O661" s="24">
        <v>454.70999999996275</v>
      </c>
      <c r="P661" s="24">
        <v>8.1847799999993303</v>
      </c>
      <c r="Q661" s="25"/>
      <c r="T661" s="25"/>
    </row>
    <row r="662" spans="2:20" x14ac:dyDescent="0.25">
      <c r="B662" s="37"/>
      <c r="D662" s="22">
        <v>32</v>
      </c>
      <c r="E662" s="22">
        <v>200</v>
      </c>
      <c r="F662" s="27" t="s">
        <v>1401</v>
      </c>
      <c r="G662" s="27"/>
      <c r="H662" s="27"/>
      <c r="I662" s="27"/>
      <c r="J662" s="27"/>
      <c r="K662" s="27"/>
      <c r="L662" s="27"/>
      <c r="M662" s="27"/>
      <c r="N662" s="27"/>
      <c r="O662" s="24">
        <v>909.40000000037253</v>
      </c>
      <c r="P662" s="24">
        <v>8.1846000000033534</v>
      </c>
      <c r="Q662" s="25"/>
      <c r="T662" s="25"/>
    </row>
    <row r="663" spans="2:20" x14ac:dyDescent="0.25">
      <c r="B663" s="37"/>
      <c r="D663" s="22"/>
      <c r="E663" s="22"/>
      <c r="F663" s="27"/>
      <c r="G663" s="27"/>
      <c r="H663" s="27"/>
      <c r="I663" s="27"/>
      <c r="J663" s="27"/>
      <c r="K663" s="27"/>
      <c r="L663" s="27"/>
      <c r="M663" s="27"/>
      <c r="N663" s="27"/>
      <c r="O663" s="24"/>
      <c r="P663" s="24"/>
      <c r="Q663" s="25"/>
      <c r="T663" s="25"/>
    </row>
    <row r="664" spans="2:20" ht="19.05" x14ac:dyDescent="0.35">
      <c r="B664" s="40"/>
      <c r="D664" s="13" t="s">
        <v>1402</v>
      </c>
      <c r="E664" s="13"/>
      <c r="F664" s="13"/>
      <c r="G664" s="13"/>
      <c r="H664" s="13"/>
      <c r="I664" s="13"/>
      <c r="J664" s="13"/>
      <c r="K664" s="13"/>
      <c r="L664" s="13"/>
      <c r="O664" s="3"/>
      <c r="P664" s="18" t="s">
        <v>1403</v>
      </c>
      <c r="Q664" s="25"/>
      <c r="T664" s="25"/>
    </row>
    <row r="665" spans="2:20" x14ac:dyDescent="0.25">
      <c r="B665" s="40"/>
      <c r="D665" s="35" t="s">
        <v>1404</v>
      </c>
      <c r="E665" s="35"/>
      <c r="F665" s="27"/>
      <c r="G665" s="27"/>
      <c r="H665" s="27"/>
      <c r="I665" s="27"/>
      <c r="J665" s="27"/>
      <c r="K665" s="27"/>
      <c r="L665" s="27"/>
      <c r="M665" s="27"/>
      <c r="N665" s="27"/>
      <c r="O665" s="24"/>
      <c r="P665" s="24"/>
      <c r="Q665" s="25"/>
      <c r="T665" s="25"/>
    </row>
    <row r="666" spans="2:20" x14ac:dyDescent="0.25">
      <c r="B666" s="40"/>
      <c r="D666" s="19" t="s">
        <v>1405</v>
      </c>
      <c r="E666" s="19" t="s">
        <v>1406</v>
      </c>
      <c r="F666" s="19" t="s">
        <v>180</v>
      </c>
      <c r="G666" s="19"/>
      <c r="H666" s="19"/>
      <c r="I666" s="19"/>
      <c r="J666" s="19"/>
      <c r="K666" s="19"/>
      <c r="L666" s="19"/>
      <c r="M666" s="19"/>
      <c r="N666" s="19"/>
      <c r="O666" s="19" t="s">
        <v>20</v>
      </c>
      <c r="P666" s="19" t="s">
        <v>1015</v>
      </c>
      <c r="Q666" s="25"/>
      <c r="T666" s="25"/>
    </row>
    <row r="667" spans="2:20" x14ac:dyDescent="0.25">
      <c r="B667" s="40"/>
      <c r="D667" s="22" t="s">
        <v>1407</v>
      </c>
      <c r="E667" s="22">
        <v>12</v>
      </c>
      <c r="F667" s="23" t="s">
        <v>1408</v>
      </c>
      <c r="G667" s="23"/>
      <c r="H667" s="23"/>
      <c r="I667" s="23"/>
      <c r="J667" s="23"/>
      <c r="K667" s="23"/>
      <c r="L667" s="23"/>
      <c r="M667" s="23"/>
      <c r="N667" s="23"/>
      <c r="O667" s="24">
        <v>37.39000000001397</v>
      </c>
      <c r="P667" s="24">
        <v>5.6085000000020955</v>
      </c>
      <c r="Q667" s="25"/>
      <c r="T667" s="25"/>
    </row>
    <row r="668" spans="2:20" x14ac:dyDescent="0.25">
      <c r="B668" s="40"/>
      <c r="D668" s="22" t="s">
        <v>1409</v>
      </c>
      <c r="E668" s="22">
        <v>12</v>
      </c>
      <c r="F668" s="23" t="s">
        <v>1410</v>
      </c>
      <c r="G668" s="23"/>
      <c r="H668" s="23"/>
      <c r="I668" s="23"/>
      <c r="J668" s="23"/>
      <c r="K668" s="23"/>
      <c r="L668" s="23"/>
      <c r="M668" s="23"/>
      <c r="N668" s="23"/>
      <c r="O668" s="24">
        <v>37.39000000001397</v>
      </c>
      <c r="P668" s="24">
        <v>5.6085000000020955</v>
      </c>
      <c r="Q668" s="25"/>
      <c r="T668" s="25"/>
    </row>
    <row r="669" spans="2:20" x14ac:dyDescent="0.25">
      <c r="B669" s="40"/>
      <c r="D669" s="22" t="s">
        <v>1411</v>
      </c>
      <c r="E669" s="22">
        <v>12</v>
      </c>
      <c r="F669" s="23" t="s">
        <v>1412</v>
      </c>
      <c r="G669" s="23"/>
      <c r="H669" s="23"/>
      <c r="I669" s="23"/>
      <c r="J669" s="23"/>
      <c r="K669" s="23"/>
      <c r="L669" s="23"/>
      <c r="M669" s="23"/>
      <c r="N669" s="23"/>
      <c r="O669" s="24">
        <v>37.39000000001397</v>
      </c>
      <c r="P669" s="24">
        <v>5.6085000000020955</v>
      </c>
      <c r="Q669" s="25"/>
      <c r="T669" s="25"/>
    </row>
    <row r="670" spans="2:20" x14ac:dyDescent="0.25">
      <c r="B670" s="40"/>
      <c r="D670" s="19"/>
      <c r="E670" s="19"/>
      <c r="F670" s="19" t="s">
        <v>16</v>
      </c>
      <c r="G670" s="19" t="s">
        <v>17</v>
      </c>
      <c r="H670" s="19" t="s">
        <v>35</v>
      </c>
      <c r="I670" s="19" t="s">
        <v>259</v>
      </c>
      <c r="J670" s="19" t="s">
        <v>179</v>
      </c>
      <c r="K670" s="19" t="s">
        <v>1327</v>
      </c>
      <c r="L670" s="19" t="s">
        <v>1014</v>
      </c>
      <c r="M670" s="19"/>
      <c r="N670" s="19"/>
      <c r="O670" s="19"/>
      <c r="P670" s="19"/>
      <c r="Q670" s="25"/>
      <c r="T670" s="25"/>
    </row>
    <row r="671" spans="2:20" x14ac:dyDescent="0.25">
      <c r="B671" s="40"/>
      <c r="D671" s="22" t="s">
        <v>1409</v>
      </c>
      <c r="E671" s="22">
        <v>12</v>
      </c>
      <c r="F671" s="27" t="s">
        <v>1413</v>
      </c>
      <c r="G671" s="27" t="s">
        <v>1414</v>
      </c>
      <c r="H671" s="27" t="s">
        <v>1415</v>
      </c>
      <c r="I671" s="27" t="s">
        <v>1416</v>
      </c>
      <c r="J671" s="27" t="s">
        <v>1417</v>
      </c>
      <c r="K671" s="27" t="s">
        <v>1418</v>
      </c>
      <c r="L671" s="27" t="s">
        <v>1419</v>
      </c>
      <c r="M671" s="27"/>
      <c r="N671" s="27"/>
      <c r="O671" s="24">
        <v>43.400000000023283</v>
      </c>
      <c r="P671" s="24">
        <v>6.510000000003493</v>
      </c>
      <c r="Q671" s="25"/>
      <c r="T671" s="25"/>
    </row>
    <row r="672" spans="2:20" x14ac:dyDescent="0.25">
      <c r="B672" s="40"/>
      <c r="D672" s="22"/>
      <c r="E672" s="22"/>
      <c r="F672" s="27"/>
      <c r="G672" s="27"/>
      <c r="H672" s="27"/>
      <c r="I672" s="27"/>
      <c r="J672" s="27"/>
      <c r="K672" s="27"/>
      <c r="L672" s="27"/>
      <c r="M672" s="27"/>
      <c r="N672" s="27"/>
      <c r="O672" s="24"/>
      <c r="P672" s="24"/>
      <c r="Q672" s="25"/>
      <c r="T672" s="25"/>
    </row>
    <row r="673" spans="2:20" ht="19.05" x14ac:dyDescent="0.35">
      <c r="B673" s="40"/>
      <c r="D673" s="13" t="s">
        <v>1402</v>
      </c>
      <c r="E673" s="13"/>
      <c r="F673" s="39" t="s">
        <v>1282</v>
      </c>
      <c r="G673" s="13"/>
      <c r="H673" s="13"/>
      <c r="I673" s="13"/>
      <c r="J673" s="13"/>
      <c r="K673" s="13"/>
      <c r="L673" s="13"/>
      <c r="O673" s="3"/>
      <c r="P673" s="18" t="s">
        <v>1403</v>
      </c>
      <c r="Q673" s="25"/>
      <c r="T673" s="25"/>
    </row>
    <row r="674" spans="2:20" x14ac:dyDescent="0.25">
      <c r="B674" s="40"/>
      <c r="D674" s="35" t="s">
        <v>1420</v>
      </c>
      <c r="E674" s="35"/>
      <c r="F674" s="27"/>
      <c r="G674" s="27"/>
      <c r="H674" s="27"/>
      <c r="I674" s="27"/>
      <c r="J674" s="27"/>
      <c r="K674" s="27"/>
      <c r="L674" s="27"/>
      <c r="M674" s="27"/>
      <c r="N674" s="27"/>
      <c r="O674" s="24"/>
      <c r="P674" s="24"/>
      <c r="Q674" s="25"/>
      <c r="T674" s="25"/>
    </row>
    <row r="675" spans="2:20" x14ac:dyDescent="0.25">
      <c r="B675" s="40"/>
      <c r="D675" s="22" t="s">
        <v>1405</v>
      </c>
      <c r="E675" s="22" t="s">
        <v>1421</v>
      </c>
      <c r="F675" s="19" t="s">
        <v>180</v>
      </c>
      <c r="G675" s="27"/>
      <c r="H675" s="27"/>
      <c r="I675" s="27"/>
      <c r="J675" s="27"/>
      <c r="K675" s="27"/>
      <c r="L675" s="27"/>
      <c r="M675" s="27"/>
      <c r="N675" s="27"/>
      <c r="O675" s="19" t="s">
        <v>20</v>
      </c>
      <c r="P675" s="19" t="s">
        <v>1015</v>
      </c>
      <c r="Q675" s="25"/>
      <c r="T675" s="25"/>
    </row>
    <row r="676" spans="2:20" x14ac:dyDescent="0.25">
      <c r="B676" s="40"/>
      <c r="D676" s="22" t="s">
        <v>1407</v>
      </c>
      <c r="E676" s="22">
        <v>1</v>
      </c>
      <c r="F676" s="23" t="s">
        <v>1422</v>
      </c>
      <c r="G676" s="23"/>
      <c r="H676" s="23"/>
      <c r="I676" s="23"/>
      <c r="J676" s="23"/>
      <c r="K676" s="23"/>
      <c r="L676" s="23"/>
      <c r="M676" s="23"/>
      <c r="N676" s="23"/>
      <c r="O676" s="24">
        <v>76.349999999976717</v>
      </c>
      <c r="P676" s="24">
        <v>137.42999999995808</v>
      </c>
      <c r="Q676" s="25"/>
      <c r="T676" s="25"/>
    </row>
    <row r="677" spans="2:20" x14ac:dyDescent="0.25">
      <c r="B677" s="40"/>
      <c r="D677" s="22" t="s">
        <v>1409</v>
      </c>
      <c r="E677" s="22">
        <v>1</v>
      </c>
      <c r="F677" s="23" t="s">
        <v>1423</v>
      </c>
      <c r="G677" s="23"/>
      <c r="H677" s="23"/>
      <c r="I677" s="23"/>
      <c r="J677" s="23"/>
      <c r="K677" s="23"/>
      <c r="L677" s="23"/>
      <c r="M677" s="23"/>
      <c r="N677" s="23"/>
      <c r="O677" s="24">
        <v>76.349999999976717</v>
      </c>
      <c r="P677" s="24">
        <v>137.42999999995808</v>
      </c>
      <c r="Q677" s="25"/>
      <c r="T677" s="25"/>
    </row>
    <row r="678" spans="2:20" x14ac:dyDescent="0.25">
      <c r="B678" s="40"/>
      <c r="D678" s="22" t="s">
        <v>1411</v>
      </c>
      <c r="E678" s="22">
        <v>1</v>
      </c>
      <c r="F678" s="23" t="s">
        <v>1424</v>
      </c>
      <c r="G678" s="23"/>
      <c r="H678" s="23"/>
      <c r="I678" s="23"/>
      <c r="J678" s="23"/>
      <c r="K678" s="23"/>
      <c r="L678" s="23"/>
      <c r="M678" s="23"/>
      <c r="N678" s="23"/>
      <c r="O678" s="24">
        <v>76.349999999976717</v>
      </c>
      <c r="P678" s="24">
        <v>137.42999999995808</v>
      </c>
      <c r="Q678" s="25"/>
      <c r="T678" s="25"/>
    </row>
    <row r="679" spans="2:20" x14ac:dyDescent="0.25">
      <c r="B679" s="40"/>
      <c r="D679" s="19"/>
      <c r="E679" s="19"/>
      <c r="F679" s="19" t="s">
        <v>16</v>
      </c>
      <c r="G679" s="19" t="s">
        <v>17</v>
      </c>
      <c r="H679" s="19" t="s">
        <v>35</v>
      </c>
      <c r="I679" s="19" t="s">
        <v>259</v>
      </c>
      <c r="J679" s="19" t="s">
        <v>179</v>
      </c>
      <c r="K679" s="19" t="s">
        <v>1327</v>
      </c>
      <c r="L679" s="19" t="s">
        <v>1014</v>
      </c>
      <c r="M679" s="19"/>
      <c r="N679" s="19"/>
      <c r="O679" s="19"/>
      <c r="P679" s="19"/>
      <c r="Q679" s="25"/>
      <c r="T679" s="25"/>
    </row>
    <row r="680" spans="2:20" x14ac:dyDescent="0.25">
      <c r="B680" s="40"/>
      <c r="D680" s="22" t="s">
        <v>1409</v>
      </c>
      <c r="E680" s="22">
        <v>1</v>
      </c>
      <c r="F680" s="27" t="s">
        <v>1425</v>
      </c>
      <c r="G680" s="27" t="s">
        <v>1426</v>
      </c>
      <c r="H680" s="27" t="s">
        <v>1427</v>
      </c>
      <c r="I680" s="27" t="s">
        <v>1428</v>
      </c>
      <c r="J680" s="27" t="s">
        <v>1429</v>
      </c>
      <c r="K680" s="27" t="s">
        <v>1430</v>
      </c>
      <c r="L680" s="27"/>
      <c r="M680" s="27"/>
      <c r="N680" s="27"/>
      <c r="O680" s="24">
        <v>101.29000000003725</v>
      </c>
      <c r="P680" s="24">
        <v>182.32200000006705</v>
      </c>
      <c r="Q680" s="25"/>
      <c r="T680" s="25"/>
    </row>
    <row r="681" spans="2:20" x14ac:dyDescent="0.25">
      <c r="B681" s="40"/>
      <c r="D681" s="22"/>
      <c r="E681" s="22"/>
      <c r="F681" s="27"/>
      <c r="G681" s="27"/>
      <c r="H681" s="27"/>
      <c r="I681" s="27"/>
      <c r="J681" s="27"/>
      <c r="K681" s="27"/>
      <c r="L681" s="27"/>
      <c r="M681" s="27"/>
      <c r="N681" s="27"/>
      <c r="O681" s="24"/>
      <c r="P681" s="24"/>
      <c r="Q681" s="25"/>
      <c r="T681" s="25"/>
    </row>
    <row r="682" spans="2:20" ht="19.05" x14ac:dyDescent="0.35">
      <c r="B682" s="40"/>
      <c r="D682" s="13" t="s">
        <v>1431</v>
      </c>
      <c r="E682" s="13"/>
      <c r="F682" s="13"/>
      <c r="G682" s="13"/>
      <c r="H682" s="13"/>
      <c r="I682" s="13"/>
      <c r="J682" s="13"/>
      <c r="K682" s="13"/>
      <c r="L682" s="13"/>
      <c r="O682" s="3"/>
      <c r="P682" s="18" t="s">
        <v>1432</v>
      </c>
      <c r="Q682" s="25"/>
      <c r="T682" s="25"/>
    </row>
    <row r="683" spans="2:20" x14ac:dyDescent="0.25">
      <c r="B683" s="40"/>
      <c r="D683" s="19" t="s">
        <v>14</v>
      </c>
      <c r="E683" s="19" t="s">
        <v>15</v>
      </c>
      <c r="F683" s="19" t="s">
        <v>16</v>
      </c>
      <c r="G683" s="19" t="s">
        <v>17</v>
      </c>
      <c r="H683" s="19" t="s">
        <v>179</v>
      </c>
      <c r="I683" s="19" t="s">
        <v>180</v>
      </c>
      <c r="J683" s="19" t="s">
        <v>19</v>
      </c>
      <c r="K683" s="19"/>
      <c r="L683" s="19"/>
      <c r="M683" s="19"/>
      <c r="N683" s="19"/>
      <c r="O683" s="19" t="s">
        <v>20</v>
      </c>
      <c r="P683" s="19" t="s">
        <v>21</v>
      </c>
      <c r="Q683" s="25"/>
      <c r="T683" s="25"/>
    </row>
    <row r="684" spans="2:20" x14ac:dyDescent="0.25">
      <c r="B684" s="40"/>
      <c r="D684" s="22">
        <v>3</v>
      </c>
      <c r="E684" s="22">
        <v>100</v>
      </c>
      <c r="F684" s="23" t="s">
        <v>1433</v>
      </c>
      <c r="G684" s="23" t="s">
        <v>1434</v>
      </c>
      <c r="H684" s="23" t="s">
        <v>1435</v>
      </c>
      <c r="I684" s="23" t="s">
        <v>1436</v>
      </c>
      <c r="J684" s="23" t="s">
        <v>1437</v>
      </c>
      <c r="K684" s="23"/>
      <c r="L684" s="23"/>
      <c r="M684" s="23"/>
      <c r="N684" s="23"/>
      <c r="O684" s="24">
        <v>56.190000000002328</v>
      </c>
      <c r="P684" s="24">
        <v>1.011420000000042</v>
      </c>
      <c r="Q684" s="25"/>
      <c r="T684" s="25"/>
    </row>
    <row r="685" spans="2:20" x14ac:dyDescent="0.25">
      <c r="B685" s="40"/>
      <c r="D685" s="22">
        <v>4</v>
      </c>
      <c r="E685" s="22">
        <v>100</v>
      </c>
      <c r="F685" s="23" t="s">
        <v>1438</v>
      </c>
      <c r="G685" s="23" t="s">
        <v>1439</v>
      </c>
      <c r="H685" s="23" t="s">
        <v>1440</v>
      </c>
      <c r="I685" s="23" t="s">
        <v>1441</v>
      </c>
      <c r="J685" s="23" t="s">
        <v>1442</v>
      </c>
      <c r="K685" s="23"/>
      <c r="L685" s="23"/>
      <c r="M685" s="23"/>
      <c r="N685" s="23"/>
      <c r="O685" s="24">
        <v>59.989999999990687</v>
      </c>
      <c r="P685" s="24">
        <v>1.0798199999998324</v>
      </c>
      <c r="Q685" s="25"/>
      <c r="T685" s="25"/>
    </row>
    <row r="686" spans="2:20" x14ac:dyDescent="0.25">
      <c r="B686" s="40"/>
      <c r="D686" s="22">
        <v>5</v>
      </c>
      <c r="E686" s="22">
        <v>100</v>
      </c>
      <c r="F686" s="23" t="s">
        <v>1443</v>
      </c>
      <c r="G686" s="23" t="s">
        <v>1444</v>
      </c>
      <c r="H686" s="23" t="s">
        <v>1445</v>
      </c>
      <c r="I686" s="23" t="s">
        <v>1446</v>
      </c>
      <c r="J686" s="23" t="s">
        <v>1447</v>
      </c>
      <c r="K686" s="23"/>
      <c r="L686" s="23"/>
      <c r="M686" s="23"/>
      <c r="N686" s="23"/>
      <c r="O686" s="24">
        <v>71.010000000009313</v>
      </c>
      <c r="P686" s="24">
        <v>1.2781800000001677</v>
      </c>
      <c r="Q686" s="25"/>
      <c r="T686" s="25"/>
    </row>
    <row r="687" spans="2:20" x14ac:dyDescent="0.25">
      <c r="B687" s="40"/>
      <c r="D687" s="22">
        <v>6</v>
      </c>
      <c r="E687" s="22">
        <v>100</v>
      </c>
      <c r="F687" s="23" t="s">
        <v>1448</v>
      </c>
      <c r="G687" s="23" t="s">
        <v>1449</v>
      </c>
      <c r="H687" s="23" t="s">
        <v>1450</v>
      </c>
      <c r="I687" s="23" t="s">
        <v>1451</v>
      </c>
      <c r="J687" s="23" t="s">
        <v>1452</v>
      </c>
      <c r="K687" s="23"/>
      <c r="L687" s="23"/>
      <c r="M687" s="23"/>
      <c r="N687" s="23"/>
      <c r="O687" s="24">
        <v>83.239999999990687</v>
      </c>
      <c r="P687" s="24">
        <v>1.4983199999998325</v>
      </c>
      <c r="Q687" s="25"/>
      <c r="T687" s="25"/>
    </row>
    <row r="688" spans="2:20" x14ac:dyDescent="0.25">
      <c r="B688" s="40"/>
      <c r="D688" s="22">
        <v>7</v>
      </c>
      <c r="E688" s="22">
        <v>100</v>
      </c>
      <c r="F688" s="23" t="s">
        <v>117</v>
      </c>
      <c r="G688" s="23" t="s">
        <v>117</v>
      </c>
      <c r="H688" s="23" t="s">
        <v>117</v>
      </c>
      <c r="I688" s="23" t="s">
        <v>1453</v>
      </c>
      <c r="J688" s="23" t="s">
        <v>117</v>
      </c>
      <c r="K688" s="23"/>
      <c r="L688" s="23"/>
      <c r="M688" s="23"/>
      <c r="N688" s="23"/>
      <c r="O688" s="24">
        <v>105.42000000004191</v>
      </c>
      <c r="P688" s="24">
        <v>1.8975600000007544</v>
      </c>
      <c r="Q688" s="25"/>
      <c r="T688" s="25"/>
    </row>
    <row r="689" spans="2:20" x14ac:dyDescent="0.25">
      <c r="B689" s="40"/>
      <c r="D689" s="22">
        <v>8</v>
      </c>
      <c r="E689" s="22">
        <v>100</v>
      </c>
      <c r="F689" s="23" t="s">
        <v>117</v>
      </c>
      <c r="G689" s="23" t="s">
        <v>117</v>
      </c>
      <c r="H689" s="23" t="s">
        <v>1454</v>
      </c>
      <c r="I689" s="23" t="s">
        <v>1455</v>
      </c>
      <c r="J689" s="23" t="s">
        <v>117</v>
      </c>
      <c r="K689" s="23"/>
      <c r="L689" s="23"/>
      <c r="M689" s="23"/>
      <c r="N689" s="23"/>
      <c r="O689" s="24">
        <v>152.44999999995343</v>
      </c>
      <c r="P689" s="24">
        <v>2.744099999999162</v>
      </c>
      <c r="Q689" s="25"/>
      <c r="T689" s="25"/>
    </row>
    <row r="690" spans="2:20" x14ac:dyDescent="0.25">
      <c r="B690" s="40"/>
      <c r="D690" s="22">
        <v>8</v>
      </c>
      <c r="E690" s="22">
        <v>50</v>
      </c>
      <c r="F690" s="23" t="s">
        <v>117</v>
      </c>
      <c r="G690" s="23" t="s">
        <v>117</v>
      </c>
      <c r="H690" s="23" t="s">
        <v>117</v>
      </c>
      <c r="I690" s="23" t="s">
        <v>1456</v>
      </c>
      <c r="J690" s="23" t="s">
        <v>117</v>
      </c>
      <c r="K690" s="23"/>
      <c r="L690" s="23"/>
      <c r="M690" s="23"/>
      <c r="N690" s="23"/>
      <c r="O690" s="24">
        <v>76.229999999981374</v>
      </c>
      <c r="P690" s="24">
        <v>2.7442799999993297</v>
      </c>
      <c r="Q690" s="25"/>
      <c r="T690" s="25"/>
    </row>
    <row r="691" spans="2:20" x14ac:dyDescent="0.25">
      <c r="B691" s="40"/>
      <c r="D691" s="22">
        <v>10</v>
      </c>
      <c r="E691" s="22">
        <v>50</v>
      </c>
      <c r="F691" s="27" t="s">
        <v>117</v>
      </c>
      <c r="G691" s="27" t="s">
        <v>117</v>
      </c>
      <c r="H691" s="27" t="s">
        <v>117</v>
      </c>
      <c r="I691" s="27" t="s">
        <v>1457</v>
      </c>
      <c r="J691" s="27" t="s">
        <v>117</v>
      </c>
      <c r="K691" s="27"/>
      <c r="L691" s="27"/>
      <c r="M691" s="27"/>
      <c r="N691" s="27"/>
      <c r="O691" s="24">
        <v>102.17000000004191</v>
      </c>
      <c r="P691" s="24">
        <v>3.6781200000015088</v>
      </c>
      <c r="Q691" s="25"/>
      <c r="T691" s="25"/>
    </row>
    <row r="692" spans="2:20" x14ac:dyDescent="0.25">
      <c r="B692" s="40"/>
      <c r="D692" s="22"/>
      <c r="E692" s="22"/>
      <c r="F692" s="27"/>
      <c r="G692" s="27"/>
      <c r="H692" s="27"/>
      <c r="I692" s="27"/>
      <c r="J692" s="27"/>
      <c r="K692" s="27"/>
      <c r="L692" s="27"/>
      <c r="M692" s="27"/>
      <c r="N692" s="27"/>
      <c r="O692" s="24"/>
      <c r="P692" s="24"/>
      <c r="Q692" s="25"/>
      <c r="T692" s="25"/>
    </row>
    <row r="693" spans="2:20" ht="19.05" x14ac:dyDescent="0.35">
      <c r="B693" s="40"/>
      <c r="D693" s="13" t="s">
        <v>1458</v>
      </c>
      <c r="E693" s="13"/>
      <c r="F693" s="13"/>
      <c r="G693" s="13"/>
      <c r="H693" s="13"/>
      <c r="I693" s="13"/>
      <c r="J693" s="13"/>
      <c r="K693" s="13"/>
      <c r="L693" s="13"/>
      <c r="O693" s="3"/>
      <c r="P693" s="18" t="s">
        <v>1432</v>
      </c>
      <c r="Q693" s="25"/>
      <c r="T693" s="25"/>
    </row>
    <row r="694" spans="2:20" x14ac:dyDescent="0.25">
      <c r="B694" s="40"/>
      <c r="D694" s="19" t="s">
        <v>14</v>
      </c>
      <c r="E694" s="19" t="s">
        <v>15</v>
      </c>
      <c r="F694" s="19" t="s">
        <v>179</v>
      </c>
      <c r="G694" s="19"/>
      <c r="H694" s="19"/>
      <c r="I694" s="19"/>
      <c r="J694" s="19"/>
      <c r="K694" s="19"/>
      <c r="L694" s="19"/>
      <c r="M694" s="19"/>
      <c r="N694" s="19"/>
      <c r="O694" s="19" t="s">
        <v>20</v>
      </c>
      <c r="P694" s="19" t="s">
        <v>21</v>
      </c>
      <c r="Q694" s="25"/>
      <c r="T694" s="25"/>
    </row>
    <row r="695" spans="2:20" x14ac:dyDescent="0.25">
      <c r="B695" s="40"/>
      <c r="D695" s="22">
        <v>3</v>
      </c>
      <c r="E695" s="19">
        <v>100</v>
      </c>
      <c r="F695" s="23" t="s">
        <v>1459</v>
      </c>
      <c r="G695" s="19"/>
      <c r="H695" s="19"/>
      <c r="I695" s="19"/>
      <c r="J695" s="19"/>
      <c r="K695" s="19"/>
      <c r="L695" s="19"/>
      <c r="M695" s="19"/>
      <c r="N695" s="19"/>
      <c r="O695" s="19" t="s">
        <v>1460</v>
      </c>
      <c r="P695" s="19" t="e">
        <v>#VALUE!</v>
      </c>
      <c r="Q695" s="25"/>
      <c r="T695" s="25"/>
    </row>
    <row r="696" spans="2:20" x14ac:dyDescent="0.25">
      <c r="B696" s="40"/>
      <c r="D696" s="22">
        <v>4</v>
      </c>
      <c r="E696" s="22">
        <v>100</v>
      </c>
      <c r="F696" s="23" t="s">
        <v>1461</v>
      </c>
      <c r="G696" s="23"/>
      <c r="H696" s="23"/>
      <c r="I696" s="23"/>
      <c r="J696" s="23"/>
      <c r="K696" s="23"/>
      <c r="L696" s="23"/>
      <c r="M696" s="23"/>
      <c r="N696" s="23"/>
      <c r="O696" s="24">
        <v>84.260000000009313</v>
      </c>
      <c r="P696" s="24">
        <v>1.5166800000001677</v>
      </c>
      <c r="Q696" s="25"/>
      <c r="T696" s="25"/>
    </row>
    <row r="697" spans="2:20" x14ac:dyDescent="0.25">
      <c r="B697" s="40"/>
      <c r="D697" s="22">
        <v>5</v>
      </c>
      <c r="E697" s="22">
        <v>100</v>
      </c>
      <c r="F697" s="23" t="s">
        <v>1462</v>
      </c>
      <c r="G697" s="23"/>
      <c r="H697" s="23"/>
      <c r="I697" s="23"/>
      <c r="J697" s="23"/>
      <c r="K697" s="23"/>
      <c r="L697" s="23"/>
      <c r="M697" s="23"/>
      <c r="N697" s="23"/>
      <c r="O697" s="24">
        <v>131.65999999991618</v>
      </c>
      <c r="P697" s="24">
        <v>2.3698799999984912</v>
      </c>
      <c r="Q697" s="25"/>
      <c r="T697" s="25"/>
    </row>
    <row r="698" spans="2:20" x14ac:dyDescent="0.25">
      <c r="B698" s="40"/>
      <c r="D698" s="22">
        <v>6</v>
      </c>
      <c r="E698" s="22">
        <v>100</v>
      </c>
      <c r="F698" s="23" t="s">
        <v>1463</v>
      </c>
      <c r="G698" s="23"/>
      <c r="H698" s="23"/>
      <c r="I698" s="23"/>
      <c r="J698" s="23"/>
      <c r="K698" s="23"/>
      <c r="L698" s="23"/>
      <c r="M698" s="23"/>
      <c r="N698" s="23"/>
      <c r="O698" s="24">
        <v>189.58000000007451</v>
      </c>
      <c r="P698" s="24">
        <v>3.4124400000013413</v>
      </c>
      <c r="Q698" s="25"/>
      <c r="T698" s="25"/>
    </row>
    <row r="699" spans="2:20" x14ac:dyDescent="0.25">
      <c r="B699" s="40"/>
      <c r="D699" s="22">
        <v>8</v>
      </c>
      <c r="E699" s="22">
        <v>100</v>
      </c>
      <c r="F699" s="23" t="s">
        <v>1464</v>
      </c>
      <c r="G699" s="23"/>
      <c r="H699" s="23"/>
      <c r="I699" s="23"/>
      <c r="J699" s="23"/>
      <c r="K699" s="23"/>
      <c r="L699" s="23"/>
      <c r="M699" s="23"/>
      <c r="N699" s="23"/>
      <c r="O699" s="24">
        <v>337.02000000001863</v>
      </c>
      <c r="P699" s="24">
        <v>6.0663600000003353</v>
      </c>
      <c r="Q699" s="25"/>
      <c r="T699" s="25"/>
    </row>
    <row r="700" spans="2:20" x14ac:dyDescent="0.25">
      <c r="B700" s="40"/>
      <c r="D700" s="22">
        <v>10</v>
      </c>
      <c r="E700" s="22">
        <v>100</v>
      </c>
      <c r="F700" s="27" t="s">
        <v>1465</v>
      </c>
      <c r="G700" s="27"/>
      <c r="H700" s="27"/>
      <c r="I700" s="27"/>
      <c r="J700" s="27"/>
      <c r="K700" s="27"/>
      <c r="L700" s="27"/>
      <c r="M700" s="27"/>
      <c r="N700" s="27"/>
      <c r="O700" s="24">
        <v>253.44999999995343</v>
      </c>
      <c r="P700" s="24">
        <v>4.5620999999991616</v>
      </c>
      <c r="Q700" s="25"/>
      <c r="T700" s="25"/>
    </row>
    <row r="701" spans="2:20" x14ac:dyDescent="0.25">
      <c r="B701" s="40"/>
      <c r="D701" s="22"/>
      <c r="E701" s="22"/>
      <c r="F701" s="27"/>
      <c r="G701" s="27"/>
      <c r="H701" s="27"/>
      <c r="I701" s="27"/>
      <c r="J701" s="27"/>
      <c r="K701" s="27"/>
      <c r="L701" s="27"/>
      <c r="M701" s="27"/>
      <c r="N701" s="27"/>
      <c r="O701" s="24"/>
      <c r="P701" s="24"/>
      <c r="Q701" s="25"/>
      <c r="T701" s="25"/>
    </row>
    <row r="702" spans="2:20" ht="19.05" x14ac:dyDescent="0.35">
      <c r="B702" s="40"/>
      <c r="D702" s="13" t="s">
        <v>1466</v>
      </c>
      <c r="E702" s="13"/>
      <c r="F702" s="13"/>
      <c r="G702" s="13"/>
      <c r="H702" s="13"/>
      <c r="I702" s="13"/>
      <c r="J702" s="13"/>
      <c r="K702" s="13"/>
      <c r="L702" s="13"/>
      <c r="O702" s="3"/>
      <c r="P702" s="18" t="s">
        <v>1432</v>
      </c>
      <c r="Q702" s="25"/>
      <c r="T702" s="25"/>
    </row>
    <row r="703" spans="2:20" x14ac:dyDescent="0.25">
      <c r="B703" s="40"/>
      <c r="D703" s="19" t="s">
        <v>14</v>
      </c>
      <c r="E703" s="19" t="s">
        <v>15</v>
      </c>
      <c r="F703" s="19" t="s">
        <v>180</v>
      </c>
      <c r="G703" s="19"/>
      <c r="H703" s="19"/>
      <c r="I703" s="19"/>
      <c r="J703" s="19"/>
      <c r="K703" s="19"/>
      <c r="L703" s="19"/>
      <c r="M703" s="19"/>
      <c r="N703" s="19"/>
      <c r="O703" s="19" t="s">
        <v>20</v>
      </c>
      <c r="P703" s="19" t="s">
        <v>21</v>
      </c>
      <c r="Q703" s="25"/>
      <c r="T703" s="25"/>
    </row>
    <row r="704" spans="2:20" x14ac:dyDescent="0.25">
      <c r="B704" s="40"/>
      <c r="D704" s="22">
        <v>1.5</v>
      </c>
      <c r="E704" s="22">
        <v>100</v>
      </c>
      <c r="F704" s="23" t="s">
        <v>1467</v>
      </c>
      <c r="G704" s="23"/>
      <c r="H704" s="23"/>
      <c r="I704" s="23"/>
      <c r="J704" s="23"/>
      <c r="K704" s="23"/>
      <c r="L704" s="23"/>
      <c r="M704" s="23"/>
      <c r="N704" s="23"/>
      <c r="O704" s="24">
        <v>21.260000000009313</v>
      </c>
      <c r="P704" s="24">
        <v>0.38268000000016761</v>
      </c>
      <c r="Q704" s="25"/>
      <c r="T704" s="25"/>
    </row>
    <row r="705" spans="2:20" x14ac:dyDescent="0.25">
      <c r="B705" s="40"/>
      <c r="D705" s="22">
        <v>1.5</v>
      </c>
      <c r="E705" s="22">
        <v>200</v>
      </c>
      <c r="F705" s="23" t="s">
        <v>1468</v>
      </c>
      <c r="G705" s="23"/>
      <c r="H705" s="23"/>
      <c r="I705" s="23"/>
      <c r="J705" s="23"/>
      <c r="K705" s="23"/>
      <c r="L705" s="23"/>
      <c r="M705" s="23"/>
      <c r="N705" s="23"/>
      <c r="O705" s="24">
        <v>42.599999999976717</v>
      </c>
      <c r="P705" s="24">
        <v>0.38339999999979052</v>
      </c>
      <c r="Q705" s="25"/>
      <c r="T705" s="25"/>
    </row>
    <row r="706" spans="2:20" x14ac:dyDescent="0.25">
      <c r="B706" s="40"/>
      <c r="D706" s="22">
        <v>2</v>
      </c>
      <c r="E706" s="22">
        <v>100</v>
      </c>
      <c r="F706" s="23" t="s">
        <v>1469</v>
      </c>
      <c r="G706" s="23"/>
      <c r="H706" s="23"/>
      <c r="I706" s="23"/>
      <c r="J706" s="23"/>
      <c r="K706" s="23"/>
      <c r="L706" s="23"/>
      <c r="M706" s="23"/>
      <c r="N706" s="23"/>
      <c r="O706" s="24">
        <v>25.75</v>
      </c>
      <c r="P706" s="24">
        <v>0.46350000000000002</v>
      </c>
      <c r="Q706" s="25"/>
      <c r="T706" s="25"/>
    </row>
    <row r="707" spans="2:20" x14ac:dyDescent="0.25">
      <c r="B707" s="40"/>
      <c r="D707" s="22">
        <v>2</v>
      </c>
      <c r="E707" s="22">
        <v>200</v>
      </c>
      <c r="F707" s="23" t="s">
        <v>1470</v>
      </c>
      <c r="G707" s="23"/>
      <c r="H707" s="23"/>
      <c r="I707" s="23"/>
      <c r="J707" s="23"/>
      <c r="K707" s="23"/>
      <c r="L707" s="23"/>
      <c r="M707" s="23"/>
      <c r="N707" s="23"/>
      <c r="O707" s="24">
        <v>51.510000000009313</v>
      </c>
      <c r="P707" s="24">
        <v>0.46359000000008388</v>
      </c>
      <c r="Q707" s="25"/>
      <c r="T707" s="25"/>
    </row>
    <row r="708" spans="2:20" x14ac:dyDescent="0.25">
      <c r="B708" s="40"/>
      <c r="D708" s="22">
        <v>3</v>
      </c>
      <c r="E708" s="22">
        <v>100</v>
      </c>
      <c r="F708" s="23" t="s">
        <v>1471</v>
      </c>
      <c r="G708" s="23"/>
      <c r="H708" s="23"/>
      <c r="I708" s="23"/>
      <c r="J708" s="23"/>
      <c r="K708" s="23"/>
      <c r="L708" s="23"/>
      <c r="M708" s="23"/>
      <c r="N708" s="23"/>
      <c r="O708" s="24">
        <v>27.489999999990687</v>
      </c>
      <c r="P708" s="24">
        <v>0.49481999999983239</v>
      </c>
      <c r="Q708" s="25"/>
      <c r="T708" s="25"/>
    </row>
    <row r="709" spans="2:20" x14ac:dyDescent="0.25">
      <c r="B709" s="40"/>
      <c r="D709" s="22">
        <v>3</v>
      </c>
      <c r="E709" s="22">
        <v>200</v>
      </c>
      <c r="F709" s="23" t="s">
        <v>1472</v>
      </c>
      <c r="G709" s="23"/>
      <c r="H709" s="23"/>
      <c r="I709" s="23"/>
      <c r="J709" s="23"/>
      <c r="K709" s="23"/>
      <c r="L709" s="23"/>
      <c r="M709" s="23"/>
      <c r="N709" s="23"/>
      <c r="O709" s="24">
        <v>54.909999999974389</v>
      </c>
      <c r="P709" s="24">
        <v>0.49418999999976954</v>
      </c>
      <c r="Q709" s="25"/>
      <c r="T709" s="25"/>
    </row>
    <row r="710" spans="2:20" x14ac:dyDescent="0.25">
      <c r="B710" s="40"/>
      <c r="D710" s="22">
        <v>4</v>
      </c>
      <c r="E710" s="22">
        <v>100</v>
      </c>
      <c r="F710" s="23" t="s">
        <v>1473</v>
      </c>
      <c r="G710" s="23"/>
      <c r="H710" s="23"/>
      <c r="I710" s="23"/>
      <c r="J710" s="23"/>
      <c r="K710" s="23"/>
      <c r="L710" s="23"/>
      <c r="M710" s="23"/>
      <c r="N710" s="23"/>
      <c r="O710" s="24">
        <v>36.409999999974389</v>
      </c>
      <c r="P710" s="24">
        <v>0.655379999999539</v>
      </c>
      <c r="Q710" s="25"/>
      <c r="T710" s="25"/>
    </row>
    <row r="711" spans="2:20" x14ac:dyDescent="0.25">
      <c r="B711" s="40"/>
      <c r="D711" s="22">
        <v>4</v>
      </c>
      <c r="E711" s="22">
        <v>200</v>
      </c>
      <c r="F711" s="23" t="s">
        <v>1474</v>
      </c>
      <c r="G711" s="23"/>
      <c r="H711" s="23"/>
      <c r="I711" s="23"/>
      <c r="J711" s="23"/>
      <c r="K711" s="23"/>
      <c r="L711" s="23"/>
      <c r="M711" s="23"/>
      <c r="N711" s="23"/>
      <c r="O711" s="24">
        <v>72.839999999967404</v>
      </c>
      <c r="P711" s="24">
        <v>0.65555999999970671</v>
      </c>
      <c r="Q711" s="25"/>
      <c r="T711" s="25"/>
    </row>
    <row r="712" spans="2:20" x14ac:dyDescent="0.25">
      <c r="B712" s="40"/>
      <c r="D712" s="22">
        <v>5</v>
      </c>
      <c r="E712" s="22">
        <v>100</v>
      </c>
      <c r="F712" s="23" t="s">
        <v>1475</v>
      </c>
      <c r="G712" s="23"/>
      <c r="H712" s="23"/>
      <c r="I712" s="23"/>
      <c r="J712" s="23"/>
      <c r="K712" s="23"/>
      <c r="L712" s="23"/>
      <c r="M712" s="23"/>
      <c r="N712" s="23"/>
      <c r="O712" s="24">
        <v>40.059999999997672</v>
      </c>
      <c r="P712" s="24">
        <v>0.72107999999995809</v>
      </c>
      <c r="Q712" s="25"/>
      <c r="T712" s="25"/>
    </row>
    <row r="713" spans="2:20" x14ac:dyDescent="0.25">
      <c r="B713" s="40"/>
      <c r="D713" s="22">
        <v>5</v>
      </c>
      <c r="E713" s="22">
        <v>200</v>
      </c>
      <c r="F713" s="27" t="s">
        <v>1476</v>
      </c>
      <c r="G713" s="27"/>
      <c r="H713" s="27"/>
      <c r="I713" s="27"/>
      <c r="J713" s="27"/>
      <c r="K713" s="27"/>
      <c r="L713" s="27"/>
      <c r="M713" s="27"/>
      <c r="N713" s="27"/>
      <c r="O713" s="24">
        <v>80.089999999967404</v>
      </c>
      <c r="P713" s="24">
        <v>0.72080999999970674</v>
      </c>
      <c r="Q713" s="25"/>
      <c r="T713" s="25"/>
    </row>
    <row r="714" spans="2:20" x14ac:dyDescent="0.25">
      <c r="B714" s="40"/>
      <c r="D714" s="35" t="s">
        <v>1012</v>
      </c>
      <c r="E714" s="22" t="s">
        <v>1013</v>
      </c>
      <c r="F714" s="27"/>
      <c r="G714" s="27"/>
      <c r="H714" s="27"/>
      <c r="I714" s="27"/>
      <c r="J714" s="27"/>
      <c r="K714" s="27"/>
      <c r="L714" s="27"/>
      <c r="M714" s="27"/>
      <c r="O714" s="19" t="s">
        <v>20</v>
      </c>
      <c r="P714" s="18" t="s">
        <v>1015</v>
      </c>
      <c r="Q714" s="25"/>
      <c r="T714" s="25"/>
    </row>
    <row r="715" spans="2:20" x14ac:dyDescent="0.25">
      <c r="B715" s="40"/>
      <c r="D715" s="22">
        <v>1.5</v>
      </c>
      <c r="E715" s="22">
        <v>10</v>
      </c>
      <c r="F715" s="23" t="s">
        <v>1477</v>
      </c>
      <c r="G715" s="23" t="s">
        <v>1046</v>
      </c>
      <c r="H715" s="23"/>
      <c r="I715" s="23"/>
      <c r="J715" s="23"/>
      <c r="K715" s="23"/>
      <c r="L715" s="23"/>
      <c r="M715" s="23"/>
      <c r="N715" s="23"/>
      <c r="O715" s="24">
        <v>66.96999999997206</v>
      </c>
      <c r="P715" s="24">
        <v>12.054599999994972</v>
      </c>
      <c r="Q715" s="25"/>
      <c r="T715" s="25"/>
    </row>
    <row r="716" spans="2:20" x14ac:dyDescent="0.25">
      <c r="B716" s="40"/>
      <c r="D716" s="22">
        <v>2</v>
      </c>
      <c r="E716" s="22">
        <v>10</v>
      </c>
      <c r="F716" s="23" t="s">
        <v>1478</v>
      </c>
      <c r="G716" s="23" t="s">
        <v>1023</v>
      </c>
      <c r="H716" s="23"/>
      <c r="I716" s="23"/>
      <c r="J716" s="23"/>
      <c r="K716" s="23"/>
      <c r="L716" s="23"/>
      <c r="M716" s="23"/>
      <c r="N716" s="23"/>
      <c r="O716" s="24">
        <v>66.96999999997206</v>
      </c>
      <c r="P716" s="24">
        <v>12.054599999994972</v>
      </c>
      <c r="Q716" s="25"/>
      <c r="T716" s="25"/>
    </row>
    <row r="717" spans="2:20" x14ac:dyDescent="0.25">
      <c r="B717" s="40"/>
      <c r="D717" s="22">
        <v>3</v>
      </c>
      <c r="E717" s="22">
        <v>10</v>
      </c>
      <c r="F717" s="27" t="s">
        <v>1479</v>
      </c>
      <c r="G717" s="27" t="s">
        <v>1031</v>
      </c>
      <c r="H717" s="27"/>
      <c r="I717" s="27"/>
      <c r="J717" s="27"/>
      <c r="K717" s="27"/>
      <c r="L717" s="27"/>
      <c r="M717" s="27"/>
      <c r="N717" s="27"/>
      <c r="O717" s="24">
        <v>66.96999999997206</v>
      </c>
      <c r="P717" s="24">
        <v>12.054599999994972</v>
      </c>
      <c r="Q717" s="25"/>
      <c r="T717" s="25"/>
    </row>
    <row r="718" spans="2:20" x14ac:dyDescent="0.25">
      <c r="B718" s="40"/>
      <c r="D718" s="22"/>
      <c r="E718" s="22"/>
      <c r="F718" s="27"/>
      <c r="G718" s="27"/>
      <c r="H718" s="27"/>
      <c r="I718" s="27"/>
      <c r="J718" s="27"/>
      <c r="K718" s="27"/>
      <c r="L718" s="27"/>
      <c r="M718" s="27"/>
      <c r="N718" s="27"/>
      <c r="O718" s="24"/>
      <c r="P718" s="24"/>
      <c r="Q718" s="25"/>
      <c r="T718" s="25"/>
    </row>
    <row r="719" spans="2:20" ht="19.05" x14ac:dyDescent="0.35">
      <c r="B719" s="40"/>
      <c r="D719" s="13" t="s">
        <v>1466</v>
      </c>
      <c r="E719" s="13"/>
      <c r="F719" s="13"/>
      <c r="G719" s="13"/>
      <c r="H719" s="13"/>
      <c r="I719" s="13"/>
      <c r="J719" s="13"/>
      <c r="K719" s="13"/>
      <c r="L719" s="13"/>
      <c r="O719" s="3"/>
      <c r="P719" s="18" t="s">
        <v>1432</v>
      </c>
      <c r="Q719" s="25"/>
      <c r="T719" s="25"/>
    </row>
    <row r="720" spans="2:20" x14ac:dyDescent="0.25">
      <c r="B720" s="40"/>
      <c r="D720" s="19" t="s">
        <v>14</v>
      </c>
      <c r="E720" s="19" t="s">
        <v>15</v>
      </c>
      <c r="F720" s="19" t="s">
        <v>179</v>
      </c>
      <c r="G720" s="19" t="s">
        <v>1327</v>
      </c>
      <c r="H720" s="19"/>
      <c r="I720" s="19"/>
      <c r="J720" s="19"/>
      <c r="K720" s="19"/>
      <c r="L720" s="19"/>
      <c r="M720" s="19"/>
      <c r="N720" s="19"/>
      <c r="O720" s="19" t="s">
        <v>20</v>
      </c>
      <c r="P720" s="19" t="s">
        <v>21</v>
      </c>
      <c r="Q720" s="25"/>
      <c r="T720" s="25"/>
    </row>
    <row r="721" spans="2:20" x14ac:dyDescent="0.25">
      <c r="B721" s="40"/>
      <c r="D721" s="22">
        <v>1.5</v>
      </c>
      <c r="E721" s="22">
        <v>100</v>
      </c>
      <c r="F721" s="23" t="s">
        <v>1480</v>
      </c>
      <c r="G721" s="23" t="s">
        <v>117</v>
      </c>
      <c r="H721" s="23"/>
      <c r="I721" s="23"/>
      <c r="J721" s="23"/>
      <c r="K721" s="23"/>
      <c r="L721" s="23"/>
      <c r="M721" s="23"/>
      <c r="N721" s="23"/>
      <c r="O721" s="24">
        <v>30.5</v>
      </c>
      <c r="P721" s="24">
        <v>0.54899999999999993</v>
      </c>
      <c r="Q721" s="25"/>
      <c r="T721" s="25"/>
    </row>
    <row r="722" spans="2:20" x14ac:dyDescent="0.25">
      <c r="B722" s="40"/>
      <c r="D722" s="22">
        <v>1.5</v>
      </c>
      <c r="E722" s="22">
        <v>200</v>
      </c>
      <c r="F722" s="23" t="s">
        <v>1481</v>
      </c>
      <c r="G722" s="23" t="s">
        <v>117</v>
      </c>
      <c r="H722" s="23"/>
      <c r="I722" s="23"/>
      <c r="J722" s="23"/>
      <c r="K722" s="23"/>
      <c r="L722" s="23"/>
      <c r="M722" s="23"/>
      <c r="N722" s="23"/>
      <c r="O722" s="24">
        <v>60.96999999997206</v>
      </c>
      <c r="P722" s="24">
        <v>0.54872999999974859</v>
      </c>
      <c r="Q722" s="25"/>
      <c r="T722" s="25"/>
    </row>
    <row r="723" spans="2:20" x14ac:dyDescent="0.25">
      <c r="B723" s="40"/>
      <c r="D723" s="22">
        <v>1.5</v>
      </c>
      <c r="E723" s="22">
        <v>500</v>
      </c>
      <c r="F723" s="23" t="s">
        <v>117</v>
      </c>
      <c r="G723" s="23" t="s">
        <v>1482</v>
      </c>
      <c r="H723" s="23"/>
      <c r="I723" s="23"/>
      <c r="J723" s="23"/>
      <c r="K723" s="23"/>
      <c r="L723" s="23"/>
      <c r="M723" s="23"/>
      <c r="N723" s="23"/>
      <c r="O723" s="24">
        <v>152.52000000001863</v>
      </c>
      <c r="P723" s="24">
        <v>0.54907200000006706</v>
      </c>
      <c r="Q723" s="25"/>
      <c r="T723" s="25"/>
    </row>
    <row r="724" spans="2:20" x14ac:dyDescent="0.25">
      <c r="B724" s="40"/>
      <c r="D724" s="22">
        <v>2</v>
      </c>
      <c r="E724" s="22">
        <v>100</v>
      </c>
      <c r="F724" s="23" t="s">
        <v>1483</v>
      </c>
      <c r="G724" s="23" t="s">
        <v>1484</v>
      </c>
      <c r="H724" s="23"/>
      <c r="I724" s="23"/>
      <c r="J724" s="23"/>
      <c r="K724" s="23"/>
      <c r="L724" s="23"/>
      <c r="M724" s="23"/>
      <c r="N724" s="23"/>
      <c r="O724" s="24">
        <v>32.440000000002328</v>
      </c>
      <c r="P724" s="24">
        <v>0.58392000000004196</v>
      </c>
      <c r="Q724" s="25"/>
      <c r="T724" s="25"/>
    </row>
    <row r="725" spans="2:20" x14ac:dyDescent="0.25">
      <c r="B725" s="40"/>
      <c r="D725" s="22">
        <v>2</v>
      </c>
      <c r="E725" s="22">
        <v>200</v>
      </c>
      <c r="F725" s="23" t="s">
        <v>1485</v>
      </c>
      <c r="G725" s="23" t="s">
        <v>1486</v>
      </c>
      <c r="H725" s="23"/>
      <c r="I725" s="23"/>
      <c r="J725" s="23"/>
      <c r="K725" s="23"/>
      <c r="L725" s="23"/>
      <c r="M725" s="23"/>
      <c r="N725" s="23"/>
      <c r="O725" s="24">
        <v>64.819999999948777</v>
      </c>
      <c r="P725" s="24">
        <v>0.58337999999953905</v>
      </c>
      <c r="Q725" s="25"/>
      <c r="T725" s="25"/>
    </row>
    <row r="726" spans="2:20" x14ac:dyDescent="0.25">
      <c r="B726" s="40"/>
      <c r="D726" s="22">
        <v>3</v>
      </c>
      <c r="E726" s="22">
        <v>100</v>
      </c>
      <c r="F726" s="23" t="s">
        <v>1487</v>
      </c>
      <c r="G726" s="23" t="s">
        <v>1488</v>
      </c>
      <c r="H726" s="23"/>
      <c r="I726" s="23"/>
      <c r="J726" s="23"/>
      <c r="K726" s="23"/>
      <c r="L726" s="23"/>
      <c r="M726" s="23"/>
      <c r="N726" s="23"/>
      <c r="O726" s="24">
        <v>34.340000000025611</v>
      </c>
      <c r="P726" s="24">
        <v>0.61812000000046108</v>
      </c>
      <c r="Q726" s="25"/>
      <c r="T726" s="25"/>
    </row>
    <row r="727" spans="2:20" x14ac:dyDescent="0.25">
      <c r="B727" s="40"/>
      <c r="D727" s="22">
        <v>3</v>
      </c>
      <c r="E727" s="22">
        <v>200</v>
      </c>
      <c r="F727" s="27" t="s">
        <v>1489</v>
      </c>
      <c r="G727" s="27" t="s">
        <v>1490</v>
      </c>
      <c r="H727" s="27"/>
      <c r="I727" s="27"/>
      <c r="J727" s="27"/>
      <c r="K727" s="27"/>
      <c r="L727" s="27"/>
      <c r="M727" s="27"/>
      <c r="N727" s="27"/>
      <c r="O727" s="24">
        <v>68.64000000001397</v>
      </c>
      <c r="P727" s="24">
        <v>0.61776000000012576</v>
      </c>
      <c r="Q727" s="25"/>
      <c r="T727" s="25"/>
    </row>
    <row r="728" spans="2:20" x14ac:dyDescent="0.25">
      <c r="B728" s="40"/>
      <c r="D728" s="35" t="s">
        <v>1012</v>
      </c>
      <c r="E728" s="22" t="s">
        <v>1013</v>
      </c>
      <c r="F728" s="27"/>
      <c r="G728" s="27"/>
      <c r="H728" s="27"/>
      <c r="I728" s="27"/>
      <c r="J728" s="27"/>
      <c r="K728" s="27"/>
      <c r="L728" s="27"/>
      <c r="M728" s="27"/>
      <c r="O728" s="19" t="s">
        <v>20</v>
      </c>
      <c r="P728" s="18" t="s">
        <v>1015</v>
      </c>
      <c r="Q728" s="25"/>
      <c r="T728" s="25"/>
    </row>
    <row r="729" spans="2:20" x14ac:dyDescent="0.25">
      <c r="B729" s="40"/>
      <c r="D729" s="22">
        <v>1.5</v>
      </c>
      <c r="E729" s="22">
        <v>10</v>
      </c>
      <c r="F729" s="23" t="s">
        <v>1491</v>
      </c>
      <c r="G729" s="23" t="s">
        <v>1046</v>
      </c>
      <c r="H729" s="23"/>
      <c r="I729" s="23"/>
      <c r="J729" s="23"/>
      <c r="K729" s="23"/>
      <c r="L729" s="23"/>
      <c r="M729" s="23"/>
      <c r="N729" s="23"/>
      <c r="O729" s="24">
        <v>66.96999999997206</v>
      </c>
      <c r="P729" s="24">
        <v>12.054599999994972</v>
      </c>
      <c r="Q729" s="25"/>
      <c r="T729" s="25"/>
    </row>
    <row r="730" spans="2:20" x14ac:dyDescent="0.25">
      <c r="B730" s="40"/>
      <c r="D730" s="22">
        <v>2</v>
      </c>
      <c r="E730" s="22">
        <v>10</v>
      </c>
      <c r="F730" s="23" t="s">
        <v>1492</v>
      </c>
      <c r="G730" s="23" t="s">
        <v>1023</v>
      </c>
      <c r="H730" s="23"/>
      <c r="I730" s="23"/>
      <c r="J730" s="23"/>
      <c r="K730" s="23"/>
      <c r="L730" s="23"/>
      <c r="M730" s="23"/>
      <c r="N730" s="23"/>
      <c r="O730" s="24">
        <v>66.96999999997206</v>
      </c>
      <c r="P730" s="24">
        <v>12.054599999994972</v>
      </c>
      <c r="Q730" s="25"/>
      <c r="T730" s="25"/>
    </row>
    <row r="731" spans="2:20" x14ac:dyDescent="0.25">
      <c r="B731" s="40"/>
      <c r="D731" s="22">
        <v>3</v>
      </c>
      <c r="E731" s="22">
        <v>10</v>
      </c>
      <c r="F731" s="27" t="s">
        <v>1493</v>
      </c>
      <c r="G731" s="27" t="s">
        <v>1031</v>
      </c>
      <c r="H731" s="27"/>
      <c r="I731" s="27"/>
      <c r="J731" s="27"/>
      <c r="K731" s="27"/>
      <c r="L731" s="27"/>
      <c r="M731" s="27"/>
      <c r="N731" s="27"/>
      <c r="O731" s="24">
        <v>66.96999999997206</v>
      </c>
      <c r="P731" s="24">
        <v>12.054599999994972</v>
      </c>
      <c r="Q731" s="25"/>
      <c r="T731" s="25"/>
    </row>
    <row r="732" spans="2:20" x14ac:dyDescent="0.25">
      <c r="B732" s="40"/>
      <c r="D732" s="22"/>
      <c r="E732" s="22"/>
      <c r="F732" s="27"/>
      <c r="G732" s="27"/>
      <c r="H732" s="27"/>
      <c r="I732" s="27"/>
      <c r="J732" s="27"/>
      <c r="K732" s="27"/>
      <c r="L732" s="27"/>
      <c r="M732" s="27"/>
      <c r="N732" s="27"/>
      <c r="O732" s="24"/>
      <c r="P732" s="24"/>
      <c r="Q732" s="25"/>
      <c r="T732" s="25"/>
    </row>
    <row r="733" spans="2:20" ht="19.05" x14ac:dyDescent="0.35">
      <c r="B733" s="40"/>
      <c r="D733" s="13" t="s">
        <v>1494</v>
      </c>
      <c r="E733" s="13"/>
      <c r="F733" s="13"/>
      <c r="G733" s="13"/>
      <c r="H733" s="13"/>
      <c r="I733" s="13"/>
      <c r="J733" s="13"/>
      <c r="K733" s="13"/>
      <c r="L733" s="13"/>
      <c r="O733" s="3"/>
      <c r="P733" s="18" t="s">
        <v>1432</v>
      </c>
      <c r="Q733" s="25"/>
      <c r="T733" s="25"/>
    </row>
    <row r="734" spans="2:20" x14ac:dyDescent="0.25">
      <c r="B734" s="40"/>
      <c r="D734" s="19" t="s">
        <v>14</v>
      </c>
      <c r="E734" s="19" t="s">
        <v>15</v>
      </c>
      <c r="F734" s="19" t="s">
        <v>1148</v>
      </c>
      <c r="G734" s="19" t="s">
        <v>684</v>
      </c>
      <c r="H734" s="19"/>
      <c r="I734" s="19"/>
      <c r="J734" s="19"/>
      <c r="K734" s="19"/>
      <c r="L734" s="19"/>
      <c r="M734" s="19"/>
      <c r="N734" s="19"/>
      <c r="O734" s="19" t="s">
        <v>20</v>
      </c>
      <c r="P734" s="19" t="s">
        <v>21</v>
      </c>
      <c r="Q734" s="25"/>
      <c r="T734" s="25"/>
    </row>
    <row r="735" spans="2:20" x14ac:dyDescent="0.25">
      <c r="B735" s="40"/>
      <c r="D735" s="22">
        <v>6</v>
      </c>
      <c r="E735" s="22">
        <v>100</v>
      </c>
      <c r="F735" s="23" t="s">
        <v>1495</v>
      </c>
      <c r="G735" s="23" t="s">
        <v>1496</v>
      </c>
      <c r="H735" s="23"/>
      <c r="I735" s="23"/>
      <c r="J735" s="23"/>
      <c r="K735" s="23"/>
      <c r="L735" s="23"/>
      <c r="M735" s="23"/>
      <c r="N735" s="23"/>
      <c r="O735" s="24">
        <v>63.960000000020955</v>
      </c>
      <c r="P735" s="24">
        <v>1.1512800000003771</v>
      </c>
      <c r="Q735" s="25"/>
      <c r="T735" s="25"/>
    </row>
    <row r="736" spans="2:20" x14ac:dyDescent="0.25">
      <c r="B736" s="40"/>
      <c r="D736" s="22">
        <v>6</v>
      </c>
      <c r="E736" s="22">
        <v>200</v>
      </c>
      <c r="F736" s="23" t="s">
        <v>1497</v>
      </c>
      <c r="G736" s="23" t="s">
        <v>1498</v>
      </c>
      <c r="H736" s="23"/>
      <c r="I736" s="23"/>
      <c r="J736" s="23"/>
      <c r="K736" s="23"/>
      <c r="L736" s="23"/>
      <c r="M736" s="23"/>
      <c r="N736" s="23"/>
      <c r="O736" s="24">
        <v>127.88000000000466</v>
      </c>
      <c r="P736" s="24">
        <v>1.1509200000000419</v>
      </c>
      <c r="Q736" s="25"/>
      <c r="T736" s="25"/>
    </row>
    <row r="737" spans="2:20" x14ac:dyDescent="0.25">
      <c r="B737" s="40"/>
      <c r="D737" s="22">
        <v>8</v>
      </c>
      <c r="E737" s="22">
        <v>100</v>
      </c>
      <c r="F737" s="23" t="s">
        <v>1499</v>
      </c>
      <c r="G737" s="23" t="s">
        <v>1500</v>
      </c>
      <c r="H737" s="23"/>
      <c r="I737" s="23"/>
      <c r="J737" s="23"/>
      <c r="K737" s="23"/>
      <c r="L737" s="23"/>
      <c r="M737" s="23"/>
      <c r="N737" s="23"/>
      <c r="O737" s="24">
        <v>102.56000000005588</v>
      </c>
      <c r="P737" s="24">
        <v>1.8460800000010058</v>
      </c>
      <c r="Q737" s="25"/>
      <c r="T737" s="25"/>
    </row>
    <row r="738" spans="2:20" x14ac:dyDescent="0.25">
      <c r="B738" s="40"/>
      <c r="D738" s="22">
        <v>8</v>
      </c>
      <c r="E738" s="22">
        <v>200</v>
      </c>
      <c r="F738" s="23" t="s">
        <v>1501</v>
      </c>
      <c r="G738" s="23" t="s">
        <v>1502</v>
      </c>
      <c r="H738" s="23"/>
      <c r="I738" s="23"/>
      <c r="J738" s="23"/>
      <c r="K738" s="23"/>
      <c r="L738" s="23"/>
      <c r="M738" s="23"/>
      <c r="N738" s="23"/>
      <c r="O738" s="24">
        <v>205.11000000010245</v>
      </c>
      <c r="P738" s="24">
        <v>1.8459900000009222</v>
      </c>
      <c r="Q738" s="25"/>
      <c r="T738" s="25"/>
    </row>
    <row r="739" spans="2:20" x14ac:dyDescent="0.25">
      <c r="B739" s="40"/>
      <c r="D739" s="22">
        <v>10</v>
      </c>
      <c r="E739" s="22">
        <v>100</v>
      </c>
      <c r="F739" s="23" t="s">
        <v>1503</v>
      </c>
      <c r="G739" s="23" t="s">
        <v>1504</v>
      </c>
      <c r="H739" s="23"/>
      <c r="I739" s="23"/>
      <c r="J739" s="23"/>
      <c r="K739" s="23"/>
      <c r="L739" s="23"/>
      <c r="M739" s="23"/>
      <c r="N739" s="23"/>
      <c r="O739" s="24">
        <v>153.19999999995343</v>
      </c>
      <c r="P739" s="24">
        <v>2.7575999999991621</v>
      </c>
      <c r="Q739" s="25"/>
      <c r="T739" s="25"/>
    </row>
    <row r="740" spans="2:20" x14ac:dyDescent="0.25">
      <c r="B740" s="40"/>
      <c r="D740" s="22">
        <v>10</v>
      </c>
      <c r="E740" s="22">
        <v>200</v>
      </c>
      <c r="F740" s="27" t="s">
        <v>1505</v>
      </c>
      <c r="G740" s="27" t="s">
        <v>1506</v>
      </c>
      <c r="H740" s="27"/>
      <c r="I740" s="27"/>
      <c r="J740" s="27"/>
      <c r="K740" s="27"/>
      <c r="L740" s="27"/>
      <c r="M740" s="27"/>
      <c r="N740" s="27"/>
      <c r="O740" s="24">
        <v>306.43999999994412</v>
      </c>
      <c r="P740" s="24">
        <v>2.7579599999994975</v>
      </c>
      <c r="Q740" s="25"/>
      <c r="T740" s="25"/>
    </row>
    <row r="741" spans="2:20" x14ac:dyDescent="0.25">
      <c r="B741" s="40"/>
      <c r="D741" s="22"/>
      <c r="E741" s="22"/>
      <c r="F741" s="27"/>
      <c r="G741" s="27"/>
      <c r="H741" s="27"/>
      <c r="I741" s="27"/>
      <c r="J741" s="27"/>
      <c r="K741" s="27"/>
      <c r="L741" s="27"/>
      <c r="M741" s="27"/>
      <c r="N741" s="27"/>
      <c r="O741" s="24"/>
      <c r="P741" s="24"/>
      <c r="Q741" s="25"/>
      <c r="T741" s="25"/>
    </row>
    <row r="742" spans="2:20" ht="19.05" x14ac:dyDescent="0.35">
      <c r="B742" s="40"/>
      <c r="D742" s="13" t="s">
        <v>1507</v>
      </c>
      <c r="E742" s="14"/>
      <c r="F742" s="13"/>
      <c r="G742" s="13"/>
      <c r="H742" s="13"/>
      <c r="I742" s="13"/>
      <c r="J742" s="13"/>
      <c r="K742" s="13"/>
      <c r="L742" s="13"/>
      <c r="O742" s="3"/>
      <c r="P742" s="18"/>
      <c r="Q742" s="25"/>
      <c r="T742" s="25"/>
    </row>
    <row r="743" spans="2:20" ht="19.05" x14ac:dyDescent="0.35">
      <c r="B743" s="40"/>
      <c r="D743" s="35" t="s">
        <v>1508</v>
      </c>
      <c r="E743" s="14"/>
      <c r="F743" s="13"/>
      <c r="G743" s="13"/>
      <c r="H743" s="13"/>
      <c r="I743" s="13"/>
      <c r="J743" s="13"/>
      <c r="K743" s="13"/>
      <c r="L743" s="13"/>
      <c r="O743" s="3"/>
      <c r="P743" s="18" t="s">
        <v>1509</v>
      </c>
      <c r="Q743" s="25"/>
      <c r="T743" s="25"/>
    </row>
    <row r="744" spans="2:20" x14ac:dyDescent="0.25">
      <c r="B744" s="40"/>
      <c r="D744" s="19" t="s">
        <v>14</v>
      </c>
      <c r="E744" s="19" t="s">
        <v>15</v>
      </c>
      <c r="F744" s="19" t="s">
        <v>16</v>
      </c>
      <c r="G744" s="19" t="s">
        <v>17</v>
      </c>
      <c r="H744" s="19" t="s">
        <v>179</v>
      </c>
      <c r="I744" s="19"/>
      <c r="J744" s="19"/>
      <c r="K744" s="19"/>
      <c r="L744" s="19"/>
      <c r="M744" s="19"/>
      <c r="N744" s="19"/>
      <c r="O744" s="19" t="s">
        <v>20</v>
      </c>
      <c r="P744" s="19" t="s">
        <v>21</v>
      </c>
      <c r="Q744" s="25"/>
      <c r="T744" s="25"/>
    </row>
    <row r="745" spans="2:20" x14ac:dyDescent="0.25">
      <c r="B745" s="40"/>
      <c r="D745" s="22">
        <v>50</v>
      </c>
      <c r="E745" s="22">
        <v>50</v>
      </c>
      <c r="F745" s="27" t="s">
        <v>1510</v>
      </c>
      <c r="G745" s="27" t="s">
        <v>1511</v>
      </c>
      <c r="H745" s="27" t="s">
        <v>1512</v>
      </c>
      <c r="I745" s="27"/>
      <c r="J745" s="27"/>
      <c r="K745" s="27"/>
      <c r="L745" s="27"/>
      <c r="M745" s="27"/>
      <c r="N745" s="27"/>
      <c r="O745" s="24">
        <v>110.90000000002328</v>
      </c>
      <c r="P745" s="24">
        <v>3.9924000000008384</v>
      </c>
      <c r="Q745" s="25"/>
      <c r="T745" s="25"/>
    </row>
    <row r="746" spans="2:20" x14ac:dyDescent="0.25">
      <c r="B746" s="40"/>
      <c r="D746" s="22"/>
      <c r="E746" s="22"/>
      <c r="F746" s="27"/>
      <c r="G746" s="27"/>
      <c r="H746" s="27"/>
      <c r="I746" s="27"/>
      <c r="J746" s="27"/>
      <c r="K746" s="27"/>
      <c r="L746" s="27"/>
      <c r="M746" s="27"/>
      <c r="N746" s="27"/>
      <c r="O746" s="24"/>
      <c r="P746" s="24"/>
      <c r="Q746" s="25"/>
      <c r="T746" s="25"/>
    </row>
    <row r="747" spans="2:20" ht="19.05" x14ac:dyDescent="0.35">
      <c r="B747" s="40"/>
      <c r="D747" s="13" t="s">
        <v>1507</v>
      </c>
      <c r="E747" s="39" t="s">
        <v>1282</v>
      </c>
      <c r="F747" s="13"/>
      <c r="G747" s="13"/>
      <c r="H747" s="13"/>
      <c r="I747" s="13"/>
      <c r="J747" s="13"/>
      <c r="K747" s="13"/>
      <c r="L747" s="13"/>
      <c r="O747" s="3"/>
      <c r="P747" s="18"/>
      <c r="Q747" s="25"/>
      <c r="T747" s="25"/>
    </row>
    <row r="748" spans="2:20" ht="19.05" x14ac:dyDescent="0.35">
      <c r="B748" s="40"/>
      <c r="D748" s="35" t="s">
        <v>1513</v>
      </c>
      <c r="E748" s="14"/>
      <c r="F748" s="13"/>
      <c r="G748" s="13"/>
      <c r="H748" s="13"/>
      <c r="I748" s="13"/>
      <c r="J748" s="13"/>
      <c r="K748" s="13"/>
      <c r="L748" s="13"/>
      <c r="O748" s="3"/>
      <c r="P748" s="18"/>
      <c r="Q748" s="25"/>
      <c r="T748" s="25"/>
    </row>
    <row r="749" spans="2:20" x14ac:dyDescent="0.25">
      <c r="B749" s="40"/>
      <c r="D749" s="19" t="s">
        <v>14</v>
      </c>
      <c r="E749" s="19" t="s">
        <v>15</v>
      </c>
      <c r="F749" s="19" t="s">
        <v>17</v>
      </c>
      <c r="G749" s="19"/>
      <c r="H749" s="19"/>
      <c r="I749" s="19"/>
      <c r="J749" s="19"/>
      <c r="K749" s="19"/>
      <c r="L749" s="19"/>
      <c r="M749" s="19"/>
      <c r="N749" s="19"/>
      <c r="O749" s="19" t="s">
        <v>20</v>
      </c>
      <c r="P749" s="19" t="s">
        <v>21</v>
      </c>
      <c r="Q749" s="25"/>
      <c r="T749" s="25"/>
    </row>
    <row r="750" spans="2:20" x14ac:dyDescent="0.25">
      <c r="B750" s="40"/>
      <c r="D750" s="22">
        <v>25</v>
      </c>
      <c r="E750" s="22">
        <v>50</v>
      </c>
      <c r="F750" s="27" t="s">
        <v>1514</v>
      </c>
      <c r="G750" s="27"/>
      <c r="H750" s="27"/>
      <c r="I750" s="27"/>
      <c r="J750" s="27"/>
      <c r="K750" s="27"/>
      <c r="L750" s="27"/>
      <c r="M750" s="27"/>
      <c r="N750" s="27"/>
      <c r="O750" s="24">
        <v>105.3399999999674</v>
      </c>
      <c r="P750" s="24">
        <v>3.7922399999988268</v>
      </c>
      <c r="Q750" s="25"/>
      <c r="T750" s="25"/>
    </row>
    <row r="751" spans="2:20" ht="19.05" x14ac:dyDescent="0.35">
      <c r="B751" s="40"/>
      <c r="D751" s="35" t="s">
        <v>1515</v>
      </c>
      <c r="E751" s="14"/>
      <c r="F751" s="13"/>
      <c r="G751" s="13"/>
      <c r="H751" s="13"/>
      <c r="I751" s="13"/>
      <c r="J751" s="13"/>
      <c r="K751" s="13"/>
      <c r="L751" s="13"/>
      <c r="O751" s="3"/>
      <c r="P751" s="18"/>
      <c r="Q751" s="25"/>
      <c r="T751" s="25"/>
    </row>
    <row r="752" spans="2:20" x14ac:dyDescent="0.25">
      <c r="B752" s="40"/>
      <c r="D752" s="19" t="s">
        <v>14</v>
      </c>
      <c r="E752" s="19" t="s">
        <v>15</v>
      </c>
      <c r="F752" s="19" t="s">
        <v>180</v>
      </c>
      <c r="G752" s="19"/>
      <c r="H752" s="19"/>
      <c r="I752" s="19"/>
      <c r="J752" s="19"/>
      <c r="K752" s="19"/>
      <c r="L752" s="19"/>
      <c r="M752" s="19"/>
      <c r="N752" s="19"/>
      <c r="O752" s="19" t="s">
        <v>20</v>
      </c>
      <c r="P752" s="19" t="s">
        <v>21</v>
      </c>
      <c r="Q752" s="25"/>
      <c r="T752" s="25"/>
    </row>
    <row r="753" spans="2:20" x14ac:dyDescent="0.25">
      <c r="B753" s="40"/>
      <c r="D753" s="22">
        <v>31</v>
      </c>
      <c r="E753" s="22">
        <v>100</v>
      </c>
      <c r="F753" s="27" t="s">
        <v>1516</v>
      </c>
      <c r="G753" s="27"/>
      <c r="H753" s="27"/>
      <c r="I753" s="27"/>
      <c r="J753" s="27"/>
      <c r="K753" s="27"/>
      <c r="L753" s="27"/>
      <c r="M753" s="27"/>
      <c r="N753" s="27"/>
      <c r="O753" s="24">
        <v>84.589999999967404</v>
      </c>
      <c r="P753" s="24">
        <v>1.5226199999994134</v>
      </c>
      <c r="Q753" s="25"/>
      <c r="T753" s="25"/>
    </row>
    <row r="754" spans="2:20" ht="19.05" x14ac:dyDescent="0.35">
      <c r="B754" s="40"/>
      <c r="D754" s="35" t="s">
        <v>1517</v>
      </c>
      <c r="E754" s="14"/>
      <c r="F754" s="13"/>
      <c r="G754" s="13"/>
      <c r="H754" s="13"/>
      <c r="I754" s="13"/>
      <c r="J754" s="13"/>
      <c r="K754" s="13"/>
      <c r="L754" s="13"/>
      <c r="O754" s="3"/>
      <c r="P754" s="18"/>
      <c r="Q754" s="25"/>
      <c r="T754" s="25"/>
    </row>
    <row r="755" spans="2:20" x14ac:dyDescent="0.25">
      <c r="B755" s="40"/>
      <c r="D755" s="19" t="s">
        <v>14</v>
      </c>
      <c r="E755" s="19" t="s">
        <v>15</v>
      </c>
      <c r="F755" s="19" t="s">
        <v>179</v>
      </c>
      <c r="G755" s="19"/>
      <c r="H755" s="19"/>
      <c r="I755" s="19"/>
      <c r="J755" s="19"/>
      <c r="K755" s="19"/>
      <c r="L755" s="19"/>
      <c r="M755" s="19"/>
      <c r="N755" s="19"/>
      <c r="O755" s="19" t="s">
        <v>20</v>
      </c>
      <c r="P755" s="19" t="s">
        <v>21</v>
      </c>
      <c r="Q755" s="25"/>
      <c r="T755" s="25"/>
    </row>
    <row r="756" spans="2:20" x14ac:dyDescent="0.25">
      <c r="B756" s="40"/>
      <c r="D756" s="22">
        <v>40</v>
      </c>
      <c r="E756" s="22">
        <v>50</v>
      </c>
      <c r="F756" s="27" t="s">
        <v>1518</v>
      </c>
      <c r="G756" s="27"/>
      <c r="H756" s="27"/>
      <c r="I756" s="27"/>
      <c r="J756" s="27"/>
      <c r="K756" s="27"/>
      <c r="L756" s="27"/>
      <c r="M756" s="27"/>
      <c r="N756" s="27"/>
      <c r="O756" s="24">
        <v>81.57999999995809</v>
      </c>
      <c r="P756" s="24">
        <v>2.9368799999984914</v>
      </c>
      <c r="Q756" s="25"/>
      <c r="T756" s="25"/>
    </row>
    <row r="757" spans="2:20" x14ac:dyDescent="0.25">
      <c r="B757" s="40"/>
      <c r="D757" s="22"/>
      <c r="E757" s="22"/>
      <c r="F757" s="27"/>
      <c r="G757" s="27"/>
      <c r="H757" s="27"/>
      <c r="I757" s="27"/>
      <c r="J757" s="27"/>
      <c r="K757" s="27"/>
      <c r="L757" s="27"/>
      <c r="M757" s="27"/>
      <c r="N757" s="27"/>
      <c r="O757" s="24"/>
      <c r="P757" s="24"/>
      <c r="Q757" s="25"/>
      <c r="T757" s="25"/>
    </row>
    <row r="758" spans="2:20" ht="19.05" x14ac:dyDescent="0.35">
      <c r="B758" s="40"/>
      <c r="D758" s="13" t="s">
        <v>1519</v>
      </c>
      <c r="E758" s="13"/>
      <c r="G758" s="13"/>
      <c r="H758" s="13"/>
      <c r="I758" s="13"/>
      <c r="J758" s="13"/>
      <c r="K758" s="13"/>
      <c r="L758" s="13"/>
      <c r="O758" s="3"/>
      <c r="P758" s="18" t="s">
        <v>1231</v>
      </c>
      <c r="Q758" s="25"/>
      <c r="T758" s="25"/>
    </row>
    <row r="759" spans="2:20" x14ac:dyDescent="0.25">
      <c r="B759" s="40"/>
      <c r="D759" s="19" t="s">
        <v>14</v>
      </c>
      <c r="E759" s="19" t="s">
        <v>15</v>
      </c>
      <c r="F759" s="19" t="s">
        <v>180</v>
      </c>
      <c r="G759" s="19"/>
      <c r="H759" s="19"/>
      <c r="I759" s="19"/>
      <c r="J759" s="19"/>
      <c r="K759" s="19"/>
      <c r="L759" s="19"/>
      <c r="M759" s="19"/>
      <c r="N759" s="19"/>
      <c r="O759" s="19" t="s">
        <v>20</v>
      </c>
      <c r="P759" s="19" t="s">
        <v>21</v>
      </c>
      <c r="Q759" s="25"/>
      <c r="T759" s="25"/>
    </row>
    <row r="760" spans="2:20" x14ac:dyDescent="0.25">
      <c r="B760" s="40"/>
      <c r="D760" s="22">
        <v>25</v>
      </c>
      <c r="E760" s="22">
        <v>1</v>
      </c>
      <c r="F760" s="23" t="s">
        <v>1520</v>
      </c>
      <c r="G760" s="23"/>
      <c r="H760" s="23"/>
      <c r="I760" s="23"/>
      <c r="J760" s="23"/>
      <c r="K760" s="23"/>
      <c r="L760" s="23"/>
      <c r="M760" s="23"/>
      <c r="N760" s="23"/>
      <c r="O760" s="24">
        <v>9.2599999999947613</v>
      </c>
      <c r="P760" s="24">
        <v>16.66799999999057</v>
      </c>
      <c r="Q760" s="25"/>
      <c r="T760" s="25"/>
    </row>
    <row r="761" spans="2:20" x14ac:dyDescent="0.25">
      <c r="B761" s="40"/>
      <c r="D761" s="22">
        <v>32</v>
      </c>
      <c r="E761" s="22">
        <v>1</v>
      </c>
      <c r="F761" s="23" t="s">
        <v>1521</v>
      </c>
      <c r="G761" s="23"/>
      <c r="H761" s="23"/>
      <c r="I761" s="23"/>
      <c r="J761" s="23"/>
      <c r="K761" s="23"/>
      <c r="L761" s="23"/>
      <c r="M761" s="23"/>
      <c r="N761" s="23"/>
      <c r="O761" s="24">
        <v>9.6799999999930151</v>
      </c>
      <c r="P761" s="24">
        <v>17.423999999987426</v>
      </c>
      <c r="Q761" s="25"/>
      <c r="T761" s="25"/>
    </row>
    <row r="762" spans="2:20" x14ac:dyDescent="0.25">
      <c r="B762" s="40"/>
      <c r="D762" s="22">
        <v>42</v>
      </c>
      <c r="E762" s="22">
        <v>1</v>
      </c>
      <c r="F762" s="27" t="s">
        <v>1522</v>
      </c>
      <c r="G762" s="27"/>
      <c r="H762" s="27"/>
      <c r="I762" s="27"/>
      <c r="J762" s="27"/>
      <c r="K762" s="27"/>
      <c r="L762" s="27"/>
      <c r="M762" s="27"/>
      <c r="N762" s="27"/>
      <c r="O762" s="24">
        <v>10.770000000004075</v>
      </c>
      <c r="P762" s="24">
        <v>19.386000000007336</v>
      </c>
      <c r="Q762" s="25"/>
      <c r="T762" s="25"/>
    </row>
    <row r="763" spans="2:20" x14ac:dyDescent="0.25">
      <c r="B763" s="40"/>
      <c r="D763" s="22"/>
      <c r="E763" s="22"/>
      <c r="F763" s="27"/>
      <c r="G763" s="27"/>
      <c r="H763" s="27"/>
      <c r="I763" s="27"/>
      <c r="J763" s="27"/>
      <c r="K763" s="27"/>
      <c r="L763" s="27"/>
      <c r="M763" s="27"/>
      <c r="N763" s="27"/>
      <c r="O763" s="24"/>
      <c r="P763" s="24"/>
      <c r="Q763" s="25"/>
      <c r="T763" s="25"/>
    </row>
    <row r="764" spans="2:20" ht="19.05" x14ac:dyDescent="0.35">
      <c r="B764" s="40"/>
      <c r="D764" s="13" t="s">
        <v>1523</v>
      </c>
      <c r="E764" s="14"/>
      <c r="F764" s="41" t="s">
        <v>1524</v>
      </c>
      <c r="H764" s="13"/>
      <c r="I764" s="13"/>
      <c r="J764" s="13"/>
      <c r="K764" s="13"/>
      <c r="L764" s="13"/>
      <c r="O764" s="3"/>
      <c r="P764" s="18" t="s">
        <v>1432</v>
      </c>
      <c r="Q764" s="25"/>
      <c r="T764" s="25"/>
    </row>
    <row r="765" spans="2:20" x14ac:dyDescent="0.25">
      <c r="B765" s="40"/>
      <c r="D765" s="19" t="s">
        <v>14</v>
      </c>
      <c r="E765" s="19" t="s">
        <v>1525</v>
      </c>
      <c r="F765" s="19" t="s">
        <v>1014</v>
      </c>
      <c r="G765" s="19"/>
      <c r="H765" s="19" t="s">
        <v>1526</v>
      </c>
      <c r="I765" s="19"/>
      <c r="J765" s="19" t="s">
        <v>1527</v>
      </c>
      <c r="K765" s="19"/>
      <c r="L765" s="19"/>
      <c r="M765" s="19"/>
      <c r="N765" s="19"/>
      <c r="O765" s="19" t="s">
        <v>1528</v>
      </c>
      <c r="P765" s="19" t="s">
        <v>1529</v>
      </c>
      <c r="Q765" s="25"/>
      <c r="T765" s="25"/>
    </row>
    <row r="766" spans="2:20" x14ac:dyDescent="0.25">
      <c r="B766" s="40"/>
      <c r="D766" s="22">
        <v>4</v>
      </c>
      <c r="E766" s="15">
        <v>2</v>
      </c>
      <c r="F766" s="23" t="s">
        <v>1530</v>
      </c>
      <c r="G766" s="23"/>
      <c r="H766" s="23">
        <v>2364</v>
      </c>
      <c r="I766" s="23"/>
      <c r="J766" s="23">
        <v>200</v>
      </c>
      <c r="K766" s="23"/>
      <c r="L766" s="23"/>
      <c r="M766" s="23"/>
      <c r="N766" s="23"/>
      <c r="O766" s="24">
        <v>12.490000000005239</v>
      </c>
      <c r="P766" s="24">
        <v>11.241000000004716</v>
      </c>
      <c r="Q766" s="25"/>
      <c r="T766" s="25"/>
    </row>
    <row r="767" spans="2:20" x14ac:dyDescent="0.25">
      <c r="B767" s="40"/>
      <c r="C767" s="3">
        <v>5</v>
      </c>
      <c r="D767" s="22">
        <v>5</v>
      </c>
      <c r="E767" s="15">
        <v>2</v>
      </c>
      <c r="F767" s="23" t="s">
        <v>1531</v>
      </c>
      <c r="G767" s="23"/>
      <c r="H767" s="23">
        <v>2709</v>
      </c>
      <c r="I767" s="23"/>
      <c r="J767" s="23">
        <v>250</v>
      </c>
      <c r="K767" s="23"/>
      <c r="L767" s="23"/>
      <c r="M767" s="23"/>
      <c r="N767" s="23"/>
      <c r="O767" s="24">
        <v>14.339999999996508</v>
      </c>
      <c r="P767" s="24">
        <v>12.905999999996856</v>
      </c>
      <c r="Q767" s="25"/>
      <c r="T767" s="25"/>
    </row>
    <row r="768" spans="2:20" x14ac:dyDescent="0.25">
      <c r="B768" s="40"/>
      <c r="D768" s="22">
        <v>6</v>
      </c>
      <c r="E768" s="15">
        <v>2</v>
      </c>
      <c r="F768" s="23" t="s">
        <v>1532</v>
      </c>
      <c r="G768" s="23"/>
      <c r="H768" s="23">
        <v>4010</v>
      </c>
      <c r="I768" s="23"/>
      <c r="J768" s="23">
        <v>300</v>
      </c>
      <c r="K768" s="23"/>
      <c r="L768" s="23"/>
      <c r="M768" s="23"/>
      <c r="N768" s="23"/>
      <c r="O768" s="24">
        <v>17.279999999998836</v>
      </c>
      <c r="P768" s="24">
        <v>15.551999999998953</v>
      </c>
      <c r="Q768" s="25"/>
      <c r="T768" s="25"/>
    </row>
    <row r="769" spans="2:20" x14ac:dyDescent="0.25">
      <c r="B769" s="40"/>
      <c r="D769" s="22">
        <v>7</v>
      </c>
      <c r="E769" s="15">
        <v>2</v>
      </c>
      <c r="F769" s="23" t="s">
        <v>1533</v>
      </c>
      <c r="G769" s="23"/>
      <c r="H769" s="23">
        <v>6146</v>
      </c>
      <c r="I769" s="23"/>
      <c r="J769" s="23">
        <v>350</v>
      </c>
      <c r="K769" s="23"/>
      <c r="L769" s="23"/>
      <c r="M769" s="23"/>
      <c r="N769" s="23"/>
      <c r="O769" s="24">
        <v>20.279999999998836</v>
      </c>
      <c r="P769" s="24">
        <v>18.251999999998954</v>
      </c>
      <c r="Q769" s="25"/>
      <c r="T769" s="25"/>
    </row>
    <row r="770" spans="2:20" x14ac:dyDescent="0.25">
      <c r="B770" s="40"/>
      <c r="D770" s="22">
        <v>9</v>
      </c>
      <c r="E770" s="15">
        <v>2</v>
      </c>
      <c r="F770" s="23" t="s">
        <v>1534</v>
      </c>
      <c r="G770" s="23"/>
      <c r="H770" s="23">
        <v>7981</v>
      </c>
      <c r="I770" s="23"/>
      <c r="J770" s="23">
        <v>450</v>
      </c>
      <c r="K770" s="23"/>
      <c r="L770" s="23"/>
      <c r="M770" s="23"/>
      <c r="N770" s="23"/>
      <c r="O770" s="24">
        <v>26.790000000008149</v>
      </c>
      <c r="P770" s="24">
        <v>24.111000000007333</v>
      </c>
      <c r="Q770" s="25"/>
      <c r="T770" s="25"/>
    </row>
    <row r="771" spans="2:20" x14ac:dyDescent="0.25">
      <c r="B771" s="40"/>
      <c r="D771" s="22">
        <v>11</v>
      </c>
      <c r="E771" s="15">
        <v>2</v>
      </c>
      <c r="F771" s="27" t="s">
        <v>1535</v>
      </c>
      <c r="G771" s="27"/>
      <c r="H771" s="27">
        <v>13331</v>
      </c>
      <c r="I771" s="27"/>
      <c r="J771" s="27">
        <v>550</v>
      </c>
      <c r="K771" s="27"/>
      <c r="L771" s="27"/>
      <c r="M771" s="27"/>
      <c r="N771" s="27"/>
      <c r="O771" s="24">
        <v>40.090000000025611</v>
      </c>
      <c r="P771" s="24">
        <v>36.081000000023053</v>
      </c>
      <c r="Q771" s="25"/>
      <c r="T771" s="25"/>
    </row>
    <row r="772" spans="2:20" x14ac:dyDescent="0.25">
      <c r="B772" s="40"/>
      <c r="D772" s="22"/>
      <c r="E772" s="22"/>
      <c r="F772" s="27"/>
      <c r="G772" s="27"/>
      <c r="H772" s="27"/>
      <c r="I772" s="27"/>
      <c r="J772" s="27"/>
      <c r="K772" s="27"/>
      <c r="L772" s="27"/>
      <c r="M772" s="27"/>
      <c r="N772" s="27"/>
      <c r="O772" s="24"/>
      <c r="P772" s="24"/>
      <c r="Q772" s="25"/>
      <c r="T772" s="25"/>
    </row>
    <row r="773" spans="2:20" ht="19.05" x14ac:dyDescent="0.35">
      <c r="B773" s="40"/>
      <c r="D773" s="13" t="s">
        <v>1536</v>
      </c>
      <c r="E773" s="14"/>
      <c r="F773" s="13"/>
      <c r="G773" s="13"/>
      <c r="H773" s="13"/>
      <c r="I773" s="13"/>
      <c r="J773" s="13"/>
      <c r="K773" s="13"/>
      <c r="L773" s="13"/>
      <c r="O773" s="3"/>
      <c r="P773" s="18" t="s">
        <v>1537</v>
      </c>
      <c r="Q773" s="25"/>
      <c r="T773" s="25"/>
    </row>
    <row r="774" spans="2:20" x14ac:dyDescent="0.25">
      <c r="B774" s="40"/>
      <c r="D774" s="41" t="s">
        <v>1538</v>
      </c>
      <c r="E774" s="19"/>
      <c r="F774" s="19" t="s">
        <v>16</v>
      </c>
      <c r="G774" s="19" t="s">
        <v>17</v>
      </c>
      <c r="H774" s="19" t="s">
        <v>35</v>
      </c>
      <c r="I774" s="19" t="s">
        <v>179</v>
      </c>
      <c r="J774" s="19" t="s">
        <v>19</v>
      </c>
      <c r="K774" s="19" t="s">
        <v>180</v>
      </c>
      <c r="L774" s="19"/>
      <c r="M774" s="19"/>
      <c r="N774" s="19"/>
      <c r="O774" s="19" t="s">
        <v>20</v>
      </c>
      <c r="P774" s="19" t="s">
        <v>1529</v>
      </c>
      <c r="Q774" s="25"/>
      <c r="T774" s="25"/>
    </row>
    <row r="775" spans="2:20" x14ac:dyDescent="0.25">
      <c r="B775" s="40"/>
      <c r="D775" s="22" t="s">
        <v>1539</v>
      </c>
      <c r="E775" s="22"/>
      <c r="F775" s="27" t="s">
        <v>1540</v>
      </c>
      <c r="G775" s="27" t="s">
        <v>1541</v>
      </c>
      <c r="H775" s="27" t="s">
        <v>1542</v>
      </c>
      <c r="I775" s="27" t="s">
        <v>1543</v>
      </c>
      <c r="J775" s="27" t="s">
        <v>1544</v>
      </c>
      <c r="K775" s="27" t="s">
        <v>1545</v>
      </c>
      <c r="L775" s="27"/>
      <c r="M775" s="27"/>
      <c r="N775" s="27"/>
      <c r="O775" s="24">
        <v>28.130000000004657</v>
      </c>
      <c r="P775" s="24">
        <v>50.634000000008385</v>
      </c>
      <c r="Q775" s="25"/>
      <c r="T775" s="25"/>
    </row>
    <row r="776" spans="2:20" x14ac:dyDescent="0.25">
      <c r="B776" s="40"/>
      <c r="D776" s="22"/>
      <c r="E776" s="22"/>
      <c r="F776" s="27"/>
      <c r="G776" s="27"/>
      <c r="H776" s="27"/>
      <c r="I776" s="27"/>
      <c r="J776" s="27"/>
      <c r="K776" s="27"/>
      <c r="L776" s="27"/>
      <c r="M776" s="27"/>
      <c r="N776" s="27"/>
      <c r="O776" s="24"/>
      <c r="P776" s="24"/>
      <c r="Q776" s="25"/>
      <c r="T776" s="25"/>
    </row>
    <row r="777" spans="2:20" ht="19.05" x14ac:dyDescent="0.35">
      <c r="B777" s="40"/>
      <c r="D777" s="13" t="s">
        <v>1546</v>
      </c>
      <c r="E777" s="14"/>
      <c r="F777" s="41"/>
      <c r="H777" s="13"/>
      <c r="I777" s="13"/>
      <c r="J777" s="13"/>
      <c r="K777" s="13"/>
      <c r="L777" s="13"/>
      <c r="O777" s="3"/>
      <c r="P777" s="18" t="s">
        <v>1403</v>
      </c>
      <c r="Q777" s="25"/>
      <c r="T777" s="25"/>
    </row>
    <row r="778" spans="2:20" x14ac:dyDescent="0.25">
      <c r="B778" s="40"/>
      <c r="D778" s="41" t="s">
        <v>1547</v>
      </c>
      <c r="E778" s="22"/>
      <c r="F778" s="42"/>
      <c r="G778" s="42" t="s">
        <v>1548</v>
      </c>
      <c r="H778" s="27"/>
      <c r="I778" s="27"/>
      <c r="J778" s="27"/>
      <c r="K778" s="27"/>
      <c r="L778" s="27"/>
      <c r="M778" s="27"/>
      <c r="N778" s="27"/>
      <c r="O778" s="19" t="s">
        <v>20</v>
      </c>
      <c r="P778" s="19" t="s">
        <v>1529</v>
      </c>
      <c r="Q778" s="25"/>
      <c r="T778" s="25"/>
    </row>
    <row r="779" spans="2:20" x14ac:dyDescent="0.25">
      <c r="B779" s="40"/>
      <c r="D779" s="43" t="s">
        <v>1549</v>
      </c>
      <c r="E779" s="22"/>
      <c r="F779" s="27"/>
      <c r="G779" s="44" t="s">
        <v>1550</v>
      </c>
      <c r="H779" s="23"/>
      <c r="I779" s="23"/>
      <c r="J779" s="23"/>
      <c r="K779" s="23"/>
      <c r="L779" s="23"/>
      <c r="M779" s="23"/>
      <c r="N779" s="23"/>
      <c r="O779" s="24">
        <v>33.229999999981374</v>
      </c>
      <c r="P779" s="24">
        <v>59.813999999966477</v>
      </c>
      <c r="Q779" s="25"/>
      <c r="T779" s="25"/>
    </row>
    <row r="780" spans="2:20" x14ac:dyDescent="0.25">
      <c r="B780" s="40"/>
      <c r="D780" s="43" t="s">
        <v>1551</v>
      </c>
      <c r="E780" s="22"/>
      <c r="F780" s="27"/>
      <c r="G780" s="44" t="s">
        <v>1552</v>
      </c>
      <c r="H780" s="23"/>
      <c r="I780" s="23"/>
      <c r="J780" s="23"/>
      <c r="K780" s="23"/>
      <c r="L780" s="23"/>
      <c r="M780" s="23"/>
      <c r="N780" s="23"/>
      <c r="O780" s="24">
        <v>53.159999999974389</v>
      </c>
      <c r="P780" s="24">
        <v>95.687999999953902</v>
      </c>
      <c r="Q780" s="25"/>
      <c r="T780" s="25"/>
    </row>
    <row r="781" spans="2:20" x14ac:dyDescent="0.25">
      <c r="B781" s="40"/>
      <c r="D781" s="43" t="s">
        <v>1553</v>
      </c>
      <c r="E781" s="22"/>
      <c r="F781" s="27"/>
      <c r="G781" s="44" t="s">
        <v>1554</v>
      </c>
      <c r="H781" s="23"/>
      <c r="I781" s="23"/>
      <c r="J781" s="23"/>
      <c r="K781" s="23"/>
      <c r="L781" s="23"/>
      <c r="M781" s="23"/>
      <c r="N781" s="23"/>
      <c r="O781" s="24">
        <v>58.900000000023283</v>
      </c>
      <c r="P781" s="24">
        <v>106.02000000004192</v>
      </c>
      <c r="Q781" s="25"/>
      <c r="T781" s="25"/>
    </row>
    <row r="782" spans="2:20" x14ac:dyDescent="0.25">
      <c r="B782" s="40"/>
      <c r="D782" s="43" t="s">
        <v>1555</v>
      </c>
      <c r="E782" s="22"/>
      <c r="F782" s="27"/>
      <c r="G782" s="44" t="s">
        <v>1556</v>
      </c>
      <c r="H782" s="23"/>
      <c r="I782" s="23"/>
      <c r="J782" s="23"/>
      <c r="K782" s="23"/>
      <c r="L782" s="23"/>
      <c r="M782" s="23"/>
      <c r="N782" s="23"/>
      <c r="O782" s="24">
        <v>22.119999999995343</v>
      </c>
      <c r="P782" s="24">
        <v>39.815999999991618</v>
      </c>
      <c r="Q782" s="25"/>
      <c r="T782" s="25"/>
    </row>
    <row r="783" spans="2:20" x14ac:dyDescent="0.25">
      <c r="B783" s="40"/>
      <c r="D783" s="43" t="s">
        <v>1557</v>
      </c>
      <c r="E783" s="22"/>
      <c r="F783" s="27"/>
      <c r="G783" s="44" t="s">
        <v>1558</v>
      </c>
      <c r="H783" s="23"/>
      <c r="I783" s="23"/>
      <c r="J783" s="23"/>
      <c r="K783" s="23"/>
      <c r="L783" s="23"/>
      <c r="M783" s="23"/>
      <c r="N783" s="23"/>
      <c r="O783" s="24">
        <v>10.710000000006403</v>
      </c>
      <c r="P783" s="24">
        <v>19.278000000011527</v>
      </c>
      <c r="Q783" s="25"/>
      <c r="T783" s="25"/>
    </row>
    <row r="784" spans="2:20" x14ac:dyDescent="0.25">
      <c r="B784" s="40"/>
      <c r="D784" s="43" t="s">
        <v>1559</v>
      </c>
      <c r="E784" s="22"/>
      <c r="F784" s="27"/>
      <c r="G784" s="44" t="s">
        <v>1560</v>
      </c>
      <c r="H784" s="23"/>
      <c r="I784" s="23"/>
      <c r="J784" s="23"/>
      <c r="K784" s="23"/>
      <c r="L784" s="23"/>
      <c r="M784" s="23"/>
      <c r="N784" s="23"/>
      <c r="O784" s="24">
        <v>11.559999999997672</v>
      </c>
      <c r="P784" s="24">
        <v>20.807999999995811</v>
      </c>
      <c r="Q784" s="25"/>
      <c r="T784" s="25"/>
    </row>
    <row r="785" spans="2:20" x14ac:dyDescent="0.25">
      <c r="B785" s="40"/>
      <c r="D785" s="43" t="s">
        <v>1561</v>
      </c>
      <c r="E785" s="22"/>
      <c r="F785" s="27"/>
      <c r="G785" s="44" t="s">
        <v>1562</v>
      </c>
      <c r="H785" s="23"/>
      <c r="I785" s="23"/>
      <c r="J785" s="23"/>
      <c r="K785" s="23"/>
      <c r="L785" s="23"/>
      <c r="M785" s="23"/>
      <c r="N785" s="23"/>
      <c r="O785" s="24">
        <v>88.979999999981374</v>
      </c>
      <c r="P785" s="24">
        <v>160.16399999996648</v>
      </c>
      <c r="Q785" s="25"/>
      <c r="T785" s="25"/>
    </row>
    <row r="786" spans="2:20" x14ac:dyDescent="0.25">
      <c r="B786" s="40"/>
      <c r="D786" s="43" t="s">
        <v>1563</v>
      </c>
      <c r="E786" s="22"/>
      <c r="F786" s="27"/>
      <c r="G786" s="44" t="s">
        <v>1564</v>
      </c>
      <c r="H786" s="23"/>
      <c r="I786" s="23"/>
      <c r="J786" s="23"/>
      <c r="K786" s="23"/>
      <c r="L786" s="23"/>
      <c r="M786" s="23"/>
      <c r="N786" s="23"/>
      <c r="O786" s="24">
        <v>13.520000000004075</v>
      </c>
      <c r="P786" s="24">
        <v>24.336000000007335</v>
      </c>
      <c r="Q786" s="25"/>
      <c r="T786" s="25"/>
    </row>
    <row r="787" spans="2:20" x14ac:dyDescent="0.25">
      <c r="B787" s="40"/>
      <c r="D787" s="43" t="s">
        <v>1565</v>
      </c>
      <c r="E787" s="22"/>
      <c r="F787" s="27"/>
      <c r="G787" s="44" t="s">
        <v>1566</v>
      </c>
      <c r="H787" s="23"/>
      <c r="I787" s="23"/>
      <c r="J787" s="23"/>
      <c r="K787" s="23"/>
      <c r="L787" s="23"/>
      <c r="M787" s="23"/>
      <c r="N787" s="23"/>
      <c r="O787" s="24">
        <v>131.58000000007451</v>
      </c>
      <c r="P787" s="24">
        <v>236.84400000013412</v>
      </c>
      <c r="Q787" s="25"/>
      <c r="T787" s="25"/>
    </row>
    <row r="788" spans="2:20" x14ac:dyDescent="0.25">
      <c r="B788" s="40"/>
      <c r="D788" s="43" t="s">
        <v>1567</v>
      </c>
      <c r="E788" s="22"/>
      <c r="F788" s="27"/>
      <c r="G788" s="44" t="s">
        <v>1568</v>
      </c>
      <c r="H788" s="23"/>
      <c r="I788" s="23"/>
      <c r="J788" s="23"/>
      <c r="K788" s="23"/>
      <c r="L788" s="23"/>
      <c r="M788" s="23"/>
      <c r="N788" s="23"/>
      <c r="O788" s="24">
        <v>131.58000000007451</v>
      </c>
      <c r="P788" s="24">
        <v>236.84400000013412</v>
      </c>
      <c r="Q788" s="25"/>
      <c r="T788" s="25"/>
    </row>
    <row r="789" spans="2:20" x14ac:dyDescent="0.25">
      <c r="B789" s="40"/>
      <c r="D789" s="43" t="s">
        <v>1569</v>
      </c>
      <c r="E789" s="22"/>
      <c r="F789" s="27"/>
      <c r="G789" s="44" t="s">
        <v>1570</v>
      </c>
      <c r="H789" s="23"/>
      <c r="I789" s="23"/>
      <c r="J789" s="23"/>
      <c r="K789" s="23"/>
      <c r="L789" s="23"/>
      <c r="M789" s="23"/>
      <c r="N789" s="23"/>
      <c r="O789" s="24">
        <v>131.58000000007451</v>
      </c>
      <c r="P789" s="24">
        <v>236.84400000013412</v>
      </c>
      <c r="Q789" s="25"/>
      <c r="T789" s="25"/>
    </row>
    <row r="790" spans="2:20" x14ac:dyDescent="0.25">
      <c r="B790" s="40"/>
      <c r="D790" s="43" t="s">
        <v>1571</v>
      </c>
      <c r="E790" s="22"/>
      <c r="F790" s="27"/>
      <c r="G790" s="44" t="s">
        <v>1572</v>
      </c>
      <c r="H790" s="23"/>
      <c r="I790" s="23"/>
      <c r="J790" s="23"/>
      <c r="K790" s="23"/>
      <c r="L790" s="23"/>
      <c r="M790" s="23"/>
      <c r="N790" s="23"/>
      <c r="O790" s="24">
        <v>166.87999999988824</v>
      </c>
      <c r="P790" s="24">
        <v>3.0038399999979886</v>
      </c>
      <c r="Q790" s="25"/>
      <c r="T790" s="25"/>
    </row>
    <row r="791" spans="2:20" x14ac:dyDescent="0.25">
      <c r="B791" s="40"/>
      <c r="D791" s="43" t="s">
        <v>1573</v>
      </c>
      <c r="E791" s="22"/>
      <c r="F791" s="27"/>
      <c r="G791" s="44" t="s">
        <v>1574</v>
      </c>
      <c r="H791" s="23"/>
      <c r="I791" s="23"/>
      <c r="J791" s="23"/>
      <c r="K791" s="23"/>
      <c r="L791" s="23"/>
      <c r="M791" s="23"/>
      <c r="N791" s="23"/>
      <c r="O791" s="24">
        <v>12.339999999996508</v>
      </c>
      <c r="P791" s="24">
        <v>18.509999999994761</v>
      </c>
      <c r="Q791" s="25"/>
      <c r="T791" s="25"/>
    </row>
    <row r="792" spans="2:20" x14ac:dyDescent="0.25">
      <c r="B792" s="40"/>
      <c r="D792" s="43" t="s">
        <v>1575</v>
      </c>
      <c r="E792" s="22"/>
      <c r="F792" s="27"/>
      <c r="G792" s="44" t="s">
        <v>1576</v>
      </c>
      <c r="H792" s="23"/>
      <c r="I792" s="23"/>
      <c r="J792" s="23"/>
      <c r="K792" s="23"/>
      <c r="L792" s="23"/>
      <c r="M792" s="23"/>
      <c r="N792" s="23"/>
      <c r="O792" s="24" t="e">
        <v>#N/A</v>
      </c>
      <c r="P792" s="24" t="e">
        <v>#N/A</v>
      </c>
      <c r="Q792" s="25"/>
      <c r="T792" s="25"/>
    </row>
    <row r="793" spans="2:20" x14ac:dyDescent="0.25">
      <c r="B793" s="40"/>
      <c r="D793" s="43" t="s">
        <v>1577</v>
      </c>
      <c r="E793" s="22"/>
      <c r="F793" s="27"/>
      <c r="G793" s="27" t="s">
        <v>117</v>
      </c>
      <c r="H793" s="27"/>
      <c r="I793" s="27"/>
      <c r="J793" s="27"/>
      <c r="K793" s="27"/>
      <c r="L793" s="27"/>
      <c r="M793" s="27"/>
      <c r="N793" s="27"/>
      <c r="O793" s="24">
        <v>0</v>
      </c>
      <c r="P793" s="24">
        <v>0</v>
      </c>
      <c r="Q793" s="25"/>
      <c r="T793" s="25"/>
    </row>
    <row r="794" spans="2:20" x14ac:dyDescent="0.25">
      <c r="B794" s="40"/>
      <c r="D794" s="22"/>
      <c r="E794" s="22"/>
      <c r="F794" s="27"/>
      <c r="G794" s="27"/>
      <c r="H794" s="27"/>
      <c r="I794" s="27"/>
      <c r="J794" s="27"/>
      <c r="K794" s="27"/>
      <c r="L794" s="27"/>
      <c r="M794" s="27"/>
      <c r="N794" s="27"/>
      <c r="O794" s="24"/>
      <c r="P794" s="24"/>
      <c r="Q794" s="25"/>
      <c r="T794" s="25"/>
    </row>
    <row r="795" spans="2:20" ht="19.05" x14ac:dyDescent="0.35">
      <c r="B795" s="40"/>
      <c r="D795" s="13" t="s">
        <v>1578</v>
      </c>
      <c r="E795" s="14"/>
      <c r="F795" s="41"/>
      <c r="H795" s="41"/>
      <c r="I795" s="13"/>
      <c r="J795" s="13"/>
      <c r="K795" s="13"/>
      <c r="L795" s="13"/>
      <c r="O795" s="3"/>
      <c r="P795" s="18" t="s">
        <v>1579</v>
      </c>
      <c r="Q795" s="25"/>
      <c r="T795" s="25"/>
    </row>
    <row r="796" spans="2:20" x14ac:dyDescent="0.25">
      <c r="B796" s="40"/>
      <c r="D796" s="41" t="s">
        <v>1547</v>
      </c>
      <c r="E796" s="22"/>
      <c r="F796" s="42"/>
      <c r="G796" s="42" t="s">
        <v>1548</v>
      </c>
      <c r="H796" s="27"/>
      <c r="I796" s="27"/>
      <c r="J796" s="27"/>
      <c r="K796" s="27"/>
      <c r="L796" s="27"/>
      <c r="M796" s="27"/>
      <c r="N796" s="27"/>
      <c r="O796" s="19" t="s">
        <v>20</v>
      </c>
      <c r="P796" s="19" t="s">
        <v>1529</v>
      </c>
      <c r="Q796" s="25"/>
      <c r="T796" s="25"/>
    </row>
    <row r="797" spans="2:20" x14ac:dyDescent="0.25">
      <c r="B797" s="40"/>
      <c r="D797" s="43" t="s">
        <v>1580</v>
      </c>
      <c r="E797" s="22"/>
      <c r="F797" s="27"/>
      <c r="G797" s="44" t="s">
        <v>1581</v>
      </c>
      <c r="H797" s="23"/>
      <c r="I797" s="23"/>
      <c r="J797" s="23"/>
      <c r="K797" s="23"/>
      <c r="L797" s="23"/>
      <c r="M797" s="23"/>
      <c r="N797" s="23"/>
      <c r="O797" s="24">
        <v>5.9400000000023283</v>
      </c>
      <c r="P797" s="24">
        <v>10.692000000004191</v>
      </c>
      <c r="Q797" s="25"/>
      <c r="T797" s="25"/>
    </row>
    <row r="798" spans="2:20" x14ac:dyDescent="0.25">
      <c r="B798" s="40"/>
      <c r="D798" s="43" t="s">
        <v>1582</v>
      </c>
      <c r="E798" s="22"/>
      <c r="F798" s="27"/>
      <c r="G798" s="44" t="s">
        <v>1583</v>
      </c>
      <c r="H798" s="23"/>
      <c r="I798" s="23"/>
      <c r="J798" s="23"/>
      <c r="K798" s="23"/>
      <c r="L798" s="23"/>
      <c r="M798" s="23"/>
      <c r="N798" s="23"/>
      <c r="O798" s="24">
        <v>10.899999999994179</v>
      </c>
      <c r="P798" s="24">
        <v>19.619999999989524</v>
      </c>
      <c r="Q798" s="25"/>
      <c r="T798" s="25"/>
    </row>
    <row r="799" spans="2:20" x14ac:dyDescent="0.25">
      <c r="B799" s="40"/>
      <c r="D799" s="43" t="s">
        <v>1584</v>
      </c>
      <c r="E799" s="22"/>
      <c r="F799" s="27"/>
      <c r="G799" s="44" t="s">
        <v>1585</v>
      </c>
      <c r="H799" s="23"/>
      <c r="I799" s="23"/>
      <c r="J799" s="23"/>
      <c r="K799" s="23"/>
      <c r="L799" s="23"/>
      <c r="M799" s="23"/>
      <c r="N799" s="23"/>
      <c r="O799" s="24">
        <v>7.3300000000017462</v>
      </c>
      <c r="P799" s="24">
        <v>13.194000000003143</v>
      </c>
      <c r="Q799" s="25"/>
      <c r="T799" s="25"/>
    </row>
    <row r="800" spans="2:20" x14ac:dyDescent="0.25">
      <c r="B800" s="40"/>
      <c r="D800" s="43" t="s">
        <v>1586</v>
      </c>
      <c r="E800" s="22"/>
      <c r="F800" s="27"/>
      <c r="G800" s="44" t="s">
        <v>1587</v>
      </c>
      <c r="H800" s="23"/>
      <c r="I800" s="23"/>
      <c r="J800" s="23"/>
      <c r="K800" s="23"/>
      <c r="L800" s="23"/>
      <c r="M800" s="23"/>
      <c r="N800" s="23"/>
      <c r="O800" s="24">
        <v>8.1799999999930151</v>
      </c>
      <c r="P800" s="24">
        <v>14.723999999987427</v>
      </c>
      <c r="Q800" s="25"/>
      <c r="T800" s="25"/>
    </row>
    <row r="801" spans="2:20" x14ac:dyDescent="0.25">
      <c r="B801" s="40"/>
      <c r="D801" s="43" t="s">
        <v>1588</v>
      </c>
      <c r="E801" s="22"/>
      <c r="F801" s="27"/>
      <c r="G801" s="44" t="s">
        <v>1589</v>
      </c>
      <c r="H801" s="23"/>
      <c r="I801" s="23"/>
      <c r="J801" s="23"/>
      <c r="K801" s="23"/>
      <c r="L801" s="23"/>
      <c r="M801" s="23"/>
      <c r="N801" s="23"/>
      <c r="O801" s="24">
        <v>10.160000000003492</v>
      </c>
      <c r="P801" s="24">
        <v>18.288000000006289</v>
      </c>
      <c r="Q801" s="25"/>
      <c r="T801" s="25"/>
    </row>
    <row r="802" spans="2:20" x14ac:dyDescent="0.25">
      <c r="B802" s="40"/>
      <c r="D802" s="43" t="s">
        <v>1590</v>
      </c>
      <c r="E802" s="22"/>
      <c r="F802" s="27"/>
      <c r="G802" s="44" t="s">
        <v>1591</v>
      </c>
      <c r="H802" s="23"/>
      <c r="I802" s="23"/>
      <c r="J802" s="23"/>
      <c r="K802" s="23"/>
      <c r="L802" s="23"/>
      <c r="M802" s="23"/>
      <c r="N802" s="23"/>
      <c r="O802" s="24">
        <v>11.539999999993597</v>
      </c>
      <c r="P802" s="24">
        <v>20.771999999988477</v>
      </c>
      <c r="Q802" s="25"/>
      <c r="T802" s="25"/>
    </row>
    <row r="803" spans="2:20" x14ac:dyDescent="0.25">
      <c r="B803" s="40"/>
      <c r="D803" s="43" t="s">
        <v>1592</v>
      </c>
      <c r="E803" s="22"/>
      <c r="F803" s="27"/>
      <c r="G803" s="44" t="s">
        <v>1593</v>
      </c>
      <c r="H803" s="23"/>
      <c r="I803" s="23"/>
      <c r="J803" s="23"/>
      <c r="K803" s="23"/>
      <c r="L803" s="23"/>
      <c r="M803" s="23"/>
      <c r="N803" s="23"/>
      <c r="O803" s="24">
        <v>5.4499999999970896</v>
      </c>
      <c r="P803" s="24">
        <v>9.809999999994762</v>
      </c>
      <c r="Q803" s="25"/>
      <c r="T803" s="25"/>
    </row>
    <row r="804" spans="2:20" x14ac:dyDescent="0.25">
      <c r="B804" s="40"/>
      <c r="D804" s="43" t="s">
        <v>1594</v>
      </c>
      <c r="E804" s="22"/>
      <c r="F804" s="27"/>
      <c r="G804" s="44" t="s">
        <v>1595</v>
      </c>
      <c r="H804" s="23"/>
      <c r="I804" s="23"/>
      <c r="J804" s="23"/>
      <c r="K804" s="23"/>
      <c r="L804" s="23"/>
      <c r="M804" s="23"/>
      <c r="N804" s="23"/>
      <c r="O804" s="24">
        <v>6.9100000000034925</v>
      </c>
      <c r="P804" s="24">
        <v>12.438000000006287</v>
      </c>
      <c r="Q804" s="25"/>
      <c r="T804" s="25"/>
    </row>
    <row r="805" spans="2:20" x14ac:dyDescent="0.25">
      <c r="B805" s="40"/>
      <c r="D805" s="43" t="s">
        <v>1596</v>
      </c>
      <c r="E805" s="22"/>
      <c r="F805" s="27"/>
      <c r="G805" s="44" t="s">
        <v>1597</v>
      </c>
      <c r="H805" s="23"/>
      <c r="I805" s="23"/>
      <c r="J805" s="23"/>
      <c r="K805" s="23"/>
      <c r="L805" s="23"/>
      <c r="M805" s="23"/>
      <c r="N805" s="23"/>
      <c r="O805" s="24">
        <v>9.3699999999953434</v>
      </c>
      <c r="P805" s="24">
        <v>16.865999999991619</v>
      </c>
      <c r="Q805" s="25"/>
      <c r="T805" s="25"/>
    </row>
    <row r="806" spans="2:20" x14ac:dyDescent="0.25">
      <c r="B806" s="40"/>
      <c r="D806" s="43" t="s">
        <v>1598</v>
      </c>
      <c r="E806" s="22"/>
      <c r="F806" s="27"/>
      <c r="G806" s="44" t="s">
        <v>1599</v>
      </c>
      <c r="H806" s="23"/>
      <c r="I806" s="23"/>
      <c r="J806" s="23"/>
      <c r="K806" s="23"/>
      <c r="L806" s="23"/>
      <c r="M806" s="23"/>
      <c r="N806" s="23"/>
      <c r="O806" s="24">
        <v>6.8000000000029104</v>
      </c>
      <c r="P806" s="24">
        <v>12.240000000005239</v>
      </c>
      <c r="Q806" s="25"/>
      <c r="T806" s="25"/>
    </row>
    <row r="807" spans="2:20" x14ac:dyDescent="0.25">
      <c r="B807" s="40"/>
      <c r="D807" s="43" t="s">
        <v>1600</v>
      </c>
      <c r="E807" s="22"/>
      <c r="F807" s="27"/>
      <c r="G807" s="44" t="s">
        <v>1601</v>
      </c>
      <c r="H807" s="23"/>
      <c r="I807" s="23"/>
      <c r="J807" s="23"/>
      <c r="K807" s="23"/>
      <c r="L807" s="23"/>
      <c r="M807" s="23"/>
      <c r="N807" s="23"/>
      <c r="O807" s="24">
        <v>10.669999999998254</v>
      </c>
      <c r="P807" s="24">
        <v>19.205999999996859</v>
      </c>
      <c r="Q807" s="25"/>
      <c r="T807" s="25"/>
    </row>
    <row r="808" spans="2:20" x14ac:dyDescent="0.25">
      <c r="B808" s="40"/>
      <c r="D808" s="43" t="s">
        <v>1602</v>
      </c>
      <c r="E808" s="22"/>
      <c r="F808" s="27"/>
      <c r="G808" s="44" t="s">
        <v>1603</v>
      </c>
      <c r="H808" s="23"/>
      <c r="I808" s="23"/>
      <c r="J808" s="23"/>
      <c r="K808" s="23"/>
      <c r="L808" s="23"/>
      <c r="M808" s="23"/>
      <c r="N808" s="23"/>
      <c r="O808" s="24">
        <v>2.3600000000005821</v>
      </c>
      <c r="P808" s="24">
        <v>4.2480000000010483</v>
      </c>
      <c r="Q808" s="25"/>
      <c r="T808" s="25"/>
    </row>
    <row r="809" spans="2:20" x14ac:dyDescent="0.25">
      <c r="B809" s="40"/>
      <c r="D809" s="43" t="s">
        <v>1604</v>
      </c>
      <c r="E809" s="22"/>
      <c r="F809" s="27"/>
      <c r="G809" s="44" t="s">
        <v>1605</v>
      </c>
      <c r="H809" s="23"/>
      <c r="I809" s="23"/>
      <c r="J809" s="23"/>
      <c r="K809" s="23"/>
      <c r="L809" s="23"/>
      <c r="M809" s="23"/>
      <c r="N809" s="23"/>
      <c r="O809" s="24">
        <v>70.849999999976717</v>
      </c>
      <c r="P809" s="24">
        <v>127.52999999995809</v>
      </c>
      <c r="Q809" s="25"/>
      <c r="T809" s="25"/>
    </row>
    <row r="810" spans="2:20" x14ac:dyDescent="0.25">
      <c r="B810" s="40"/>
      <c r="D810" s="43" t="s">
        <v>1606</v>
      </c>
      <c r="E810" s="22"/>
      <c r="F810" s="27"/>
      <c r="G810" s="44" t="s">
        <v>1607</v>
      </c>
      <c r="H810" s="27"/>
      <c r="I810" s="27"/>
      <c r="J810" s="27"/>
      <c r="K810" s="27"/>
      <c r="L810" s="27"/>
      <c r="M810" s="27"/>
      <c r="N810" s="27"/>
      <c r="O810" s="24">
        <v>13.139999999999418</v>
      </c>
      <c r="P810" s="24">
        <v>23.651999999998953</v>
      </c>
      <c r="Q810" s="25"/>
      <c r="T810" s="25"/>
    </row>
    <row r="811" spans="2:20" x14ac:dyDescent="0.25">
      <c r="B811" s="40"/>
      <c r="D811" s="22"/>
      <c r="E811" s="22"/>
      <c r="F811" s="27"/>
      <c r="G811" s="27"/>
      <c r="H811" s="27"/>
      <c r="I811" s="27"/>
      <c r="J811" s="27"/>
      <c r="K811" s="27"/>
      <c r="L811" s="27"/>
      <c r="M811" s="27"/>
      <c r="N811" s="27"/>
      <c r="O811" s="24"/>
      <c r="P811" s="24"/>
      <c r="Q811" s="25"/>
      <c r="T811" s="25"/>
    </row>
    <row r="812" spans="2:20" ht="19.05" x14ac:dyDescent="0.35">
      <c r="B812" s="40"/>
      <c r="D812" s="13" t="s">
        <v>1608</v>
      </c>
      <c r="E812" s="14"/>
      <c r="F812" s="13"/>
      <c r="G812" s="13"/>
      <c r="H812" s="13"/>
      <c r="I812" s="13"/>
      <c r="J812" s="13"/>
      <c r="K812" s="13"/>
      <c r="L812" s="13"/>
      <c r="O812" s="3"/>
      <c r="P812" s="18"/>
      <c r="Q812" s="25"/>
      <c r="T812" s="25"/>
    </row>
    <row r="813" spans="2:20" x14ac:dyDescent="0.25">
      <c r="B813" s="40"/>
      <c r="D813" s="35" t="s">
        <v>1609</v>
      </c>
      <c r="E813" s="22"/>
      <c r="F813" s="27"/>
      <c r="G813" s="27"/>
      <c r="H813" s="27"/>
      <c r="I813" s="27"/>
      <c r="J813" s="27"/>
      <c r="K813" s="27"/>
      <c r="L813" s="27"/>
      <c r="M813" s="27"/>
      <c r="O813" s="3"/>
      <c r="P813" s="18" t="s">
        <v>1537</v>
      </c>
      <c r="Q813" s="25"/>
      <c r="T813" s="25"/>
    </row>
    <row r="814" spans="2:20" x14ac:dyDescent="0.25">
      <c r="B814" s="40"/>
      <c r="D814" s="19" t="s">
        <v>14</v>
      </c>
      <c r="E814" s="19" t="s">
        <v>15</v>
      </c>
      <c r="F814" s="19" t="s">
        <v>1610</v>
      </c>
      <c r="G814" s="19" t="s">
        <v>1611</v>
      </c>
      <c r="H814" s="19" t="s">
        <v>1612</v>
      </c>
      <c r="I814" s="19"/>
      <c r="J814" s="19"/>
      <c r="K814" s="19"/>
      <c r="L814" s="19"/>
      <c r="M814" s="19"/>
      <c r="N814" s="19"/>
      <c r="O814" s="19" t="s">
        <v>20</v>
      </c>
      <c r="P814" s="19" t="s">
        <v>21</v>
      </c>
      <c r="Q814" s="25"/>
      <c r="T814" s="25"/>
    </row>
    <row r="815" spans="2:20" x14ac:dyDescent="0.25">
      <c r="B815" s="40"/>
      <c r="D815" s="22">
        <v>11</v>
      </c>
      <c r="E815" s="15">
        <v>50</v>
      </c>
      <c r="F815" s="23"/>
      <c r="G815" s="23" t="s">
        <v>1613</v>
      </c>
      <c r="H815" s="23" t="s">
        <v>1614</v>
      </c>
      <c r="I815" s="23"/>
      <c r="J815" s="23"/>
      <c r="K815" s="23"/>
      <c r="L815" s="45"/>
      <c r="M815" s="23"/>
      <c r="N815" s="23"/>
      <c r="O815" s="24">
        <v>67</v>
      </c>
      <c r="P815" s="24">
        <v>2.4120000000000004</v>
      </c>
      <c r="Q815" s="25"/>
      <c r="T815" s="25"/>
    </row>
    <row r="816" spans="2:20" x14ac:dyDescent="0.25">
      <c r="B816" s="40"/>
      <c r="D816" s="22">
        <v>11</v>
      </c>
      <c r="E816" s="15">
        <v>100</v>
      </c>
      <c r="F816" s="23"/>
      <c r="G816" s="23" t="s">
        <v>1615</v>
      </c>
      <c r="H816" s="23" t="s">
        <v>1616</v>
      </c>
      <c r="I816" s="23"/>
      <c r="J816" s="23"/>
      <c r="K816" s="23"/>
      <c r="L816" s="45"/>
      <c r="M816" s="23"/>
      <c r="N816" s="23"/>
      <c r="O816" s="24">
        <v>133.97999999998137</v>
      </c>
      <c r="P816" s="24">
        <v>2.4116399999996649</v>
      </c>
      <c r="Q816" s="25"/>
      <c r="T816" s="25"/>
    </row>
    <row r="817" spans="2:20" x14ac:dyDescent="0.25">
      <c r="B817" s="40"/>
      <c r="D817" s="22">
        <v>11</v>
      </c>
      <c r="E817" s="15">
        <v>200</v>
      </c>
      <c r="F817" s="27"/>
      <c r="G817" s="27" t="s">
        <v>1617</v>
      </c>
      <c r="H817" s="27" t="s">
        <v>1618</v>
      </c>
      <c r="I817" s="27"/>
      <c r="J817" s="27"/>
      <c r="K817" s="27"/>
      <c r="L817" s="27"/>
      <c r="M817" s="27"/>
      <c r="N817" s="27"/>
      <c r="O817" s="24">
        <v>267.97000000020489</v>
      </c>
      <c r="P817" s="24">
        <v>2.4117300000018442</v>
      </c>
      <c r="Q817" s="25"/>
      <c r="T817" s="25"/>
    </row>
    <row r="818" spans="2:20" x14ac:dyDescent="0.25">
      <c r="B818" s="40"/>
      <c r="D818" s="43" t="s">
        <v>1619</v>
      </c>
      <c r="E818" s="22"/>
      <c r="F818" s="27"/>
      <c r="G818" s="27"/>
      <c r="H818" s="27"/>
      <c r="I818" s="27"/>
      <c r="J818" s="27"/>
      <c r="K818" s="27"/>
      <c r="L818" s="27"/>
      <c r="M818" s="27"/>
      <c r="N818" s="27"/>
      <c r="O818" s="24"/>
      <c r="P818" s="24"/>
      <c r="Q818" s="25"/>
      <c r="T818" s="25"/>
    </row>
    <row r="819" spans="2:20" x14ac:dyDescent="0.25">
      <c r="B819" s="40"/>
      <c r="D819" s="43"/>
      <c r="E819" s="22"/>
      <c r="F819" s="27"/>
      <c r="G819" s="27"/>
      <c r="H819" s="27"/>
      <c r="I819" s="27"/>
      <c r="J819" s="27"/>
      <c r="K819" s="27"/>
      <c r="L819" s="27"/>
      <c r="M819" s="27"/>
      <c r="N819" s="27"/>
      <c r="O819" s="24"/>
      <c r="P819" s="18"/>
      <c r="Q819" s="25"/>
      <c r="T819" s="25"/>
    </row>
    <row r="820" spans="2:20" ht="19.05" x14ac:dyDescent="0.35">
      <c r="B820" s="40"/>
      <c r="D820" s="13" t="s">
        <v>1620</v>
      </c>
      <c r="E820" s="14"/>
      <c r="F820" s="13"/>
      <c r="G820" s="13"/>
      <c r="H820" s="13"/>
      <c r="I820" s="13"/>
      <c r="J820" s="13"/>
      <c r="K820" s="13"/>
      <c r="L820" s="13"/>
      <c r="O820" s="19"/>
      <c r="P820" s="46" t="s">
        <v>1621</v>
      </c>
      <c r="Q820" s="25"/>
      <c r="T820" s="25"/>
    </row>
    <row r="821" spans="2:20" x14ac:dyDescent="0.25">
      <c r="B821" s="40"/>
      <c r="D821" s="41" t="s">
        <v>1547</v>
      </c>
      <c r="E821" s="22"/>
      <c r="F821" s="42"/>
      <c r="G821" s="42" t="s">
        <v>1548</v>
      </c>
      <c r="H821" s="27"/>
      <c r="I821" s="27"/>
      <c r="J821" s="27"/>
      <c r="K821" s="27"/>
      <c r="L821" s="27"/>
      <c r="M821" s="27"/>
      <c r="N821" s="27"/>
      <c r="O821" s="19" t="s">
        <v>20</v>
      </c>
      <c r="P821" s="19" t="s">
        <v>1529</v>
      </c>
      <c r="Q821" s="25"/>
      <c r="T821" s="25"/>
    </row>
    <row r="822" spans="2:20" x14ac:dyDescent="0.25">
      <c r="B822" s="40"/>
      <c r="D822" s="43" t="s">
        <v>1622</v>
      </c>
      <c r="E822" s="22"/>
      <c r="F822" s="27"/>
      <c r="G822" s="44" t="s">
        <v>1623</v>
      </c>
      <c r="H822" s="23"/>
      <c r="I822" s="23"/>
      <c r="J822" s="23"/>
      <c r="K822" s="23"/>
      <c r="L822" s="23"/>
      <c r="M822" s="23"/>
      <c r="N822" s="23"/>
      <c r="O822" s="24" t="s">
        <v>1624</v>
      </c>
      <c r="P822" s="24" t="s">
        <v>1624</v>
      </c>
      <c r="Q822" s="25"/>
      <c r="T822" s="25"/>
    </row>
    <row r="823" spans="2:20" x14ac:dyDescent="0.25">
      <c r="B823" s="40"/>
      <c r="D823" s="43" t="s">
        <v>1625</v>
      </c>
      <c r="E823" s="22"/>
      <c r="F823" s="27"/>
      <c r="G823" s="44" t="s">
        <v>1626</v>
      </c>
      <c r="H823" s="23"/>
      <c r="I823" s="23"/>
      <c r="J823" s="23"/>
      <c r="K823" s="23"/>
      <c r="L823" s="23"/>
      <c r="M823" s="23"/>
      <c r="N823" s="23"/>
      <c r="O823" s="24" t="s">
        <v>1624</v>
      </c>
      <c r="P823" s="24" t="s">
        <v>1624</v>
      </c>
      <c r="Q823" s="25"/>
      <c r="T823" s="25"/>
    </row>
    <row r="824" spans="2:20" x14ac:dyDescent="0.25">
      <c r="B824" s="40"/>
      <c r="D824" s="43" t="s">
        <v>1627</v>
      </c>
      <c r="E824" s="22"/>
      <c r="F824" s="27"/>
      <c r="G824" s="44" t="s">
        <v>1628</v>
      </c>
      <c r="H824" s="23"/>
      <c r="I824" s="23"/>
      <c r="J824" s="23"/>
      <c r="K824" s="23"/>
      <c r="L824" s="23"/>
      <c r="M824" s="23"/>
      <c r="N824" s="23"/>
      <c r="O824" s="24" t="s">
        <v>1624</v>
      </c>
      <c r="P824" s="24" t="s">
        <v>1624</v>
      </c>
      <c r="Q824" s="25"/>
      <c r="T824" s="25"/>
    </row>
    <row r="825" spans="2:20" x14ac:dyDescent="0.25">
      <c r="B825" s="40"/>
      <c r="D825" s="43" t="s">
        <v>1629</v>
      </c>
      <c r="E825" s="22"/>
      <c r="F825" s="27"/>
      <c r="G825" s="44" t="s">
        <v>1630</v>
      </c>
      <c r="H825" s="23"/>
      <c r="I825" s="23"/>
      <c r="J825" s="23"/>
      <c r="K825" s="23"/>
      <c r="L825" s="23"/>
      <c r="M825" s="23"/>
      <c r="N825" s="23"/>
      <c r="O825" s="24" t="s">
        <v>1624</v>
      </c>
      <c r="P825" s="24" t="s">
        <v>1624</v>
      </c>
      <c r="Q825" s="25"/>
      <c r="T825" s="25"/>
    </row>
    <row r="826" spans="2:20" x14ac:dyDescent="0.25">
      <c r="B826" s="40"/>
      <c r="D826" s="43" t="s">
        <v>1631</v>
      </c>
      <c r="E826" s="22"/>
      <c r="F826" s="27"/>
      <c r="G826" s="44" t="s">
        <v>1632</v>
      </c>
      <c r="H826" s="23"/>
      <c r="I826" s="23"/>
      <c r="J826" s="23"/>
      <c r="K826" s="23"/>
      <c r="L826" s="23"/>
      <c r="M826" s="23"/>
      <c r="N826" s="23"/>
      <c r="O826" s="24" t="s">
        <v>1624</v>
      </c>
      <c r="P826" s="24" t="s">
        <v>1624</v>
      </c>
      <c r="Q826" s="25"/>
      <c r="T826" s="25"/>
    </row>
    <row r="827" spans="2:20" x14ac:dyDescent="0.25">
      <c r="B827" s="40"/>
      <c r="D827" s="43" t="s">
        <v>1633</v>
      </c>
      <c r="E827" s="22"/>
      <c r="F827" s="27"/>
      <c r="G827" s="44" t="s">
        <v>1634</v>
      </c>
      <c r="H827" s="23"/>
      <c r="I827" s="23"/>
      <c r="J827" s="23"/>
      <c r="K827" s="23"/>
      <c r="L827" s="23"/>
      <c r="M827" s="23"/>
      <c r="N827" s="23"/>
      <c r="O827" s="24" t="s">
        <v>1624</v>
      </c>
      <c r="P827" s="24" t="s">
        <v>1624</v>
      </c>
      <c r="Q827" s="25"/>
      <c r="T827" s="25"/>
    </row>
    <row r="828" spans="2:20" x14ac:dyDescent="0.25">
      <c r="B828" s="40"/>
      <c r="D828" s="43" t="s">
        <v>1635</v>
      </c>
      <c r="E828" s="22"/>
      <c r="F828" s="27"/>
      <c r="G828" s="44" t="s">
        <v>1636</v>
      </c>
      <c r="H828" s="23"/>
      <c r="I828" s="23"/>
      <c r="J828" s="23"/>
      <c r="K828" s="23"/>
      <c r="L828" s="23"/>
      <c r="M828" s="23"/>
      <c r="N828" s="23"/>
      <c r="O828" s="24" t="s">
        <v>1624</v>
      </c>
      <c r="P828" s="24" t="s">
        <v>1624</v>
      </c>
      <c r="Q828" s="25"/>
      <c r="T828" s="25"/>
    </row>
    <row r="829" spans="2:20" x14ac:dyDescent="0.25">
      <c r="B829" s="40"/>
      <c r="D829" s="43" t="s">
        <v>1637</v>
      </c>
      <c r="E829" s="22"/>
      <c r="F829" s="27"/>
      <c r="G829" s="44" t="s">
        <v>1638</v>
      </c>
      <c r="H829" s="23"/>
      <c r="I829" s="23"/>
      <c r="J829" s="23"/>
      <c r="K829" s="23"/>
      <c r="L829" s="23"/>
      <c r="M829" s="23"/>
      <c r="N829" s="23"/>
      <c r="O829" s="24" t="s">
        <v>1624</v>
      </c>
      <c r="P829" s="24" t="s">
        <v>1624</v>
      </c>
      <c r="Q829" s="25"/>
      <c r="T829" s="25"/>
    </row>
    <row r="830" spans="2:20" x14ac:dyDescent="0.25">
      <c r="B830" s="40"/>
      <c r="D830" s="43" t="s">
        <v>1639</v>
      </c>
      <c r="E830" s="22"/>
      <c r="F830" s="27"/>
      <c r="G830" s="44" t="s">
        <v>1640</v>
      </c>
      <c r="H830" s="23"/>
      <c r="I830" s="23"/>
      <c r="J830" s="23"/>
      <c r="K830" s="23"/>
      <c r="L830" s="23"/>
      <c r="M830" s="23"/>
      <c r="N830" s="23"/>
      <c r="O830" s="24" t="s">
        <v>1624</v>
      </c>
      <c r="P830" s="24" t="s">
        <v>1624</v>
      </c>
      <c r="Q830" s="25"/>
      <c r="T830" s="25"/>
    </row>
    <row r="831" spans="2:20" x14ac:dyDescent="0.25">
      <c r="B831" s="40"/>
      <c r="D831" s="43" t="s">
        <v>1641</v>
      </c>
      <c r="E831" s="22"/>
      <c r="F831" s="27" t="s">
        <v>1642</v>
      </c>
      <c r="G831" s="44" t="s">
        <v>1643</v>
      </c>
      <c r="H831" s="23"/>
      <c r="I831" s="23"/>
      <c r="J831" s="23"/>
      <c r="K831" s="23"/>
      <c r="L831" s="23"/>
      <c r="M831" s="23"/>
      <c r="N831" s="23"/>
      <c r="O831" s="24" t="s">
        <v>1624</v>
      </c>
      <c r="P831" s="24" t="s">
        <v>1624</v>
      </c>
      <c r="Q831" s="25"/>
      <c r="T831" s="25"/>
    </row>
    <row r="832" spans="2:20" x14ac:dyDescent="0.25">
      <c r="B832" s="40"/>
      <c r="D832" s="43" t="s">
        <v>1644</v>
      </c>
      <c r="E832" s="22"/>
      <c r="F832" s="27" t="s">
        <v>1645</v>
      </c>
      <c r="G832" s="44" t="s">
        <v>1646</v>
      </c>
      <c r="H832" s="23"/>
      <c r="I832" s="23"/>
      <c r="J832" s="23"/>
      <c r="K832" s="23"/>
      <c r="L832" s="23"/>
      <c r="M832" s="23"/>
      <c r="N832" s="23"/>
      <c r="O832" s="24" t="s">
        <v>1624</v>
      </c>
      <c r="P832" s="24" t="s">
        <v>1624</v>
      </c>
      <c r="Q832" s="25"/>
      <c r="T832" s="25"/>
    </row>
    <row r="833" spans="2:20" x14ac:dyDescent="0.25">
      <c r="B833" s="40"/>
      <c r="D833" s="43" t="s">
        <v>1647</v>
      </c>
      <c r="E833" s="22"/>
      <c r="F833" s="27" t="s">
        <v>1648</v>
      </c>
      <c r="G833" s="44" t="s">
        <v>1649</v>
      </c>
      <c r="H833" s="23"/>
      <c r="I833" s="23"/>
      <c r="J833" s="23"/>
      <c r="K833" s="23"/>
      <c r="L833" s="23"/>
      <c r="M833" s="23"/>
      <c r="N833" s="23"/>
      <c r="O833" s="24" t="s">
        <v>1624</v>
      </c>
      <c r="P833" s="24" t="s">
        <v>1624</v>
      </c>
      <c r="Q833" s="25"/>
      <c r="T833" s="25"/>
    </row>
    <row r="834" spans="2:20" x14ac:dyDescent="0.25">
      <c r="B834" s="40"/>
      <c r="D834" s="43" t="s">
        <v>1650</v>
      </c>
      <c r="E834" s="22"/>
      <c r="F834" s="27"/>
      <c r="G834" s="27" t="s">
        <v>1651</v>
      </c>
      <c r="H834" s="27"/>
      <c r="I834" s="27"/>
      <c r="J834" s="27"/>
      <c r="K834" s="27"/>
      <c r="L834" s="27"/>
      <c r="M834" s="27"/>
      <c r="N834" s="27"/>
      <c r="O834" s="24" t="s">
        <v>1624</v>
      </c>
      <c r="P834" s="24" t="s">
        <v>1624</v>
      </c>
      <c r="Q834" s="25"/>
      <c r="T834" s="25"/>
    </row>
    <row r="835" spans="2:20" x14ac:dyDescent="0.25">
      <c r="O835" s="3"/>
      <c r="P835" s="3"/>
    </row>
    <row r="836" spans="2:20" x14ac:dyDescent="0.25">
      <c r="O836" s="3"/>
      <c r="P836" s="3"/>
    </row>
    <row r="837" spans="2:20" x14ac:dyDescent="0.25">
      <c r="O837" s="3"/>
      <c r="P837" s="3"/>
    </row>
    <row r="838" spans="2:20" x14ac:dyDescent="0.25">
      <c r="O838" s="3"/>
      <c r="P838" s="3"/>
    </row>
    <row r="839" spans="2:20" x14ac:dyDescent="0.25">
      <c r="O839" s="3"/>
      <c r="P839" s="3"/>
    </row>
    <row r="840" spans="2:20" x14ac:dyDescent="0.25">
      <c r="O840" s="3"/>
      <c r="P840" s="3"/>
    </row>
    <row r="841" spans="2:20" x14ac:dyDescent="0.25">
      <c r="O841" s="3"/>
      <c r="P841" s="3"/>
    </row>
    <row r="842" spans="2:20" x14ac:dyDescent="0.25">
      <c r="O842" s="3"/>
      <c r="P842" s="3"/>
    </row>
    <row r="843" spans="2:20" x14ac:dyDescent="0.25">
      <c r="O843" s="3"/>
      <c r="P843" s="3"/>
    </row>
    <row r="844" spans="2:20" x14ac:dyDescent="0.25">
      <c r="O844" s="3"/>
      <c r="P844" s="3"/>
    </row>
    <row r="845" spans="2:20" x14ac:dyDescent="0.25">
      <c r="O845" s="3"/>
      <c r="P845" s="3"/>
    </row>
    <row r="846" spans="2:20" x14ac:dyDescent="0.25">
      <c r="O846" s="3"/>
      <c r="P846" s="3"/>
    </row>
    <row r="847" spans="2:20" x14ac:dyDescent="0.25">
      <c r="O847" s="3"/>
      <c r="P847" s="3"/>
    </row>
    <row r="848" spans="2:20" x14ac:dyDescent="0.25">
      <c r="O848" s="3"/>
      <c r="P848" s="3"/>
    </row>
    <row r="849" spans="15:16" x14ac:dyDescent="0.25">
      <c r="O849" s="3"/>
      <c r="P849" s="3"/>
    </row>
    <row r="850" spans="15:16" x14ac:dyDescent="0.25">
      <c r="O850" s="3"/>
      <c r="P850" s="3"/>
    </row>
    <row r="851" spans="15:16" x14ac:dyDescent="0.25">
      <c r="O851" s="3"/>
      <c r="P851" s="3"/>
    </row>
    <row r="852" spans="15:16" x14ac:dyDescent="0.25">
      <c r="O852" s="3"/>
      <c r="P852" s="3"/>
    </row>
    <row r="853" spans="15:16" x14ac:dyDescent="0.25">
      <c r="O853" s="3"/>
      <c r="P853" s="3"/>
    </row>
    <row r="854" spans="15:16" x14ac:dyDescent="0.25">
      <c r="O854" s="3"/>
      <c r="P854" s="3"/>
    </row>
    <row r="855" spans="15:16" x14ac:dyDescent="0.25">
      <c r="O855" s="3"/>
      <c r="P855" s="3"/>
    </row>
    <row r="856" spans="15:16" x14ac:dyDescent="0.25">
      <c r="O856" s="3"/>
      <c r="P856" s="3"/>
    </row>
    <row r="857" spans="15:16" x14ac:dyDescent="0.25">
      <c r="O857" s="3"/>
      <c r="P857" s="3"/>
    </row>
    <row r="858" spans="15:16" x14ac:dyDescent="0.25">
      <c r="O858" s="3"/>
      <c r="P858" s="3"/>
    </row>
    <row r="859" spans="15:16" x14ac:dyDescent="0.25">
      <c r="O859" s="3"/>
      <c r="P859" s="3"/>
    </row>
    <row r="860" spans="15:16" x14ac:dyDescent="0.25">
      <c r="O860" s="3"/>
      <c r="P860" s="3"/>
    </row>
    <row r="861" spans="15:16" x14ac:dyDescent="0.25">
      <c r="O861" s="3"/>
      <c r="P861" s="3"/>
    </row>
    <row r="862" spans="15:16" x14ac:dyDescent="0.25">
      <c r="O862" s="3"/>
      <c r="P862" s="3"/>
    </row>
    <row r="863" spans="15:16" x14ac:dyDescent="0.25">
      <c r="O863" s="3"/>
      <c r="P863" s="3"/>
    </row>
    <row r="864" spans="15:16" x14ac:dyDescent="0.25">
      <c r="O864" s="3"/>
      <c r="P864" s="3"/>
    </row>
    <row r="865" spans="15:16" x14ac:dyDescent="0.25">
      <c r="O865" s="3"/>
      <c r="P865" s="3"/>
    </row>
    <row r="866" spans="15:16" x14ac:dyDescent="0.25">
      <c r="O866" s="3"/>
      <c r="P866" s="3"/>
    </row>
    <row r="867" spans="15:16" x14ac:dyDescent="0.25">
      <c r="O867" s="3"/>
      <c r="P867" s="3"/>
    </row>
    <row r="868" spans="15:16" x14ac:dyDescent="0.25">
      <c r="O868" s="3"/>
      <c r="P868" s="3"/>
    </row>
    <row r="869" spans="15:16" x14ac:dyDescent="0.25">
      <c r="O869" s="3"/>
      <c r="P869" s="3"/>
    </row>
    <row r="870" spans="15:16" x14ac:dyDescent="0.25">
      <c r="O870" s="3"/>
      <c r="P870" s="3"/>
    </row>
    <row r="871" spans="15:16" x14ac:dyDescent="0.25">
      <c r="O871" s="3"/>
      <c r="P871" s="3"/>
    </row>
    <row r="872" spans="15:16" x14ac:dyDescent="0.25">
      <c r="O872" s="3"/>
      <c r="P872" s="3"/>
    </row>
    <row r="873" spans="15:16" x14ac:dyDescent="0.25">
      <c r="O873" s="3"/>
      <c r="P873" s="3"/>
    </row>
    <row r="874" spans="15:16" x14ac:dyDescent="0.25">
      <c r="O874" s="3"/>
      <c r="P874" s="3"/>
    </row>
    <row r="875" spans="15:16" x14ac:dyDescent="0.25">
      <c r="O875" s="3"/>
      <c r="P875" s="3"/>
    </row>
    <row r="876" spans="15:16" x14ac:dyDescent="0.25">
      <c r="O876" s="3"/>
      <c r="P876" s="3"/>
    </row>
    <row r="877" spans="15:16" x14ac:dyDescent="0.25">
      <c r="O877" s="3"/>
      <c r="P877" s="3"/>
    </row>
    <row r="878" spans="15:16" x14ac:dyDescent="0.25">
      <c r="O878" s="3"/>
      <c r="P878" s="3"/>
    </row>
    <row r="879" spans="15:16" x14ac:dyDescent="0.25">
      <c r="O879" s="3"/>
      <c r="P879" s="3"/>
    </row>
    <row r="880" spans="15:16" x14ac:dyDescent="0.25">
      <c r="O880" s="3"/>
      <c r="P880" s="3"/>
    </row>
    <row r="881" spans="15:16" x14ac:dyDescent="0.25">
      <c r="O881" s="3"/>
      <c r="P881" s="3"/>
    </row>
    <row r="882" spans="15:16" x14ac:dyDescent="0.25">
      <c r="O882" s="3"/>
      <c r="P882" s="3"/>
    </row>
    <row r="883" spans="15:16" x14ac:dyDescent="0.25">
      <c r="O883" s="3"/>
      <c r="P883" s="3"/>
    </row>
    <row r="884" spans="15:16" x14ac:dyDescent="0.25">
      <c r="O884" s="3"/>
      <c r="P884" s="3"/>
    </row>
    <row r="885" spans="15:16" x14ac:dyDescent="0.25">
      <c r="O885" s="3"/>
      <c r="P885" s="3"/>
    </row>
    <row r="886" spans="15:16" x14ac:dyDescent="0.25">
      <c r="O886" s="3"/>
      <c r="P886" s="3"/>
    </row>
    <row r="887" spans="15:16" x14ac:dyDescent="0.25">
      <c r="O887" s="3"/>
      <c r="P887" s="3"/>
    </row>
    <row r="888" spans="15:16" x14ac:dyDescent="0.25">
      <c r="O888" s="3"/>
      <c r="P888" s="3"/>
    </row>
    <row r="889" spans="15:16" x14ac:dyDescent="0.25">
      <c r="O889" s="3"/>
      <c r="P889" s="3"/>
    </row>
    <row r="890" spans="15:16" x14ac:dyDescent="0.25">
      <c r="O890" s="3"/>
      <c r="P890" s="3"/>
    </row>
    <row r="891" spans="15:16" x14ac:dyDescent="0.25">
      <c r="O891" s="3"/>
      <c r="P891" s="3"/>
    </row>
    <row r="892" spans="15:16" x14ac:dyDescent="0.25">
      <c r="O892" s="3"/>
      <c r="P892" s="3"/>
    </row>
    <row r="893" spans="15:16" x14ac:dyDescent="0.25">
      <c r="O893" s="3"/>
      <c r="P893" s="3"/>
    </row>
    <row r="894" spans="15:16" x14ac:dyDescent="0.25">
      <c r="O894" s="3"/>
      <c r="P894" s="3"/>
    </row>
    <row r="895" spans="15:16" x14ac:dyDescent="0.25">
      <c r="O895" s="3"/>
      <c r="P895" s="3"/>
    </row>
    <row r="896" spans="15:16" x14ac:dyDescent="0.25">
      <c r="O896" s="3"/>
      <c r="P896" s="3"/>
    </row>
    <row r="897" spans="15:16" x14ac:dyDescent="0.25">
      <c r="O897" s="3"/>
      <c r="P897" s="3"/>
    </row>
    <row r="898" spans="15:16" x14ac:dyDescent="0.25">
      <c r="O898" s="3"/>
      <c r="P898" s="3"/>
    </row>
    <row r="899" spans="15:16" x14ac:dyDescent="0.25">
      <c r="O899" s="3"/>
      <c r="P899" s="3"/>
    </row>
    <row r="900" spans="15:16" x14ac:dyDescent="0.25">
      <c r="O900" s="3"/>
      <c r="P900" s="3"/>
    </row>
    <row r="901" spans="15:16" x14ac:dyDescent="0.25">
      <c r="O901" s="3"/>
      <c r="P901" s="3"/>
    </row>
    <row r="902" spans="15:16" x14ac:dyDescent="0.25">
      <c r="O902" s="3"/>
      <c r="P902" s="3"/>
    </row>
    <row r="903" spans="15:16" x14ac:dyDescent="0.25">
      <c r="O903" s="3"/>
      <c r="P903" s="3"/>
    </row>
    <row r="904" spans="15:16" x14ac:dyDescent="0.25">
      <c r="O904" s="3"/>
      <c r="P904" s="3"/>
    </row>
    <row r="905" spans="15:16" x14ac:dyDescent="0.25">
      <c r="O905" s="3"/>
      <c r="P905" s="3"/>
    </row>
    <row r="906" spans="15:16" x14ac:dyDescent="0.25">
      <c r="O906" s="3"/>
      <c r="P906" s="3"/>
    </row>
    <row r="907" spans="15:16" x14ac:dyDescent="0.25">
      <c r="O907" s="3"/>
      <c r="P907" s="3"/>
    </row>
    <row r="908" spans="15:16" x14ac:dyDescent="0.25">
      <c r="O908" s="3"/>
      <c r="P908" s="3"/>
    </row>
  </sheetData>
  <mergeCells count="5">
    <mergeCell ref="E3:F3"/>
    <mergeCell ref="G3:K3"/>
    <mergeCell ref="D6:F7"/>
    <mergeCell ref="H6:I7"/>
    <mergeCell ref="J6:J7"/>
  </mergeCells>
  <conditionalFormatting sqref="O83:P83 O819 O40:P40 O54:P54 O315:P315 O386:P386 O366:P367 O374:P381 O389:P395 O398:P402 O405:P413 O416:P422 O446:P448 O451:P453 O456:P462 O489:P493 O513:P537 O641:P662 O667:P669 O676:P678 O680:P681 O704:P713 O715:P718 O721:P727 O729:P732 O735:P741 O745:P746 O750:P750 O753:P753 O756:P757 O766:P772 O775:P776 O797:P808 O696:P701 O822:P1048576 O1:P29 O779:P794 O436:P443 O567:P579 O135:P147 O355:P364 O425:P433 O540:P545 O622:P638 O684:P692 O549:P564 O603:P619 O763:P763 O674:P674 O67:P67 O371:P371 O465:P469 O496:P505 O671:P672 O486:P486 O155:P169 O582:P589 O508:P510 O592:P600 O811:P811 O815:P818">
    <cfRule type="expression" dxfId="533" priority="528">
      <formula>$J$6="GBP"</formula>
    </cfRule>
    <cfRule type="expression" dxfId="532" priority="529">
      <formula>$J$6="EUR"</formula>
    </cfRule>
  </conditionalFormatting>
  <conditionalFormatting sqref="O30:P31">
    <cfRule type="expression" dxfId="531" priority="526">
      <formula>$J$6="GBP"</formula>
    </cfRule>
    <cfRule type="expression" dxfId="530" priority="527">
      <formula>$J$6="EUR"</formula>
    </cfRule>
  </conditionalFormatting>
  <conditionalFormatting sqref="O41:P41">
    <cfRule type="expression" dxfId="529" priority="524">
      <formula>$J$6="GBP"</formula>
    </cfRule>
    <cfRule type="expression" dxfId="528" priority="525">
      <formula>$J$6="EUR"</formula>
    </cfRule>
  </conditionalFormatting>
  <conditionalFormatting sqref="O55:P55">
    <cfRule type="expression" dxfId="527" priority="522">
      <formula>$J$6="GBP"</formula>
    </cfRule>
    <cfRule type="expression" dxfId="526" priority="523">
      <formula>$J$6="EUR"</formula>
    </cfRule>
  </conditionalFormatting>
  <conditionalFormatting sqref="O68:P68">
    <cfRule type="expression" dxfId="525" priority="520">
      <formula>$J$6="GBP"</formula>
    </cfRule>
    <cfRule type="expression" dxfId="524" priority="521">
      <formula>$J$6="EUR"</formula>
    </cfRule>
  </conditionalFormatting>
  <conditionalFormatting sqref="O69:P69">
    <cfRule type="expression" dxfId="523" priority="518">
      <formula>$J$6="GBP"</formula>
    </cfRule>
    <cfRule type="expression" dxfId="522" priority="519">
      <formula>$J$6="EUR"</formula>
    </cfRule>
  </conditionalFormatting>
  <conditionalFormatting sqref="O56:P56">
    <cfRule type="expression" dxfId="521" priority="516">
      <formula>$J$6="GBP"</formula>
    </cfRule>
    <cfRule type="expression" dxfId="520" priority="517">
      <formula>$J$6="EUR"</formula>
    </cfRule>
  </conditionalFormatting>
  <conditionalFormatting sqref="O42:P42">
    <cfRule type="expression" dxfId="519" priority="514">
      <formula>$J$6="GBP"</formula>
    </cfRule>
    <cfRule type="expression" dxfId="518" priority="515">
      <formula>$J$6="EUR"</formula>
    </cfRule>
  </conditionalFormatting>
  <conditionalFormatting sqref="O84:P84">
    <cfRule type="expression" dxfId="517" priority="512">
      <formula>$J$6="GBP"</formula>
    </cfRule>
    <cfRule type="expression" dxfId="516" priority="513">
      <formula>$J$6="EUR"</formula>
    </cfRule>
  </conditionalFormatting>
  <conditionalFormatting sqref="O85:P85">
    <cfRule type="expression" dxfId="515" priority="510">
      <formula>$J$6="GBP"</formula>
    </cfRule>
    <cfRule type="expression" dxfId="514" priority="511">
      <formula>$J$6="EUR"</formula>
    </cfRule>
  </conditionalFormatting>
  <conditionalFormatting sqref="O97:P97">
    <cfRule type="expression" dxfId="513" priority="508">
      <formula>$J$6="GBP"</formula>
    </cfRule>
    <cfRule type="expression" dxfId="512" priority="509">
      <formula>$J$6="EUR"</formula>
    </cfRule>
  </conditionalFormatting>
  <conditionalFormatting sqref="O98:P98">
    <cfRule type="expression" dxfId="511" priority="506">
      <formula>$J$6="GBP"</formula>
    </cfRule>
    <cfRule type="expression" dxfId="510" priority="507">
      <formula>$J$6="EUR"</formula>
    </cfRule>
  </conditionalFormatting>
  <conditionalFormatting sqref="O99:P99">
    <cfRule type="expression" dxfId="509" priority="504">
      <formula>$J$6="GBP"</formula>
    </cfRule>
    <cfRule type="expression" dxfId="508" priority="505">
      <formula>$J$6="EUR"</formula>
    </cfRule>
  </conditionalFormatting>
  <conditionalFormatting sqref="O110:P110">
    <cfRule type="expression" dxfId="507" priority="502">
      <formula>$J$6="GBP"</formula>
    </cfRule>
    <cfRule type="expression" dxfId="506" priority="503">
      <formula>$J$6="EUR"</formula>
    </cfRule>
  </conditionalFormatting>
  <conditionalFormatting sqref="O111:P111">
    <cfRule type="expression" dxfId="505" priority="500">
      <formula>$J$6="GBP"</formula>
    </cfRule>
    <cfRule type="expression" dxfId="504" priority="501">
      <formula>$J$6="EUR"</formula>
    </cfRule>
  </conditionalFormatting>
  <conditionalFormatting sqref="O112:P112">
    <cfRule type="expression" dxfId="503" priority="498">
      <formula>$J$6="GBP"</formula>
    </cfRule>
    <cfRule type="expression" dxfId="502" priority="499">
      <formula>$J$6="EUR"</formula>
    </cfRule>
  </conditionalFormatting>
  <conditionalFormatting sqref="O123:P123">
    <cfRule type="expression" dxfId="501" priority="496">
      <formula>$J$6="GBP"</formula>
    </cfRule>
    <cfRule type="expression" dxfId="500" priority="497">
      <formula>$J$6="EUR"</formula>
    </cfRule>
  </conditionalFormatting>
  <conditionalFormatting sqref="O124:P124">
    <cfRule type="expression" dxfId="499" priority="494">
      <formula>$J$6="GBP"</formula>
    </cfRule>
    <cfRule type="expression" dxfId="498" priority="495">
      <formula>$J$6="EUR"</formula>
    </cfRule>
  </conditionalFormatting>
  <conditionalFormatting sqref="O125:P125">
    <cfRule type="expression" dxfId="497" priority="492">
      <formula>$J$6="GBP"</formula>
    </cfRule>
    <cfRule type="expression" dxfId="496" priority="493">
      <formula>$J$6="EUR"</formula>
    </cfRule>
  </conditionalFormatting>
  <conditionalFormatting sqref="O132:P132">
    <cfRule type="expression" dxfId="495" priority="490">
      <formula>$J$6="GBP"</formula>
    </cfRule>
    <cfRule type="expression" dxfId="494" priority="491">
      <formula>$J$6="EUR"</formula>
    </cfRule>
  </conditionalFormatting>
  <conditionalFormatting sqref="O133:P133">
    <cfRule type="expression" dxfId="493" priority="488">
      <formula>$J$6="GBP"</formula>
    </cfRule>
    <cfRule type="expression" dxfId="492" priority="489">
      <formula>$J$6="EUR"</formula>
    </cfRule>
  </conditionalFormatting>
  <conditionalFormatting sqref="O134:P134">
    <cfRule type="expression" dxfId="491" priority="486">
      <formula>$J$6="GBP"</formula>
    </cfRule>
    <cfRule type="expression" dxfId="490" priority="487">
      <formula>$J$6="EUR"</formula>
    </cfRule>
  </conditionalFormatting>
  <conditionalFormatting sqref="O152:P152">
    <cfRule type="expression" dxfId="489" priority="484">
      <formula>$J$6="GBP"</formula>
    </cfRule>
    <cfRule type="expression" dxfId="488" priority="485">
      <formula>$J$6="EUR"</formula>
    </cfRule>
  </conditionalFormatting>
  <conditionalFormatting sqref="O153:P153">
    <cfRule type="expression" dxfId="487" priority="482">
      <formula>$J$6="GBP"</formula>
    </cfRule>
    <cfRule type="expression" dxfId="486" priority="483">
      <formula>$J$6="EUR"</formula>
    </cfRule>
  </conditionalFormatting>
  <conditionalFormatting sqref="O154:P154">
    <cfRule type="expression" dxfId="485" priority="480">
      <formula>$J$6="GBP"</formula>
    </cfRule>
    <cfRule type="expression" dxfId="484" priority="481">
      <formula>$J$6="EUR"</formula>
    </cfRule>
  </conditionalFormatting>
  <conditionalFormatting sqref="O170:P170">
    <cfRule type="expression" dxfId="483" priority="478">
      <formula>$J$6="GBP"</formula>
    </cfRule>
    <cfRule type="expression" dxfId="482" priority="479">
      <formula>$J$6="EUR"</formula>
    </cfRule>
  </conditionalFormatting>
  <conditionalFormatting sqref="O171:P171">
    <cfRule type="expression" dxfId="481" priority="476">
      <formula>$J$6="GBP"</formula>
    </cfRule>
    <cfRule type="expression" dxfId="480" priority="477">
      <formula>$J$6="EUR"</formula>
    </cfRule>
  </conditionalFormatting>
  <conditionalFormatting sqref="O172:P172">
    <cfRule type="expression" dxfId="479" priority="474">
      <formula>$J$6="GBP"</formula>
    </cfRule>
    <cfRule type="expression" dxfId="478" priority="475">
      <formula>$J$6="EUR"</formula>
    </cfRule>
  </conditionalFormatting>
  <conditionalFormatting sqref="O186:P186">
    <cfRule type="expression" dxfId="477" priority="472">
      <formula>$J$6="GBP"</formula>
    </cfRule>
    <cfRule type="expression" dxfId="476" priority="473">
      <formula>$J$6="EUR"</formula>
    </cfRule>
  </conditionalFormatting>
  <conditionalFormatting sqref="O187:P187">
    <cfRule type="expression" dxfId="475" priority="470">
      <formula>$J$6="GBP"</formula>
    </cfRule>
    <cfRule type="expression" dxfId="474" priority="471">
      <formula>$J$6="EUR"</formula>
    </cfRule>
  </conditionalFormatting>
  <conditionalFormatting sqref="O188:P188">
    <cfRule type="expression" dxfId="473" priority="468">
      <formula>$J$6="GBP"</formula>
    </cfRule>
    <cfRule type="expression" dxfId="472" priority="469">
      <formula>$J$6="EUR"</formula>
    </cfRule>
  </conditionalFormatting>
  <conditionalFormatting sqref="O202:P202">
    <cfRule type="expression" dxfId="471" priority="466">
      <formula>$J$6="GBP"</formula>
    </cfRule>
    <cfRule type="expression" dxfId="470" priority="467">
      <formula>$J$6="EUR"</formula>
    </cfRule>
  </conditionalFormatting>
  <conditionalFormatting sqref="O203:P203">
    <cfRule type="expression" dxfId="469" priority="464">
      <formula>$J$6="GBP"</formula>
    </cfRule>
    <cfRule type="expression" dxfId="468" priority="465">
      <formula>$J$6="EUR"</formula>
    </cfRule>
  </conditionalFormatting>
  <conditionalFormatting sqref="O204:P204">
    <cfRule type="expression" dxfId="467" priority="462">
      <formula>$J$6="GBP"</formula>
    </cfRule>
    <cfRule type="expression" dxfId="466" priority="463">
      <formula>$J$6="EUR"</formula>
    </cfRule>
  </conditionalFormatting>
  <conditionalFormatting sqref="O211:P212">
    <cfRule type="expression" dxfId="465" priority="460">
      <formula>$J$6="GBP"</formula>
    </cfRule>
    <cfRule type="expression" dxfId="464" priority="461">
      <formula>$J$6="EUR"</formula>
    </cfRule>
  </conditionalFormatting>
  <conditionalFormatting sqref="O213:P213">
    <cfRule type="expression" dxfId="463" priority="458">
      <formula>$J$6="GBP"</formula>
    </cfRule>
    <cfRule type="expression" dxfId="462" priority="459">
      <formula>$J$6="EUR"</formula>
    </cfRule>
  </conditionalFormatting>
  <conditionalFormatting sqref="O214:P214">
    <cfRule type="expression" dxfId="461" priority="456">
      <formula>$J$6="GBP"</formula>
    </cfRule>
    <cfRule type="expression" dxfId="460" priority="457">
      <formula>$J$6="EUR"</formula>
    </cfRule>
  </conditionalFormatting>
  <conditionalFormatting sqref="O221:P221">
    <cfRule type="expression" dxfId="459" priority="454">
      <formula>$J$6="GBP"</formula>
    </cfRule>
    <cfRule type="expression" dxfId="458" priority="455">
      <formula>$J$6="EUR"</formula>
    </cfRule>
  </conditionalFormatting>
  <conditionalFormatting sqref="O222:P222">
    <cfRule type="expression" dxfId="457" priority="452">
      <formula>$J$6="GBP"</formula>
    </cfRule>
    <cfRule type="expression" dxfId="456" priority="453">
      <formula>$J$6="EUR"</formula>
    </cfRule>
  </conditionalFormatting>
  <conditionalFormatting sqref="O223:P223">
    <cfRule type="expression" dxfId="455" priority="450">
      <formula>$J$6="GBP"</formula>
    </cfRule>
    <cfRule type="expression" dxfId="454" priority="451">
      <formula>$J$6="EUR"</formula>
    </cfRule>
  </conditionalFormatting>
  <conditionalFormatting sqref="O230:P230">
    <cfRule type="expression" dxfId="453" priority="448">
      <formula>$J$6="GBP"</formula>
    </cfRule>
    <cfRule type="expression" dxfId="452" priority="449">
      <formula>$J$6="EUR"</formula>
    </cfRule>
  </conditionalFormatting>
  <conditionalFormatting sqref="O259:P259">
    <cfRule type="expression" dxfId="451" priority="446">
      <formula>$J$6="GBP"</formula>
    </cfRule>
    <cfRule type="expression" dxfId="450" priority="447">
      <formula>$J$6="EUR"</formula>
    </cfRule>
  </conditionalFormatting>
  <conditionalFormatting sqref="O260:P260">
    <cfRule type="expression" dxfId="449" priority="444">
      <formula>$J$6="GBP"</formula>
    </cfRule>
    <cfRule type="expression" dxfId="448" priority="445">
      <formula>$J$6="EUR"</formula>
    </cfRule>
  </conditionalFormatting>
  <conditionalFormatting sqref="O265:P265">
    <cfRule type="expression" dxfId="447" priority="442">
      <formula>$J$6="GBP"</formula>
    </cfRule>
    <cfRule type="expression" dxfId="446" priority="443">
      <formula>$J$6="EUR"</formula>
    </cfRule>
  </conditionalFormatting>
  <conditionalFormatting sqref="O266:P266">
    <cfRule type="expression" dxfId="445" priority="440">
      <formula>$J$6="GBP"</formula>
    </cfRule>
    <cfRule type="expression" dxfId="444" priority="441">
      <formula>$J$6="EUR"</formula>
    </cfRule>
  </conditionalFormatting>
  <conditionalFormatting sqref="O267:P267">
    <cfRule type="expression" dxfId="443" priority="438">
      <formula>$J$6="GBP"</formula>
    </cfRule>
    <cfRule type="expression" dxfId="442" priority="439">
      <formula>$J$6="EUR"</formula>
    </cfRule>
  </conditionalFormatting>
  <conditionalFormatting sqref="O276:P276">
    <cfRule type="expression" dxfId="441" priority="436">
      <formula>$J$6="GBP"</formula>
    </cfRule>
    <cfRule type="expression" dxfId="440" priority="437">
      <formula>$J$6="EUR"</formula>
    </cfRule>
  </conditionalFormatting>
  <conditionalFormatting sqref="O277:P277">
    <cfRule type="expression" dxfId="439" priority="434">
      <formula>$J$6="GBP"</formula>
    </cfRule>
    <cfRule type="expression" dxfId="438" priority="435">
      <formula>$J$6="EUR"</formula>
    </cfRule>
  </conditionalFormatting>
  <conditionalFormatting sqref="O278:P278">
    <cfRule type="expression" dxfId="437" priority="432">
      <formula>$J$6="GBP"</formula>
    </cfRule>
    <cfRule type="expression" dxfId="436" priority="433">
      <formula>$J$6="EUR"</formula>
    </cfRule>
  </conditionalFormatting>
  <conditionalFormatting sqref="O283:P283">
    <cfRule type="expression" dxfId="435" priority="430">
      <formula>$J$6="GBP"</formula>
    </cfRule>
    <cfRule type="expression" dxfId="434" priority="431">
      <formula>$J$6="EUR"</formula>
    </cfRule>
  </conditionalFormatting>
  <conditionalFormatting sqref="O284:P284">
    <cfRule type="expression" dxfId="433" priority="428">
      <formula>$J$6="GBP"</formula>
    </cfRule>
    <cfRule type="expression" dxfId="432" priority="429">
      <formula>$J$6="EUR"</formula>
    </cfRule>
  </conditionalFormatting>
  <conditionalFormatting sqref="O285:P285">
    <cfRule type="expression" dxfId="431" priority="426">
      <formula>$J$6="GBP"</formula>
    </cfRule>
    <cfRule type="expression" dxfId="430" priority="427">
      <formula>$J$6="EUR"</formula>
    </cfRule>
  </conditionalFormatting>
  <conditionalFormatting sqref="O296:P296">
    <cfRule type="expression" dxfId="429" priority="424">
      <formula>$J$6="GBP"</formula>
    </cfRule>
    <cfRule type="expression" dxfId="428" priority="425">
      <formula>$J$6="EUR"</formula>
    </cfRule>
  </conditionalFormatting>
  <conditionalFormatting sqref="O297:P297">
    <cfRule type="expression" dxfId="427" priority="422">
      <formula>$J$6="GBP"</formula>
    </cfRule>
    <cfRule type="expression" dxfId="426" priority="423">
      <formula>$J$6="EUR"</formula>
    </cfRule>
  </conditionalFormatting>
  <conditionalFormatting sqref="O298:P298">
    <cfRule type="expression" dxfId="425" priority="420">
      <formula>$J$6="GBP"</formula>
    </cfRule>
    <cfRule type="expression" dxfId="424" priority="421">
      <formula>$J$6="EUR"</formula>
    </cfRule>
  </conditionalFormatting>
  <conditionalFormatting sqref="O666:P666">
    <cfRule type="expression" dxfId="423" priority="312">
      <formula>$J$6="GBP"</formula>
    </cfRule>
    <cfRule type="expression" dxfId="422" priority="313">
      <formula>$J$6="EUR"</formula>
    </cfRule>
  </conditionalFormatting>
  <conditionalFormatting sqref="O316:P316">
    <cfRule type="expression" dxfId="421" priority="418">
      <formula>$J$6="GBP"</formula>
    </cfRule>
    <cfRule type="expression" dxfId="420" priority="419">
      <formula>$J$6="EUR"</formula>
    </cfRule>
  </conditionalFormatting>
  <conditionalFormatting sqref="O317:P317">
    <cfRule type="expression" dxfId="419" priority="416">
      <formula>$J$6="GBP"</formula>
    </cfRule>
    <cfRule type="expression" dxfId="418" priority="417">
      <formula>$J$6="EUR"</formula>
    </cfRule>
  </conditionalFormatting>
  <conditionalFormatting sqref="O332:P332">
    <cfRule type="expression" dxfId="417" priority="414">
      <formula>$J$6="GBP"</formula>
    </cfRule>
    <cfRule type="expression" dxfId="416" priority="415">
      <formula>$J$6="EUR"</formula>
    </cfRule>
  </conditionalFormatting>
  <conditionalFormatting sqref="O333:P333">
    <cfRule type="expression" dxfId="415" priority="412">
      <formula>$J$6="GBP"</formula>
    </cfRule>
    <cfRule type="expression" dxfId="414" priority="413">
      <formula>$J$6="EUR"</formula>
    </cfRule>
  </conditionalFormatting>
  <conditionalFormatting sqref="O334:P334">
    <cfRule type="expression" dxfId="413" priority="410">
      <formula>$J$6="GBP"</formula>
    </cfRule>
    <cfRule type="expression" dxfId="412" priority="411">
      <formula>$J$6="EUR"</formula>
    </cfRule>
  </conditionalFormatting>
  <conditionalFormatting sqref="O339:P339">
    <cfRule type="expression" dxfId="411" priority="408">
      <formula>$J$6="GBP"</formula>
    </cfRule>
    <cfRule type="expression" dxfId="410" priority="409">
      <formula>$J$6="EUR"</formula>
    </cfRule>
  </conditionalFormatting>
  <conditionalFormatting sqref="O601:P601">
    <cfRule type="expression" dxfId="409" priority="326">
      <formula>$J$6="GBP"</formula>
    </cfRule>
    <cfRule type="expression" dxfId="408" priority="327">
      <formula>$J$6="EUR"</formula>
    </cfRule>
  </conditionalFormatting>
  <conditionalFormatting sqref="O352:P352">
    <cfRule type="expression" dxfId="407" priority="406">
      <formula>$J$6="GBP"</formula>
    </cfRule>
    <cfRule type="expression" dxfId="406" priority="407">
      <formula>$J$6="EUR"</formula>
    </cfRule>
  </conditionalFormatting>
  <conditionalFormatting sqref="O639:P639">
    <cfRule type="expression" dxfId="405" priority="318">
      <formula>$J$6="GBP"</formula>
    </cfRule>
    <cfRule type="expression" dxfId="404" priority="319">
      <formula>$J$6="EUR"</formula>
    </cfRule>
  </conditionalFormatting>
  <conditionalFormatting sqref="O365:P365">
    <cfRule type="expression" dxfId="403" priority="404">
      <formula>$J$6="GBP"</formula>
    </cfRule>
    <cfRule type="expression" dxfId="402" priority="405">
      <formula>$J$6="EUR"</formula>
    </cfRule>
  </conditionalFormatting>
  <conditionalFormatting sqref="O340:P340">
    <cfRule type="expression" dxfId="401" priority="402">
      <formula>$J$6="GBP"</formula>
    </cfRule>
    <cfRule type="expression" dxfId="400" priority="403">
      <formula>$J$6="EUR"</formula>
    </cfRule>
  </conditionalFormatting>
  <conditionalFormatting sqref="O341:P341">
    <cfRule type="expression" dxfId="399" priority="400">
      <formula>$J$6="GBP"</formula>
    </cfRule>
    <cfRule type="expression" dxfId="398" priority="401">
      <formula>$J$6="EUR"</formula>
    </cfRule>
  </conditionalFormatting>
  <conditionalFormatting sqref="O353:P353">
    <cfRule type="expression" dxfId="397" priority="398">
      <formula>$J$6="GBP"</formula>
    </cfRule>
    <cfRule type="expression" dxfId="396" priority="399">
      <formula>$J$6="EUR"</formula>
    </cfRule>
  </conditionalFormatting>
  <conditionalFormatting sqref="O354:P354">
    <cfRule type="expression" dxfId="395" priority="396">
      <formula>$J$6="GBP"</formula>
    </cfRule>
    <cfRule type="expression" dxfId="394" priority="397">
      <formula>$J$6="EUR"</formula>
    </cfRule>
  </conditionalFormatting>
  <conditionalFormatting sqref="O665:P665">
    <cfRule type="expression" dxfId="393" priority="310">
      <formula>$J$6="GBP"</formula>
    </cfRule>
    <cfRule type="expression" dxfId="392" priority="311">
      <formula>$J$6="EUR"</formula>
    </cfRule>
  </conditionalFormatting>
  <conditionalFormatting sqref="O372:P372">
    <cfRule type="expression" dxfId="391" priority="394">
      <formula>$J$6="GBP"</formula>
    </cfRule>
    <cfRule type="expression" dxfId="390" priority="395">
      <formula>$J$6="EUR"</formula>
    </cfRule>
  </conditionalFormatting>
  <conditionalFormatting sqref="O373:P373">
    <cfRule type="expression" dxfId="389" priority="392">
      <formula>$J$6="GBP"</formula>
    </cfRule>
    <cfRule type="expression" dxfId="388" priority="393">
      <formula>$J$6="EUR"</formula>
    </cfRule>
  </conditionalFormatting>
  <conditionalFormatting sqref="O387:P387">
    <cfRule type="expression" dxfId="387" priority="390">
      <formula>$J$6="GBP"</formula>
    </cfRule>
    <cfRule type="expression" dxfId="386" priority="391">
      <formula>$J$6="EUR"</formula>
    </cfRule>
  </conditionalFormatting>
  <conditionalFormatting sqref="O388:P388">
    <cfRule type="expression" dxfId="385" priority="388">
      <formula>$J$6="GBP"</formula>
    </cfRule>
    <cfRule type="expression" dxfId="384" priority="389">
      <formula>$J$6="EUR"</formula>
    </cfRule>
  </conditionalFormatting>
  <conditionalFormatting sqref="O396:P396">
    <cfRule type="expression" dxfId="383" priority="386">
      <formula>$J$6="GBP"</formula>
    </cfRule>
    <cfRule type="expression" dxfId="382" priority="387">
      <formula>$J$6="EUR"</formula>
    </cfRule>
  </conditionalFormatting>
  <conditionalFormatting sqref="O397:P397">
    <cfRule type="expression" dxfId="381" priority="384">
      <formula>$J$6="GBP"</formula>
    </cfRule>
    <cfRule type="expression" dxfId="380" priority="385">
      <formula>$J$6="EUR"</formula>
    </cfRule>
  </conditionalFormatting>
  <conditionalFormatting sqref="O403:P403">
    <cfRule type="expression" dxfId="379" priority="382">
      <formula>$J$6="GBP"</formula>
    </cfRule>
    <cfRule type="expression" dxfId="378" priority="383">
      <formula>$J$6="EUR"</formula>
    </cfRule>
  </conditionalFormatting>
  <conditionalFormatting sqref="O404:P404">
    <cfRule type="expression" dxfId="377" priority="380">
      <formula>$J$6="GBP"</formula>
    </cfRule>
    <cfRule type="expression" dxfId="376" priority="381">
      <formula>$J$6="EUR"</formula>
    </cfRule>
  </conditionalFormatting>
  <conditionalFormatting sqref="O414:P414">
    <cfRule type="expression" dxfId="375" priority="378">
      <formula>$J$6="GBP"</formula>
    </cfRule>
    <cfRule type="expression" dxfId="374" priority="379">
      <formula>$J$6="EUR"</formula>
    </cfRule>
  </conditionalFormatting>
  <conditionalFormatting sqref="O415:P415">
    <cfRule type="expression" dxfId="373" priority="376">
      <formula>$J$6="GBP"</formula>
    </cfRule>
    <cfRule type="expression" dxfId="372" priority="377">
      <formula>$J$6="EUR"</formula>
    </cfRule>
  </conditionalFormatting>
  <conditionalFormatting sqref="O423:P423">
    <cfRule type="expression" dxfId="371" priority="374">
      <formula>$J$6="GBP"</formula>
    </cfRule>
    <cfRule type="expression" dxfId="370" priority="375">
      <formula>$J$6="EUR"</formula>
    </cfRule>
  </conditionalFormatting>
  <conditionalFormatting sqref="O424:P424">
    <cfRule type="expression" dxfId="369" priority="372">
      <formula>$J$6="GBP"</formula>
    </cfRule>
    <cfRule type="expression" dxfId="368" priority="373">
      <formula>$J$6="EUR"</formula>
    </cfRule>
  </conditionalFormatting>
  <conditionalFormatting sqref="O434:P434">
    <cfRule type="expression" dxfId="367" priority="370">
      <formula>$J$6="GBP"</formula>
    </cfRule>
    <cfRule type="expression" dxfId="366" priority="371">
      <formula>$J$6="EUR"</formula>
    </cfRule>
  </conditionalFormatting>
  <conditionalFormatting sqref="O435:P435">
    <cfRule type="expression" dxfId="365" priority="368">
      <formula>$J$6="GBP"</formula>
    </cfRule>
    <cfRule type="expression" dxfId="364" priority="369">
      <formula>$J$6="EUR"</formula>
    </cfRule>
  </conditionalFormatting>
  <conditionalFormatting sqref="O444:P444">
    <cfRule type="expression" dxfId="363" priority="366">
      <formula>$J$6="GBP"</formula>
    </cfRule>
    <cfRule type="expression" dxfId="362" priority="367">
      <formula>$J$6="EUR"</formula>
    </cfRule>
  </conditionalFormatting>
  <conditionalFormatting sqref="O445:P445">
    <cfRule type="expression" dxfId="361" priority="364">
      <formula>$J$6="GBP"</formula>
    </cfRule>
    <cfRule type="expression" dxfId="360" priority="365">
      <formula>$J$6="EUR"</formula>
    </cfRule>
  </conditionalFormatting>
  <conditionalFormatting sqref="O449:P449">
    <cfRule type="expression" dxfId="359" priority="362">
      <formula>$J$6="GBP"</formula>
    </cfRule>
    <cfRule type="expression" dxfId="358" priority="363">
      <formula>$J$6="EUR"</formula>
    </cfRule>
  </conditionalFormatting>
  <conditionalFormatting sqref="O450:P450">
    <cfRule type="expression" dxfId="357" priority="360">
      <formula>$J$6="GBP"</formula>
    </cfRule>
    <cfRule type="expression" dxfId="356" priority="361">
      <formula>$J$6="EUR"</formula>
    </cfRule>
  </conditionalFormatting>
  <conditionalFormatting sqref="O454:P454">
    <cfRule type="expression" dxfId="355" priority="358">
      <formula>$J$6="GBP"</formula>
    </cfRule>
    <cfRule type="expression" dxfId="354" priority="359">
      <formula>$J$6="EUR"</formula>
    </cfRule>
  </conditionalFormatting>
  <conditionalFormatting sqref="O455:P455">
    <cfRule type="expression" dxfId="353" priority="356">
      <formula>$J$6="GBP"</formula>
    </cfRule>
    <cfRule type="expression" dxfId="352" priority="357">
      <formula>$J$6="EUR"</formula>
    </cfRule>
  </conditionalFormatting>
  <conditionalFormatting sqref="O463:P463">
    <cfRule type="expression" dxfId="351" priority="354">
      <formula>$J$6="GBP"</formula>
    </cfRule>
    <cfRule type="expression" dxfId="350" priority="355">
      <formula>$J$6="EUR"</formula>
    </cfRule>
  </conditionalFormatting>
  <conditionalFormatting sqref="O464:P464">
    <cfRule type="expression" dxfId="349" priority="352">
      <formula>$J$6="GBP"</formula>
    </cfRule>
    <cfRule type="expression" dxfId="348" priority="353">
      <formula>$J$6="EUR"</formula>
    </cfRule>
  </conditionalFormatting>
  <conditionalFormatting sqref="O487:P487">
    <cfRule type="expression" dxfId="347" priority="350">
      <formula>$J$6="GBP"</formula>
    </cfRule>
    <cfRule type="expression" dxfId="346" priority="351">
      <formula>$J$6="EUR"</formula>
    </cfRule>
  </conditionalFormatting>
  <conditionalFormatting sqref="O488:P488">
    <cfRule type="expression" dxfId="345" priority="348">
      <formula>$J$6="GBP"</formula>
    </cfRule>
    <cfRule type="expression" dxfId="344" priority="349">
      <formula>$J$6="EUR"</formula>
    </cfRule>
  </conditionalFormatting>
  <conditionalFormatting sqref="O495:P495">
    <cfRule type="expression" dxfId="343" priority="344">
      <formula>$J$6="GBP"</formula>
    </cfRule>
    <cfRule type="expression" dxfId="342" priority="345">
      <formula>$J$6="EUR"</formula>
    </cfRule>
  </conditionalFormatting>
  <conditionalFormatting sqref="O494:P494">
    <cfRule type="expression" dxfId="341" priority="346">
      <formula>$J$6="GBP"</formula>
    </cfRule>
    <cfRule type="expression" dxfId="340" priority="347">
      <formula>$J$6="EUR"</formula>
    </cfRule>
  </conditionalFormatting>
  <conditionalFormatting sqref="O565:P565">
    <cfRule type="expression" dxfId="339" priority="334">
      <formula>$J$6="GBP"</formula>
    </cfRule>
    <cfRule type="expression" dxfId="338" priority="335">
      <formula>$J$6="EUR"</formula>
    </cfRule>
  </conditionalFormatting>
  <conditionalFormatting sqref="O511:P511">
    <cfRule type="expression" dxfId="337" priority="342">
      <formula>$J$6="GBP"</formula>
    </cfRule>
    <cfRule type="expression" dxfId="336" priority="343">
      <formula>$J$6="EUR"</formula>
    </cfRule>
  </conditionalFormatting>
  <conditionalFormatting sqref="O512:P512">
    <cfRule type="expression" dxfId="335" priority="340">
      <formula>$J$6="GBP"</formula>
    </cfRule>
    <cfRule type="expression" dxfId="334" priority="341">
      <formula>$J$6="EUR"</formula>
    </cfRule>
  </conditionalFormatting>
  <conditionalFormatting sqref="O538:P538">
    <cfRule type="expression" dxfId="333" priority="338">
      <formula>$J$6="GBP"</formula>
    </cfRule>
    <cfRule type="expression" dxfId="332" priority="339">
      <formula>$J$6="EUR"</formula>
    </cfRule>
  </conditionalFormatting>
  <conditionalFormatting sqref="O539:P539">
    <cfRule type="expression" dxfId="331" priority="336">
      <formula>$J$6="GBP"</formula>
    </cfRule>
    <cfRule type="expression" dxfId="330" priority="337">
      <formula>$J$6="EUR"</formula>
    </cfRule>
  </conditionalFormatting>
  <conditionalFormatting sqref="O566:P566">
    <cfRule type="expression" dxfId="329" priority="332">
      <formula>$J$6="GBP"</formula>
    </cfRule>
    <cfRule type="expression" dxfId="328" priority="333">
      <formula>$J$6="EUR"</formula>
    </cfRule>
  </conditionalFormatting>
  <conditionalFormatting sqref="O580:P580">
    <cfRule type="expression" dxfId="327" priority="330">
      <formula>$J$6="GBP"</formula>
    </cfRule>
    <cfRule type="expression" dxfId="326" priority="331">
      <formula>$J$6="EUR"</formula>
    </cfRule>
  </conditionalFormatting>
  <conditionalFormatting sqref="O581:P581">
    <cfRule type="expression" dxfId="325" priority="328">
      <formula>$J$6="GBP"</formula>
    </cfRule>
    <cfRule type="expression" dxfId="324" priority="329">
      <formula>$J$6="EUR"</formula>
    </cfRule>
  </conditionalFormatting>
  <conditionalFormatting sqref="O602:P602">
    <cfRule type="expression" dxfId="323" priority="324">
      <formula>$J$6="GBP"</formula>
    </cfRule>
    <cfRule type="expression" dxfId="322" priority="325">
      <formula>$J$6="EUR"</formula>
    </cfRule>
  </conditionalFormatting>
  <conditionalFormatting sqref="O620:P620">
    <cfRule type="expression" dxfId="321" priority="322">
      <formula>$J$6="GBP"</formula>
    </cfRule>
    <cfRule type="expression" dxfId="320" priority="323">
      <formula>$J$6="EUR"</formula>
    </cfRule>
  </conditionalFormatting>
  <conditionalFormatting sqref="O621:P621">
    <cfRule type="expression" dxfId="319" priority="320">
      <formula>$J$6="GBP"</formula>
    </cfRule>
    <cfRule type="expression" dxfId="318" priority="321">
      <formula>$J$6="EUR"</formula>
    </cfRule>
  </conditionalFormatting>
  <conditionalFormatting sqref="O640:P640">
    <cfRule type="expression" dxfId="317" priority="316">
      <formula>$J$6="GBP"</formula>
    </cfRule>
    <cfRule type="expression" dxfId="316" priority="317">
      <formula>$J$6="EUR"</formula>
    </cfRule>
  </conditionalFormatting>
  <conditionalFormatting sqref="O664:P664">
    <cfRule type="expression" dxfId="315" priority="314">
      <formula>$J$6="GBP"</formula>
    </cfRule>
    <cfRule type="expression" dxfId="314" priority="315">
      <formula>$J$6="EUR"</formula>
    </cfRule>
  </conditionalFormatting>
  <conditionalFormatting sqref="O670:P670">
    <cfRule type="expression" dxfId="313" priority="308">
      <formula>$J$6="GBP"</formula>
    </cfRule>
    <cfRule type="expression" dxfId="312" priority="309">
      <formula>$J$6="EUR"</formula>
    </cfRule>
  </conditionalFormatting>
  <conditionalFormatting sqref="P714">
    <cfRule type="expression" dxfId="311" priority="290">
      <formula>$J$6="GBP"</formula>
    </cfRule>
    <cfRule type="expression" dxfId="310" priority="291">
      <formula>$J$6="EUR"</formula>
    </cfRule>
  </conditionalFormatting>
  <conditionalFormatting sqref="O679:P679">
    <cfRule type="expression" dxfId="309" priority="306">
      <formula>$J$6="GBP"</formula>
    </cfRule>
    <cfRule type="expression" dxfId="308" priority="307">
      <formula>$J$6="EUR"</formula>
    </cfRule>
  </conditionalFormatting>
  <conditionalFormatting sqref="O675:P675">
    <cfRule type="expression" dxfId="307" priority="304">
      <formula>$J$6="GBP"</formula>
    </cfRule>
    <cfRule type="expression" dxfId="306" priority="305">
      <formula>$J$6="EUR"</formula>
    </cfRule>
  </conditionalFormatting>
  <conditionalFormatting sqref="O702:P702">
    <cfRule type="expression" dxfId="305" priority="302">
      <formula>$J$6="GBP"</formula>
    </cfRule>
    <cfRule type="expression" dxfId="304" priority="303">
      <formula>$J$6="EUR"</formula>
    </cfRule>
  </conditionalFormatting>
  <conditionalFormatting sqref="O703:P703">
    <cfRule type="expression" dxfId="303" priority="300">
      <formula>$J$6="GBP"</formula>
    </cfRule>
    <cfRule type="expression" dxfId="302" priority="301">
      <formula>$J$6="EUR"</formula>
    </cfRule>
  </conditionalFormatting>
  <conditionalFormatting sqref="O682:P682">
    <cfRule type="expression" dxfId="301" priority="298">
      <formula>$J$6="GBP"</formula>
    </cfRule>
    <cfRule type="expression" dxfId="300" priority="299">
      <formula>$J$6="EUR"</formula>
    </cfRule>
  </conditionalFormatting>
  <conditionalFormatting sqref="O683:P683">
    <cfRule type="expression" dxfId="299" priority="296">
      <formula>$J$6="GBP"</formula>
    </cfRule>
    <cfRule type="expression" dxfId="298" priority="297">
      <formula>$J$6="EUR"</formula>
    </cfRule>
  </conditionalFormatting>
  <conditionalFormatting sqref="O719:P719">
    <cfRule type="expression" dxfId="297" priority="294">
      <formula>$J$6="GBP"</formula>
    </cfRule>
    <cfRule type="expression" dxfId="296" priority="295">
      <formula>$J$6="EUR"</formula>
    </cfRule>
  </conditionalFormatting>
  <conditionalFormatting sqref="O720:P720">
    <cfRule type="expression" dxfId="295" priority="292">
      <formula>$J$6="GBP"</formula>
    </cfRule>
    <cfRule type="expression" dxfId="294" priority="293">
      <formula>$J$6="EUR"</formula>
    </cfRule>
  </conditionalFormatting>
  <conditionalFormatting sqref="O755:P755">
    <cfRule type="expression" dxfId="293" priority="276">
      <formula>$J$6="GBP"</formula>
    </cfRule>
    <cfRule type="expression" dxfId="292" priority="277">
      <formula>$J$6="EUR"</formula>
    </cfRule>
  </conditionalFormatting>
  <conditionalFormatting sqref="O733:P733">
    <cfRule type="expression" dxfId="291" priority="288">
      <formula>$J$6="GBP"</formula>
    </cfRule>
    <cfRule type="expression" dxfId="290" priority="289">
      <formula>$J$6="EUR"</formula>
    </cfRule>
  </conditionalFormatting>
  <conditionalFormatting sqref="O734:P734">
    <cfRule type="expression" dxfId="289" priority="286">
      <formula>$J$6="GBP"</formula>
    </cfRule>
    <cfRule type="expression" dxfId="288" priority="287">
      <formula>$J$6="EUR"</formula>
    </cfRule>
  </conditionalFormatting>
  <conditionalFormatting sqref="O742:P742">
    <cfRule type="expression" dxfId="287" priority="284">
      <formula>$J$6="GBP"</formula>
    </cfRule>
    <cfRule type="expression" dxfId="286" priority="285">
      <formula>$J$6="EUR"</formula>
    </cfRule>
  </conditionalFormatting>
  <conditionalFormatting sqref="O744:P744">
    <cfRule type="expression" dxfId="285" priority="282">
      <formula>$J$6="GBP"</formula>
    </cfRule>
    <cfRule type="expression" dxfId="284" priority="283">
      <formula>$J$6="EUR"</formula>
    </cfRule>
  </conditionalFormatting>
  <conditionalFormatting sqref="O749:P749">
    <cfRule type="expression" dxfId="283" priority="280">
      <formula>$J$6="GBP"</formula>
    </cfRule>
    <cfRule type="expression" dxfId="282" priority="281">
      <formula>$J$6="EUR"</formula>
    </cfRule>
  </conditionalFormatting>
  <conditionalFormatting sqref="O752:P752">
    <cfRule type="expression" dxfId="281" priority="278">
      <formula>$J$6="GBP"</formula>
    </cfRule>
    <cfRule type="expression" dxfId="280" priority="279">
      <formula>$J$6="EUR"</formula>
    </cfRule>
  </conditionalFormatting>
  <conditionalFormatting sqref="O743:P743">
    <cfRule type="expression" dxfId="279" priority="274">
      <formula>$J$6="GBP"</formula>
    </cfRule>
    <cfRule type="expression" dxfId="278" priority="275">
      <formula>$J$6="EUR"</formula>
    </cfRule>
  </conditionalFormatting>
  <conditionalFormatting sqref="O748:P748">
    <cfRule type="expression" dxfId="277" priority="272">
      <formula>$J$6="GBP"</formula>
    </cfRule>
    <cfRule type="expression" dxfId="276" priority="273">
      <formula>$J$6="EUR"</formula>
    </cfRule>
  </conditionalFormatting>
  <conditionalFormatting sqref="O751:P751">
    <cfRule type="expression" dxfId="275" priority="270">
      <formula>$J$6="GBP"</formula>
    </cfRule>
    <cfRule type="expression" dxfId="274" priority="271">
      <formula>$J$6="EUR"</formula>
    </cfRule>
  </conditionalFormatting>
  <conditionalFormatting sqref="O754:P754">
    <cfRule type="expression" dxfId="273" priority="268">
      <formula>$J$6="GBP"</formula>
    </cfRule>
    <cfRule type="expression" dxfId="272" priority="269">
      <formula>$J$6="EUR"</formula>
    </cfRule>
  </conditionalFormatting>
  <conditionalFormatting sqref="O764:P764">
    <cfRule type="expression" dxfId="271" priority="266">
      <formula>$J$6="GBP"</formula>
    </cfRule>
    <cfRule type="expression" dxfId="270" priority="267">
      <formula>$J$6="EUR"</formula>
    </cfRule>
  </conditionalFormatting>
  <conditionalFormatting sqref="O765:P765">
    <cfRule type="expression" dxfId="269" priority="264">
      <formula>$J$6="GBP"</formula>
    </cfRule>
    <cfRule type="expression" dxfId="268" priority="265">
      <formula>$J$6="EUR"</formula>
    </cfRule>
  </conditionalFormatting>
  <conditionalFormatting sqref="O777:P777">
    <cfRule type="expression" dxfId="267" priority="262">
      <formula>$J$6="GBP"</formula>
    </cfRule>
    <cfRule type="expression" dxfId="266" priority="263">
      <formula>$J$6="EUR"</formula>
    </cfRule>
  </conditionalFormatting>
  <conditionalFormatting sqref="O814:P814">
    <cfRule type="expression" dxfId="265" priority="254">
      <formula>$J$6="GBP"</formula>
    </cfRule>
    <cfRule type="expression" dxfId="264" priority="255">
      <formula>$J$6="EUR"</formula>
    </cfRule>
  </conditionalFormatting>
  <conditionalFormatting sqref="O795:P795">
    <cfRule type="expression" dxfId="263" priority="260">
      <formula>$J$6="GBP"</formula>
    </cfRule>
    <cfRule type="expression" dxfId="262" priority="261">
      <formula>$J$6="EUR"</formula>
    </cfRule>
  </conditionalFormatting>
  <conditionalFormatting sqref="P773">
    <cfRule type="expression" dxfId="261" priority="250">
      <formula>$J$6="GBP"</formula>
    </cfRule>
    <cfRule type="expression" dxfId="260" priority="251">
      <formula>$J$6="EUR"</formula>
    </cfRule>
  </conditionalFormatting>
  <conditionalFormatting sqref="O382:P382">
    <cfRule type="expression" dxfId="259" priority="248">
      <formula>$J$6="GBP"</formula>
    </cfRule>
    <cfRule type="expression" dxfId="258" priority="249">
      <formula>$J$6="EUR"</formula>
    </cfRule>
  </conditionalFormatting>
  <conditionalFormatting sqref="O773">
    <cfRule type="expression" dxfId="257" priority="258">
      <formula>$J$6="GBP"</formula>
    </cfRule>
    <cfRule type="expression" dxfId="256" priority="259">
      <formula>$J$6="EUR"</formula>
    </cfRule>
  </conditionalFormatting>
  <conditionalFormatting sqref="O812:P812">
    <cfRule type="expression" dxfId="255" priority="256">
      <formula>$J$6="GBP"</formula>
    </cfRule>
    <cfRule type="expression" dxfId="254" priority="257">
      <formula>$J$6="EUR"</formula>
    </cfRule>
  </conditionalFormatting>
  <conditionalFormatting sqref="O813:P813">
    <cfRule type="expression" dxfId="253" priority="252">
      <formula>$J$6="GBP"</formula>
    </cfRule>
    <cfRule type="expression" dxfId="252" priority="253">
      <formula>$J$6="EUR"</formula>
    </cfRule>
  </conditionalFormatting>
  <conditionalFormatting sqref="O714">
    <cfRule type="expression" dxfId="251" priority="246">
      <formula>$J$6="GBP"</formula>
    </cfRule>
    <cfRule type="expression" dxfId="250" priority="247">
      <formula>$J$6="EUR"</formula>
    </cfRule>
  </conditionalFormatting>
  <conditionalFormatting sqref="P728">
    <cfRule type="expression" dxfId="249" priority="244">
      <formula>$J$6="GBP"</formula>
    </cfRule>
    <cfRule type="expression" dxfId="248" priority="245">
      <formula>$J$6="EUR"</formula>
    </cfRule>
  </conditionalFormatting>
  <conditionalFormatting sqref="O728">
    <cfRule type="expression" dxfId="247" priority="242">
      <formula>$J$6="GBP"</formula>
    </cfRule>
    <cfRule type="expression" dxfId="246" priority="243">
      <formula>$J$6="EUR"</formula>
    </cfRule>
  </conditionalFormatting>
  <conditionalFormatting sqref="O778:P778">
    <cfRule type="expression" dxfId="245" priority="240">
      <formula>$J$6="GBP"</formula>
    </cfRule>
    <cfRule type="expression" dxfId="244" priority="241">
      <formula>$J$6="EUR"</formula>
    </cfRule>
  </conditionalFormatting>
  <conditionalFormatting sqref="O796:P796">
    <cfRule type="expression" dxfId="243" priority="238">
      <formula>$J$6="GBP"</formula>
    </cfRule>
    <cfRule type="expression" dxfId="242" priority="239">
      <formula>$J$6="EUR"</formula>
    </cfRule>
  </conditionalFormatting>
  <conditionalFormatting sqref="O774:P774">
    <cfRule type="expression" dxfId="241" priority="236">
      <formula>$J$6="GBP"</formula>
    </cfRule>
    <cfRule type="expression" dxfId="240" priority="237">
      <formula>$J$6="EUR"</formula>
    </cfRule>
  </conditionalFormatting>
  <conditionalFormatting sqref="O820:P820">
    <cfRule type="expression" dxfId="239" priority="234">
      <formula>$J$6="GBP"</formula>
    </cfRule>
    <cfRule type="expression" dxfId="238" priority="235">
      <formula>$J$6="EUR"</formula>
    </cfRule>
  </conditionalFormatting>
  <conditionalFormatting sqref="P819">
    <cfRule type="expression" dxfId="237" priority="232">
      <formula>$J$6="GBP"</formula>
    </cfRule>
    <cfRule type="expression" dxfId="236" priority="233">
      <formula>$J$6="EUR"</formula>
    </cfRule>
  </conditionalFormatting>
  <conditionalFormatting sqref="O758:P758">
    <cfRule type="expression" dxfId="235" priority="230">
      <formula>$J$6="GBP"</formula>
    </cfRule>
    <cfRule type="expression" dxfId="234" priority="231">
      <formula>$J$6="EUR"</formula>
    </cfRule>
  </conditionalFormatting>
  <conditionalFormatting sqref="O759:P759">
    <cfRule type="expression" dxfId="233" priority="228">
      <formula>$J$6="GBP"</formula>
    </cfRule>
    <cfRule type="expression" dxfId="232" priority="229">
      <formula>$J$6="EUR"</formula>
    </cfRule>
  </conditionalFormatting>
  <conditionalFormatting sqref="O663:P663">
    <cfRule type="expression" dxfId="231" priority="226">
      <formula>$J$6="GBP"</formula>
    </cfRule>
    <cfRule type="expression" dxfId="230" priority="227">
      <formula>$J$6="EUR"</formula>
    </cfRule>
  </conditionalFormatting>
  <conditionalFormatting sqref="O821:P821">
    <cfRule type="expression" dxfId="229" priority="224">
      <formula>$J$6="GBP"</formula>
    </cfRule>
    <cfRule type="expression" dxfId="228" priority="225">
      <formula>$J$6="EUR"</formula>
    </cfRule>
  </conditionalFormatting>
  <conditionalFormatting sqref="O40:O42 O54:O56 O83:O85 O97:O99 O110:O112 O123:O125 O186:O188 O202:O204 O211:O214 O221:O223 O230 O265:O267 O276:O278 O283:O285 O296:O298 O315:O317 O332:O334 O339:O341 O259:O260 O1:O31 O132:O147 O352:O367 O763:O808 O67:O69 O371:O382 O386:O469 O674:O759 O486:O505 O152:O172 O549:O589 O508:O545 O592:O672 O811:O1048576">
    <cfRule type="expression" dxfId="227" priority="223">
      <formula>$J$6="USD"</formula>
    </cfRule>
  </conditionalFormatting>
  <conditionalFormatting sqref="P32:P39">
    <cfRule type="expression" dxfId="226" priority="221">
      <formula>$J$6="GBP"</formula>
    </cfRule>
    <cfRule type="expression" dxfId="225" priority="222">
      <formula>$J$6="EUR"</formula>
    </cfRule>
  </conditionalFormatting>
  <conditionalFormatting sqref="P43:P53">
    <cfRule type="expression" dxfId="224" priority="219">
      <formula>$J$6="GBP"</formula>
    </cfRule>
    <cfRule type="expression" dxfId="223" priority="220">
      <formula>$J$6="EUR"</formula>
    </cfRule>
  </conditionalFormatting>
  <conditionalFormatting sqref="P57:P66">
    <cfRule type="expression" dxfId="222" priority="217">
      <formula>$J$6="GBP"</formula>
    </cfRule>
    <cfRule type="expression" dxfId="221" priority="218">
      <formula>$J$6="EUR"</formula>
    </cfRule>
  </conditionalFormatting>
  <conditionalFormatting sqref="P70:P82">
    <cfRule type="expression" dxfId="220" priority="215">
      <formula>$J$6="GBP"</formula>
    </cfRule>
    <cfRule type="expression" dxfId="219" priority="216">
      <formula>$J$6="EUR"</formula>
    </cfRule>
  </conditionalFormatting>
  <conditionalFormatting sqref="P86:P91 P94:P96">
    <cfRule type="expression" dxfId="218" priority="213">
      <formula>$J$6="GBP"</formula>
    </cfRule>
    <cfRule type="expression" dxfId="217" priority="214">
      <formula>$J$6="EUR"</formula>
    </cfRule>
  </conditionalFormatting>
  <conditionalFormatting sqref="P101:P109">
    <cfRule type="expression" dxfId="216" priority="211">
      <formula>$J$6="GBP"</formula>
    </cfRule>
    <cfRule type="expression" dxfId="215" priority="212">
      <formula>$J$6="EUR"</formula>
    </cfRule>
  </conditionalFormatting>
  <conditionalFormatting sqref="P113:P122">
    <cfRule type="expression" dxfId="214" priority="209">
      <formula>$J$6="GBP"</formula>
    </cfRule>
    <cfRule type="expression" dxfId="213" priority="210">
      <formula>$J$6="EUR"</formula>
    </cfRule>
  </conditionalFormatting>
  <conditionalFormatting sqref="P126:P131">
    <cfRule type="expression" dxfId="212" priority="207">
      <formula>$J$6="GBP"</formula>
    </cfRule>
    <cfRule type="expression" dxfId="211" priority="208">
      <formula>$J$6="EUR"</formula>
    </cfRule>
  </conditionalFormatting>
  <conditionalFormatting sqref="P148:P151">
    <cfRule type="expression" dxfId="210" priority="205">
      <formula>$J$6="GBP"</formula>
    </cfRule>
    <cfRule type="expression" dxfId="209" priority="206">
      <formula>$J$6="EUR"</formula>
    </cfRule>
  </conditionalFormatting>
  <conditionalFormatting sqref="P173:P175 P178:P185">
    <cfRule type="expression" dxfId="208" priority="203">
      <formula>$J$6="GBP"</formula>
    </cfRule>
    <cfRule type="expression" dxfId="207" priority="204">
      <formula>$J$6="EUR"</formula>
    </cfRule>
  </conditionalFormatting>
  <conditionalFormatting sqref="P189:P201">
    <cfRule type="expression" dxfId="206" priority="201">
      <formula>$J$6="GBP"</formula>
    </cfRule>
    <cfRule type="expression" dxfId="205" priority="202">
      <formula>$J$6="EUR"</formula>
    </cfRule>
  </conditionalFormatting>
  <conditionalFormatting sqref="P205:P210">
    <cfRule type="expression" dxfId="204" priority="199">
      <formula>$J$6="GBP"</formula>
    </cfRule>
    <cfRule type="expression" dxfId="203" priority="200">
      <formula>$J$6="EUR"</formula>
    </cfRule>
  </conditionalFormatting>
  <conditionalFormatting sqref="P215:P219">
    <cfRule type="expression" dxfId="202" priority="197">
      <formula>$J$6="GBP"</formula>
    </cfRule>
    <cfRule type="expression" dxfId="201" priority="198">
      <formula>$J$6="EUR"</formula>
    </cfRule>
  </conditionalFormatting>
  <conditionalFormatting sqref="P224:P229">
    <cfRule type="expression" dxfId="200" priority="195">
      <formula>$J$6="GBP"</formula>
    </cfRule>
    <cfRule type="expression" dxfId="199" priority="196">
      <formula>$J$6="EUR"</formula>
    </cfRule>
  </conditionalFormatting>
  <conditionalFormatting sqref="P261:P264">
    <cfRule type="expression" dxfId="198" priority="193">
      <formula>$J$6="GBP"</formula>
    </cfRule>
    <cfRule type="expression" dxfId="197" priority="194">
      <formula>$J$6="EUR"</formula>
    </cfRule>
  </conditionalFormatting>
  <conditionalFormatting sqref="P268:P275">
    <cfRule type="expression" dxfId="196" priority="191">
      <formula>$J$6="GBP"</formula>
    </cfRule>
    <cfRule type="expression" dxfId="195" priority="192">
      <formula>$J$6="EUR"</formula>
    </cfRule>
  </conditionalFormatting>
  <conditionalFormatting sqref="P280:P282">
    <cfRule type="expression" dxfId="194" priority="189">
      <formula>$J$6="GBP"</formula>
    </cfRule>
    <cfRule type="expression" dxfId="193" priority="190">
      <formula>$J$6="EUR"</formula>
    </cfRule>
  </conditionalFormatting>
  <conditionalFormatting sqref="P286:P295">
    <cfRule type="expression" dxfId="192" priority="187">
      <formula>$J$6="GBP"</formula>
    </cfRule>
    <cfRule type="expression" dxfId="191" priority="188">
      <formula>$J$6="EUR"</formula>
    </cfRule>
  </conditionalFormatting>
  <conditionalFormatting sqref="P299:P314">
    <cfRule type="expression" dxfId="190" priority="185">
      <formula>$J$6="GBP"</formula>
    </cfRule>
    <cfRule type="expression" dxfId="189" priority="186">
      <formula>$J$6="EUR"</formula>
    </cfRule>
  </conditionalFormatting>
  <conditionalFormatting sqref="P318:P331">
    <cfRule type="expression" dxfId="188" priority="183">
      <formula>$J$6="GBP"</formula>
    </cfRule>
    <cfRule type="expression" dxfId="187" priority="184">
      <formula>$J$6="EUR"</formula>
    </cfRule>
  </conditionalFormatting>
  <conditionalFormatting sqref="P335:P338">
    <cfRule type="expression" dxfId="186" priority="181">
      <formula>$J$6="GBP"</formula>
    </cfRule>
    <cfRule type="expression" dxfId="185" priority="182">
      <formula>$J$6="EUR"</formula>
    </cfRule>
  </conditionalFormatting>
  <conditionalFormatting sqref="P342:P351">
    <cfRule type="expression" dxfId="184" priority="179">
      <formula>$J$6="GBP"</formula>
    </cfRule>
    <cfRule type="expression" dxfId="183" priority="180">
      <formula>$J$6="EUR"</formula>
    </cfRule>
  </conditionalFormatting>
  <conditionalFormatting sqref="P383:P385">
    <cfRule type="expression" dxfId="182" priority="177">
      <formula>$J$6="GBP"</formula>
    </cfRule>
    <cfRule type="expression" dxfId="181" priority="178">
      <formula>$J$6="EUR"</formula>
    </cfRule>
  </conditionalFormatting>
  <conditionalFormatting sqref="P760:P762">
    <cfRule type="expression" dxfId="180" priority="175">
      <formula>$J$6="GBP"</formula>
    </cfRule>
    <cfRule type="expression" dxfId="179" priority="176">
      <formula>$J$6="EUR"</formula>
    </cfRule>
  </conditionalFormatting>
  <conditionalFormatting sqref="O32:O39">
    <cfRule type="expression" dxfId="178" priority="173">
      <formula>$J$6="GBP"</formula>
    </cfRule>
    <cfRule type="expression" dxfId="177" priority="174">
      <formula>$J$6="EUR"</formula>
    </cfRule>
  </conditionalFormatting>
  <conditionalFormatting sqref="O32:O39">
    <cfRule type="expression" dxfId="176" priority="172">
      <formula>$J$6="USD"</formula>
    </cfRule>
  </conditionalFormatting>
  <conditionalFormatting sqref="O43:O53">
    <cfRule type="expression" dxfId="175" priority="170">
      <formula>$J$6="GBP"</formula>
    </cfRule>
    <cfRule type="expression" dxfId="174" priority="171">
      <formula>$J$6="EUR"</formula>
    </cfRule>
  </conditionalFormatting>
  <conditionalFormatting sqref="O43:O53">
    <cfRule type="expression" dxfId="173" priority="169">
      <formula>$J$6="USD"</formula>
    </cfRule>
  </conditionalFormatting>
  <conditionalFormatting sqref="O57:O66">
    <cfRule type="expression" dxfId="172" priority="167">
      <formula>$J$6="GBP"</formula>
    </cfRule>
    <cfRule type="expression" dxfId="171" priority="168">
      <formula>$J$6="EUR"</formula>
    </cfRule>
  </conditionalFormatting>
  <conditionalFormatting sqref="O57:O66">
    <cfRule type="expression" dxfId="170" priority="166">
      <formula>$J$6="USD"</formula>
    </cfRule>
  </conditionalFormatting>
  <conditionalFormatting sqref="O70:O82">
    <cfRule type="expression" dxfId="169" priority="164">
      <formula>$J$6="GBP"</formula>
    </cfRule>
    <cfRule type="expression" dxfId="168" priority="165">
      <formula>$J$6="EUR"</formula>
    </cfRule>
  </conditionalFormatting>
  <conditionalFormatting sqref="O70:O82">
    <cfRule type="expression" dxfId="167" priority="163">
      <formula>$J$6="USD"</formula>
    </cfRule>
  </conditionalFormatting>
  <conditionalFormatting sqref="O86:O91 O94:O96">
    <cfRule type="expression" dxfId="166" priority="161">
      <formula>$J$6="GBP"</formula>
    </cfRule>
    <cfRule type="expression" dxfId="165" priority="162">
      <formula>$J$6="EUR"</formula>
    </cfRule>
  </conditionalFormatting>
  <conditionalFormatting sqref="O86:O91 O94:O96">
    <cfRule type="expression" dxfId="164" priority="160">
      <formula>$J$6="USD"</formula>
    </cfRule>
  </conditionalFormatting>
  <conditionalFormatting sqref="O101:O109">
    <cfRule type="expression" dxfId="163" priority="158">
      <formula>$J$6="GBP"</formula>
    </cfRule>
    <cfRule type="expression" dxfId="162" priority="159">
      <formula>$J$6="EUR"</formula>
    </cfRule>
  </conditionalFormatting>
  <conditionalFormatting sqref="O101:O109">
    <cfRule type="expression" dxfId="161" priority="157">
      <formula>$J$6="USD"</formula>
    </cfRule>
  </conditionalFormatting>
  <conditionalFormatting sqref="O113:O122">
    <cfRule type="expression" dxfId="160" priority="155">
      <formula>$J$6="GBP"</formula>
    </cfRule>
    <cfRule type="expression" dxfId="159" priority="156">
      <formula>$J$6="EUR"</formula>
    </cfRule>
  </conditionalFormatting>
  <conditionalFormatting sqref="O113:O122">
    <cfRule type="expression" dxfId="158" priority="154">
      <formula>$J$6="USD"</formula>
    </cfRule>
  </conditionalFormatting>
  <conditionalFormatting sqref="O126:O131">
    <cfRule type="expression" dxfId="157" priority="152">
      <formula>$J$6="GBP"</formula>
    </cfRule>
    <cfRule type="expression" dxfId="156" priority="153">
      <formula>$J$6="EUR"</formula>
    </cfRule>
  </conditionalFormatting>
  <conditionalFormatting sqref="O126:O131">
    <cfRule type="expression" dxfId="155" priority="151">
      <formula>$J$6="USD"</formula>
    </cfRule>
  </conditionalFormatting>
  <conditionalFormatting sqref="O148:O151">
    <cfRule type="expression" dxfId="154" priority="149">
      <formula>$J$6="GBP"</formula>
    </cfRule>
    <cfRule type="expression" dxfId="153" priority="150">
      <formula>$J$6="EUR"</formula>
    </cfRule>
  </conditionalFormatting>
  <conditionalFormatting sqref="O148:O151">
    <cfRule type="expression" dxfId="152" priority="148">
      <formula>$J$6="USD"</formula>
    </cfRule>
  </conditionalFormatting>
  <conditionalFormatting sqref="O173:O175 O178:O185">
    <cfRule type="expression" dxfId="151" priority="146">
      <formula>$J$6="GBP"</formula>
    </cfRule>
    <cfRule type="expression" dxfId="150" priority="147">
      <formula>$J$6="EUR"</formula>
    </cfRule>
  </conditionalFormatting>
  <conditionalFormatting sqref="O173:O175 O178:O185">
    <cfRule type="expression" dxfId="149" priority="145">
      <formula>$J$6="USD"</formula>
    </cfRule>
  </conditionalFormatting>
  <conditionalFormatting sqref="O189:O201">
    <cfRule type="expression" dxfId="148" priority="143">
      <formula>$J$6="GBP"</formula>
    </cfRule>
    <cfRule type="expression" dxfId="147" priority="144">
      <formula>$J$6="EUR"</formula>
    </cfRule>
  </conditionalFormatting>
  <conditionalFormatting sqref="O189:O201">
    <cfRule type="expression" dxfId="146" priority="142">
      <formula>$J$6="USD"</formula>
    </cfRule>
  </conditionalFormatting>
  <conditionalFormatting sqref="O205:O210">
    <cfRule type="expression" dxfId="145" priority="140">
      <formula>$J$6="GBP"</formula>
    </cfRule>
    <cfRule type="expression" dxfId="144" priority="141">
      <formula>$J$6="EUR"</formula>
    </cfRule>
  </conditionalFormatting>
  <conditionalFormatting sqref="O205:O210">
    <cfRule type="expression" dxfId="143" priority="139">
      <formula>$J$6="USD"</formula>
    </cfRule>
  </conditionalFormatting>
  <conditionalFormatting sqref="O215:O219">
    <cfRule type="expression" dxfId="142" priority="137">
      <formula>$J$6="GBP"</formula>
    </cfRule>
    <cfRule type="expression" dxfId="141" priority="138">
      <formula>$J$6="EUR"</formula>
    </cfRule>
  </conditionalFormatting>
  <conditionalFormatting sqref="O215:O219">
    <cfRule type="expression" dxfId="140" priority="136">
      <formula>$J$6="USD"</formula>
    </cfRule>
  </conditionalFormatting>
  <conditionalFormatting sqref="O224:O229">
    <cfRule type="expression" dxfId="139" priority="134">
      <formula>$J$6="GBP"</formula>
    </cfRule>
    <cfRule type="expression" dxfId="138" priority="135">
      <formula>$J$6="EUR"</formula>
    </cfRule>
  </conditionalFormatting>
  <conditionalFormatting sqref="O224:O229">
    <cfRule type="expression" dxfId="137" priority="133">
      <formula>$J$6="USD"</formula>
    </cfRule>
  </conditionalFormatting>
  <conditionalFormatting sqref="O261:O264">
    <cfRule type="expression" dxfId="136" priority="131">
      <formula>$J$6="GBP"</formula>
    </cfRule>
    <cfRule type="expression" dxfId="135" priority="132">
      <formula>$J$6="EUR"</formula>
    </cfRule>
  </conditionalFormatting>
  <conditionalFormatting sqref="O261:O264">
    <cfRule type="expression" dxfId="134" priority="130">
      <formula>$J$6="USD"</formula>
    </cfRule>
  </conditionalFormatting>
  <conditionalFormatting sqref="O268:O275">
    <cfRule type="expression" dxfId="133" priority="128">
      <formula>$J$6="GBP"</formula>
    </cfRule>
    <cfRule type="expression" dxfId="132" priority="129">
      <formula>$J$6="EUR"</formula>
    </cfRule>
  </conditionalFormatting>
  <conditionalFormatting sqref="O268:O275">
    <cfRule type="expression" dxfId="131" priority="127">
      <formula>$J$6="USD"</formula>
    </cfRule>
  </conditionalFormatting>
  <conditionalFormatting sqref="O280:O282">
    <cfRule type="expression" dxfId="130" priority="125">
      <formula>$J$6="GBP"</formula>
    </cfRule>
    <cfRule type="expression" dxfId="129" priority="126">
      <formula>$J$6="EUR"</formula>
    </cfRule>
  </conditionalFormatting>
  <conditionalFormatting sqref="O280:O282">
    <cfRule type="expression" dxfId="128" priority="124">
      <formula>$J$6="USD"</formula>
    </cfRule>
  </conditionalFormatting>
  <conditionalFormatting sqref="O286:O295">
    <cfRule type="expression" dxfId="127" priority="122">
      <formula>$J$6="GBP"</formula>
    </cfRule>
    <cfRule type="expression" dxfId="126" priority="123">
      <formula>$J$6="EUR"</formula>
    </cfRule>
  </conditionalFormatting>
  <conditionalFormatting sqref="O286:O295">
    <cfRule type="expression" dxfId="125" priority="121">
      <formula>$J$6="USD"</formula>
    </cfRule>
  </conditionalFormatting>
  <conditionalFormatting sqref="O299:O314">
    <cfRule type="expression" dxfId="124" priority="119">
      <formula>$J$6="GBP"</formula>
    </cfRule>
    <cfRule type="expression" dxfId="123" priority="120">
      <formula>$J$6="EUR"</formula>
    </cfRule>
  </conditionalFormatting>
  <conditionalFormatting sqref="O299:O314">
    <cfRule type="expression" dxfId="122" priority="118">
      <formula>$J$6="USD"</formula>
    </cfRule>
  </conditionalFormatting>
  <conditionalFormatting sqref="O318:O331">
    <cfRule type="expression" dxfId="121" priority="116">
      <formula>$J$6="GBP"</formula>
    </cfRule>
    <cfRule type="expression" dxfId="120" priority="117">
      <formula>$J$6="EUR"</formula>
    </cfRule>
  </conditionalFormatting>
  <conditionalFormatting sqref="O318:O331">
    <cfRule type="expression" dxfId="119" priority="115">
      <formula>$J$6="USD"</formula>
    </cfRule>
  </conditionalFormatting>
  <conditionalFormatting sqref="O335:O338">
    <cfRule type="expression" dxfId="118" priority="113">
      <formula>$J$6="GBP"</formula>
    </cfRule>
    <cfRule type="expression" dxfId="117" priority="114">
      <formula>$J$6="EUR"</formula>
    </cfRule>
  </conditionalFormatting>
  <conditionalFormatting sqref="O335:O338">
    <cfRule type="expression" dxfId="116" priority="112">
      <formula>$J$6="USD"</formula>
    </cfRule>
  </conditionalFormatting>
  <conditionalFormatting sqref="O342:O351">
    <cfRule type="expression" dxfId="115" priority="110">
      <formula>$J$6="GBP"</formula>
    </cfRule>
    <cfRule type="expression" dxfId="114" priority="111">
      <formula>$J$6="EUR"</formula>
    </cfRule>
  </conditionalFormatting>
  <conditionalFormatting sqref="O342:O351">
    <cfRule type="expression" dxfId="113" priority="109">
      <formula>$J$6="USD"</formula>
    </cfRule>
  </conditionalFormatting>
  <conditionalFormatting sqref="O383:O385">
    <cfRule type="expression" dxfId="112" priority="107">
      <formula>$J$6="GBP"</formula>
    </cfRule>
    <cfRule type="expression" dxfId="111" priority="108">
      <formula>$J$6="EUR"</formula>
    </cfRule>
  </conditionalFormatting>
  <conditionalFormatting sqref="O383:O385">
    <cfRule type="expression" dxfId="110" priority="106">
      <formula>$J$6="USD"</formula>
    </cfRule>
  </conditionalFormatting>
  <conditionalFormatting sqref="O760:O762">
    <cfRule type="expression" dxfId="109" priority="104">
      <formula>$J$6="GBP"</formula>
    </cfRule>
    <cfRule type="expression" dxfId="108" priority="105">
      <formula>$J$6="EUR"</formula>
    </cfRule>
  </conditionalFormatting>
  <conditionalFormatting sqref="O760:O762">
    <cfRule type="expression" dxfId="107" priority="103">
      <formula>$J$6="USD"</formula>
    </cfRule>
  </conditionalFormatting>
  <conditionalFormatting sqref="O245:P245">
    <cfRule type="expression" dxfId="106" priority="101">
      <formula>$J$6="GBP"</formula>
    </cfRule>
    <cfRule type="expression" dxfId="105" priority="102">
      <formula>$J$6="EUR"</formula>
    </cfRule>
  </conditionalFormatting>
  <conditionalFormatting sqref="O246:P246">
    <cfRule type="expression" dxfId="104" priority="99">
      <formula>$J$6="GBP"</formula>
    </cfRule>
    <cfRule type="expression" dxfId="103" priority="100">
      <formula>$J$6="EUR"</formula>
    </cfRule>
  </conditionalFormatting>
  <conditionalFormatting sqref="O255:P258">
    <cfRule type="expression" dxfId="102" priority="97">
      <formula>$J$6="GBP"</formula>
    </cfRule>
    <cfRule type="expression" dxfId="101" priority="98">
      <formula>$J$6="EUR"</formula>
    </cfRule>
  </conditionalFormatting>
  <conditionalFormatting sqref="O245:O246 O255:O258">
    <cfRule type="expression" dxfId="100" priority="96">
      <formula>$J$6="USD"</formula>
    </cfRule>
  </conditionalFormatting>
  <conditionalFormatting sqref="P247:P254">
    <cfRule type="expression" dxfId="99" priority="94">
      <formula>$J$6="GBP"</formula>
    </cfRule>
    <cfRule type="expression" dxfId="98" priority="95">
      <formula>$J$6="EUR"</formula>
    </cfRule>
  </conditionalFormatting>
  <conditionalFormatting sqref="O247:O254">
    <cfRule type="expression" dxfId="97" priority="92">
      <formula>$J$6="GBP"</formula>
    </cfRule>
    <cfRule type="expression" dxfId="96" priority="93">
      <formula>$J$6="EUR"</formula>
    </cfRule>
  </conditionalFormatting>
  <conditionalFormatting sqref="O247:O254">
    <cfRule type="expression" dxfId="95" priority="91">
      <formula>$J$6="USD"</formula>
    </cfRule>
  </conditionalFormatting>
  <conditionalFormatting sqref="O693:P693">
    <cfRule type="expression" dxfId="94" priority="89">
      <formula>$J$6="GBP"</formula>
    </cfRule>
    <cfRule type="expression" dxfId="93" priority="90">
      <formula>$J$6="EUR"</formula>
    </cfRule>
  </conditionalFormatting>
  <conditionalFormatting sqref="O694:P695">
    <cfRule type="expression" dxfId="92" priority="87">
      <formula>$J$6="GBP"</formula>
    </cfRule>
    <cfRule type="expression" dxfId="91" priority="88">
      <formula>$J$6="EUR"</formula>
    </cfRule>
  </conditionalFormatting>
  <conditionalFormatting sqref="O369:P370">
    <cfRule type="expression" dxfId="90" priority="85">
      <formula>$J$6="GBP"</formula>
    </cfRule>
    <cfRule type="expression" dxfId="89" priority="86">
      <formula>$J$6="EUR"</formula>
    </cfRule>
  </conditionalFormatting>
  <conditionalFormatting sqref="O368:P368">
    <cfRule type="expression" dxfId="88" priority="83">
      <formula>$J$6="GBP"</formula>
    </cfRule>
    <cfRule type="expression" dxfId="87" priority="84">
      <formula>$J$6="EUR"</formula>
    </cfRule>
  </conditionalFormatting>
  <conditionalFormatting sqref="O368:O370">
    <cfRule type="expression" dxfId="86" priority="82">
      <formula>$J$6="USD"</formula>
    </cfRule>
  </conditionalFormatting>
  <conditionalFormatting sqref="O382">
    <cfRule type="expression" dxfId="85" priority="80">
      <formula>$J$6="GBP"</formula>
    </cfRule>
    <cfRule type="expression" dxfId="84" priority="81">
      <formula>$J$6="EUR"</formula>
    </cfRule>
  </conditionalFormatting>
  <conditionalFormatting sqref="P100">
    <cfRule type="expression" dxfId="83" priority="78">
      <formula>$J$6="GBP"</formula>
    </cfRule>
    <cfRule type="expression" dxfId="82" priority="79">
      <formula>$J$6="EUR"</formula>
    </cfRule>
  </conditionalFormatting>
  <conditionalFormatting sqref="O100">
    <cfRule type="expression" dxfId="81" priority="76">
      <formula>$J$6="GBP"</formula>
    </cfRule>
    <cfRule type="expression" dxfId="80" priority="77">
      <formula>$J$6="EUR"</formula>
    </cfRule>
  </conditionalFormatting>
  <conditionalFormatting sqref="O100">
    <cfRule type="expression" dxfId="79" priority="75">
      <formula>$J$6="USD"</formula>
    </cfRule>
  </conditionalFormatting>
  <conditionalFormatting sqref="P220">
    <cfRule type="expression" dxfId="78" priority="73">
      <formula>$J$6="GBP"</formula>
    </cfRule>
    <cfRule type="expression" dxfId="77" priority="74">
      <formula>$J$6="EUR"</formula>
    </cfRule>
  </conditionalFormatting>
  <conditionalFormatting sqref="O220">
    <cfRule type="expression" dxfId="76" priority="71">
      <formula>$J$6="GBP"</formula>
    </cfRule>
    <cfRule type="expression" dxfId="75" priority="72">
      <formula>$J$6="EUR"</formula>
    </cfRule>
  </conditionalFormatting>
  <conditionalFormatting sqref="O220">
    <cfRule type="expression" dxfId="74" priority="70">
      <formula>$J$6="USD"</formula>
    </cfRule>
  </conditionalFormatting>
  <conditionalFormatting sqref="O231:P231">
    <cfRule type="expression" dxfId="73" priority="68">
      <formula>$J$6="GBP"</formula>
    </cfRule>
    <cfRule type="expression" dxfId="72" priority="69">
      <formula>$J$6="EUR"</formula>
    </cfRule>
  </conditionalFormatting>
  <conditionalFormatting sqref="O232:P232">
    <cfRule type="expression" dxfId="71" priority="66">
      <formula>$J$6="GBP"</formula>
    </cfRule>
    <cfRule type="expression" dxfId="70" priority="67">
      <formula>$J$6="EUR"</formula>
    </cfRule>
  </conditionalFormatting>
  <conditionalFormatting sqref="O231:O232">
    <cfRule type="expression" dxfId="69" priority="65">
      <formula>$J$6="USD"</formula>
    </cfRule>
  </conditionalFormatting>
  <conditionalFormatting sqref="P233 P237:P244">
    <cfRule type="expression" dxfId="68" priority="63">
      <formula>$J$6="GBP"</formula>
    </cfRule>
    <cfRule type="expression" dxfId="67" priority="64">
      <formula>$J$6="EUR"</formula>
    </cfRule>
  </conditionalFormatting>
  <conditionalFormatting sqref="O233 O237:O244">
    <cfRule type="expression" dxfId="66" priority="61">
      <formula>$J$6="GBP"</formula>
    </cfRule>
    <cfRule type="expression" dxfId="65" priority="62">
      <formula>$J$6="EUR"</formula>
    </cfRule>
  </conditionalFormatting>
  <conditionalFormatting sqref="O233 O237:O244">
    <cfRule type="expression" dxfId="64" priority="60">
      <formula>$J$6="USD"</formula>
    </cfRule>
  </conditionalFormatting>
  <conditionalFormatting sqref="P234:P236">
    <cfRule type="expression" dxfId="63" priority="58">
      <formula>$J$6="GBP"</formula>
    </cfRule>
    <cfRule type="expression" dxfId="62" priority="59">
      <formula>$J$6="EUR"</formula>
    </cfRule>
  </conditionalFormatting>
  <conditionalFormatting sqref="O234:O236">
    <cfRule type="expression" dxfId="61" priority="56">
      <formula>$J$6="GBP"</formula>
    </cfRule>
    <cfRule type="expression" dxfId="60" priority="57">
      <formula>$J$6="EUR"</formula>
    </cfRule>
  </conditionalFormatting>
  <conditionalFormatting sqref="O234:O236">
    <cfRule type="expression" dxfId="59" priority="55">
      <formula>$J$6="USD"</formula>
    </cfRule>
  </conditionalFormatting>
  <conditionalFormatting sqref="P279">
    <cfRule type="expression" dxfId="58" priority="53">
      <formula>$J$6="GBP"</formula>
    </cfRule>
    <cfRule type="expression" dxfId="57" priority="54">
      <formula>$J$6="EUR"</formula>
    </cfRule>
  </conditionalFormatting>
  <conditionalFormatting sqref="O279">
    <cfRule type="expression" dxfId="56" priority="51">
      <formula>$J$6="GBP"</formula>
    </cfRule>
    <cfRule type="expression" dxfId="55" priority="52">
      <formula>$J$6="EUR"</formula>
    </cfRule>
  </conditionalFormatting>
  <conditionalFormatting sqref="O279">
    <cfRule type="expression" dxfId="54" priority="50">
      <formula>$J$6="USD"</formula>
    </cfRule>
  </conditionalFormatting>
  <conditionalFormatting sqref="O546:P546">
    <cfRule type="expression" dxfId="53" priority="48">
      <formula>$J$6="GBP"</formula>
    </cfRule>
    <cfRule type="expression" dxfId="52" priority="49">
      <formula>$J$6="EUR"</formula>
    </cfRule>
  </conditionalFormatting>
  <conditionalFormatting sqref="O547:P547">
    <cfRule type="expression" dxfId="51" priority="46">
      <formula>$J$6="GBP"</formula>
    </cfRule>
    <cfRule type="expression" dxfId="50" priority="47">
      <formula>$J$6="EUR"</formula>
    </cfRule>
  </conditionalFormatting>
  <conditionalFormatting sqref="O548:P548">
    <cfRule type="expression" dxfId="49" priority="44">
      <formula>$J$6="GBP"</formula>
    </cfRule>
    <cfRule type="expression" dxfId="48" priority="45">
      <formula>$J$6="EUR"</formula>
    </cfRule>
  </conditionalFormatting>
  <conditionalFormatting sqref="O546:O548">
    <cfRule type="expression" dxfId="47" priority="43">
      <formula>$J$6="USD"</formula>
    </cfRule>
  </conditionalFormatting>
  <conditionalFormatting sqref="O673:P673">
    <cfRule type="expression" dxfId="46" priority="41">
      <formula>$J$6="GBP"</formula>
    </cfRule>
    <cfRule type="expression" dxfId="45" priority="42">
      <formula>$J$6="EUR"</formula>
    </cfRule>
  </conditionalFormatting>
  <conditionalFormatting sqref="O673">
    <cfRule type="expression" dxfId="44" priority="40">
      <formula>$J$6="USD"</formula>
    </cfRule>
  </conditionalFormatting>
  <conditionalFormatting sqref="O747:P747">
    <cfRule type="expression" dxfId="43" priority="38">
      <formula>$J$6="GBP"</formula>
    </cfRule>
    <cfRule type="expression" dxfId="42" priority="39">
      <formula>$J$6="EUR"</formula>
    </cfRule>
  </conditionalFormatting>
  <conditionalFormatting sqref="O472:P477 O480:P485">
    <cfRule type="expression" dxfId="41" priority="33">
      <formula>$J$6="GBP"</formula>
    </cfRule>
    <cfRule type="expression" dxfId="40" priority="34">
      <formula>$J$6="EUR"</formula>
    </cfRule>
  </conditionalFormatting>
  <conditionalFormatting sqref="O470:P470">
    <cfRule type="expression" dxfId="39" priority="31">
      <formula>$J$6="GBP"</formula>
    </cfRule>
    <cfRule type="expression" dxfId="38" priority="32">
      <formula>$J$6="EUR"</formula>
    </cfRule>
  </conditionalFormatting>
  <conditionalFormatting sqref="O471:P471">
    <cfRule type="expression" dxfId="37" priority="29">
      <formula>$J$6="GBP"</formula>
    </cfRule>
    <cfRule type="expression" dxfId="36" priority="30">
      <formula>$J$6="EUR"</formula>
    </cfRule>
  </conditionalFormatting>
  <conditionalFormatting sqref="O479:P479">
    <cfRule type="expression" dxfId="35" priority="27">
      <formula>$J$6="GBP"</formula>
    </cfRule>
    <cfRule type="expression" dxfId="34" priority="28">
      <formula>$J$6="EUR"</formula>
    </cfRule>
  </conditionalFormatting>
  <conditionalFormatting sqref="O478:P478">
    <cfRule type="expression" dxfId="33" priority="25">
      <formula>$J$6="GBP"</formula>
    </cfRule>
    <cfRule type="expression" dxfId="32" priority="26">
      <formula>$J$6="EUR"</formula>
    </cfRule>
  </conditionalFormatting>
  <conditionalFormatting sqref="O470:O485">
    <cfRule type="expression" dxfId="31" priority="24">
      <formula>$J$6="USD"</formula>
    </cfRule>
  </conditionalFormatting>
  <conditionalFormatting sqref="O92:P92">
    <cfRule type="expression" dxfId="30" priority="22">
      <formula>$J$6="GBP"</formula>
    </cfRule>
    <cfRule type="expression" dxfId="29" priority="23">
      <formula>$J$6="EUR"</formula>
    </cfRule>
  </conditionalFormatting>
  <conditionalFormatting sqref="O93:P93">
    <cfRule type="expression" dxfId="28" priority="20">
      <formula>$J$6="GBP"</formula>
    </cfRule>
    <cfRule type="expression" dxfId="27" priority="21">
      <formula>$J$6="EUR"</formula>
    </cfRule>
  </conditionalFormatting>
  <conditionalFormatting sqref="O92:O93">
    <cfRule type="expression" dxfId="26" priority="19">
      <formula>$J$6="USD"</formula>
    </cfRule>
  </conditionalFormatting>
  <conditionalFormatting sqref="O176:P176">
    <cfRule type="expression" dxfId="25" priority="17">
      <formula>$J$6="GBP"</formula>
    </cfRule>
    <cfRule type="expression" dxfId="24" priority="18">
      <formula>$J$6="EUR"</formula>
    </cfRule>
  </conditionalFormatting>
  <conditionalFormatting sqref="O177:P177">
    <cfRule type="expression" dxfId="23" priority="15">
      <formula>$J$6="GBP"</formula>
    </cfRule>
    <cfRule type="expression" dxfId="22" priority="16">
      <formula>$J$6="EUR"</formula>
    </cfRule>
  </conditionalFormatting>
  <conditionalFormatting sqref="O176:O177">
    <cfRule type="expression" dxfId="21" priority="14">
      <formula>$J$6="USD"</formula>
    </cfRule>
  </conditionalFormatting>
  <conditionalFormatting sqref="O507:P507">
    <cfRule type="expression" dxfId="20" priority="10">
      <formula>$J$6="GBP"</formula>
    </cfRule>
    <cfRule type="expression" dxfId="19" priority="11">
      <formula>$J$6="EUR"</formula>
    </cfRule>
  </conditionalFormatting>
  <conditionalFormatting sqref="O506:P506">
    <cfRule type="expression" dxfId="18" priority="12">
      <formula>$J$6="GBP"</formula>
    </cfRule>
    <cfRule type="expression" dxfId="17" priority="13">
      <formula>$J$6="EUR"</formula>
    </cfRule>
  </conditionalFormatting>
  <conditionalFormatting sqref="O506:O507">
    <cfRule type="expression" dxfId="16" priority="9">
      <formula>$J$6="USD"</formula>
    </cfRule>
  </conditionalFormatting>
  <conditionalFormatting sqref="O590:P590">
    <cfRule type="expression" dxfId="15" priority="7">
      <formula>$J$6="GBP"</formula>
    </cfRule>
    <cfRule type="expression" dxfId="14" priority="8">
      <formula>$J$6="EUR"</formula>
    </cfRule>
  </conditionalFormatting>
  <conditionalFormatting sqref="O591:P591">
    <cfRule type="expression" dxfId="13" priority="5">
      <formula>$J$6="GBP"</formula>
    </cfRule>
    <cfRule type="expression" dxfId="12" priority="6">
      <formula>$J$6="EUR"</formula>
    </cfRule>
  </conditionalFormatting>
  <conditionalFormatting sqref="O590:O591">
    <cfRule type="expression" dxfId="11" priority="4">
      <formula>$J$6="USD"</formula>
    </cfRule>
  </conditionalFormatting>
  <conditionalFormatting sqref="O809:P810">
    <cfRule type="expression" dxfId="10" priority="2">
      <formula>$J$6="GBP"</formula>
    </cfRule>
    <cfRule type="expression" dxfId="9" priority="3">
      <formula>$J$6="EUR"</formula>
    </cfRule>
  </conditionalFormatting>
  <conditionalFormatting sqref="O809:O810">
    <cfRule type="expression" dxfId="8" priority="1">
      <formula>$J$6="USD"</formula>
    </cfRule>
  </conditionalFormatting>
  <pageMargins left="0.35433070866141736" right="0.35433070866141736" top="0.39370078740157483" bottom="0.39370078740157483" header="0.51181102362204722" footer="0.19685039370078741"/>
  <pageSetup paperSize="9" scale="68" fitToHeight="10" orientation="portrait" r:id="rId1"/>
  <headerFooter alignWithMargins="0">
    <oddFooter>&amp;L&amp;"Arial,Bold"&amp;12ISSUE 1      &amp;"Arial,Regular"&amp;10&amp;D&amp;C&amp;"Arial,Bold"www.marlowropes.com&amp;RPage &amp;P</oddFooter>
  </headerFooter>
  <rowBreaks count="2" manualBreakCount="2">
    <brk id="339" max="15" man="1"/>
    <brk id="672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2]!PriceList2018.PriceList2018">
                <anchor moveWithCells="1">
                  <from>
                    <xdr:col>17</xdr:col>
                    <xdr:colOff>0</xdr:colOff>
                    <xdr:row>468</xdr:row>
                    <xdr:rowOff>0</xdr:rowOff>
                  </from>
                  <to>
                    <xdr:col>18</xdr:col>
                    <xdr:colOff>603849</xdr:colOff>
                    <xdr:row>469</xdr:row>
                    <xdr:rowOff>77638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7F3D2084-D645-4544-B216-2762796E7C2D}">
            <xm:f>VLOOKUP(F470,'\Leisure Marine\Leisure Marine Price Lists\2020 Price Lists\[Blue Ocean Dockline Price List 2020 v1.xlsm]Product list'!#REF!,11,FALSE)="A"</xm:f>
            <x14:dxf>
              <fill>
                <patternFill>
                  <bgColor rgb="FF92D050"/>
                </patternFill>
              </fill>
            </x14:dxf>
          </x14:cfRule>
          <xm:sqref>F470:N470 F471:L485 M472:N477 M480:N485</xm:sqref>
        </x14:conditionalFormatting>
        <x14:conditionalFormatting xmlns:xm="http://schemas.microsoft.com/office/excel/2006/main">
          <x14:cfRule type="expression" priority="36" id="{1F5E34E4-C304-48BD-BD68-4F3A25CF337F}">
            <xm:f>VLOOKUP(F470,'\Leisure Marine\Leisure Marine Price Lists\2020 Price Lists\[Blue Ocean Dockline Price List 2020 v1.xlsm]Product list'!#REF!,11,FALSE)="B"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F470:N470 F471:L485 M472:N477 M480:N485</xm:sqref>
        </x14:conditionalFormatting>
        <x14:conditionalFormatting xmlns:xm="http://schemas.microsoft.com/office/excel/2006/main">
          <x14:cfRule type="expression" priority="37" id="{2F8F116D-F54E-4AD9-88E5-1625DDFC48D1}">
            <xm:f>VLOOKUP(F470,'\Leisure Marine\Leisure Marine Price Lists\2020 Price Lists\[Blue Ocean Dockline Price List 2020 v1.xlsm]Product list'!#REF!,11,FALSE)="NF"</xm:f>
            <x14:dxf>
              <fill>
                <patternFill>
                  <bgColor rgb="FFFF3300"/>
                </patternFill>
              </fill>
            </x14:dxf>
          </x14:cfRule>
          <xm:sqref>F470:N470 F471:L485 M472:N477 M480:N485</xm:sqref>
        </x14:conditionalFormatting>
        <x14:conditionalFormatting xmlns:xm="http://schemas.microsoft.com/office/excel/2006/main">
          <x14:cfRule type="expression" priority="530" id="{A2182D4B-29BF-4DA8-BA5D-17276D00A977}">
            <xm:f>VLOOKUP(E10,'Product list'!$B$8:$I$1743,11,FALSE)="A"</xm:f>
            <x14:dxf>
              <fill>
                <patternFill>
                  <bgColor rgb="FF92D050"/>
                </patternFill>
              </fill>
            </x14:dxf>
          </x14:cfRule>
          <xm:sqref>F486:N834 E747 F11:N469 F10:I10</xm:sqref>
        </x14:conditionalFormatting>
        <x14:conditionalFormatting xmlns:xm="http://schemas.microsoft.com/office/excel/2006/main">
          <x14:cfRule type="expression" priority="531" id="{294A4084-C9D3-49E5-9A6D-97FA0EC2CC34}">
            <xm:f>VLOOKUP(F10,'Product list'!$B$8:$I$1743,11,FALSE)="B"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F11:N469 F10:I10 F486:N835</xm:sqref>
        </x14:conditionalFormatting>
        <x14:conditionalFormatting xmlns:xm="http://schemas.microsoft.com/office/excel/2006/main">
          <x14:cfRule type="expression" priority="532" id="{E05A37E7-CDA7-4197-8EC4-DA0A82AEF6DE}">
            <xm:f>VLOOKUP(F10,'Product list'!$B$8:$I$1743,11,FALSE)="NF"</xm:f>
            <x14:dxf>
              <fill>
                <patternFill>
                  <bgColor rgb="FFFF3300"/>
                </patternFill>
              </fill>
            </x14:dxf>
          </x14:cfRule>
          <xm:sqref>F11:N469 F10:I10 F486:N834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</sheetPr>
  <dimension ref="A1:I1890"/>
  <sheetViews>
    <sheetView view="pageBreakPreview" zoomScaleNormal="100" zoomScaleSheetLayoutView="100" workbookViewId="0">
      <pane ySplit="7" topLeftCell="A1596" activePane="bottomLeft" state="frozen"/>
      <selection activeCell="R1" sqref="R1:R1048576"/>
      <selection pane="bottomLeft" activeCell="R1" sqref="R1:R1048576"/>
    </sheetView>
  </sheetViews>
  <sheetFormatPr baseColWidth="10" defaultColWidth="9" defaultRowHeight="14.3" x14ac:dyDescent="0.25"/>
  <cols>
    <col min="1" max="1" width="12.125" bestFit="1" customWidth="1"/>
    <col min="2" max="2" width="12.375" bestFit="1" customWidth="1"/>
    <col min="3" max="3" width="39.625" bestFit="1" customWidth="1"/>
    <col min="8" max="8" width="17.25" bestFit="1" customWidth="1"/>
    <col min="9" max="9" width="24.75" customWidth="1"/>
  </cols>
  <sheetData>
    <row r="1" spans="1:9" x14ac:dyDescent="0.25">
      <c r="A1" s="47"/>
      <c r="B1" s="48"/>
      <c r="C1" s="48"/>
      <c r="D1" s="48"/>
      <c r="E1" s="49"/>
      <c r="F1" s="50"/>
      <c r="G1" s="48"/>
      <c r="H1" s="48"/>
      <c r="I1" s="48"/>
    </row>
    <row r="2" spans="1:9" x14ac:dyDescent="0.25">
      <c r="A2" s="47"/>
      <c r="B2" s="48"/>
      <c r="C2" s="48"/>
      <c r="D2" s="48"/>
      <c r="E2" s="49"/>
      <c r="F2" s="49"/>
      <c r="G2" s="48"/>
      <c r="H2" s="48"/>
      <c r="I2" s="48"/>
    </row>
    <row r="3" spans="1:9" x14ac:dyDescent="0.25">
      <c r="A3" s="47"/>
      <c r="B3" s="48"/>
      <c r="C3" s="47"/>
      <c r="D3" s="48"/>
      <c r="E3" s="49"/>
      <c r="F3" s="49"/>
      <c r="G3" s="48"/>
      <c r="H3" s="48"/>
      <c r="I3" s="48"/>
    </row>
    <row r="4" spans="1:9" x14ac:dyDescent="0.25">
      <c r="A4" s="47"/>
      <c r="B4" s="48"/>
      <c r="C4" s="48"/>
      <c r="D4" s="48"/>
      <c r="E4" s="49"/>
      <c r="F4" s="48"/>
      <c r="G4" s="48"/>
      <c r="H4" s="48"/>
      <c r="I4" s="48"/>
    </row>
    <row r="5" spans="1:9" x14ac:dyDescent="0.25">
      <c r="A5" s="51"/>
      <c r="B5" s="52"/>
      <c r="C5" s="52"/>
      <c r="D5" s="52"/>
      <c r="E5" s="52"/>
      <c r="F5" s="53"/>
      <c r="G5" s="52"/>
      <c r="H5" s="52"/>
      <c r="I5" s="52"/>
    </row>
    <row r="6" spans="1:9" ht="26.35" customHeight="1" x14ac:dyDescent="0.25">
      <c r="A6" s="54"/>
      <c r="B6" s="125" t="s">
        <v>1652</v>
      </c>
      <c r="C6" s="127" t="s">
        <v>1653</v>
      </c>
      <c r="D6" s="55" t="s">
        <v>1654</v>
      </c>
      <c r="E6" s="55" t="s">
        <v>1655</v>
      </c>
      <c r="F6" s="55" t="s">
        <v>1656</v>
      </c>
      <c r="G6" s="55" t="s">
        <v>1657</v>
      </c>
      <c r="H6" s="126" t="s">
        <v>1658</v>
      </c>
      <c r="I6" s="55" t="s">
        <v>1659</v>
      </c>
    </row>
    <row r="7" spans="1:9" x14ac:dyDescent="0.25">
      <c r="A7" s="54"/>
      <c r="B7" s="126"/>
      <c r="C7" s="128"/>
      <c r="D7" s="56" t="s">
        <v>1660</v>
      </c>
      <c r="E7" s="56" t="s">
        <v>6</v>
      </c>
      <c r="F7" s="56" t="s">
        <v>6</v>
      </c>
      <c r="G7" s="56" t="s">
        <v>6</v>
      </c>
      <c r="H7" s="129"/>
      <c r="I7" s="56" t="s">
        <v>1661</v>
      </c>
    </row>
    <row r="8" spans="1:9" x14ac:dyDescent="0.25">
      <c r="A8" s="57"/>
      <c r="B8" s="58" t="s">
        <v>23</v>
      </c>
      <c r="C8" s="59" t="s">
        <v>1662</v>
      </c>
      <c r="D8" s="60">
        <v>8.8600000000005821</v>
      </c>
      <c r="E8" s="61">
        <v>1410.6199999991804</v>
      </c>
      <c r="F8" s="61">
        <v>7.0530999999959025</v>
      </c>
      <c r="G8" s="60">
        <v>12.695579999992624</v>
      </c>
      <c r="H8" s="62" t="s">
        <v>1663</v>
      </c>
      <c r="I8" s="60" t="s">
        <v>1664</v>
      </c>
    </row>
    <row r="9" spans="1:9" x14ac:dyDescent="0.25">
      <c r="A9" s="57"/>
      <c r="B9" s="63" t="s">
        <v>24</v>
      </c>
      <c r="C9" s="64" t="s">
        <v>1665</v>
      </c>
      <c r="D9" s="65">
        <v>8.8600000000005821</v>
      </c>
      <c r="E9" s="66">
        <v>1410.6199999991804</v>
      </c>
      <c r="F9" s="66">
        <v>7.0530999999959025</v>
      </c>
      <c r="G9" s="65">
        <v>12.695579999992624</v>
      </c>
      <c r="H9" s="67" t="s">
        <v>1666</v>
      </c>
      <c r="I9" s="65" t="s">
        <v>1664</v>
      </c>
    </row>
    <row r="10" spans="1:9" x14ac:dyDescent="0.25">
      <c r="A10" s="57"/>
      <c r="B10" s="58" t="s">
        <v>25</v>
      </c>
      <c r="C10" s="59" t="s">
        <v>1667</v>
      </c>
      <c r="D10" s="60">
        <v>8.8600000000005821</v>
      </c>
      <c r="E10" s="61">
        <v>1410.6199999991804</v>
      </c>
      <c r="F10" s="61">
        <v>7.0530999999959025</v>
      </c>
      <c r="G10" s="60">
        <v>12.695579999992624</v>
      </c>
      <c r="H10" s="62" t="s">
        <v>1668</v>
      </c>
      <c r="I10" s="60" t="s">
        <v>1664</v>
      </c>
    </row>
    <row r="11" spans="1:9" x14ac:dyDescent="0.25">
      <c r="A11" s="57"/>
      <c r="B11" s="63" t="s">
        <v>22</v>
      </c>
      <c r="C11" s="64" t="s">
        <v>1669</v>
      </c>
      <c r="D11" s="65">
        <v>8.8600000000005821</v>
      </c>
      <c r="E11" s="66">
        <v>1410.6199999991804</v>
      </c>
      <c r="F11" s="66">
        <v>7.0530999999959025</v>
      </c>
      <c r="G11" s="65">
        <v>12.695579999992624</v>
      </c>
      <c r="H11" s="67" t="s">
        <v>1670</v>
      </c>
      <c r="I11" s="65" t="s">
        <v>1664</v>
      </c>
    </row>
    <row r="12" spans="1:9" x14ac:dyDescent="0.25">
      <c r="A12" s="57"/>
      <c r="B12" s="58" t="s">
        <v>27</v>
      </c>
      <c r="C12" s="59" t="s">
        <v>1671</v>
      </c>
      <c r="D12" s="60">
        <v>11.940000000002328</v>
      </c>
      <c r="E12" s="61">
        <v>1736.7899999991059</v>
      </c>
      <c r="F12" s="61">
        <v>8.6839499999955301</v>
      </c>
      <c r="G12" s="60">
        <v>15.631109999991954</v>
      </c>
      <c r="H12" s="62" t="s">
        <v>1672</v>
      </c>
      <c r="I12" s="60" t="s">
        <v>1664</v>
      </c>
    </row>
    <row r="13" spans="1:9" x14ac:dyDescent="0.25">
      <c r="A13" s="57"/>
      <c r="B13" s="63" t="s">
        <v>28</v>
      </c>
      <c r="C13" s="64" t="s">
        <v>1673</v>
      </c>
      <c r="D13" s="65">
        <v>11.940000000002328</v>
      </c>
      <c r="E13" s="66">
        <v>1736.7899999991059</v>
      </c>
      <c r="F13" s="66">
        <v>8.6839499999955301</v>
      </c>
      <c r="G13" s="65">
        <v>15.631109999991954</v>
      </c>
      <c r="H13" s="67" t="s">
        <v>1674</v>
      </c>
      <c r="I13" s="65" t="s">
        <v>1664</v>
      </c>
    </row>
    <row r="14" spans="1:9" x14ac:dyDescent="0.25">
      <c r="A14" s="57"/>
      <c r="B14" s="58" t="s">
        <v>29</v>
      </c>
      <c r="C14" s="59" t="s">
        <v>1675</v>
      </c>
      <c r="D14" s="60">
        <v>11.940000000002328</v>
      </c>
      <c r="E14" s="61">
        <v>1736.7899999991059</v>
      </c>
      <c r="F14" s="61">
        <v>8.6839499999955301</v>
      </c>
      <c r="G14" s="60">
        <v>15.631109999991954</v>
      </c>
      <c r="H14" s="62" t="s">
        <v>1676</v>
      </c>
      <c r="I14" s="60" t="s">
        <v>1664</v>
      </c>
    </row>
    <row r="15" spans="1:9" x14ac:dyDescent="0.25">
      <c r="A15" s="57"/>
      <c r="B15" s="63" t="s">
        <v>26</v>
      </c>
      <c r="C15" s="64" t="s">
        <v>1677</v>
      </c>
      <c r="D15" s="65">
        <v>11.940000000002328</v>
      </c>
      <c r="E15" s="66">
        <v>1736.7899999991059</v>
      </c>
      <c r="F15" s="66">
        <v>8.6839499999955301</v>
      </c>
      <c r="G15" s="65">
        <v>15.631109999991954</v>
      </c>
      <c r="H15" s="67" t="s">
        <v>1678</v>
      </c>
      <c r="I15" s="65" t="s">
        <v>1664</v>
      </c>
    </row>
    <row r="16" spans="1:9" x14ac:dyDescent="0.25">
      <c r="A16" s="57"/>
      <c r="B16" s="58" t="s">
        <v>31</v>
      </c>
      <c r="C16" s="59" t="s">
        <v>1679</v>
      </c>
      <c r="D16" s="60">
        <v>18.839999999996508</v>
      </c>
      <c r="E16" s="61">
        <v>2366.2800000011921</v>
      </c>
      <c r="F16" s="61">
        <v>11.83140000000596</v>
      </c>
      <c r="G16" s="60">
        <v>21.296520000010727</v>
      </c>
      <c r="H16" s="62" t="s">
        <v>1680</v>
      </c>
      <c r="I16" s="60" t="s">
        <v>1664</v>
      </c>
    </row>
    <row r="17" spans="1:9" x14ac:dyDescent="0.25">
      <c r="A17" s="57"/>
      <c r="B17" s="63" t="s">
        <v>32</v>
      </c>
      <c r="C17" s="64" t="s">
        <v>1681</v>
      </c>
      <c r="D17" s="65">
        <v>18.839999999996508</v>
      </c>
      <c r="E17" s="66">
        <v>2366.2800000011921</v>
      </c>
      <c r="F17" s="66">
        <v>11.83140000000596</v>
      </c>
      <c r="G17" s="65">
        <v>21.296520000010727</v>
      </c>
      <c r="H17" s="67" t="s">
        <v>1682</v>
      </c>
      <c r="I17" s="65" t="s">
        <v>1664</v>
      </c>
    </row>
    <row r="18" spans="1:9" x14ac:dyDescent="0.25">
      <c r="A18" s="57"/>
      <c r="B18" s="58" t="s">
        <v>33</v>
      </c>
      <c r="C18" s="59" t="s">
        <v>1683</v>
      </c>
      <c r="D18" s="60">
        <v>18.839999999996508</v>
      </c>
      <c r="E18" s="61">
        <v>2366.2800000011921</v>
      </c>
      <c r="F18" s="61">
        <v>11.83140000000596</v>
      </c>
      <c r="G18" s="60">
        <v>21.296520000010727</v>
      </c>
      <c r="H18" s="62" t="s">
        <v>1684</v>
      </c>
      <c r="I18" s="60" t="s">
        <v>1664</v>
      </c>
    </row>
    <row r="19" spans="1:9" x14ac:dyDescent="0.25">
      <c r="A19" s="57"/>
      <c r="B19" s="63" t="s">
        <v>30</v>
      </c>
      <c r="C19" s="64" t="s">
        <v>1685</v>
      </c>
      <c r="D19" s="65">
        <v>18.839999999996508</v>
      </c>
      <c r="E19" s="66">
        <v>2366.2800000011921</v>
      </c>
      <c r="F19" s="66">
        <v>11.83140000000596</v>
      </c>
      <c r="G19" s="65">
        <v>21.296520000010727</v>
      </c>
      <c r="H19" s="67" t="s">
        <v>1686</v>
      </c>
      <c r="I19" s="65" t="s">
        <v>1664</v>
      </c>
    </row>
    <row r="20" spans="1:9" x14ac:dyDescent="0.25">
      <c r="B20" s="58" t="s">
        <v>43</v>
      </c>
      <c r="C20" s="59" t="s">
        <v>1687</v>
      </c>
      <c r="D20" s="60">
        <v>4.430000000000291</v>
      </c>
      <c r="E20" s="68">
        <v>494.64000000013039</v>
      </c>
      <c r="F20" s="68">
        <v>4.9464000000013035</v>
      </c>
      <c r="G20" s="69">
        <v>8.9035200000023469</v>
      </c>
      <c r="H20" s="62" t="s">
        <v>1688</v>
      </c>
      <c r="I20" s="60" t="s">
        <v>1664</v>
      </c>
    </row>
    <row r="21" spans="1:9" x14ac:dyDescent="0.25">
      <c r="B21" s="63" t="s">
        <v>52</v>
      </c>
      <c r="C21" s="64" t="s">
        <v>1689</v>
      </c>
      <c r="D21" s="65">
        <v>8.86</v>
      </c>
      <c r="E21" s="70">
        <v>989.28000000026077</v>
      </c>
      <c r="F21" s="71">
        <v>4.9464000000013035</v>
      </c>
      <c r="G21" s="72">
        <v>8.9035200000023469</v>
      </c>
      <c r="H21" s="67" t="s">
        <v>1690</v>
      </c>
      <c r="I21" s="65" t="s">
        <v>1664</v>
      </c>
    </row>
    <row r="22" spans="1:9" x14ac:dyDescent="0.25">
      <c r="B22" s="58" t="s">
        <v>44</v>
      </c>
      <c r="C22" s="59" t="s">
        <v>1691</v>
      </c>
      <c r="D22" s="60">
        <v>4.430000000000291</v>
      </c>
      <c r="E22" s="68">
        <v>494.64000000013039</v>
      </c>
      <c r="F22" s="68">
        <v>4.9464000000013035</v>
      </c>
      <c r="G22" s="69">
        <v>8.9035200000023469</v>
      </c>
      <c r="H22" s="62" t="s">
        <v>1692</v>
      </c>
      <c r="I22" s="60" t="s">
        <v>1664</v>
      </c>
    </row>
    <row r="23" spans="1:9" x14ac:dyDescent="0.25">
      <c r="B23" s="63" t="s">
        <v>53</v>
      </c>
      <c r="C23" s="64" t="s">
        <v>1693</v>
      </c>
      <c r="D23" s="65">
        <v>8.86</v>
      </c>
      <c r="E23" s="70">
        <v>989.28000000026077</v>
      </c>
      <c r="F23" s="71">
        <v>4.9464000000013035</v>
      </c>
      <c r="G23" s="72">
        <v>8.9035200000023469</v>
      </c>
      <c r="H23" s="67" t="s">
        <v>1694</v>
      </c>
      <c r="I23" s="65" t="s">
        <v>1664</v>
      </c>
    </row>
    <row r="24" spans="1:9" x14ac:dyDescent="0.25">
      <c r="B24" s="58" t="s">
        <v>42</v>
      </c>
      <c r="C24" s="59" t="s">
        <v>1695</v>
      </c>
      <c r="D24" s="60">
        <v>4.430000000000291</v>
      </c>
      <c r="E24" s="68">
        <v>494.64000000013039</v>
      </c>
      <c r="F24" s="68">
        <v>4.9464000000013035</v>
      </c>
      <c r="G24" s="69">
        <v>8.9035200000023469</v>
      </c>
      <c r="H24" s="62" t="s">
        <v>1696</v>
      </c>
      <c r="I24" s="60" t="s">
        <v>1664</v>
      </c>
    </row>
    <row r="25" spans="1:9" x14ac:dyDescent="0.25">
      <c r="B25" s="63" t="s">
        <v>51</v>
      </c>
      <c r="C25" s="64" t="s">
        <v>1697</v>
      </c>
      <c r="D25" s="65">
        <v>8.86</v>
      </c>
      <c r="E25" s="70">
        <v>989.28000000026077</v>
      </c>
      <c r="F25" s="71">
        <v>4.9464000000013035</v>
      </c>
      <c r="G25" s="72">
        <v>8.9035200000023469</v>
      </c>
      <c r="H25" s="67" t="s">
        <v>1698</v>
      </c>
      <c r="I25" s="65" t="s">
        <v>1664</v>
      </c>
    </row>
    <row r="26" spans="1:9" x14ac:dyDescent="0.25">
      <c r="B26" s="58" t="s">
        <v>1699</v>
      </c>
      <c r="C26" s="59" t="s">
        <v>1700</v>
      </c>
      <c r="D26" s="60">
        <v>4.430000000000291</v>
      </c>
      <c r="E26" s="68">
        <v>494.64000000013039</v>
      </c>
      <c r="F26" s="68">
        <v>4.9464000000013035</v>
      </c>
      <c r="G26" s="69">
        <v>8.9035200000023469</v>
      </c>
      <c r="H26" s="62" t="s">
        <v>1701</v>
      </c>
      <c r="I26" s="60" t="s">
        <v>231</v>
      </c>
    </row>
    <row r="27" spans="1:9" x14ac:dyDescent="0.25">
      <c r="B27" s="63" t="s">
        <v>1702</v>
      </c>
      <c r="C27" s="64" t="s">
        <v>1703</v>
      </c>
      <c r="D27" s="65">
        <v>8.8600000000005821</v>
      </c>
      <c r="E27" s="70">
        <v>989.28000000026077</v>
      </c>
      <c r="F27" s="71">
        <v>4.9464000000013035</v>
      </c>
      <c r="G27" s="72">
        <v>8.9035200000023469</v>
      </c>
      <c r="H27" s="67" t="s">
        <v>1704</v>
      </c>
      <c r="I27" s="65" t="s">
        <v>231</v>
      </c>
    </row>
    <row r="28" spans="1:9" x14ac:dyDescent="0.25">
      <c r="B28" s="58" t="s">
        <v>1705</v>
      </c>
      <c r="C28" s="59" t="s">
        <v>1706</v>
      </c>
      <c r="D28" s="60">
        <v>4.430000000000291</v>
      </c>
      <c r="E28" s="68">
        <v>494.64000000013039</v>
      </c>
      <c r="F28" s="68">
        <v>4.9464000000013035</v>
      </c>
      <c r="G28" s="69">
        <v>8.9035200000023469</v>
      </c>
      <c r="H28" s="62" t="s">
        <v>1707</v>
      </c>
      <c r="I28" s="60" t="s">
        <v>231</v>
      </c>
    </row>
    <row r="29" spans="1:9" x14ac:dyDescent="0.25">
      <c r="B29" s="63" t="s">
        <v>1708</v>
      </c>
      <c r="C29" s="64" t="s">
        <v>1709</v>
      </c>
      <c r="D29" s="65">
        <v>8.8600000000005821</v>
      </c>
      <c r="E29" s="70">
        <v>989.28000000026077</v>
      </c>
      <c r="F29" s="71">
        <v>4.9464000000013035</v>
      </c>
      <c r="G29" s="72">
        <v>8.9035200000023469</v>
      </c>
      <c r="H29" s="67" t="s">
        <v>1704</v>
      </c>
      <c r="I29" s="65" t="s">
        <v>231</v>
      </c>
    </row>
    <row r="30" spans="1:9" x14ac:dyDescent="0.25">
      <c r="B30" s="58" t="s">
        <v>1710</v>
      </c>
      <c r="C30" s="59" t="s">
        <v>1711</v>
      </c>
      <c r="D30" s="60">
        <v>4.430000000000291</v>
      </c>
      <c r="E30" s="68">
        <v>494.64000000013039</v>
      </c>
      <c r="F30" s="68">
        <v>4.9464000000013035</v>
      </c>
      <c r="G30" s="69">
        <v>8.9035200000023469</v>
      </c>
      <c r="H30" s="62" t="s">
        <v>1712</v>
      </c>
      <c r="I30" s="60" t="s">
        <v>1664</v>
      </c>
    </row>
    <row r="31" spans="1:9" x14ac:dyDescent="0.25">
      <c r="B31" s="63" t="s">
        <v>1713</v>
      </c>
      <c r="C31" s="64" t="s">
        <v>1714</v>
      </c>
      <c r="D31" s="65">
        <v>8.8600000000005821</v>
      </c>
      <c r="E31" s="70">
        <v>989.26999999955297</v>
      </c>
      <c r="F31" s="71">
        <v>4.9463499999977651</v>
      </c>
      <c r="G31" s="72">
        <v>8.9034299999959767</v>
      </c>
      <c r="H31" s="67" t="s">
        <v>1715</v>
      </c>
      <c r="I31" s="65" t="s">
        <v>1664</v>
      </c>
    </row>
    <row r="32" spans="1:9" x14ac:dyDescent="0.25">
      <c r="B32" s="58" t="s">
        <v>50</v>
      </c>
      <c r="C32" s="59" t="s">
        <v>1716</v>
      </c>
      <c r="D32" s="60">
        <v>4.430000000000291</v>
      </c>
      <c r="E32" s="68">
        <v>494.64000000013039</v>
      </c>
      <c r="F32" s="68">
        <v>4.9464000000013035</v>
      </c>
      <c r="G32" s="69">
        <v>8.9035200000023469</v>
      </c>
      <c r="H32" s="62" t="s">
        <v>1717</v>
      </c>
      <c r="I32" s="60" t="s">
        <v>231</v>
      </c>
    </row>
    <row r="33" spans="2:9" x14ac:dyDescent="0.25">
      <c r="B33" s="63" t="s">
        <v>59</v>
      </c>
      <c r="C33" s="64" t="s">
        <v>1718</v>
      </c>
      <c r="D33" s="65">
        <v>8.86</v>
      </c>
      <c r="E33" s="70">
        <v>989.28000000026077</v>
      </c>
      <c r="F33" s="71">
        <v>4.9464000000013035</v>
      </c>
      <c r="G33" s="72">
        <v>8.9035200000023469</v>
      </c>
      <c r="H33" s="67" t="s">
        <v>1719</v>
      </c>
      <c r="I33" s="65"/>
    </row>
    <row r="34" spans="2:9" x14ac:dyDescent="0.25">
      <c r="B34" s="58" t="s">
        <v>45</v>
      </c>
      <c r="C34" s="59" t="s">
        <v>1720</v>
      </c>
      <c r="D34" s="60">
        <v>4.430000000000291</v>
      </c>
      <c r="E34" s="68">
        <v>494.64000000013039</v>
      </c>
      <c r="F34" s="68">
        <v>4.9464000000013035</v>
      </c>
      <c r="G34" s="69">
        <v>8.9035200000023469</v>
      </c>
      <c r="H34" s="62" t="s">
        <v>1721</v>
      </c>
      <c r="I34" s="60"/>
    </row>
    <row r="35" spans="2:9" x14ac:dyDescent="0.25">
      <c r="B35" s="63" t="s">
        <v>54</v>
      </c>
      <c r="C35" s="64" t="s">
        <v>1722</v>
      </c>
      <c r="D35" s="65">
        <v>8.86</v>
      </c>
      <c r="E35" s="70">
        <v>989.28000000026077</v>
      </c>
      <c r="F35" s="71">
        <v>4.9464000000013035</v>
      </c>
      <c r="G35" s="72">
        <v>8.9035200000023469</v>
      </c>
      <c r="H35" s="67" t="s">
        <v>1723</v>
      </c>
      <c r="I35" s="65"/>
    </row>
    <row r="36" spans="2:9" x14ac:dyDescent="0.25">
      <c r="B36" s="58" t="s">
        <v>46</v>
      </c>
      <c r="C36" s="59" t="s">
        <v>1724</v>
      </c>
      <c r="D36" s="60">
        <v>4.430000000000291</v>
      </c>
      <c r="E36" s="68">
        <v>494.64000000013039</v>
      </c>
      <c r="F36" s="68">
        <v>4.9464000000013035</v>
      </c>
      <c r="G36" s="69">
        <v>8.9035200000023469</v>
      </c>
      <c r="H36" s="62" t="s">
        <v>1725</v>
      </c>
      <c r="I36" s="60"/>
    </row>
    <row r="37" spans="2:9" x14ac:dyDescent="0.25">
      <c r="B37" s="63" t="s">
        <v>55</v>
      </c>
      <c r="C37" s="64" t="s">
        <v>1726</v>
      </c>
      <c r="D37" s="65">
        <v>8.86</v>
      </c>
      <c r="E37" s="70">
        <v>989.28000000026077</v>
      </c>
      <c r="F37" s="71">
        <v>4.9464000000013035</v>
      </c>
      <c r="G37" s="72">
        <v>8.9035200000023469</v>
      </c>
      <c r="H37" s="67" t="s">
        <v>1727</v>
      </c>
      <c r="I37" s="65"/>
    </row>
    <row r="38" spans="2:9" x14ac:dyDescent="0.25">
      <c r="B38" s="58" t="s">
        <v>48</v>
      </c>
      <c r="C38" s="59" t="s">
        <v>1728</v>
      </c>
      <c r="D38" s="60">
        <v>4.430000000000291</v>
      </c>
      <c r="E38" s="68">
        <v>494.64000000013039</v>
      </c>
      <c r="F38" s="68">
        <v>4.9464000000013035</v>
      </c>
      <c r="G38" s="69">
        <v>8.9035200000023469</v>
      </c>
      <c r="H38" s="62" t="s">
        <v>1729</v>
      </c>
      <c r="I38" s="60"/>
    </row>
    <row r="39" spans="2:9" x14ac:dyDescent="0.25">
      <c r="B39" s="63" t="s">
        <v>57</v>
      </c>
      <c r="C39" s="64" t="s">
        <v>1730</v>
      </c>
      <c r="D39" s="65">
        <v>8.86</v>
      </c>
      <c r="E39" s="70">
        <v>989.28000000026077</v>
      </c>
      <c r="F39" s="71">
        <v>4.9464000000013035</v>
      </c>
      <c r="G39" s="72">
        <v>8.9035200000023469</v>
      </c>
      <c r="H39" s="67" t="s">
        <v>1731</v>
      </c>
      <c r="I39" s="65"/>
    </row>
    <row r="40" spans="2:9" x14ac:dyDescent="0.25">
      <c r="B40" s="58" t="s">
        <v>49</v>
      </c>
      <c r="C40" s="59" t="s">
        <v>1732</v>
      </c>
      <c r="D40" s="60">
        <v>4.430000000000291</v>
      </c>
      <c r="E40" s="68">
        <v>494.64000000013039</v>
      </c>
      <c r="F40" s="68">
        <v>4.9464000000013035</v>
      </c>
      <c r="G40" s="69">
        <v>8.9035200000023469</v>
      </c>
      <c r="H40" s="62" t="s">
        <v>1733</v>
      </c>
      <c r="I40" s="60"/>
    </row>
    <row r="41" spans="2:9" x14ac:dyDescent="0.25">
      <c r="B41" s="63" t="s">
        <v>58</v>
      </c>
      <c r="C41" s="64" t="s">
        <v>1734</v>
      </c>
      <c r="D41" s="65">
        <v>8.86</v>
      </c>
      <c r="E41" s="70">
        <v>989.28000000026077</v>
      </c>
      <c r="F41" s="71">
        <v>4.9464000000013035</v>
      </c>
      <c r="G41" s="72">
        <v>8.9035200000023469</v>
      </c>
      <c r="H41" s="67" t="s">
        <v>1735</v>
      </c>
      <c r="I41" s="65"/>
    </row>
    <row r="42" spans="2:9" x14ac:dyDescent="0.25">
      <c r="B42" s="58" t="s">
        <v>47</v>
      </c>
      <c r="C42" s="59" t="s">
        <v>1736</v>
      </c>
      <c r="D42" s="60">
        <v>4.430000000000291</v>
      </c>
      <c r="E42" s="68">
        <v>494.64000000013039</v>
      </c>
      <c r="F42" s="68">
        <v>4.9464000000013035</v>
      </c>
      <c r="G42" s="69">
        <v>8.9035200000023469</v>
      </c>
      <c r="H42" s="62" t="s">
        <v>1737</v>
      </c>
      <c r="I42" s="60"/>
    </row>
    <row r="43" spans="2:9" x14ac:dyDescent="0.25">
      <c r="B43" s="63" t="s">
        <v>56</v>
      </c>
      <c r="C43" s="64" t="s">
        <v>1738</v>
      </c>
      <c r="D43" s="65">
        <v>8.86</v>
      </c>
      <c r="E43" s="70">
        <v>989.28000000026077</v>
      </c>
      <c r="F43" s="71">
        <v>4.9464000000013035</v>
      </c>
      <c r="G43" s="72">
        <v>8.9035200000023469</v>
      </c>
      <c r="H43" s="67" t="s">
        <v>1739</v>
      </c>
      <c r="I43" s="65"/>
    </row>
    <row r="44" spans="2:9" x14ac:dyDescent="0.25">
      <c r="B44" s="58" t="s">
        <v>61</v>
      </c>
      <c r="C44" s="59" t="s">
        <v>1740</v>
      </c>
      <c r="D44" s="60">
        <v>5.9700000000011642</v>
      </c>
      <c r="E44" s="68">
        <v>601.29000000003725</v>
      </c>
      <c r="F44" s="68">
        <v>6.0129000000003723</v>
      </c>
      <c r="G44" s="69">
        <v>10.823220000000672</v>
      </c>
      <c r="H44" s="62" t="s">
        <v>1741</v>
      </c>
      <c r="I44" s="60" t="s">
        <v>1664</v>
      </c>
    </row>
    <row r="45" spans="2:9" x14ac:dyDescent="0.25">
      <c r="B45" s="63" t="s">
        <v>70</v>
      </c>
      <c r="C45" s="64" t="s">
        <v>1742</v>
      </c>
      <c r="D45" s="65">
        <v>11.839999999996508</v>
      </c>
      <c r="E45" s="70">
        <v>1202.570000000298</v>
      </c>
      <c r="F45" s="71">
        <v>6.0128500000014897</v>
      </c>
      <c r="G45" s="72">
        <v>10.823130000002681</v>
      </c>
      <c r="H45" s="67" t="s">
        <v>1743</v>
      </c>
      <c r="I45" s="65" t="s">
        <v>1664</v>
      </c>
    </row>
    <row r="46" spans="2:9" x14ac:dyDescent="0.25">
      <c r="B46" s="58" t="s">
        <v>62</v>
      </c>
      <c r="C46" s="59" t="s">
        <v>1744</v>
      </c>
      <c r="D46" s="60">
        <v>5.9700000000011642</v>
      </c>
      <c r="E46" s="68">
        <v>601.29000000003725</v>
      </c>
      <c r="F46" s="68">
        <v>6.0129000000003723</v>
      </c>
      <c r="G46" s="69">
        <v>10.823220000000672</v>
      </c>
      <c r="H46" s="62" t="s">
        <v>1745</v>
      </c>
      <c r="I46" s="60" t="s">
        <v>1664</v>
      </c>
    </row>
    <row r="47" spans="2:9" x14ac:dyDescent="0.25">
      <c r="B47" s="63" t="s">
        <v>71</v>
      </c>
      <c r="C47" s="64" t="s">
        <v>1746</v>
      </c>
      <c r="D47" s="65">
        <v>11.839999999996508</v>
      </c>
      <c r="E47" s="70">
        <v>1202.570000000298</v>
      </c>
      <c r="F47" s="71">
        <v>6.0128500000014897</v>
      </c>
      <c r="G47" s="72">
        <v>10.823130000002681</v>
      </c>
      <c r="H47" s="67" t="s">
        <v>1747</v>
      </c>
      <c r="I47" s="65" t="s">
        <v>1664</v>
      </c>
    </row>
    <row r="48" spans="2:9" x14ac:dyDescent="0.25">
      <c r="B48" s="58" t="s">
        <v>60</v>
      </c>
      <c r="C48" s="59" t="s">
        <v>1748</v>
      </c>
      <c r="D48" s="60">
        <v>5.9700000000011642</v>
      </c>
      <c r="E48" s="68">
        <v>601.29000000003725</v>
      </c>
      <c r="F48" s="68">
        <v>6.0129000000003723</v>
      </c>
      <c r="G48" s="69">
        <v>10.823220000000672</v>
      </c>
      <c r="H48" s="62" t="s">
        <v>1749</v>
      </c>
      <c r="I48" s="60" t="s">
        <v>1664</v>
      </c>
    </row>
    <row r="49" spans="2:9" x14ac:dyDescent="0.25">
      <c r="B49" s="63" t="s">
        <v>69</v>
      </c>
      <c r="C49" s="64" t="s">
        <v>1750</v>
      </c>
      <c r="D49" s="65">
        <v>11.839999999996508</v>
      </c>
      <c r="E49" s="70">
        <v>1202.570000000298</v>
      </c>
      <c r="F49" s="71">
        <v>6.0128500000014897</v>
      </c>
      <c r="G49" s="72">
        <v>10.823130000002681</v>
      </c>
      <c r="H49" s="67" t="s">
        <v>1751</v>
      </c>
      <c r="I49" s="65" t="s">
        <v>1664</v>
      </c>
    </row>
    <row r="50" spans="2:9" x14ac:dyDescent="0.25">
      <c r="B50" s="58" t="s">
        <v>1752</v>
      </c>
      <c r="C50" s="59" t="s">
        <v>1753</v>
      </c>
      <c r="D50" s="60">
        <v>5.9700000000011642</v>
      </c>
      <c r="E50" s="68">
        <v>601.29000000003725</v>
      </c>
      <c r="F50" s="68">
        <v>6.0129000000003723</v>
      </c>
      <c r="G50" s="69">
        <v>10.823220000000672</v>
      </c>
      <c r="H50" s="62" t="s">
        <v>1754</v>
      </c>
      <c r="I50" s="60" t="s">
        <v>1664</v>
      </c>
    </row>
    <row r="51" spans="2:9" x14ac:dyDescent="0.25">
      <c r="B51" s="63" t="s">
        <v>1755</v>
      </c>
      <c r="C51" s="64" t="s">
        <v>1756</v>
      </c>
      <c r="D51" s="65">
        <v>11.940000000002328</v>
      </c>
      <c r="E51" s="70">
        <v>1202.589999999851</v>
      </c>
      <c r="F51" s="71">
        <v>6.0129499999992548</v>
      </c>
      <c r="G51" s="72">
        <v>10.82330999999866</v>
      </c>
      <c r="H51" s="67" t="s">
        <v>1757</v>
      </c>
      <c r="I51" s="65" t="s">
        <v>1664</v>
      </c>
    </row>
    <row r="52" spans="2:9" x14ac:dyDescent="0.25">
      <c r="B52" s="58" t="s">
        <v>1758</v>
      </c>
      <c r="C52" s="59" t="s">
        <v>1759</v>
      </c>
      <c r="D52" s="60">
        <v>11.940000000002328</v>
      </c>
      <c r="E52" s="68">
        <v>1202.5800000000745</v>
      </c>
      <c r="F52" s="68">
        <v>6.0129000000003723</v>
      </c>
      <c r="G52" s="69">
        <v>10.823220000000672</v>
      </c>
      <c r="H52" s="62" t="s">
        <v>1760</v>
      </c>
      <c r="I52" s="60" t="s">
        <v>1664</v>
      </c>
    </row>
    <row r="53" spans="2:9" x14ac:dyDescent="0.25">
      <c r="B53" s="63" t="s">
        <v>1761</v>
      </c>
      <c r="C53" s="64" t="s">
        <v>1762</v>
      </c>
      <c r="D53" s="65">
        <v>5.9700000000011642</v>
      </c>
      <c r="E53" s="70">
        <v>601.29000000003725</v>
      </c>
      <c r="F53" s="71">
        <v>6.0129000000003723</v>
      </c>
      <c r="G53" s="72">
        <v>10.823220000000672</v>
      </c>
      <c r="H53" s="67" t="s">
        <v>1763</v>
      </c>
      <c r="I53" s="65" t="s">
        <v>1664</v>
      </c>
    </row>
    <row r="54" spans="2:9" x14ac:dyDescent="0.25">
      <c r="B54" s="58" t="s">
        <v>1764</v>
      </c>
      <c r="C54" s="59" t="s">
        <v>1765</v>
      </c>
      <c r="D54" s="60">
        <v>5.9700000000011642</v>
      </c>
      <c r="E54" s="68">
        <v>601.29000000003725</v>
      </c>
      <c r="F54" s="68">
        <v>6.0129000000003723</v>
      </c>
      <c r="G54" s="69">
        <v>10.823220000000672</v>
      </c>
      <c r="H54" s="62" t="s">
        <v>1766</v>
      </c>
      <c r="I54" s="60" t="s">
        <v>1664</v>
      </c>
    </row>
    <row r="55" spans="2:9" x14ac:dyDescent="0.25">
      <c r="B55" s="63" t="s">
        <v>1767</v>
      </c>
      <c r="C55" s="64" t="s">
        <v>1768</v>
      </c>
      <c r="D55" s="65">
        <v>11.940000000002328</v>
      </c>
      <c r="E55" s="70">
        <v>1202.5800000000745</v>
      </c>
      <c r="F55" s="71">
        <v>6.0129000000003723</v>
      </c>
      <c r="G55" s="72">
        <v>10.823220000000672</v>
      </c>
      <c r="H55" s="67" t="s">
        <v>1769</v>
      </c>
      <c r="I55" s="65" t="s">
        <v>1664</v>
      </c>
    </row>
    <row r="56" spans="2:9" x14ac:dyDescent="0.25">
      <c r="B56" s="58" t="s">
        <v>68</v>
      </c>
      <c r="C56" s="59" t="s">
        <v>1770</v>
      </c>
      <c r="D56" s="60">
        <v>5.9700000000011642</v>
      </c>
      <c r="E56" s="68">
        <v>601.29000000003725</v>
      </c>
      <c r="F56" s="68">
        <v>6.0129000000003723</v>
      </c>
      <c r="G56" s="69">
        <v>10.823220000000672</v>
      </c>
      <c r="H56" s="62" t="s">
        <v>1771</v>
      </c>
      <c r="I56" s="60"/>
    </row>
    <row r="57" spans="2:9" x14ac:dyDescent="0.25">
      <c r="B57" s="63" t="s">
        <v>77</v>
      </c>
      <c r="C57" s="64" t="s">
        <v>1772</v>
      </c>
      <c r="D57" s="65">
        <v>11.839999999996508</v>
      </c>
      <c r="E57" s="70">
        <v>1202.570000000298</v>
      </c>
      <c r="F57" s="71">
        <v>6.0128500000014897</v>
      </c>
      <c r="G57" s="72">
        <v>10.823130000002681</v>
      </c>
      <c r="H57" s="67" t="s">
        <v>1773</v>
      </c>
      <c r="I57" s="65"/>
    </row>
    <row r="58" spans="2:9" x14ac:dyDescent="0.25">
      <c r="B58" s="58" t="s">
        <v>63</v>
      </c>
      <c r="C58" s="59" t="s">
        <v>1774</v>
      </c>
      <c r="D58" s="60">
        <v>5.9700000000011642</v>
      </c>
      <c r="E58" s="68">
        <v>601.29000000003725</v>
      </c>
      <c r="F58" s="68">
        <v>6.0129000000003723</v>
      </c>
      <c r="G58" s="69">
        <v>10.823220000000672</v>
      </c>
      <c r="H58" s="62" t="s">
        <v>1775</v>
      </c>
      <c r="I58" s="60"/>
    </row>
    <row r="59" spans="2:9" x14ac:dyDescent="0.25">
      <c r="B59" s="63" t="s">
        <v>72</v>
      </c>
      <c r="C59" s="64" t="s">
        <v>1776</v>
      </c>
      <c r="D59" s="65">
        <v>11.839999999996508</v>
      </c>
      <c r="E59" s="70">
        <v>1202.570000000298</v>
      </c>
      <c r="F59" s="71">
        <v>6.0128500000014897</v>
      </c>
      <c r="G59" s="72">
        <v>10.823130000002681</v>
      </c>
      <c r="H59" s="67" t="s">
        <v>1777</v>
      </c>
      <c r="I59" s="65"/>
    </row>
    <row r="60" spans="2:9" x14ac:dyDescent="0.25">
      <c r="B60" s="58" t="s">
        <v>64</v>
      </c>
      <c r="C60" s="59" t="s">
        <v>1778</v>
      </c>
      <c r="D60" s="60">
        <v>5.9700000000011642</v>
      </c>
      <c r="E60" s="68">
        <v>601.29000000003725</v>
      </c>
      <c r="F60" s="68">
        <v>6.0129000000003723</v>
      </c>
      <c r="G60" s="69">
        <v>10.823220000000672</v>
      </c>
      <c r="H60" s="62" t="s">
        <v>1779</v>
      </c>
      <c r="I60" s="60"/>
    </row>
    <row r="61" spans="2:9" x14ac:dyDescent="0.25">
      <c r="B61" s="63" t="s">
        <v>73</v>
      </c>
      <c r="C61" s="64" t="s">
        <v>1780</v>
      </c>
      <c r="D61" s="65">
        <v>11.839999999996508</v>
      </c>
      <c r="E61" s="70">
        <v>1202.570000000298</v>
      </c>
      <c r="F61" s="71">
        <v>6.0128500000014897</v>
      </c>
      <c r="G61" s="72">
        <v>10.823130000002681</v>
      </c>
      <c r="H61" s="67" t="s">
        <v>1781</v>
      </c>
      <c r="I61" s="65"/>
    </row>
    <row r="62" spans="2:9" x14ac:dyDescent="0.25">
      <c r="B62" s="58" t="s">
        <v>66</v>
      </c>
      <c r="C62" s="59" t="s">
        <v>1782</v>
      </c>
      <c r="D62" s="60">
        <v>5.9700000000011642</v>
      </c>
      <c r="E62" s="68">
        <v>601.29000000003725</v>
      </c>
      <c r="F62" s="68">
        <v>6.0129000000003723</v>
      </c>
      <c r="G62" s="69">
        <v>10.823220000000672</v>
      </c>
      <c r="H62" s="62" t="s">
        <v>1783</v>
      </c>
      <c r="I62" s="60"/>
    </row>
    <row r="63" spans="2:9" x14ac:dyDescent="0.25">
      <c r="B63" s="63" t="s">
        <v>75</v>
      </c>
      <c r="C63" s="64" t="s">
        <v>1784</v>
      </c>
      <c r="D63" s="65">
        <v>11.839999999996508</v>
      </c>
      <c r="E63" s="70">
        <v>1202.570000000298</v>
      </c>
      <c r="F63" s="71">
        <v>6.0128500000014897</v>
      </c>
      <c r="G63" s="72">
        <v>10.823130000002681</v>
      </c>
      <c r="H63" s="67" t="s">
        <v>1785</v>
      </c>
      <c r="I63" s="65"/>
    </row>
    <row r="64" spans="2:9" x14ac:dyDescent="0.25">
      <c r="B64" s="58" t="s">
        <v>67</v>
      </c>
      <c r="C64" s="59" t="s">
        <v>1786</v>
      </c>
      <c r="D64" s="60">
        <v>5.9700000000011642</v>
      </c>
      <c r="E64" s="68">
        <v>601.29000000003725</v>
      </c>
      <c r="F64" s="68">
        <v>6.0129000000003723</v>
      </c>
      <c r="G64" s="69">
        <v>10.823220000000672</v>
      </c>
      <c r="H64" s="62" t="s">
        <v>1787</v>
      </c>
      <c r="I64" s="60"/>
    </row>
    <row r="65" spans="2:9" x14ac:dyDescent="0.25">
      <c r="B65" s="63" t="s">
        <v>76</v>
      </c>
      <c r="C65" s="64" t="s">
        <v>1788</v>
      </c>
      <c r="D65" s="65">
        <v>11.839999999996508</v>
      </c>
      <c r="E65" s="70">
        <v>1202.570000000298</v>
      </c>
      <c r="F65" s="71">
        <v>6.0128500000014897</v>
      </c>
      <c r="G65" s="72">
        <v>10.823130000002681</v>
      </c>
      <c r="H65" s="67" t="s">
        <v>1789</v>
      </c>
      <c r="I65" s="65"/>
    </row>
    <row r="66" spans="2:9" x14ac:dyDescent="0.25">
      <c r="B66" s="58" t="s">
        <v>65</v>
      </c>
      <c r="C66" s="59" t="s">
        <v>1790</v>
      </c>
      <c r="D66" s="60">
        <v>5.9700000000011642</v>
      </c>
      <c r="E66" s="68">
        <v>601.29000000003725</v>
      </c>
      <c r="F66" s="68">
        <v>6.0129000000003723</v>
      </c>
      <c r="G66" s="69">
        <v>10.823220000000672</v>
      </c>
      <c r="H66" s="62" t="s">
        <v>1791</v>
      </c>
      <c r="I66" s="60"/>
    </row>
    <row r="67" spans="2:9" x14ac:dyDescent="0.25">
      <c r="B67" s="63" t="s">
        <v>74</v>
      </c>
      <c r="C67" s="64" t="s">
        <v>1792</v>
      </c>
      <c r="D67" s="65">
        <v>11.839999999996508</v>
      </c>
      <c r="E67" s="70">
        <v>1202.570000000298</v>
      </c>
      <c r="F67" s="71">
        <v>6.0128500000014897</v>
      </c>
      <c r="G67" s="72">
        <v>10.823130000002681</v>
      </c>
      <c r="H67" s="67" t="s">
        <v>1793</v>
      </c>
      <c r="I67" s="65"/>
    </row>
    <row r="68" spans="2:9" x14ac:dyDescent="0.25">
      <c r="B68" s="58" t="s">
        <v>79</v>
      </c>
      <c r="C68" s="59" t="s">
        <v>1794</v>
      </c>
      <c r="D68" s="60">
        <v>9.4199999999982538</v>
      </c>
      <c r="E68" s="68">
        <v>762.29999999981374</v>
      </c>
      <c r="F68" s="68">
        <v>7.6229999999981377</v>
      </c>
      <c r="G68" s="69">
        <v>13.721399999996647</v>
      </c>
      <c r="H68" s="62" t="s">
        <v>1795</v>
      </c>
      <c r="I68" s="60" t="s">
        <v>1664</v>
      </c>
    </row>
    <row r="69" spans="2:9" x14ac:dyDescent="0.25">
      <c r="B69" s="63" t="s">
        <v>88</v>
      </c>
      <c r="C69" s="64" t="s">
        <v>1796</v>
      </c>
      <c r="D69" s="65">
        <v>18.579999999987194</v>
      </c>
      <c r="E69" s="70">
        <v>1524.609999999404</v>
      </c>
      <c r="F69" s="71">
        <v>7.6230499999970194</v>
      </c>
      <c r="G69" s="72">
        <v>13.721489999994635</v>
      </c>
      <c r="H69" s="67" t="s">
        <v>1797</v>
      </c>
      <c r="I69" s="65" t="s">
        <v>1664</v>
      </c>
    </row>
    <row r="70" spans="2:9" x14ac:dyDescent="0.25">
      <c r="B70" s="58" t="s">
        <v>80</v>
      </c>
      <c r="C70" s="59" t="s">
        <v>1798</v>
      </c>
      <c r="D70" s="60">
        <v>9.4199999999982538</v>
      </c>
      <c r="E70" s="68">
        <v>762.29999999981374</v>
      </c>
      <c r="F70" s="68">
        <v>7.6229999999981377</v>
      </c>
      <c r="G70" s="69">
        <v>13.721399999996647</v>
      </c>
      <c r="H70" s="62" t="s">
        <v>1799</v>
      </c>
      <c r="I70" s="60" t="s">
        <v>1664</v>
      </c>
    </row>
    <row r="71" spans="2:9" x14ac:dyDescent="0.25">
      <c r="B71" s="63" t="s">
        <v>89</v>
      </c>
      <c r="C71" s="64" t="s">
        <v>1800</v>
      </c>
      <c r="D71" s="65">
        <v>18.579999999987194</v>
      </c>
      <c r="E71" s="70">
        <v>1524.609999999404</v>
      </c>
      <c r="F71" s="71">
        <v>7.6230499999970194</v>
      </c>
      <c r="G71" s="72">
        <v>13.721489999994635</v>
      </c>
      <c r="H71" s="67" t="s">
        <v>1801</v>
      </c>
      <c r="I71" s="65" t="s">
        <v>1664</v>
      </c>
    </row>
    <row r="72" spans="2:9" x14ac:dyDescent="0.25">
      <c r="B72" s="58" t="s">
        <v>78</v>
      </c>
      <c r="C72" s="59" t="s">
        <v>1802</v>
      </c>
      <c r="D72" s="60">
        <v>9.4199999999982538</v>
      </c>
      <c r="E72" s="68">
        <v>762.29999999981374</v>
      </c>
      <c r="F72" s="68">
        <v>7.6229999999981377</v>
      </c>
      <c r="G72" s="69">
        <v>13.721399999996647</v>
      </c>
      <c r="H72" s="62" t="s">
        <v>1803</v>
      </c>
      <c r="I72" s="60" t="s">
        <v>1664</v>
      </c>
    </row>
    <row r="73" spans="2:9" x14ac:dyDescent="0.25">
      <c r="B73" s="63" t="s">
        <v>87</v>
      </c>
      <c r="C73" s="64" t="s">
        <v>1804</v>
      </c>
      <c r="D73" s="65">
        <v>18.579999999987194</v>
      </c>
      <c r="E73" s="70">
        <v>1524.609999999404</v>
      </c>
      <c r="F73" s="71">
        <v>7.6230499999970194</v>
      </c>
      <c r="G73" s="72">
        <v>13.721489999994635</v>
      </c>
      <c r="H73" s="67" t="s">
        <v>1805</v>
      </c>
      <c r="I73" s="65" t="s">
        <v>1664</v>
      </c>
    </row>
    <row r="74" spans="2:9" x14ac:dyDescent="0.25">
      <c r="B74" s="58" t="s">
        <v>1806</v>
      </c>
      <c r="C74" s="59" t="s">
        <v>1807</v>
      </c>
      <c r="D74" s="60">
        <v>9.4199999999982538</v>
      </c>
      <c r="E74" s="68">
        <v>762.29000000003725</v>
      </c>
      <c r="F74" s="68">
        <v>7.6229000000003726</v>
      </c>
      <c r="G74" s="69">
        <v>13.721220000000672</v>
      </c>
      <c r="H74" s="62" t="s">
        <v>1808</v>
      </c>
      <c r="I74" s="60" t="s">
        <v>1664</v>
      </c>
    </row>
    <row r="75" spans="2:9" x14ac:dyDescent="0.25">
      <c r="B75" s="63" t="s">
        <v>1809</v>
      </c>
      <c r="C75" s="64" t="s">
        <v>1810</v>
      </c>
      <c r="D75" s="65">
        <v>18.839999999996508</v>
      </c>
      <c r="E75" s="70">
        <v>1524.609999999404</v>
      </c>
      <c r="F75" s="71">
        <v>7.6230499999970194</v>
      </c>
      <c r="G75" s="72">
        <v>13.721489999994635</v>
      </c>
      <c r="H75" s="67" t="s">
        <v>1811</v>
      </c>
      <c r="I75" s="65" t="s">
        <v>1664</v>
      </c>
    </row>
    <row r="76" spans="2:9" x14ac:dyDescent="0.25">
      <c r="B76" s="58" t="s">
        <v>1812</v>
      </c>
      <c r="C76" s="59" t="s">
        <v>1813</v>
      </c>
      <c r="D76" s="60">
        <v>9.4199999999982538</v>
      </c>
      <c r="E76" s="68">
        <v>762.29000000003725</v>
      </c>
      <c r="F76" s="68">
        <v>7.6229000000003726</v>
      </c>
      <c r="G76" s="69">
        <v>13.721220000000672</v>
      </c>
      <c r="H76" s="62" t="s">
        <v>1814</v>
      </c>
      <c r="I76" s="60" t="s">
        <v>1664</v>
      </c>
    </row>
    <row r="77" spans="2:9" x14ac:dyDescent="0.25">
      <c r="B77" s="63" t="s">
        <v>1815</v>
      </c>
      <c r="C77" s="64" t="s">
        <v>1816</v>
      </c>
      <c r="D77" s="65">
        <v>18.839999999996508</v>
      </c>
      <c r="E77" s="70">
        <v>1524.609999999404</v>
      </c>
      <c r="F77" s="71">
        <v>7.6230499999970194</v>
      </c>
      <c r="G77" s="72">
        <v>13.721489999994635</v>
      </c>
      <c r="H77" s="67" t="s">
        <v>1817</v>
      </c>
      <c r="I77" s="65" t="s">
        <v>1664</v>
      </c>
    </row>
    <row r="78" spans="2:9" x14ac:dyDescent="0.25">
      <c r="B78" s="58" t="s">
        <v>1818</v>
      </c>
      <c r="C78" s="59" t="s">
        <v>1819</v>
      </c>
      <c r="D78" s="60">
        <v>9.4199999999982538</v>
      </c>
      <c r="E78" s="68">
        <v>762.29999999981374</v>
      </c>
      <c r="F78" s="68">
        <v>7.6229999999981377</v>
      </c>
      <c r="G78" s="69">
        <v>13.721399999996647</v>
      </c>
      <c r="H78" s="62" t="s">
        <v>1820</v>
      </c>
      <c r="I78" s="60" t="s">
        <v>1664</v>
      </c>
    </row>
    <row r="79" spans="2:9" x14ac:dyDescent="0.25">
      <c r="B79" s="63" t="s">
        <v>1821</v>
      </c>
      <c r="C79" s="64" t="s">
        <v>1822</v>
      </c>
      <c r="D79" s="65">
        <v>18.839999999996508</v>
      </c>
      <c r="E79" s="70">
        <v>1524.640000000596</v>
      </c>
      <c r="F79" s="71">
        <v>7.6232000000029805</v>
      </c>
      <c r="G79" s="72">
        <v>13.721760000005366</v>
      </c>
      <c r="H79" s="67" t="s">
        <v>1823</v>
      </c>
      <c r="I79" s="65" t="s">
        <v>1664</v>
      </c>
    </row>
    <row r="80" spans="2:9" x14ac:dyDescent="0.25">
      <c r="B80" s="58" t="s">
        <v>86</v>
      </c>
      <c r="C80" s="59" t="s">
        <v>1824</v>
      </c>
      <c r="D80" s="60">
        <v>9.4199999999982538</v>
      </c>
      <c r="E80" s="68">
        <v>762.29999999981374</v>
      </c>
      <c r="F80" s="68">
        <v>7.6229999999981377</v>
      </c>
      <c r="G80" s="69">
        <v>13.721399999996647</v>
      </c>
      <c r="H80" s="62" t="s">
        <v>1825</v>
      </c>
      <c r="I80" s="60"/>
    </row>
    <row r="81" spans="2:9" x14ac:dyDescent="0.25">
      <c r="B81" s="63" t="s">
        <v>95</v>
      </c>
      <c r="C81" s="64" t="s">
        <v>1826</v>
      </c>
      <c r="D81" s="65">
        <v>18.839999999996508</v>
      </c>
      <c r="E81" s="70">
        <v>1524.609999999404</v>
      </c>
      <c r="F81" s="71">
        <v>7.6230499999970194</v>
      </c>
      <c r="G81" s="72">
        <v>13.721489999994635</v>
      </c>
      <c r="H81" s="67" t="s">
        <v>1827</v>
      </c>
      <c r="I81" s="65"/>
    </row>
    <row r="82" spans="2:9" x14ac:dyDescent="0.25">
      <c r="B82" s="58" t="s">
        <v>81</v>
      </c>
      <c r="C82" s="59" t="s">
        <v>1828</v>
      </c>
      <c r="D82" s="60">
        <v>9.4199999999982538</v>
      </c>
      <c r="E82" s="68">
        <v>762.29999999981374</v>
      </c>
      <c r="F82" s="68">
        <v>7.6229999999981377</v>
      </c>
      <c r="G82" s="69">
        <v>13.721399999996647</v>
      </c>
      <c r="H82" s="62" t="s">
        <v>1829</v>
      </c>
      <c r="I82" s="60"/>
    </row>
    <row r="83" spans="2:9" x14ac:dyDescent="0.25">
      <c r="B83" s="63" t="s">
        <v>90</v>
      </c>
      <c r="C83" s="64" t="s">
        <v>1830</v>
      </c>
      <c r="D83" s="65">
        <v>18.839999999996508</v>
      </c>
      <c r="E83" s="70">
        <v>1524.609999999404</v>
      </c>
      <c r="F83" s="71">
        <v>7.6230499999970194</v>
      </c>
      <c r="G83" s="72">
        <v>13.721489999994635</v>
      </c>
      <c r="H83" s="67" t="s">
        <v>1831</v>
      </c>
      <c r="I83" s="65"/>
    </row>
    <row r="84" spans="2:9" x14ac:dyDescent="0.25">
      <c r="B84" s="58" t="s">
        <v>82</v>
      </c>
      <c r="C84" s="59" t="s">
        <v>1832</v>
      </c>
      <c r="D84" s="60">
        <v>9.4199999999982538</v>
      </c>
      <c r="E84" s="68">
        <v>762.29999999981374</v>
      </c>
      <c r="F84" s="68">
        <v>7.6229999999981377</v>
      </c>
      <c r="G84" s="69">
        <v>13.721399999996647</v>
      </c>
      <c r="H84" s="62" t="s">
        <v>1833</v>
      </c>
      <c r="I84" s="60"/>
    </row>
    <row r="85" spans="2:9" x14ac:dyDescent="0.25">
      <c r="B85" s="63" t="s">
        <v>91</v>
      </c>
      <c r="C85" s="64" t="s">
        <v>1834</v>
      </c>
      <c r="D85" s="65">
        <v>18.839999999996508</v>
      </c>
      <c r="E85" s="70">
        <v>1524.609999999404</v>
      </c>
      <c r="F85" s="71">
        <v>7.6230499999970194</v>
      </c>
      <c r="G85" s="72">
        <v>13.721489999994635</v>
      </c>
      <c r="H85" s="67" t="s">
        <v>1835</v>
      </c>
      <c r="I85" s="65"/>
    </row>
    <row r="86" spans="2:9" x14ac:dyDescent="0.25">
      <c r="B86" s="58" t="s">
        <v>84</v>
      </c>
      <c r="C86" s="59" t="s">
        <v>1836</v>
      </c>
      <c r="D86" s="60">
        <v>9.4199999999982538</v>
      </c>
      <c r="E86" s="68">
        <v>762.29999999981374</v>
      </c>
      <c r="F86" s="68">
        <v>7.6229999999981377</v>
      </c>
      <c r="G86" s="69">
        <v>13.721399999996647</v>
      </c>
      <c r="H86" s="62" t="s">
        <v>1837</v>
      </c>
      <c r="I86" s="60"/>
    </row>
    <row r="87" spans="2:9" x14ac:dyDescent="0.25">
      <c r="B87" s="63" t="s">
        <v>93</v>
      </c>
      <c r="C87" s="64" t="s">
        <v>1838</v>
      </c>
      <c r="D87" s="65">
        <v>18.839999999996508</v>
      </c>
      <c r="E87" s="70">
        <v>1524.609999999404</v>
      </c>
      <c r="F87" s="71">
        <v>7.6230499999970194</v>
      </c>
      <c r="G87" s="72">
        <v>13.721489999994635</v>
      </c>
      <c r="H87" s="67" t="s">
        <v>1839</v>
      </c>
      <c r="I87" s="65"/>
    </row>
    <row r="88" spans="2:9" x14ac:dyDescent="0.25">
      <c r="B88" s="58" t="s">
        <v>85</v>
      </c>
      <c r="C88" s="59" t="s">
        <v>1840</v>
      </c>
      <c r="D88" s="60">
        <v>9.4199999999982538</v>
      </c>
      <c r="E88" s="68">
        <v>762.29999999981374</v>
      </c>
      <c r="F88" s="68">
        <v>7.6229999999981377</v>
      </c>
      <c r="G88" s="69">
        <v>13.721399999996647</v>
      </c>
      <c r="H88" s="62" t="s">
        <v>1841</v>
      </c>
      <c r="I88" s="60"/>
    </row>
    <row r="89" spans="2:9" x14ac:dyDescent="0.25">
      <c r="B89" s="63" t="s">
        <v>94</v>
      </c>
      <c r="C89" s="64" t="s">
        <v>1842</v>
      </c>
      <c r="D89" s="65">
        <v>18.839999999996508</v>
      </c>
      <c r="E89" s="70">
        <v>1524.609999999404</v>
      </c>
      <c r="F89" s="71">
        <v>7.6230499999970194</v>
      </c>
      <c r="G89" s="72">
        <v>13.721489999994635</v>
      </c>
      <c r="H89" s="67" t="s">
        <v>1843</v>
      </c>
      <c r="I89" s="65"/>
    </row>
    <row r="90" spans="2:9" x14ac:dyDescent="0.25">
      <c r="B90" s="58" t="s">
        <v>83</v>
      </c>
      <c r="C90" s="59" t="s">
        <v>1844</v>
      </c>
      <c r="D90" s="60">
        <v>9.4199999999982538</v>
      </c>
      <c r="E90" s="68">
        <v>762.29999999981374</v>
      </c>
      <c r="F90" s="68">
        <v>7.6229999999981377</v>
      </c>
      <c r="G90" s="69">
        <v>13.721399999996647</v>
      </c>
      <c r="H90" s="62" t="s">
        <v>1845</v>
      </c>
      <c r="I90" s="60"/>
    </row>
    <row r="91" spans="2:9" x14ac:dyDescent="0.25">
      <c r="B91" s="63" t="s">
        <v>92</v>
      </c>
      <c r="C91" s="64" t="s">
        <v>1846</v>
      </c>
      <c r="D91" s="65">
        <v>18.839999999996508</v>
      </c>
      <c r="E91" s="70">
        <v>1524.609999999404</v>
      </c>
      <c r="F91" s="71">
        <v>7.6230499999970194</v>
      </c>
      <c r="G91" s="72">
        <v>13.721489999994635</v>
      </c>
      <c r="H91" s="67" t="s">
        <v>1847</v>
      </c>
      <c r="I91" s="65"/>
    </row>
    <row r="92" spans="2:9" x14ac:dyDescent="0.25">
      <c r="B92" s="58" t="s">
        <v>97</v>
      </c>
      <c r="C92" s="59" t="s">
        <v>1848</v>
      </c>
      <c r="D92" s="60">
        <v>12.960000000006403</v>
      </c>
      <c r="E92" s="73">
        <v>1143.570000000298</v>
      </c>
      <c r="F92" s="61">
        <v>11.43570000000298</v>
      </c>
      <c r="G92" s="74">
        <v>20.584260000005365</v>
      </c>
      <c r="H92" s="62" t="s">
        <v>1849</v>
      </c>
      <c r="I92" s="60" t="s">
        <v>1664</v>
      </c>
    </row>
    <row r="93" spans="2:9" x14ac:dyDescent="0.25">
      <c r="B93" s="63" t="s">
        <v>106</v>
      </c>
      <c r="C93" s="64" t="s">
        <v>1850</v>
      </c>
      <c r="D93" s="65">
        <v>25.920000000012806</v>
      </c>
      <c r="E93" s="75">
        <v>2287.1499999985099</v>
      </c>
      <c r="F93" s="66">
        <v>11.435749999992549</v>
      </c>
      <c r="G93" s="76">
        <v>20.584349999986589</v>
      </c>
      <c r="H93" s="67" t="s">
        <v>1851</v>
      </c>
      <c r="I93" s="65" t="s">
        <v>1664</v>
      </c>
    </row>
    <row r="94" spans="2:9" x14ac:dyDescent="0.25">
      <c r="B94" s="58" t="s">
        <v>98</v>
      </c>
      <c r="C94" s="59" t="s">
        <v>1852</v>
      </c>
      <c r="D94" s="60">
        <v>12.960000000006403</v>
      </c>
      <c r="E94" s="73">
        <v>1143.570000000298</v>
      </c>
      <c r="F94" s="61">
        <v>11.43570000000298</v>
      </c>
      <c r="G94" s="74">
        <v>20.584260000005365</v>
      </c>
      <c r="H94" s="62" t="s">
        <v>1853</v>
      </c>
      <c r="I94" s="60" t="s">
        <v>1664</v>
      </c>
    </row>
    <row r="95" spans="2:9" x14ac:dyDescent="0.25">
      <c r="B95" s="63" t="s">
        <v>107</v>
      </c>
      <c r="C95" s="64" t="s">
        <v>1854</v>
      </c>
      <c r="D95" s="65">
        <v>25.920000000012806</v>
      </c>
      <c r="E95" s="75">
        <v>2287.1499999985099</v>
      </c>
      <c r="F95" s="66">
        <v>11.435749999992549</v>
      </c>
      <c r="G95" s="76">
        <v>20.584349999986589</v>
      </c>
      <c r="H95" s="67" t="s">
        <v>1855</v>
      </c>
      <c r="I95" s="65" t="s">
        <v>1664</v>
      </c>
    </row>
    <row r="96" spans="2:9" x14ac:dyDescent="0.25">
      <c r="B96" s="58" t="s">
        <v>96</v>
      </c>
      <c r="C96" s="59" t="s">
        <v>1856</v>
      </c>
      <c r="D96" s="60">
        <v>12.960000000006403</v>
      </c>
      <c r="E96" s="73">
        <v>1143.570000000298</v>
      </c>
      <c r="F96" s="61">
        <v>11.43570000000298</v>
      </c>
      <c r="G96" s="74">
        <v>20.584260000005365</v>
      </c>
      <c r="H96" s="62" t="s">
        <v>1857</v>
      </c>
      <c r="I96" s="60" t="s">
        <v>1664</v>
      </c>
    </row>
    <row r="97" spans="2:9" x14ac:dyDescent="0.25">
      <c r="B97" s="63" t="s">
        <v>105</v>
      </c>
      <c r="C97" s="64" t="s">
        <v>1858</v>
      </c>
      <c r="D97" s="65">
        <v>25.920000000012806</v>
      </c>
      <c r="E97" s="75">
        <v>2287.1499999985099</v>
      </c>
      <c r="F97" s="66">
        <v>11.435749999992549</v>
      </c>
      <c r="G97" s="76">
        <v>20.584349999986589</v>
      </c>
      <c r="H97" s="67" t="s">
        <v>1859</v>
      </c>
      <c r="I97" s="65" t="s">
        <v>1664</v>
      </c>
    </row>
    <row r="98" spans="2:9" x14ac:dyDescent="0.25">
      <c r="B98" s="58" t="s">
        <v>1860</v>
      </c>
      <c r="C98" s="59" t="s">
        <v>1861</v>
      </c>
      <c r="D98" s="60">
        <v>12.96</v>
      </c>
      <c r="E98" s="73">
        <v>1143.570000000298</v>
      </c>
      <c r="F98" s="61">
        <v>11.43570000000298</v>
      </c>
      <c r="G98" s="74">
        <v>20.584260000005365</v>
      </c>
      <c r="H98" s="62" t="s">
        <v>1862</v>
      </c>
      <c r="I98" s="60" t="s">
        <v>1863</v>
      </c>
    </row>
    <row r="99" spans="2:9" x14ac:dyDescent="0.25">
      <c r="B99" s="63" t="s">
        <v>1864</v>
      </c>
      <c r="C99" s="64" t="s">
        <v>1861</v>
      </c>
      <c r="D99" s="65">
        <v>25.920000000012806</v>
      </c>
      <c r="E99" s="75">
        <v>2287.1499999985099</v>
      </c>
      <c r="F99" s="66">
        <v>11.435749999992549</v>
      </c>
      <c r="G99" s="76">
        <v>20.584349999986589</v>
      </c>
      <c r="H99" s="67" t="s">
        <v>1862</v>
      </c>
      <c r="I99" s="65" t="s">
        <v>1664</v>
      </c>
    </row>
    <row r="100" spans="2:9" x14ac:dyDescent="0.25">
      <c r="B100" s="58" t="s">
        <v>1865</v>
      </c>
      <c r="C100" s="59" t="s">
        <v>1866</v>
      </c>
      <c r="D100" s="60">
        <v>25.920000000012806</v>
      </c>
      <c r="E100" s="73">
        <v>2287.1499999985099</v>
      </c>
      <c r="F100" s="61">
        <v>11.435749999992549</v>
      </c>
      <c r="G100" s="74">
        <v>20.584349999986589</v>
      </c>
      <c r="H100" s="62" t="s">
        <v>1867</v>
      </c>
      <c r="I100" s="60" t="s">
        <v>1664</v>
      </c>
    </row>
    <row r="101" spans="2:9" x14ac:dyDescent="0.25">
      <c r="B101" s="63" t="s">
        <v>1868</v>
      </c>
      <c r="C101" s="64" t="s">
        <v>1869</v>
      </c>
      <c r="D101" s="65">
        <v>12.960000000006403</v>
      </c>
      <c r="E101" s="75">
        <v>1143.570000000298</v>
      </c>
      <c r="F101" s="66">
        <v>11.43570000000298</v>
      </c>
      <c r="G101" s="76">
        <v>20.584260000005365</v>
      </c>
      <c r="H101" s="67" t="s">
        <v>1870</v>
      </c>
      <c r="I101" s="65" t="s">
        <v>1664</v>
      </c>
    </row>
    <row r="102" spans="2:9" x14ac:dyDescent="0.25">
      <c r="B102" s="58" t="s">
        <v>1871</v>
      </c>
      <c r="C102" s="59" t="s">
        <v>1872</v>
      </c>
      <c r="D102" s="60">
        <v>12.960000000006403</v>
      </c>
      <c r="E102" s="73">
        <v>1143.570000000298</v>
      </c>
      <c r="F102" s="61">
        <v>11.43570000000298</v>
      </c>
      <c r="G102" s="74">
        <v>20.584260000005365</v>
      </c>
      <c r="H102" s="62" t="s">
        <v>1873</v>
      </c>
      <c r="I102" s="60" t="s">
        <v>1664</v>
      </c>
    </row>
    <row r="103" spans="2:9" x14ac:dyDescent="0.25">
      <c r="B103" s="63" t="s">
        <v>1874</v>
      </c>
      <c r="C103" s="64" t="s">
        <v>1875</v>
      </c>
      <c r="D103" s="65">
        <v>25.920000000012806</v>
      </c>
      <c r="E103" s="75">
        <v>2287.1499999985099</v>
      </c>
      <c r="F103" s="66">
        <v>11.435749999992549</v>
      </c>
      <c r="G103" s="76">
        <v>20.584349999986589</v>
      </c>
      <c r="H103" s="67" t="s">
        <v>1876</v>
      </c>
      <c r="I103" s="65" t="s">
        <v>1664</v>
      </c>
    </row>
    <row r="104" spans="2:9" x14ac:dyDescent="0.25">
      <c r="B104" s="58" t="s">
        <v>104</v>
      </c>
      <c r="C104" s="59" t="s">
        <v>1877</v>
      </c>
      <c r="D104" s="60">
        <v>12.960000000006403</v>
      </c>
      <c r="E104" s="73">
        <v>1143.570000000298</v>
      </c>
      <c r="F104" s="61">
        <v>11.43570000000298</v>
      </c>
      <c r="G104" s="74">
        <v>20.584260000005365</v>
      </c>
      <c r="H104" s="62" t="s">
        <v>1878</v>
      </c>
      <c r="I104" s="60"/>
    </row>
    <row r="105" spans="2:9" x14ac:dyDescent="0.25">
      <c r="B105" s="63" t="s">
        <v>113</v>
      </c>
      <c r="C105" s="64" t="s">
        <v>1879</v>
      </c>
      <c r="D105" s="65">
        <v>25.920000000012806</v>
      </c>
      <c r="E105" s="75">
        <v>2287.1499999985099</v>
      </c>
      <c r="F105" s="66">
        <v>11.435749999992549</v>
      </c>
      <c r="G105" s="76">
        <v>20.584349999986589</v>
      </c>
      <c r="H105" s="67" t="s">
        <v>1880</v>
      </c>
      <c r="I105" s="65"/>
    </row>
    <row r="106" spans="2:9" x14ac:dyDescent="0.25">
      <c r="B106" s="58" t="s">
        <v>99</v>
      </c>
      <c r="C106" s="59" t="s">
        <v>1881</v>
      </c>
      <c r="D106" s="60">
        <v>12.960000000006403</v>
      </c>
      <c r="E106" s="73">
        <v>1143.570000000298</v>
      </c>
      <c r="F106" s="61">
        <v>11.43570000000298</v>
      </c>
      <c r="G106" s="74">
        <v>20.584260000005365</v>
      </c>
      <c r="H106" s="62" t="s">
        <v>1882</v>
      </c>
      <c r="I106" s="60"/>
    </row>
    <row r="107" spans="2:9" x14ac:dyDescent="0.25">
      <c r="B107" s="63" t="s">
        <v>108</v>
      </c>
      <c r="C107" s="64" t="s">
        <v>1883</v>
      </c>
      <c r="D107" s="65">
        <v>25.920000000012806</v>
      </c>
      <c r="E107" s="75">
        <v>2287.1499999985099</v>
      </c>
      <c r="F107" s="66">
        <v>11.435749999992549</v>
      </c>
      <c r="G107" s="76">
        <v>20.584349999986589</v>
      </c>
      <c r="H107" s="67" t="s">
        <v>1884</v>
      </c>
      <c r="I107" s="65"/>
    </row>
    <row r="108" spans="2:9" x14ac:dyDescent="0.25">
      <c r="B108" s="58" t="s">
        <v>100</v>
      </c>
      <c r="C108" s="59" t="s">
        <v>1885</v>
      </c>
      <c r="D108" s="60">
        <v>12.960000000006403</v>
      </c>
      <c r="E108" s="73">
        <v>1143.570000000298</v>
      </c>
      <c r="F108" s="61">
        <v>11.43570000000298</v>
      </c>
      <c r="G108" s="74">
        <v>20.584260000005365</v>
      </c>
      <c r="H108" s="62" t="s">
        <v>1886</v>
      </c>
      <c r="I108" s="60"/>
    </row>
    <row r="109" spans="2:9" x14ac:dyDescent="0.25">
      <c r="B109" s="63" t="s">
        <v>109</v>
      </c>
      <c r="C109" s="64" t="s">
        <v>1887</v>
      </c>
      <c r="D109" s="65">
        <v>25.920000000012806</v>
      </c>
      <c r="E109" s="75">
        <v>2287.1499999985099</v>
      </c>
      <c r="F109" s="66">
        <v>11.435749999992549</v>
      </c>
      <c r="G109" s="76">
        <v>20.584349999986589</v>
      </c>
      <c r="H109" s="67" t="s">
        <v>1888</v>
      </c>
      <c r="I109" s="65"/>
    </row>
    <row r="110" spans="2:9" x14ac:dyDescent="0.25">
      <c r="B110" s="58" t="s">
        <v>102</v>
      </c>
      <c r="C110" s="59" t="s">
        <v>1889</v>
      </c>
      <c r="D110" s="60">
        <v>12.960000000006403</v>
      </c>
      <c r="E110" s="73">
        <v>1143.570000000298</v>
      </c>
      <c r="F110" s="61">
        <v>11.43570000000298</v>
      </c>
      <c r="G110" s="74">
        <v>20.584260000005365</v>
      </c>
      <c r="H110" s="62" t="s">
        <v>1890</v>
      </c>
      <c r="I110" s="60"/>
    </row>
    <row r="111" spans="2:9" x14ac:dyDescent="0.25">
      <c r="B111" s="63" t="s">
        <v>111</v>
      </c>
      <c r="C111" s="64" t="s">
        <v>1891</v>
      </c>
      <c r="D111" s="65">
        <v>25.920000000012806</v>
      </c>
      <c r="E111" s="75">
        <v>2287.1499999985099</v>
      </c>
      <c r="F111" s="66">
        <v>11.435749999992549</v>
      </c>
      <c r="G111" s="76">
        <v>20.584349999986589</v>
      </c>
      <c r="H111" s="67" t="s">
        <v>1892</v>
      </c>
      <c r="I111" s="65"/>
    </row>
    <row r="112" spans="2:9" x14ac:dyDescent="0.25">
      <c r="B112" s="58" t="s">
        <v>103</v>
      </c>
      <c r="C112" s="59" t="s">
        <v>1893</v>
      </c>
      <c r="D112" s="60">
        <v>12.960000000006403</v>
      </c>
      <c r="E112" s="73">
        <v>1143.570000000298</v>
      </c>
      <c r="F112" s="61">
        <v>11.43570000000298</v>
      </c>
      <c r="G112" s="74">
        <v>20.584260000005365</v>
      </c>
      <c r="H112" s="62" t="s">
        <v>1894</v>
      </c>
      <c r="I112" s="60"/>
    </row>
    <row r="113" spans="2:9" x14ac:dyDescent="0.25">
      <c r="B113" s="63" t="s">
        <v>112</v>
      </c>
      <c r="C113" s="64" t="s">
        <v>1895</v>
      </c>
      <c r="D113" s="65">
        <v>25.920000000012806</v>
      </c>
      <c r="E113" s="75">
        <v>2287.1499999985099</v>
      </c>
      <c r="F113" s="66">
        <v>11.435749999992549</v>
      </c>
      <c r="G113" s="76">
        <v>20.584349999986589</v>
      </c>
      <c r="H113" s="67" t="s">
        <v>1896</v>
      </c>
      <c r="I113" s="65"/>
    </row>
    <row r="114" spans="2:9" x14ac:dyDescent="0.25">
      <c r="B114" s="58" t="s">
        <v>101</v>
      </c>
      <c r="C114" s="59" t="s">
        <v>1897</v>
      </c>
      <c r="D114" s="60">
        <v>12.960000000006403</v>
      </c>
      <c r="E114" s="73">
        <v>1143.570000000298</v>
      </c>
      <c r="F114" s="61">
        <v>11.43570000000298</v>
      </c>
      <c r="G114" s="74">
        <v>20.584260000005365</v>
      </c>
      <c r="H114" s="62" t="s">
        <v>1898</v>
      </c>
      <c r="I114" s="60"/>
    </row>
    <row r="115" spans="2:9" x14ac:dyDescent="0.25">
      <c r="B115" s="63" t="s">
        <v>110</v>
      </c>
      <c r="C115" s="64" t="s">
        <v>1899</v>
      </c>
      <c r="D115" s="65">
        <v>25.920000000012806</v>
      </c>
      <c r="E115" s="75">
        <v>2287.1499999985099</v>
      </c>
      <c r="F115" s="66">
        <v>11.435749999992549</v>
      </c>
      <c r="G115" s="76">
        <v>20.584349999986589</v>
      </c>
      <c r="H115" s="67" t="s">
        <v>1900</v>
      </c>
      <c r="I115" s="65"/>
    </row>
    <row r="116" spans="2:9" x14ac:dyDescent="0.25">
      <c r="B116" s="58" t="s">
        <v>114</v>
      </c>
      <c r="C116" s="59" t="s">
        <v>1901</v>
      </c>
      <c r="D116" s="60">
        <v>14.600000000005821</v>
      </c>
      <c r="E116" s="73">
        <v>1547.8699999991804</v>
      </c>
      <c r="F116" s="61">
        <v>15.478699999991804</v>
      </c>
      <c r="G116" s="74">
        <v>27.86165999998525</v>
      </c>
      <c r="H116" s="62" t="s">
        <v>1902</v>
      </c>
      <c r="I116" s="60" t="s">
        <v>1664</v>
      </c>
    </row>
    <row r="117" spans="2:9" x14ac:dyDescent="0.25">
      <c r="B117" s="63" t="s">
        <v>118</v>
      </c>
      <c r="C117" s="64" t="s">
        <v>1903</v>
      </c>
      <c r="D117" s="65">
        <v>29.200000000011642</v>
      </c>
      <c r="E117" s="75">
        <v>3095.7899999991059</v>
      </c>
      <c r="F117" s="66">
        <v>15.47894999999553</v>
      </c>
      <c r="G117" s="76">
        <v>27.862109999991954</v>
      </c>
      <c r="H117" s="67" t="s">
        <v>1904</v>
      </c>
      <c r="I117" s="65" t="s">
        <v>1664</v>
      </c>
    </row>
    <row r="118" spans="2:9" x14ac:dyDescent="0.25">
      <c r="B118" s="58" t="s">
        <v>115</v>
      </c>
      <c r="C118" s="59" t="s">
        <v>1905</v>
      </c>
      <c r="D118" s="60">
        <v>14.600000000005821</v>
      </c>
      <c r="E118" s="73">
        <v>1547.8699999991804</v>
      </c>
      <c r="F118" s="61">
        <v>15.478699999991804</v>
      </c>
      <c r="G118" s="74">
        <v>27.86165999998525</v>
      </c>
      <c r="H118" s="62" t="s">
        <v>1906</v>
      </c>
      <c r="I118" s="60" t="s">
        <v>1664</v>
      </c>
    </row>
    <row r="119" spans="2:9" x14ac:dyDescent="0.25">
      <c r="B119" s="63" t="s">
        <v>119</v>
      </c>
      <c r="C119" s="64" t="s">
        <v>1907</v>
      </c>
      <c r="D119" s="65">
        <v>29.200000000011642</v>
      </c>
      <c r="E119" s="75">
        <v>3095.7899999991059</v>
      </c>
      <c r="F119" s="66">
        <v>15.47894999999553</v>
      </c>
      <c r="G119" s="76">
        <v>27.862109999991954</v>
      </c>
      <c r="H119" s="67" t="s">
        <v>1908</v>
      </c>
      <c r="I119" s="65" t="s">
        <v>1664</v>
      </c>
    </row>
    <row r="120" spans="2:9" x14ac:dyDescent="0.25">
      <c r="B120" s="58" t="s">
        <v>116</v>
      </c>
      <c r="C120" s="59" t="s">
        <v>1909</v>
      </c>
      <c r="D120" s="60">
        <v>14.600000000005821</v>
      </c>
      <c r="E120" s="73">
        <v>1547.8699999991804</v>
      </c>
      <c r="F120" s="61">
        <v>15.478699999991804</v>
      </c>
      <c r="G120" s="74">
        <v>27.86165999998525</v>
      </c>
      <c r="H120" s="62" t="s">
        <v>1910</v>
      </c>
      <c r="I120" s="60" t="s">
        <v>1664</v>
      </c>
    </row>
    <row r="121" spans="2:9" x14ac:dyDescent="0.25">
      <c r="B121" s="63" t="s">
        <v>120</v>
      </c>
      <c r="C121" s="64" t="s">
        <v>1911</v>
      </c>
      <c r="D121" s="65">
        <v>29.200000000011642</v>
      </c>
      <c r="E121" s="75">
        <v>3095.7899999991059</v>
      </c>
      <c r="F121" s="66">
        <v>15.47894999999553</v>
      </c>
      <c r="G121" s="76">
        <v>27.862109999991954</v>
      </c>
      <c r="H121" s="67" t="s">
        <v>1912</v>
      </c>
      <c r="I121" s="65" t="s">
        <v>1664</v>
      </c>
    </row>
    <row r="122" spans="2:9" x14ac:dyDescent="0.25">
      <c r="B122" s="58" t="s">
        <v>1913</v>
      </c>
      <c r="C122" s="59" t="s">
        <v>1914</v>
      </c>
      <c r="D122" s="60">
        <v>14.600000000005821</v>
      </c>
      <c r="E122" s="73">
        <v>1547.8699999991804</v>
      </c>
      <c r="F122" s="61">
        <v>15.478699999991804</v>
      </c>
      <c r="G122" s="74">
        <v>27.86165999998525</v>
      </c>
      <c r="H122" s="62" t="s">
        <v>1915</v>
      </c>
      <c r="I122" s="60" t="s">
        <v>1664</v>
      </c>
    </row>
    <row r="123" spans="2:9" x14ac:dyDescent="0.25">
      <c r="B123" s="63" t="s">
        <v>1916</v>
      </c>
      <c r="C123" s="64" t="s">
        <v>1917</v>
      </c>
      <c r="D123" s="65">
        <v>29.200000000011642</v>
      </c>
      <c r="E123" s="75">
        <v>3095.7899999991059</v>
      </c>
      <c r="F123" s="66">
        <v>15.47894999999553</v>
      </c>
      <c r="G123" s="76">
        <v>27.862109999991954</v>
      </c>
      <c r="H123" s="67" t="s">
        <v>1918</v>
      </c>
      <c r="I123" s="65" t="s">
        <v>1664</v>
      </c>
    </row>
    <row r="124" spans="2:9" x14ac:dyDescent="0.25">
      <c r="B124" s="58" t="s">
        <v>1919</v>
      </c>
      <c r="C124" s="59" t="s">
        <v>1920</v>
      </c>
      <c r="D124" s="60">
        <v>14.600000000005821</v>
      </c>
      <c r="E124" s="73">
        <v>1547.8699999991804</v>
      </c>
      <c r="F124" s="61">
        <v>15.478699999991804</v>
      </c>
      <c r="G124" s="74">
        <v>27.86165999998525</v>
      </c>
      <c r="H124" s="62" t="s">
        <v>1921</v>
      </c>
      <c r="I124" s="60" t="s">
        <v>231</v>
      </c>
    </row>
    <row r="125" spans="2:9" x14ac:dyDescent="0.25">
      <c r="B125" s="63" t="s">
        <v>1922</v>
      </c>
      <c r="C125" s="64" t="s">
        <v>1923</v>
      </c>
      <c r="D125" s="65">
        <v>29.200000000011642</v>
      </c>
      <c r="E125" s="75">
        <v>3095.7899999991059</v>
      </c>
      <c r="F125" s="66">
        <v>15.47894999999553</v>
      </c>
      <c r="G125" s="76">
        <v>27.862109999991954</v>
      </c>
      <c r="H125" s="67" t="s">
        <v>1924</v>
      </c>
      <c r="I125" s="65" t="s">
        <v>1664</v>
      </c>
    </row>
    <row r="126" spans="2:9" x14ac:dyDescent="0.25">
      <c r="B126" s="58" t="s">
        <v>1925</v>
      </c>
      <c r="C126" s="59" t="s">
        <v>1926</v>
      </c>
      <c r="D126" s="60">
        <v>29.200000000011642</v>
      </c>
      <c r="E126" s="73">
        <v>3095.7899999991059</v>
      </c>
      <c r="F126" s="61">
        <v>15.47894999999553</v>
      </c>
      <c r="G126" s="74">
        <v>27.862109999991954</v>
      </c>
      <c r="H126" s="62" t="s">
        <v>1927</v>
      </c>
      <c r="I126" s="60" t="s">
        <v>1664</v>
      </c>
    </row>
    <row r="127" spans="2:9" x14ac:dyDescent="0.25">
      <c r="B127" s="63" t="s">
        <v>1928</v>
      </c>
      <c r="C127" s="64" t="s">
        <v>1929</v>
      </c>
      <c r="D127" s="65">
        <v>14.600000000005821</v>
      </c>
      <c r="E127" s="75">
        <v>1547.8699999991804</v>
      </c>
      <c r="F127" s="66">
        <v>15.478699999991804</v>
      </c>
      <c r="G127" s="76">
        <v>27.86165999998525</v>
      </c>
      <c r="H127" s="67" t="s">
        <v>1930</v>
      </c>
      <c r="I127" s="65" t="s">
        <v>1664</v>
      </c>
    </row>
    <row r="128" spans="2:9" x14ac:dyDescent="0.25">
      <c r="B128" s="58" t="s">
        <v>121</v>
      </c>
      <c r="C128" s="59" t="s">
        <v>1931</v>
      </c>
      <c r="D128" s="60">
        <v>17.209999999991851</v>
      </c>
      <c r="E128" s="73">
        <v>1978.429999999702</v>
      </c>
      <c r="F128" s="61">
        <v>19.784299999997021</v>
      </c>
      <c r="G128" s="74">
        <v>35.61173999999464</v>
      </c>
      <c r="H128" s="62" t="s">
        <v>1932</v>
      </c>
      <c r="I128" s="60" t="s">
        <v>1664</v>
      </c>
    </row>
    <row r="129" spans="1:9" x14ac:dyDescent="0.25">
      <c r="B129" s="63" t="s">
        <v>122</v>
      </c>
      <c r="C129" s="64" t="s">
        <v>1933</v>
      </c>
      <c r="D129" s="65">
        <v>17.209999999991851</v>
      </c>
      <c r="E129" s="75">
        <v>1978.429999999702</v>
      </c>
      <c r="F129" s="66">
        <v>19.784299999997021</v>
      </c>
      <c r="G129" s="76">
        <v>35.61173999999464</v>
      </c>
      <c r="H129" s="67" t="s">
        <v>1934</v>
      </c>
      <c r="I129" s="65" t="s">
        <v>1664</v>
      </c>
    </row>
    <row r="130" spans="1:9" x14ac:dyDescent="0.25">
      <c r="B130" s="58" t="s">
        <v>123</v>
      </c>
      <c r="C130" s="59" t="s">
        <v>1935</v>
      </c>
      <c r="D130" s="60">
        <v>17.209999999991851</v>
      </c>
      <c r="E130" s="73">
        <v>1978.429999999702</v>
      </c>
      <c r="F130" s="61">
        <v>19.784299999997021</v>
      </c>
      <c r="G130" s="74">
        <v>35.61173999999464</v>
      </c>
      <c r="H130" s="62" t="s">
        <v>1936</v>
      </c>
      <c r="I130" s="60" t="s">
        <v>1664</v>
      </c>
    </row>
    <row r="131" spans="1:9" x14ac:dyDescent="0.25">
      <c r="B131" s="63" t="s">
        <v>1937</v>
      </c>
      <c r="C131" s="64" t="s">
        <v>1938</v>
      </c>
      <c r="D131" s="65">
        <v>17.209999999991851</v>
      </c>
      <c r="E131" s="75">
        <v>1978.429999999702</v>
      </c>
      <c r="F131" s="66">
        <v>19.784299999997021</v>
      </c>
      <c r="G131" s="76">
        <v>35.61173999999464</v>
      </c>
      <c r="H131" s="67" t="s">
        <v>1939</v>
      </c>
      <c r="I131" s="65" t="s">
        <v>1664</v>
      </c>
    </row>
    <row r="132" spans="1:9" x14ac:dyDescent="0.25">
      <c r="A132" s="57"/>
      <c r="B132" s="63" t="s">
        <v>130</v>
      </c>
      <c r="C132" s="64" t="s">
        <v>1940</v>
      </c>
      <c r="D132" s="65">
        <v>4.1399999999994179</v>
      </c>
      <c r="E132" s="66">
        <v>263.43000000016764</v>
      </c>
      <c r="F132" s="66">
        <v>2.6343000000016765</v>
      </c>
      <c r="G132" s="65">
        <v>4.7417400000030172</v>
      </c>
      <c r="H132" s="67" t="s">
        <v>1941</v>
      </c>
      <c r="I132" s="65" t="s">
        <v>1942</v>
      </c>
    </row>
    <row r="133" spans="1:9" x14ac:dyDescent="0.25">
      <c r="A133" s="57"/>
      <c r="B133" s="58" t="s">
        <v>131</v>
      </c>
      <c r="C133" s="59" t="s">
        <v>1943</v>
      </c>
      <c r="D133" s="60">
        <v>4.1399999999994179</v>
      </c>
      <c r="E133" s="61">
        <v>263.43000000016764</v>
      </c>
      <c r="F133" s="61">
        <v>2.6343000000016765</v>
      </c>
      <c r="G133" s="60">
        <v>4.7417400000030172</v>
      </c>
      <c r="H133" s="62" t="s">
        <v>1944</v>
      </c>
      <c r="I133" s="60" t="s">
        <v>1942</v>
      </c>
    </row>
    <row r="134" spans="1:9" x14ac:dyDescent="0.25">
      <c r="A134" s="57"/>
      <c r="B134" s="63" t="s">
        <v>132</v>
      </c>
      <c r="C134" s="64" t="s">
        <v>1945</v>
      </c>
      <c r="D134" s="65">
        <v>4.1399999999994179</v>
      </c>
      <c r="E134" s="66">
        <v>263.43000000016764</v>
      </c>
      <c r="F134" s="66">
        <v>2.6343000000016765</v>
      </c>
      <c r="G134" s="65">
        <v>4.7417400000030172</v>
      </c>
      <c r="H134" s="67" t="s">
        <v>1946</v>
      </c>
      <c r="I134" s="65" t="s">
        <v>1942</v>
      </c>
    </row>
    <row r="135" spans="1:9" x14ac:dyDescent="0.25">
      <c r="A135" s="57"/>
      <c r="B135" s="58" t="s">
        <v>133</v>
      </c>
      <c r="C135" s="59" t="s">
        <v>1947</v>
      </c>
      <c r="D135" s="60">
        <v>4.1399999999994179</v>
      </c>
      <c r="E135" s="61">
        <v>263.43000000016764</v>
      </c>
      <c r="F135" s="61">
        <v>2.6343000000016765</v>
      </c>
      <c r="G135" s="60">
        <v>4.7417400000030172</v>
      </c>
      <c r="H135" s="62" t="s">
        <v>1948</v>
      </c>
      <c r="I135" s="60" t="s">
        <v>1942</v>
      </c>
    </row>
    <row r="136" spans="1:9" x14ac:dyDescent="0.25">
      <c r="A136" s="57"/>
      <c r="B136" s="63" t="s">
        <v>134</v>
      </c>
      <c r="C136" s="64" t="s">
        <v>1949</v>
      </c>
      <c r="D136" s="65">
        <v>8.2799999999988358</v>
      </c>
      <c r="E136" s="66">
        <v>526.83000000007451</v>
      </c>
      <c r="F136" s="66">
        <v>2.6341500000003726</v>
      </c>
      <c r="G136" s="65">
        <v>4.7414700000006711</v>
      </c>
      <c r="H136" s="67" t="s">
        <v>1950</v>
      </c>
      <c r="I136" s="65" t="s">
        <v>1942</v>
      </c>
    </row>
    <row r="137" spans="1:9" x14ac:dyDescent="0.25">
      <c r="A137" s="57"/>
      <c r="B137" s="58" t="s">
        <v>135</v>
      </c>
      <c r="C137" s="59" t="s">
        <v>1951</v>
      </c>
      <c r="D137" s="60">
        <v>8.2799999999988358</v>
      </c>
      <c r="E137" s="61">
        <v>526.83000000007451</v>
      </c>
      <c r="F137" s="61">
        <v>2.6341500000003726</v>
      </c>
      <c r="G137" s="60">
        <v>4.7414700000006711</v>
      </c>
      <c r="H137" s="62" t="s">
        <v>1952</v>
      </c>
      <c r="I137" s="60" t="s">
        <v>1942</v>
      </c>
    </row>
    <row r="138" spans="1:9" x14ac:dyDescent="0.25">
      <c r="A138" s="57"/>
      <c r="B138" s="63" t="s">
        <v>136</v>
      </c>
      <c r="C138" s="64" t="s">
        <v>1953</v>
      </c>
      <c r="D138" s="65">
        <v>8.2799999999988358</v>
      </c>
      <c r="E138" s="66">
        <v>526.83000000007451</v>
      </c>
      <c r="F138" s="66">
        <v>2.6341500000003726</v>
      </c>
      <c r="G138" s="65">
        <v>4.7414700000006711</v>
      </c>
      <c r="H138" s="67" t="s">
        <v>1954</v>
      </c>
      <c r="I138" s="65" t="s">
        <v>1942</v>
      </c>
    </row>
    <row r="139" spans="1:9" x14ac:dyDescent="0.25">
      <c r="A139" s="57"/>
      <c r="B139" s="58" t="s">
        <v>137</v>
      </c>
      <c r="C139" s="59" t="s">
        <v>1955</v>
      </c>
      <c r="D139" s="60">
        <v>8.2799999999988358</v>
      </c>
      <c r="E139" s="61">
        <v>526.83000000007451</v>
      </c>
      <c r="F139" s="61">
        <v>2.6341500000003726</v>
      </c>
      <c r="G139" s="60">
        <v>4.7414700000006711</v>
      </c>
      <c r="H139" s="62" t="s">
        <v>1956</v>
      </c>
      <c r="I139" s="60" t="s">
        <v>1942</v>
      </c>
    </row>
    <row r="140" spans="1:9" x14ac:dyDescent="0.25">
      <c r="A140" s="57"/>
      <c r="B140" s="63" t="s">
        <v>138</v>
      </c>
      <c r="C140" s="64" t="s">
        <v>1957</v>
      </c>
      <c r="D140" s="65">
        <v>8.2799999999988358</v>
      </c>
      <c r="E140" s="66">
        <v>526.83000000007451</v>
      </c>
      <c r="F140" s="66">
        <v>2.6341500000003726</v>
      </c>
      <c r="G140" s="65">
        <v>4.7414700000006711</v>
      </c>
      <c r="H140" s="67" t="s">
        <v>1958</v>
      </c>
      <c r="I140" s="65" t="s">
        <v>1942</v>
      </c>
    </row>
    <row r="141" spans="1:9" x14ac:dyDescent="0.25">
      <c r="A141" s="57"/>
      <c r="B141" s="58" t="s">
        <v>139</v>
      </c>
      <c r="C141" s="59" t="s">
        <v>1959</v>
      </c>
      <c r="D141" s="60">
        <v>8.2799999999988358</v>
      </c>
      <c r="E141" s="61">
        <v>526.83000000007451</v>
      </c>
      <c r="F141" s="61">
        <v>2.6341500000003726</v>
      </c>
      <c r="G141" s="60">
        <v>4.7414700000006711</v>
      </c>
      <c r="H141" s="62" t="s">
        <v>1960</v>
      </c>
      <c r="I141" s="60" t="s">
        <v>1942</v>
      </c>
    </row>
    <row r="142" spans="1:9" x14ac:dyDescent="0.25">
      <c r="A142" s="57"/>
      <c r="B142" s="63" t="s">
        <v>140</v>
      </c>
      <c r="C142" s="64" t="s">
        <v>1961</v>
      </c>
      <c r="D142" s="65">
        <v>8.2799999999988358</v>
      </c>
      <c r="E142" s="66">
        <v>526.83000000007451</v>
      </c>
      <c r="F142" s="66">
        <v>2.6341500000003726</v>
      </c>
      <c r="G142" s="65">
        <v>4.7414700000006711</v>
      </c>
      <c r="H142" s="67" t="s">
        <v>1962</v>
      </c>
      <c r="I142" s="65" t="s">
        <v>1942</v>
      </c>
    </row>
    <row r="143" spans="1:9" x14ac:dyDescent="0.25">
      <c r="A143" s="57"/>
      <c r="B143" s="58" t="s">
        <v>141</v>
      </c>
      <c r="C143" s="59" t="s">
        <v>1963</v>
      </c>
      <c r="D143" s="60">
        <v>8.2799999999988358</v>
      </c>
      <c r="E143" s="61">
        <v>526.83000000007451</v>
      </c>
      <c r="F143" s="61">
        <v>2.6341500000003726</v>
      </c>
      <c r="G143" s="60">
        <v>4.7414700000006711</v>
      </c>
      <c r="H143" s="62" t="s">
        <v>1964</v>
      </c>
      <c r="I143" s="60" t="s">
        <v>1942</v>
      </c>
    </row>
    <row r="144" spans="1:9" x14ac:dyDescent="0.25">
      <c r="A144" s="57"/>
      <c r="B144" s="63" t="s">
        <v>142</v>
      </c>
      <c r="C144" s="64" t="s">
        <v>1965</v>
      </c>
      <c r="D144" s="65">
        <v>6.9800000000032014</v>
      </c>
      <c r="E144" s="66">
        <v>389.5</v>
      </c>
      <c r="F144" s="66">
        <v>3.895</v>
      </c>
      <c r="G144" s="65">
        <v>7.0110000000000001</v>
      </c>
      <c r="H144" s="67" t="s">
        <v>1966</v>
      </c>
      <c r="I144" s="65" t="s">
        <v>1967</v>
      </c>
    </row>
    <row r="145" spans="1:9" x14ac:dyDescent="0.25">
      <c r="A145" s="57"/>
      <c r="B145" s="58" t="s">
        <v>143</v>
      </c>
      <c r="C145" s="59" t="s">
        <v>1968</v>
      </c>
      <c r="D145" s="60">
        <v>6.9800000000032014</v>
      </c>
      <c r="E145" s="61">
        <v>389.5</v>
      </c>
      <c r="F145" s="61">
        <v>3.895</v>
      </c>
      <c r="G145" s="60">
        <v>7.0110000000000001</v>
      </c>
      <c r="H145" s="62" t="s">
        <v>1969</v>
      </c>
      <c r="I145" s="60" t="s">
        <v>1967</v>
      </c>
    </row>
    <row r="146" spans="1:9" x14ac:dyDescent="0.25">
      <c r="A146" s="57"/>
      <c r="B146" s="63" t="s">
        <v>144</v>
      </c>
      <c r="C146" s="64" t="s">
        <v>1970</v>
      </c>
      <c r="D146" s="65">
        <v>6.9800000000032014</v>
      </c>
      <c r="E146" s="66">
        <v>389.5</v>
      </c>
      <c r="F146" s="66">
        <v>3.895</v>
      </c>
      <c r="G146" s="65">
        <v>7.0110000000000001</v>
      </c>
      <c r="H146" s="67" t="s">
        <v>1971</v>
      </c>
      <c r="I146" s="65" t="s">
        <v>1967</v>
      </c>
    </row>
    <row r="147" spans="1:9" x14ac:dyDescent="0.25">
      <c r="A147" s="57"/>
      <c r="B147" s="58" t="s">
        <v>145</v>
      </c>
      <c r="C147" s="59" t="s">
        <v>1972</v>
      </c>
      <c r="D147" s="60">
        <v>6.9800000000032014</v>
      </c>
      <c r="E147" s="61">
        <v>389.5</v>
      </c>
      <c r="F147" s="61">
        <v>3.895</v>
      </c>
      <c r="G147" s="60">
        <v>7.0110000000000001</v>
      </c>
      <c r="H147" s="62" t="s">
        <v>1973</v>
      </c>
      <c r="I147" s="60" t="s">
        <v>1967</v>
      </c>
    </row>
    <row r="148" spans="1:9" x14ac:dyDescent="0.25">
      <c r="A148" s="57"/>
      <c r="B148" s="63" t="s">
        <v>146</v>
      </c>
      <c r="C148" s="64" t="s">
        <v>1974</v>
      </c>
      <c r="D148" s="65">
        <v>13.960000000006403</v>
      </c>
      <c r="E148" s="66">
        <v>778.99000000022352</v>
      </c>
      <c r="F148" s="66">
        <v>3.8949500000011175</v>
      </c>
      <c r="G148" s="65">
        <v>7.0109100000020126</v>
      </c>
      <c r="H148" s="67" t="s">
        <v>1975</v>
      </c>
      <c r="I148" s="65" t="s">
        <v>1967</v>
      </c>
    </row>
    <row r="149" spans="1:9" x14ac:dyDescent="0.25">
      <c r="A149" s="57"/>
      <c r="B149" s="58" t="s">
        <v>147</v>
      </c>
      <c r="C149" s="59" t="s">
        <v>1976</v>
      </c>
      <c r="D149" s="60">
        <v>13.960000000006403</v>
      </c>
      <c r="E149" s="61">
        <v>778.99000000022352</v>
      </c>
      <c r="F149" s="61">
        <v>3.8949500000011175</v>
      </c>
      <c r="G149" s="60">
        <v>7.0109100000020126</v>
      </c>
      <c r="H149" s="62" t="s">
        <v>1977</v>
      </c>
      <c r="I149" s="60" t="s">
        <v>1967</v>
      </c>
    </row>
    <row r="150" spans="1:9" x14ac:dyDescent="0.25">
      <c r="A150" s="57"/>
      <c r="B150" s="63" t="s">
        <v>148</v>
      </c>
      <c r="C150" s="64" t="s">
        <v>1978</v>
      </c>
      <c r="D150" s="65">
        <v>13.960000000006403</v>
      </c>
      <c r="E150" s="66">
        <v>778.99000000022352</v>
      </c>
      <c r="F150" s="66">
        <v>3.8949500000011175</v>
      </c>
      <c r="G150" s="65">
        <v>7.0109100000020126</v>
      </c>
      <c r="H150" s="67" t="s">
        <v>1979</v>
      </c>
      <c r="I150" s="65" t="s">
        <v>1967</v>
      </c>
    </row>
    <row r="151" spans="1:9" x14ac:dyDescent="0.25">
      <c r="A151" s="57"/>
      <c r="B151" s="58" t="s">
        <v>149</v>
      </c>
      <c r="C151" s="59" t="s">
        <v>1980</v>
      </c>
      <c r="D151" s="60">
        <v>13.960000000006403</v>
      </c>
      <c r="E151" s="61">
        <v>778.99000000022352</v>
      </c>
      <c r="F151" s="61">
        <v>3.8949500000011175</v>
      </c>
      <c r="G151" s="60">
        <v>7.0109100000020126</v>
      </c>
      <c r="H151" s="62" t="s">
        <v>1981</v>
      </c>
      <c r="I151" s="60" t="s">
        <v>1967</v>
      </c>
    </row>
    <row r="152" spans="1:9" x14ac:dyDescent="0.25">
      <c r="A152" s="57"/>
      <c r="B152" s="63" t="s">
        <v>150</v>
      </c>
      <c r="C152" s="64" t="s">
        <v>1982</v>
      </c>
      <c r="D152" s="65">
        <v>13.960000000006403</v>
      </c>
      <c r="E152" s="66">
        <v>778.99000000022352</v>
      </c>
      <c r="F152" s="66">
        <v>3.8949500000011175</v>
      </c>
      <c r="G152" s="65">
        <v>7.0109100000020126</v>
      </c>
      <c r="H152" s="67" t="s">
        <v>1983</v>
      </c>
      <c r="I152" s="65" t="s">
        <v>1967</v>
      </c>
    </row>
    <row r="153" spans="1:9" x14ac:dyDescent="0.25">
      <c r="A153" s="57"/>
      <c r="B153" s="58" t="s">
        <v>151</v>
      </c>
      <c r="C153" s="59" t="s">
        <v>1984</v>
      </c>
      <c r="D153" s="60">
        <v>13.960000000006403</v>
      </c>
      <c r="E153" s="61">
        <v>778.99000000022352</v>
      </c>
      <c r="F153" s="61">
        <v>3.8949500000011175</v>
      </c>
      <c r="G153" s="60">
        <v>7.0109100000020126</v>
      </c>
      <c r="H153" s="62" t="s">
        <v>1985</v>
      </c>
      <c r="I153" s="60" t="s">
        <v>1967</v>
      </c>
    </row>
    <row r="154" spans="1:9" x14ac:dyDescent="0.25">
      <c r="A154" s="57"/>
      <c r="B154" s="63" t="s">
        <v>152</v>
      </c>
      <c r="C154" s="64" t="s">
        <v>1986</v>
      </c>
      <c r="D154" s="65">
        <v>13.960000000006403</v>
      </c>
      <c r="E154" s="66">
        <v>778.99000000022352</v>
      </c>
      <c r="F154" s="66">
        <v>3.8949500000011175</v>
      </c>
      <c r="G154" s="65">
        <v>7.0109100000020126</v>
      </c>
      <c r="H154" s="67" t="s">
        <v>1987</v>
      </c>
      <c r="I154" s="65" t="s">
        <v>1967</v>
      </c>
    </row>
    <row r="155" spans="1:9" x14ac:dyDescent="0.25">
      <c r="A155" s="57"/>
      <c r="B155" s="58" t="s">
        <v>153</v>
      </c>
      <c r="C155" s="59" t="s">
        <v>1988</v>
      </c>
      <c r="D155" s="60">
        <v>13.960000000006403</v>
      </c>
      <c r="E155" s="61">
        <v>778.99000000022352</v>
      </c>
      <c r="F155" s="61">
        <v>3.8949500000011175</v>
      </c>
      <c r="G155" s="60">
        <v>7.0109100000020126</v>
      </c>
      <c r="H155" s="62" t="s">
        <v>1989</v>
      </c>
      <c r="I155" s="60" t="s">
        <v>1967</v>
      </c>
    </row>
    <row r="156" spans="1:9" x14ac:dyDescent="0.25">
      <c r="A156" s="57"/>
      <c r="B156" s="63" t="s">
        <v>154</v>
      </c>
      <c r="C156" s="64" t="s">
        <v>1990</v>
      </c>
      <c r="D156" s="65">
        <v>8.7599999999947613</v>
      </c>
      <c r="E156" s="66">
        <v>533.61000000033528</v>
      </c>
      <c r="F156" s="66">
        <v>5.3361000000033529</v>
      </c>
      <c r="G156" s="65">
        <v>9.6049800000060355</v>
      </c>
      <c r="H156" s="67" t="s">
        <v>1991</v>
      </c>
      <c r="I156" s="65" t="s">
        <v>1992</v>
      </c>
    </row>
    <row r="157" spans="1:9" x14ac:dyDescent="0.25">
      <c r="A157" s="57"/>
      <c r="B157" s="58" t="s">
        <v>155</v>
      </c>
      <c r="C157" s="59" t="s">
        <v>1993</v>
      </c>
      <c r="D157" s="60">
        <v>8.7599999999947613</v>
      </c>
      <c r="E157" s="61">
        <v>533.61000000033528</v>
      </c>
      <c r="F157" s="61">
        <v>5.3361000000033529</v>
      </c>
      <c r="G157" s="60">
        <v>9.6049800000060355</v>
      </c>
      <c r="H157" s="62" t="s">
        <v>1994</v>
      </c>
      <c r="I157" s="60" t="s">
        <v>1992</v>
      </c>
    </row>
    <row r="158" spans="1:9" x14ac:dyDescent="0.25">
      <c r="A158" s="57"/>
      <c r="B158" s="63" t="s">
        <v>156</v>
      </c>
      <c r="C158" s="64" t="s">
        <v>1995</v>
      </c>
      <c r="D158" s="65">
        <v>8.7599999999947613</v>
      </c>
      <c r="E158" s="66">
        <v>533.61000000033528</v>
      </c>
      <c r="F158" s="66">
        <v>5.3361000000033529</v>
      </c>
      <c r="G158" s="65">
        <v>9.6049800000060355</v>
      </c>
      <c r="H158" s="67" t="s">
        <v>1996</v>
      </c>
      <c r="I158" s="65" t="s">
        <v>1992</v>
      </c>
    </row>
    <row r="159" spans="1:9" x14ac:dyDescent="0.25">
      <c r="A159" s="57"/>
      <c r="B159" s="58" t="s">
        <v>157</v>
      </c>
      <c r="C159" s="59" t="s">
        <v>1997</v>
      </c>
      <c r="D159" s="60">
        <v>8.7599999999947613</v>
      </c>
      <c r="E159" s="61">
        <v>533.61000000033528</v>
      </c>
      <c r="F159" s="61">
        <v>5.3361000000033529</v>
      </c>
      <c r="G159" s="60">
        <v>9.6049800000060355</v>
      </c>
      <c r="H159" s="62" t="s">
        <v>1998</v>
      </c>
      <c r="I159" s="60" t="s">
        <v>1992</v>
      </c>
    </row>
    <row r="160" spans="1:9" x14ac:dyDescent="0.25">
      <c r="A160" s="57"/>
      <c r="B160" s="63" t="s">
        <v>158</v>
      </c>
      <c r="C160" s="64" t="s">
        <v>1999</v>
      </c>
      <c r="D160" s="65">
        <v>17.519999999989523</v>
      </c>
      <c r="E160" s="66">
        <v>1067.160000000149</v>
      </c>
      <c r="F160" s="66">
        <v>5.3358000000007451</v>
      </c>
      <c r="G160" s="65">
        <v>9.6044400000013415</v>
      </c>
      <c r="H160" s="67" t="s">
        <v>2000</v>
      </c>
      <c r="I160" s="65" t="s">
        <v>1992</v>
      </c>
    </row>
    <row r="161" spans="1:9" x14ac:dyDescent="0.25">
      <c r="A161" s="57"/>
      <c r="B161" s="58" t="s">
        <v>159</v>
      </c>
      <c r="C161" s="59" t="s">
        <v>2001</v>
      </c>
      <c r="D161" s="60">
        <v>17.519999999989523</v>
      </c>
      <c r="E161" s="61">
        <v>1067.160000000149</v>
      </c>
      <c r="F161" s="61">
        <v>5.3358000000007451</v>
      </c>
      <c r="G161" s="60">
        <v>9.6044400000013415</v>
      </c>
      <c r="H161" s="62" t="s">
        <v>2002</v>
      </c>
      <c r="I161" s="60" t="s">
        <v>1992</v>
      </c>
    </row>
    <row r="162" spans="1:9" x14ac:dyDescent="0.25">
      <c r="A162" s="57"/>
      <c r="B162" s="63" t="s">
        <v>160</v>
      </c>
      <c r="C162" s="64" t="s">
        <v>2003</v>
      </c>
      <c r="D162" s="65">
        <v>17.519999999989523</v>
      </c>
      <c r="E162" s="66">
        <v>1067.160000000149</v>
      </c>
      <c r="F162" s="66">
        <v>5.3358000000007451</v>
      </c>
      <c r="G162" s="65">
        <v>9.6044400000013415</v>
      </c>
      <c r="H162" s="67" t="s">
        <v>2004</v>
      </c>
      <c r="I162" s="65" t="s">
        <v>1992</v>
      </c>
    </row>
    <row r="163" spans="1:9" x14ac:dyDescent="0.25">
      <c r="A163" s="57"/>
      <c r="B163" s="58" t="s">
        <v>161</v>
      </c>
      <c r="C163" s="59" t="s">
        <v>2005</v>
      </c>
      <c r="D163" s="60">
        <v>17.519999999989523</v>
      </c>
      <c r="E163" s="61">
        <v>1067.160000000149</v>
      </c>
      <c r="F163" s="61">
        <v>5.3358000000007451</v>
      </c>
      <c r="G163" s="60">
        <v>9.6044400000013415</v>
      </c>
      <c r="H163" s="62" t="s">
        <v>2006</v>
      </c>
      <c r="I163" s="60" t="s">
        <v>1992</v>
      </c>
    </row>
    <row r="164" spans="1:9" x14ac:dyDescent="0.25">
      <c r="A164" s="57"/>
      <c r="B164" s="63" t="s">
        <v>162</v>
      </c>
      <c r="C164" s="64" t="s">
        <v>2007</v>
      </c>
      <c r="D164" s="65">
        <v>17.519999999989523</v>
      </c>
      <c r="E164" s="66">
        <v>1067.160000000149</v>
      </c>
      <c r="F164" s="66">
        <v>5.3358000000007451</v>
      </c>
      <c r="G164" s="65">
        <v>9.6044400000013415</v>
      </c>
      <c r="H164" s="67" t="s">
        <v>2008</v>
      </c>
      <c r="I164" s="65" t="s">
        <v>1992</v>
      </c>
    </row>
    <row r="165" spans="1:9" x14ac:dyDescent="0.25">
      <c r="A165" s="57"/>
      <c r="B165" s="58" t="s">
        <v>163</v>
      </c>
      <c r="C165" s="59" t="s">
        <v>2009</v>
      </c>
      <c r="D165" s="60">
        <v>17.519999999989523</v>
      </c>
      <c r="E165" s="61">
        <v>1067.160000000149</v>
      </c>
      <c r="F165" s="61">
        <v>5.3358000000007451</v>
      </c>
      <c r="G165" s="60">
        <v>9.6044400000013415</v>
      </c>
      <c r="H165" s="62" t="s">
        <v>2010</v>
      </c>
      <c r="I165" s="60" t="s">
        <v>1992</v>
      </c>
    </row>
    <row r="166" spans="1:9" x14ac:dyDescent="0.25">
      <c r="A166" s="57"/>
      <c r="B166" s="63" t="s">
        <v>164</v>
      </c>
      <c r="C166" s="64" t="s">
        <v>2011</v>
      </c>
      <c r="D166" s="65">
        <v>17.519999999989523</v>
      </c>
      <c r="E166" s="66">
        <v>1067.160000000149</v>
      </c>
      <c r="F166" s="66">
        <v>5.3358000000007451</v>
      </c>
      <c r="G166" s="65">
        <v>9.6044400000013415</v>
      </c>
      <c r="H166" s="67" t="s">
        <v>2012</v>
      </c>
      <c r="I166" s="65" t="s">
        <v>1992</v>
      </c>
    </row>
    <row r="167" spans="1:9" x14ac:dyDescent="0.25">
      <c r="A167" s="57"/>
      <c r="B167" s="58" t="s">
        <v>165</v>
      </c>
      <c r="C167" s="59" t="s">
        <v>2013</v>
      </c>
      <c r="D167" s="60">
        <v>17.519999999989523</v>
      </c>
      <c r="E167" s="61">
        <v>1067.160000000149</v>
      </c>
      <c r="F167" s="61">
        <v>5.3358000000007451</v>
      </c>
      <c r="G167" s="60">
        <v>9.6044400000013415</v>
      </c>
      <c r="H167" s="62" t="s">
        <v>2014</v>
      </c>
      <c r="I167" s="60" t="s">
        <v>1992</v>
      </c>
    </row>
    <row r="168" spans="1:9" x14ac:dyDescent="0.25">
      <c r="A168" s="57"/>
      <c r="B168" s="63" t="s">
        <v>166</v>
      </c>
      <c r="C168" s="64" t="s">
        <v>2015</v>
      </c>
      <c r="D168" s="65">
        <v>11.970000000001164</v>
      </c>
      <c r="E168" s="66">
        <v>729.46999999973923</v>
      </c>
      <c r="F168" s="66">
        <v>7.294699999997392</v>
      </c>
      <c r="G168" s="65">
        <v>13.130459999995308</v>
      </c>
      <c r="H168" s="67" t="s">
        <v>2016</v>
      </c>
      <c r="I168" s="65" t="s">
        <v>2017</v>
      </c>
    </row>
    <row r="169" spans="1:9" x14ac:dyDescent="0.25">
      <c r="A169" s="57"/>
      <c r="B169" s="58" t="s">
        <v>167</v>
      </c>
      <c r="C169" s="59" t="s">
        <v>2018</v>
      </c>
      <c r="D169" s="60">
        <v>11.970000000001164</v>
      </c>
      <c r="E169" s="61">
        <v>729.46999999973923</v>
      </c>
      <c r="F169" s="61">
        <v>7.294699999997392</v>
      </c>
      <c r="G169" s="60">
        <v>13.130459999995308</v>
      </c>
      <c r="H169" s="62" t="s">
        <v>2019</v>
      </c>
      <c r="I169" s="60" t="s">
        <v>2017</v>
      </c>
    </row>
    <row r="170" spans="1:9" x14ac:dyDescent="0.25">
      <c r="A170" s="57"/>
      <c r="B170" s="63" t="s">
        <v>168</v>
      </c>
      <c r="C170" s="64" t="s">
        <v>2020</v>
      </c>
      <c r="D170" s="65">
        <v>11.970000000001164</v>
      </c>
      <c r="E170" s="66">
        <v>729.46999999973923</v>
      </c>
      <c r="F170" s="66">
        <v>7.294699999997392</v>
      </c>
      <c r="G170" s="65">
        <v>13.130459999995308</v>
      </c>
      <c r="H170" s="67" t="s">
        <v>2021</v>
      </c>
      <c r="I170" s="65" t="s">
        <v>2017</v>
      </c>
    </row>
    <row r="171" spans="1:9" x14ac:dyDescent="0.25">
      <c r="A171" s="57"/>
      <c r="B171" s="58" t="s">
        <v>169</v>
      </c>
      <c r="C171" s="59" t="s">
        <v>2022</v>
      </c>
      <c r="D171" s="60">
        <v>11.970000000001164</v>
      </c>
      <c r="E171" s="61">
        <v>729.46999999973923</v>
      </c>
      <c r="F171" s="61">
        <v>7.294699999997392</v>
      </c>
      <c r="G171" s="60">
        <v>13.130459999995308</v>
      </c>
      <c r="H171" s="62" t="s">
        <v>2023</v>
      </c>
      <c r="I171" s="60" t="s">
        <v>2017</v>
      </c>
    </row>
    <row r="172" spans="1:9" x14ac:dyDescent="0.25">
      <c r="A172" s="57"/>
      <c r="B172" s="63" t="s">
        <v>170</v>
      </c>
      <c r="C172" s="64" t="s">
        <v>2024</v>
      </c>
      <c r="D172" s="65">
        <v>23.940000000002328</v>
      </c>
      <c r="E172" s="66">
        <v>1458.9199999999255</v>
      </c>
      <c r="F172" s="66">
        <v>7.2945999999996278</v>
      </c>
      <c r="G172" s="65">
        <v>13.130279999999329</v>
      </c>
      <c r="H172" s="67" t="s">
        <v>2025</v>
      </c>
      <c r="I172" s="65" t="s">
        <v>2017</v>
      </c>
    </row>
    <row r="173" spans="1:9" x14ac:dyDescent="0.25">
      <c r="A173" s="57"/>
      <c r="B173" s="58" t="s">
        <v>171</v>
      </c>
      <c r="C173" s="59" t="s">
        <v>2026</v>
      </c>
      <c r="D173" s="60">
        <v>23.940000000002328</v>
      </c>
      <c r="E173" s="61">
        <v>1458.9199999999255</v>
      </c>
      <c r="F173" s="61">
        <v>7.2945999999996278</v>
      </c>
      <c r="G173" s="60">
        <v>13.130279999999329</v>
      </c>
      <c r="H173" s="62" t="s">
        <v>2027</v>
      </c>
      <c r="I173" s="60" t="s">
        <v>2017</v>
      </c>
    </row>
    <row r="174" spans="1:9" x14ac:dyDescent="0.25">
      <c r="A174" s="57"/>
      <c r="B174" s="63" t="s">
        <v>172</v>
      </c>
      <c r="C174" s="64" t="s">
        <v>2028</v>
      </c>
      <c r="D174" s="65">
        <v>23.940000000002328</v>
      </c>
      <c r="E174" s="66">
        <v>1458.9199999999255</v>
      </c>
      <c r="F174" s="66">
        <v>7.2945999999996278</v>
      </c>
      <c r="G174" s="65">
        <v>13.130279999999329</v>
      </c>
      <c r="H174" s="67" t="s">
        <v>2029</v>
      </c>
      <c r="I174" s="65" t="s">
        <v>2017</v>
      </c>
    </row>
    <row r="175" spans="1:9" x14ac:dyDescent="0.25">
      <c r="A175" s="57"/>
      <c r="B175" s="58" t="s">
        <v>173</v>
      </c>
      <c r="C175" s="59" t="s">
        <v>2030</v>
      </c>
      <c r="D175" s="60">
        <v>23.940000000002328</v>
      </c>
      <c r="E175" s="61">
        <v>1458.9199999999255</v>
      </c>
      <c r="F175" s="61">
        <v>7.2945999999996278</v>
      </c>
      <c r="G175" s="60">
        <v>13.130279999999329</v>
      </c>
      <c r="H175" s="62" t="s">
        <v>2031</v>
      </c>
      <c r="I175" s="60" t="s">
        <v>2017</v>
      </c>
    </row>
    <row r="176" spans="1:9" x14ac:dyDescent="0.25">
      <c r="A176" s="57"/>
      <c r="B176" s="63" t="s">
        <v>174</v>
      </c>
      <c r="C176" s="64" t="s">
        <v>2032</v>
      </c>
      <c r="D176" s="65">
        <v>23.940000000002328</v>
      </c>
      <c r="E176" s="66">
        <v>1458.9199999999255</v>
      </c>
      <c r="F176" s="66">
        <v>7.2945999999996278</v>
      </c>
      <c r="G176" s="65">
        <v>13.130279999999329</v>
      </c>
      <c r="H176" s="67" t="s">
        <v>2033</v>
      </c>
      <c r="I176" s="65" t="s">
        <v>2017</v>
      </c>
    </row>
    <row r="177" spans="1:9" x14ac:dyDescent="0.25">
      <c r="A177" s="57"/>
      <c r="B177" s="58" t="s">
        <v>175</v>
      </c>
      <c r="C177" s="59" t="s">
        <v>2034</v>
      </c>
      <c r="D177" s="60">
        <v>23.940000000002328</v>
      </c>
      <c r="E177" s="61">
        <v>1458.9199999999255</v>
      </c>
      <c r="F177" s="61">
        <v>7.2945999999996278</v>
      </c>
      <c r="G177" s="60">
        <v>13.130279999999329</v>
      </c>
      <c r="H177" s="62" t="s">
        <v>2035</v>
      </c>
      <c r="I177" s="60" t="s">
        <v>2017</v>
      </c>
    </row>
    <row r="178" spans="1:9" x14ac:dyDescent="0.25">
      <c r="A178" s="57"/>
      <c r="B178" s="63" t="s">
        <v>176</v>
      </c>
      <c r="C178" s="64" t="s">
        <v>2036</v>
      </c>
      <c r="D178" s="65">
        <v>23.940000000002328</v>
      </c>
      <c r="E178" s="66">
        <v>1458.9199999999255</v>
      </c>
      <c r="F178" s="66">
        <v>7.2945999999996278</v>
      </c>
      <c r="G178" s="65">
        <v>13.130279999999329</v>
      </c>
      <c r="H178" s="67" t="s">
        <v>2037</v>
      </c>
      <c r="I178" s="65" t="s">
        <v>2017</v>
      </c>
    </row>
    <row r="179" spans="1:9" x14ac:dyDescent="0.25">
      <c r="A179" s="57"/>
      <c r="B179" s="58" t="s">
        <v>177</v>
      </c>
      <c r="C179" s="59" t="s">
        <v>2038</v>
      </c>
      <c r="D179" s="60">
        <v>23.940000000002328</v>
      </c>
      <c r="E179" s="61">
        <v>1458.9199999999255</v>
      </c>
      <c r="F179" s="61">
        <v>7.2945999999996278</v>
      </c>
      <c r="G179" s="60">
        <v>13.130279999999329</v>
      </c>
      <c r="H179" s="62" t="s">
        <v>2039</v>
      </c>
      <c r="I179" s="60" t="s">
        <v>2017</v>
      </c>
    </row>
    <row r="180" spans="1:9" x14ac:dyDescent="0.25">
      <c r="A180" s="57"/>
      <c r="B180" s="63" t="s">
        <v>840</v>
      </c>
      <c r="C180" s="64" t="s">
        <v>2040</v>
      </c>
      <c r="D180" s="65">
        <v>0.36999999999989086</v>
      </c>
      <c r="E180" s="66">
        <v>100.43000000005122</v>
      </c>
      <c r="F180" s="66">
        <v>1.0043000000005122</v>
      </c>
      <c r="G180" s="65">
        <v>1.8077400000009221</v>
      </c>
      <c r="H180" s="67" t="s">
        <v>2041</v>
      </c>
      <c r="I180" s="65" t="s">
        <v>2042</v>
      </c>
    </row>
    <row r="181" spans="1:9" x14ac:dyDescent="0.25">
      <c r="A181" s="57"/>
      <c r="B181" s="58" t="s">
        <v>182</v>
      </c>
      <c r="C181" s="59" t="s">
        <v>2043</v>
      </c>
      <c r="D181" s="60">
        <v>0.73999999999978172</v>
      </c>
      <c r="E181" s="61">
        <v>200.84000000008382</v>
      </c>
      <c r="F181" s="61">
        <v>1.0042000000004192</v>
      </c>
      <c r="G181" s="60">
        <v>1.8075600000007543</v>
      </c>
      <c r="H181" s="62" t="s">
        <v>2044</v>
      </c>
      <c r="I181" s="60" t="s">
        <v>2042</v>
      </c>
    </row>
    <row r="182" spans="1:9" x14ac:dyDescent="0.25">
      <c r="A182" s="57"/>
      <c r="B182" s="63" t="s">
        <v>839</v>
      </c>
      <c r="C182" s="64" t="s">
        <v>2045</v>
      </c>
      <c r="D182" s="65">
        <v>0.36999999999989086</v>
      </c>
      <c r="E182" s="66">
        <v>100.43000000005122</v>
      </c>
      <c r="F182" s="66">
        <v>1.0043000000005122</v>
      </c>
      <c r="G182" s="65">
        <v>1.8077400000009221</v>
      </c>
      <c r="H182" s="67" t="s">
        <v>2046</v>
      </c>
      <c r="I182" s="65" t="s">
        <v>2042</v>
      </c>
    </row>
    <row r="183" spans="1:9" x14ac:dyDescent="0.25">
      <c r="A183" s="57"/>
      <c r="B183" s="58" t="s">
        <v>185</v>
      </c>
      <c r="C183" s="59" t="s">
        <v>2047</v>
      </c>
      <c r="D183" s="60">
        <v>0.73999999999978172</v>
      </c>
      <c r="E183" s="61">
        <v>200.84000000008382</v>
      </c>
      <c r="F183" s="61">
        <v>1.0042000000004192</v>
      </c>
      <c r="G183" s="60">
        <v>1.8075600000007543</v>
      </c>
      <c r="H183" s="62" t="s">
        <v>2048</v>
      </c>
      <c r="I183" s="60" t="s">
        <v>2042</v>
      </c>
    </row>
    <row r="184" spans="1:9" x14ac:dyDescent="0.25">
      <c r="A184" s="57"/>
      <c r="B184" s="63" t="s">
        <v>841</v>
      </c>
      <c r="C184" s="64" t="s">
        <v>2049</v>
      </c>
      <c r="D184" s="65">
        <v>0.36999999999989086</v>
      </c>
      <c r="E184" s="66">
        <v>100.43000000005122</v>
      </c>
      <c r="F184" s="66">
        <v>1.0043000000005122</v>
      </c>
      <c r="G184" s="65">
        <v>1.8077400000009221</v>
      </c>
      <c r="H184" s="67" t="s">
        <v>2050</v>
      </c>
      <c r="I184" s="65" t="s">
        <v>2042</v>
      </c>
    </row>
    <row r="185" spans="1:9" x14ac:dyDescent="0.25">
      <c r="A185" s="57"/>
      <c r="B185" s="58" t="s">
        <v>187</v>
      </c>
      <c r="C185" s="59" t="s">
        <v>2051</v>
      </c>
      <c r="D185" s="60">
        <v>0.73999999999978172</v>
      </c>
      <c r="E185" s="61">
        <v>200.84000000008382</v>
      </c>
      <c r="F185" s="61">
        <v>1.0042000000004192</v>
      </c>
      <c r="G185" s="60">
        <v>1.8075600000007543</v>
      </c>
      <c r="H185" s="62" t="s">
        <v>2052</v>
      </c>
      <c r="I185" s="60" t="s">
        <v>2042</v>
      </c>
    </row>
    <row r="186" spans="1:9" x14ac:dyDescent="0.25">
      <c r="A186" s="57"/>
      <c r="B186" s="63" t="s">
        <v>836</v>
      </c>
      <c r="C186" s="64" t="s">
        <v>2053</v>
      </c>
      <c r="D186" s="65">
        <v>0.36999999999989086</v>
      </c>
      <c r="E186" s="66">
        <v>100.43000000005122</v>
      </c>
      <c r="F186" s="66">
        <v>1.0043000000005122</v>
      </c>
      <c r="G186" s="65">
        <v>1.8077400000009221</v>
      </c>
      <c r="H186" s="67" t="s">
        <v>2054</v>
      </c>
      <c r="I186" s="65" t="s">
        <v>2042</v>
      </c>
    </row>
    <row r="187" spans="1:9" x14ac:dyDescent="0.25">
      <c r="A187" s="57"/>
      <c r="B187" s="58" t="s">
        <v>186</v>
      </c>
      <c r="C187" s="59" t="s">
        <v>2055</v>
      </c>
      <c r="D187" s="60">
        <v>0.73999999999978172</v>
      </c>
      <c r="E187" s="61">
        <v>200.84000000008382</v>
      </c>
      <c r="F187" s="61">
        <v>1.0042000000004192</v>
      </c>
      <c r="G187" s="60">
        <v>1.8075600000007543</v>
      </c>
      <c r="H187" s="62" t="s">
        <v>2056</v>
      </c>
      <c r="I187" s="60" t="s">
        <v>2042</v>
      </c>
    </row>
    <row r="188" spans="1:9" x14ac:dyDescent="0.25">
      <c r="A188" s="57"/>
      <c r="B188" s="63" t="s">
        <v>838</v>
      </c>
      <c r="C188" s="64" t="s">
        <v>2057</v>
      </c>
      <c r="D188" s="65">
        <v>0.36999999999989086</v>
      </c>
      <c r="E188" s="66">
        <v>100.43000000005122</v>
      </c>
      <c r="F188" s="66">
        <v>1.0043000000005122</v>
      </c>
      <c r="G188" s="65">
        <v>1.8077400000009221</v>
      </c>
      <c r="H188" s="67" t="s">
        <v>2058</v>
      </c>
      <c r="I188" s="65" t="s">
        <v>2042</v>
      </c>
    </row>
    <row r="189" spans="1:9" x14ac:dyDescent="0.25">
      <c r="A189" s="57"/>
      <c r="B189" s="58" t="s">
        <v>184</v>
      </c>
      <c r="C189" s="59" t="s">
        <v>2059</v>
      </c>
      <c r="D189" s="60">
        <v>0.73999999999978172</v>
      </c>
      <c r="E189" s="61">
        <v>200.84000000008382</v>
      </c>
      <c r="F189" s="61">
        <v>1.0042000000004192</v>
      </c>
      <c r="G189" s="60">
        <v>1.8075600000007543</v>
      </c>
      <c r="H189" s="62" t="s">
        <v>2060</v>
      </c>
      <c r="I189" s="60" t="s">
        <v>2042</v>
      </c>
    </row>
    <row r="190" spans="1:9" x14ac:dyDescent="0.25">
      <c r="A190" s="57"/>
      <c r="B190" s="63" t="s">
        <v>837</v>
      </c>
      <c r="C190" s="64" t="s">
        <v>2061</v>
      </c>
      <c r="D190" s="65">
        <v>0.36999999999989086</v>
      </c>
      <c r="E190" s="66">
        <v>100.43000000005122</v>
      </c>
      <c r="F190" s="66">
        <v>1.0043000000005122</v>
      </c>
      <c r="G190" s="65">
        <v>1.8077400000009221</v>
      </c>
      <c r="H190" s="67" t="s">
        <v>2062</v>
      </c>
      <c r="I190" s="65" t="s">
        <v>2042</v>
      </c>
    </row>
    <row r="191" spans="1:9" x14ac:dyDescent="0.25">
      <c r="A191" s="57"/>
      <c r="B191" s="58" t="s">
        <v>183</v>
      </c>
      <c r="C191" s="59" t="s">
        <v>2063</v>
      </c>
      <c r="D191" s="60">
        <v>0.73999999999978172</v>
      </c>
      <c r="E191" s="61">
        <v>200.84000000008382</v>
      </c>
      <c r="F191" s="61">
        <v>1.0042000000004192</v>
      </c>
      <c r="G191" s="60">
        <v>1.8075600000007543</v>
      </c>
      <c r="H191" s="62" t="s">
        <v>2064</v>
      </c>
      <c r="I191" s="60" t="s">
        <v>2042</v>
      </c>
    </row>
    <row r="192" spans="1:9" x14ac:dyDescent="0.25">
      <c r="A192" s="57"/>
      <c r="B192" s="63" t="s">
        <v>846</v>
      </c>
      <c r="C192" s="64" t="s">
        <v>2065</v>
      </c>
      <c r="D192" s="65">
        <v>0.52999999999974534</v>
      </c>
      <c r="E192" s="66">
        <v>159.57000000006519</v>
      </c>
      <c r="F192" s="66">
        <v>1.5957000000006518</v>
      </c>
      <c r="G192" s="65">
        <v>2.872260000001174</v>
      </c>
      <c r="H192" s="67" t="s">
        <v>2066</v>
      </c>
      <c r="I192" s="65" t="s">
        <v>2042</v>
      </c>
    </row>
    <row r="193" spans="1:9" x14ac:dyDescent="0.25">
      <c r="A193" s="57"/>
      <c r="B193" s="58" t="s">
        <v>188</v>
      </c>
      <c r="C193" s="59" t="s">
        <v>2067</v>
      </c>
      <c r="D193" s="60">
        <v>1.0599999999994907</v>
      </c>
      <c r="E193" s="61">
        <v>319.14000000013039</v>
      </c>
      <c r="F193" s="61">
        <v>1.5957000000006518</v>
      </c>
      <c r="G193" s="60">
        <v>2.872260000001174</v>
      </c>
      <c r="H193" s="62" t="s">
        <v>2068</v>
      </c>
      <c r="I193" s="60" t="s">
        <v>2042</v>
      </c>
    </row>
    <row r="194" spans="1:9" x14ac:dyDescent="0.25">
      <c r="A194" s="57"/>
      <c r="B194" s="63" t="s">
        <v>845</v>
      </c>
      <c r="C194" s="64" t="s">
        <v>2069</v>
      </c>
      <c r="D194" s="65">
        <v>0.52999999999974534</v>
      </c>
      <c r="E194" s="66">
        <v>159.57000000006519</v>
      </c>
      <c r="F194" s="66">
        <v>1.5957000000006518</v>
      </c>
      <c r="G194" s="65">
        <v>2.872260000001174</v>
      </c>
      <c r="H194" s="67" t="s">
        <v>2070</v>
      </c>
      <c r="I194" s="65" t="s">
        <v>2042</v>
      </c>
    </row>
    <row r="195" spans="1:9" x14ac:dyDescent="0.25">
      <c r="A195" s="57"/>
      <c r="B195" s="58" t="s">
        <v>191</v>
      </c>
      <c r="C195" s="59" t="s">
        <v>2071</v>
      </c>
      <c r="D195" s="60">
        <v>1.0599999999994907</v>
      </c>
      <c r="E195" s="61">
        <v>319.14000000013039</v>
      </c>
      <c r="F195" s="61">
        <v>1.5957000000006518</v>
      </c>
      <c r="G195" s="60">
        <v>2.872260000001174</v>
      </c>
      <c r="H195" s="62" t="s">
        <v>2072</v>
      </c>
      <c r="I195" s="60" t="s">
        <v>2042</v>
      </c>
    </row>
    <row r="196" spans="1:9" x14ac:dyDescent="0.25">
      <c r="A196" s="57"/>
      <c r="B196" s="63" t="s">
        <v>847</v>
      </c>
      <c r="C196" s="64" t="s">
        <v>2073</v>
      </c>
      <c r="D196" s="65">
        <v>0.52999999999974534</v>
      </c>
      <c r="E196" s="66">
        <v>159.57000000006519</v>
      </c>
      <c r="F196" s="66">
        <v>1.5957000000006518</v>
      </c>
      <c r="G196" s="65">
        <v>2.872260000001174</v>
      </c>
      <c r="H196" s="67" t="s">
        <v>2074</v>
      </c>
      <c r="I196" s="65" t="s">
        <v>2042</v>
      </c>
    </row>
    <row r="197" spans="1:9" x14ac:dyDescent="0.25">
      <c r="A197" s="57"/>
      <c r="B197" s="58" t="s">
        <v>193</v>
      </c>
      <c r="C197" s="59" t="s">
        <v>2075</v>
      </c>
      <c r="D197" s="60">
        <v>1.0599999999994907</v>
      </c>
      <c r="E197" s="61">
        <v>319.14000000013039</v>
      </c>
      <c r="F197" s="61">
        <v>1.5957000000006518</v>
      </c>
      <c r="G197" s="60">
        <v>2.872260000001174</v>
      </c>
      <c r="H197" s="62" t="s">
        <v>2076</v>
      </c>
      <c r="I197" s="60" t="s">
        <v>2042</v>
      </c>
    </row>
    <row r="198" spans="1:9" x14ac:dyDescent="0.25">
      <c r="A198" s="57"/>
      <c r="B198" s="63" t="s">
        <v>842</v>
      </c>
      <c r="C198" s="64" t="s">
        <v>2077</v>
      </c>
      <c r="D198" s="65">
        <v>0.52999999999974534</v>
      </c>
      <c r="E198" s="66">
        <v>159.57000000006519</v>
      </c>
      <c r="F198" s="66">
        <v>1.5957000000006518</v>
      </c>
      <c r="G198" s="65">
        <v>2.872260000001174</v>
      </c>
      <c r="H198" s="67" t="s">
        <v>2078</v>
      </c>
      <c r="I198" s="65" t="s">
        <v>2042</v>
      </c>
    </row>
    <row r="199" spans="1:9" x14ac:dyDescent="0.25">
      <c r="A199" s="57"/>
      <c r="B199" s="58" t="s">
        <v>192</v>
      </c>
      <c r="C199" s="59" t="s">
        <v>2079</v>
      </c>
      <c r="D199" s="60">
        <v>1.0599999999994907</v>
      </c>
      <c r="E199" s="61">
        <v>319.14000000013039</v>
      </c>
      <c r="F199" s="61">
        <v>1.5957000000006518</v>
      </c>
      <c r="G199" s="60">
        <v>2.872260000001174</v>
      </c>
      <c r="H199" s="62" t="s">
        <v>2080</v>
      </c>
      <c r="I199" s="60" t="s">
        <v>2042</v>
      </c>
    </row>
    <row r="200" spans="1:9" x14ac:dyDescent="0.25">
      <c r="A200" s="57"/>
      <c r="B200" s="63" t="s">
        <v>844</v>
      </c>
      <c r="C200" s="64" t="s">
        <v>2081</v>
      </c>
      <c r="D200" s="65">
        <v>0.52999999999974534</v>
      </c>
      <c r="E200" s="66">
        <v>159.57000000006519</v>
      </c>
      <c r="F200" s="66">
        <v>1.5957000000006518</v>
      </c>
      <c r="G200" s="65">
        <v>2.872260000001174</v>
      </c>
      <c r="H200" s="67" t="s">
        <v>2082</v>
      </c>
      <c r="I200" s="65" t="s">
        <v>2042</v>
      </c>
    </row>
    <row r="201" spans="1:9" x14ac:dyDescent="0.25">
      <c r="A201" s="57"/>
      <c r="B201" s="58" t="s">
        <v>190</v>
      </c>
      <c r="C201" s="59" t="s">
        <v>2083</v>
      </c>
      <c r="D201" s="60">
        <v>1.0599999999994907</v>
      </c>
      <c r="E201" s="61">
        <v>319.14000000013039</v>
      </c>
      <c r="F201" s="61">
        <v>1.5957000000006518</v>
      </c>
      <c r="G201" s="60">
        <v>2.872260000001174</v>
      </c>
      <c r="H201" s="62" t="s">
        <v>2084</v>
      </c>
      <c r="I201" s="60" t="s">
        <v>2042</v>
      </c>
    </row>
    <row r="202" spans="1:9" x14ac:dyDescent="0.25">
      <c r="A202" s="57"/>
      <c r="B202" s="63" t="s">
        <v>843</v>
      </c>
      <c r="C202" s="64" t="s">
        <v>2085</v>
      </c>
      <c r="D202" s="65">
        <v>0.52999999999974534</v>
      </c>
      <c r="E202" s="66">
        <v>159.57000000006519</v>
      </c>
      <c r="F202" s="66">
        <v>1.5957000000006518</v>
      </c>
      <c r="G202" s="65">
        <v>2.872260000001174</v>
      </c>
      <c r="H202" s="67" t="s">
        <v>2086</v>
      </c>
      <c r="I202" s="65" t="s">
        <v>2042</v>
      </c>
    </row>
    <row r="203" spans="1:9" x14ac:dyDescent="0.25">
      <c r="A203" s="57"/>
      <c r="B203" s="58" t="s">
        <v>189</v>
      </c>
      <c r="C203" s="59" t="s">
        <v>2087</v>
      </c>
      <c r="D203" s="60">
        <v>1.0599999999994907</v>
      </c>
      <c r="E203" s="61">
        <v>319.14000000013039</v>
      </c>
      <c r="F203" s="61">
        <v>1.5957000000006518</v>
      </c>
      <c r="G203" s="60">
        <v>2.872260000001174</v>
      </c>
      <c r="H203" s="62" t="s">
        <v>2088</v>
      </c>
      <c r="I203" s="60" t="s">
        <v>2042</v>
      </c>
    </row>
    <row r="204" spans="1:9" x14ac:dyDescent="0.25">
      <c r="A204" s="57"/>
      <c r="B204" s="63" t="s">
        <v>854</v>
      </c>
      <c r="C204" s="64" t="s">
        <v>2089</v>
      </c>
      <c r="D204" s="65">
        <v>0.97999999999956344</v>
      </c>
      <c r="E204" s="66">
        <v>202.21999999997206</v>
      </c>
      <c r="F204" s="66">
        <v>2.0221999999997204</v>
      </c>
      <c r="G204" s="65">
        <v>3.6399599999994972</v>
      </c>
      <c r="H204" s="67" t="s">
        <v>2090</v>
      </c>
      <c r="I204" s="65" t="s">
        <v>2042</v>
      </c>
    </row>
    <row r="205" spans="1:9" x14ac:dyDescent="0.25">
      <c r="A205" s="57"/>
      <c r="B205" s="58" t="s">
        <v>194</v>
      </c>
      <c r="C205" s="59" t="s">
        <v>2091</v>
      </c>
      <c r="D205" s="60">
        <v>1.9599999999991269</v>
      </c>
      <c r="E205" s="61">
        <v>404.43000000016764</v>
      </c>
      <c r="F205" s="61">
        <v>2.0221500000008383</v>
      </c>
      <c r="G205" s="60">
        <v>3.6398700000015087</v>
      </c>
      <c r="H205" s="62" t="s">
        <v>2092</v>
      </c>
      <c r="I205" s="60" t="s">
        <v>2042</v>
      </c>
    </row>
    <row r="206" spans="1:9" x14ac:dyDescent="0.25">
      <c r="A206" s="57"/>
      <c r="B206" s="63" t="s">
        <v>853</v>
      </c>
      <c r="C206" s="64" t="s">
        <v>2093</v>
      </c>
      <c r="D206" s="65">
        <v>0.97999999999956344</v>
      </c>
      <c r="E206" s="66">
        <v>202.21999999997206</v>
      </c>
      <c r="F206" s="66">
        <v>2.0221999999997204</v>
      </c>
      <c r="G206" s="65">
        <v>3.6399599999994972</v>
      </c>
      <c r="H206" s="67" t="s">
        <v>2094</v>
      </c>
      <c r="I206" s="65" t="s">
        <v>2042</v>
      </c>
    </row>
    <row r="207" spans="1:9" x14ac:dyDescent="0.25">
      <c r="A207" s="57"/>
      <c r="B207" s="58" t="s">
        <v>199</v>
      </c>
      <c r="C207" s="59" t="s">
        <v>2095</v>
      </c>
      <c r="D207" s="60">
        <v>1.9599999999991269</v>
      </c>
      <c r="E207" s="61">
        <v>404.43000000016764</v>
      </c>
      <c r="F207" s="61">
        <v>2.0221500000008383</v>
      </c>
      <c r="G207" s="60">
        <v>3.6398700000015087</v>
      </c>
      <c r="H207" s="62" t="s">
        <v>2096</v>
      </c>
      <c r="I207" s="60" t="s">
        <v>2042</v>
      </c>
    </row>
    <row r="208" spans="1:9" x14ac:dyDescent="0.25">
      <c r="A208" s="57"/>
      <c r="B208" s="63" t="s">
        <v>852</v>
      </c>
      <c r="C208" s="64" t="s">
        <v>2097</v>
      </c>
      <c r="D208" s="65">
        <v>0.97999999999956344</v>
      </c>
      <c r="E208" s="66">
        <v>202.21999999997206</v>
      </c>
      <c r="F208" s="66">
        <v>2.0221999999997204</v>
      </c>
      <c r="G208" s="65">
        <v>3.6399599999994972</v>
      </c>
      <c r="H208" s="67" t="s">
        <v>2098</v>
      </c>
      <c r="I208" s="65" t="s">
        <v>2042</v>
      </c>
    </row>
    <row r="209" spans="1:9" x14ac:dyDescent="0.25">
      <c r="A209" s="57"/>
      <c r="B209" s="58" t="s">
        <v>198</v>
      </c>
      <c r="C209" s="59" t="s">
        <v>2099</v>
      </c>
      <c r="D209" s="60">
        <v>1.9599999999991269</v>
      </c>
      <c r="E209" s="61">
        <v>404.43000000016764</v>
      </c>
      <c r="F209" s="61">
        <v>2.0221500000008383</v>
      </c>
      <c r="G209" s="60">
        <v>3.6398700000015087</v>
      </c>
      <c r="H209" s="62" t="s">
        <v>2100</v>
      </c>
      <c r="I209" s="60" t="s">
        <v>2042</v>
      </c>
    </row>
    <row r="210" spans="1:9" x14ac:dyDescent="0.25">
      <c r="A210" s="57"/>
      <c r="B210" s="63" t="s">
        <v>855</v>
      </c>
      <c r="C210" s="64" t="s">
        <v>2101</v>
      </c>
      <c r="D210" s="65">
        <v>0.97999999999956344</v>
      </c>
      <c r="E210" s="66">
        <v>202.21999999997206</v>
      </c>
      <c r="F210" s="66">
        <v>2.0221999999997204</v>
      </c>
      <c r="G210" s="65">
        <v>3.6399599999994972</v>
      </c>
      <c r="H210" s="67" t="s">
        <v>2102</v>
      </c>
      <c r="I210" s="65" t="s">
        <v>2042</v>
      </c>
    </row>
    <row r="211" spans="1:9" x14ac:dyDescent="0.25">
      <c r="A211" s="57"/>
      <c r="B211" s="58" t="s">
        <v>201</v>
      </c>
      <c r="C211" s="59" t="s">
        <v>2103</v>
      </c>
      <c r="D211" s="60">
        <v>1.9599999999991269</v>
      </c>
      <c r="E211" s="61">
        <v>404.43000000016764</v>
      </c>
      <c r="F211" s="61">
        <v>2.0221500000008383</v>
      </c>
      <c r="G211" s="60">
        <v>3.6398700000015087</v>
      </c>
      <c r="H211" s="62" t="s">
        <v>2104</v>
      </c>
      <c r="I211" s="60" t="s">
        <v>2042</v>
      </c>
    </row>
    <row r="212" spans="1:9" x14ac:dyDescent="0.25">
      <c r="A212" s="57"/>
      <c r="B212" s="63" t="s">
        <v>848</v>
      </c>
      <c r="C212" s="64" t="s">
        <v>2105</v>
      </c>
      <c r="D212" s="65">
        <v>0.97999999999956344</v>
      </c>
      <c r="E212" s="66">
        <v>202.21999999997206</v>
      </c>
      <c r="F212" s="66">
        <v>2.0221999999997204</v>
      </c>
      <c r="G212" s="65">
        <v>3.6399599999994972</v>
      </c>
      <c r="H212" s="67" t="s">
        <v>2106</v>
      </c>
      <c r="I212" s="65" t="s">
        <v>2042</v>
      </c>
    </row>
    <row r="213" spans="1:9" x14ac:dyDescent="0.25">
      <c r="A213" s="57"/>
      <c r="B213" s="58" t="s">
        <v>200</v>
      </c>
      <c r="C213" s="59" t="s">
        <v>2107</v>
      </c>
      <c r="D213" s="60">
        <v>1.9599999999991269</v>
      </c>
      <c r="E213" s="61">
        <v>404.43000000016764</v>
      </c>
      <c r="F213" s="61">
        <v>2.0221500000008383</v>
      </c>
      <c r="G213" s="60">
        <v>3.6398700000015087</v>
      </c>
      <c r="H213" s="62" t="s">
        <v>2108</v>
      </c>
      <c r="I213" s="60" t="s">
        <v>2042</v>
      </c>
    </row>
    <row r="214" spans="1:9" x14ac:dyDescent="0.25">
      <c r="A214" s="57"/>
      <c r="B214" s="63" t="s">
        <v>851</v>
      </c>
      <c r="C214" s="64" t="s">
        <v>2109</v>
      </c>
      <c r="D214" s="65">
        <v>0.97999999999956344</v>
      </c>
      <c r="E214" s="66">
        <v>202.21999999997206</v>
      </c>
      <c r="F214" s="66">
        <v>2.0221999999997204</v>
      </c>
      <c r="G214" s="65">
        <v>3.6399599999994972</v>
      </c>
      <c r="H214" s="67" t="s">
        <v>2110</v>
      </c>
      <c r="I214" s="65" t="s">
        <v>2042</v>
      </c>
    </row>
    <row r="215" spans="1:9" x14ac:dyDescent="0.25">
      <c r="A215" s="57"/>
      <c r="B215" s="58" t="s">
        <v>197</v>
      </c>
      <c r="C215" s="59" t="s">
        <v>2111</v>
      </c>
      <c r="D215" s="60">
        <v>1.9599999999991269</v>
      </c>
      <c r="E215" s="61">
        <v>404.43000000016764</v>
      </c>
      <c r="F215" s="61">
        <v>2.0221500000008383</v>
      </c>
      <c r="G215" s="60">
        <v>3.6398700000015087</v>
      </c>
      <c r="H215" s="62" t="s">
        <v>2112</v>
      </c>
      <c r="I215" s="60" t="s">
        <v>2042</v>
      </c>
    </row>
    <row r="216" spans="1:9" x14ac:dyDescent="0.25">
      <c r="A216" s="57"/>
      <c r="B216" s="63" t="s">
        <v>850</v>
      </c>
      <c r="C216" s="64" t="s">
        <v>2113</v>
      </c>
      <c r="D216" s="65">
        <v>0.97999999999956344</v>
      </c>
      <c r="E216" s="66">
        <v>202.21999999997206</v>
      </c>
      <c r="F216" s="66">
        <v>2.0221999999997204</v>
      </c>
      <c r="G216" s="65">
        <v>3.6399599999994972</v>
      </c>
      <c r="H216" s="67" t="s">
        <v>2114</v>
      </c>
      <c r="I216" s="65" t="s">
        <v>2042</v>
      </c>
    </row>
    <row r="217" spans="1:9" x14ac:dyDescent="0.25">
      <c r="A217" s="57"/>
      <c r="B217" s="58" t="s">
        <v>196</v>
      </c>
      <c r="C217" s="59" t="s">
        <v>2115</v>
      </c>
      <c r="D217" s="60">
        <v>1.9599999999991269</v>
      </c>
      <c r="E217" s="61">
        <v>404.43000000016764</v>
      </c>
      <c r="F217" s="61">
        <v>2.0221500000008383</v>
      </c>
      <c r="G217" s="60">
        <v>3.6398700000015087</v>
      </c>
      <c r="H217" s="62" t="s">
        <v>2116</v>
      </c>
      <c r="I217" s="60" t="s">
        <v>2042</v>
      </c>
    </row>
    <row r="218" spans="1:9" x14ac:dyDescent="0.25">
      <c r="A218" s="57"/>
      <c r="B218" s="63" t="s">
        <v>849</v>
      </c>
      <c r="C218" s="64" t="s">
        <v>2117</v>
      </c>
      <c r="D218" s="65">
        <v>0.97999999999956344</v>
      </c>
      <c r="E218" s="66">
        <v>202.21999999997206</v>
      </c>
      <c r="F218" s="66">
        <v>2.0221999999997204</v>
      </c>
      <c r="G218" s="65">
        <v>3.6399599999994972</v>
      </c>
      <c r="H218" s="67" t="s">
        <v>2118</v>
      </c>
      <c r="I218" s="65" t="s">
        <v>2042</v>
      </c>
    </row>
    <row r="219" spans="1:9" x14ac:dyDescent="0.25">
      <c r="A219" s="57"/>
      <c r="B219" s="58" t="s">
        <v>195</v>
      </c>
      <c r="C219" s="59" t="s">
        <v>2119</v>
      </c>
      <c r="D219" s="60">
        <v>1.9599999999991269</v>
      </c>
      <c r="E219" s="61">
        <v>404.43000000016764</v>
      </c>
      <c r="F219" s="61">
        <v>2.0221500000008383</v>
      </c>
      <c r="G219" s="60">
        <v>3.6398700000015087</v>
      </c>
      <c r="H219" s="62" t="s">
        <v>2120</v>
      </c>
      <c r="I219" s="60" t="s">
        <v>2042</v>
      </c>
    </row>
    <row r="220" spans="1:9" x14ac:dyDescent="0.25">
      <c r="A220" s="57"/>
      <c r="B220" s="63" t="s">
        <v>862</v>
      </c>
      <c r="C220" s="64" t="s">
        <v>2121</v>
      </c>
      <c r="D220" s="65">
        <v>1.2800000000006548</v>
      </c>
      <c r="E220" s="66">
        <v>298.52000000001863</v>
      </c>
      <c r="F220" s="66">
        <v>2.9852000000001864</v>
      </c>
      <c r="G220" s="65">
        <v>5.3733600000003356</v>
      </c>
      <c r="H220" s="67" t="s">
        <v>2122</v>
      </c>
      <c r="I220" s="65" t="s">
        <v>2042</v>
      </c>
    </row>
    <row r="221" spans="1:9" x14ac:dyDescent="0.25">
      <c r="A221" s="57"/>
      <c r="B221" s="58" t="s">
        <v>202</v>
      </c>
      <c r="C221" s="59" t="s">
        <v>2123</v>
      </c>
      <c r="D221" s="60">
        <v>2.5600000000013097</v>
      </c>
      <c r="E221" s="61">
        <v>597</v>
      </c>
      <c r="F221" s="61">
        <v>2.9849999999999999</v>
      </c>
      <c r="G221" s="60">
        <v>5.3730000000000011</v>
      </c>
      <c r="H221" s="62" t="s">
        <v>2124</v>
      </c>
      <c r="I221" s="60" t="s">
        <v>2042</v>
      </c>
    </row>
    <row r="222" spans="1:9" x14ac:dyDescent="0.25">
      <c r="A222" s="57"/>
      <c r="B222" s="63" t="s">
        <v>861</v>
      </c>
      <c r="C222" s="64" t="s">
        <v>2125</v>
      </c>
      <c r="D222" s="65">
        <v>1.2800000000006548</v>
      </c>
      <c r="E222" s="66">
        <v>298.52000000001863</v>
      </c>
      <c r="F222" s="66">
        <v>2.9852000000001864</v>
      </c>
      <c r="G222" s="65">
        <v>5.3733600000003356</v>
      </c>
      <c r="H222" s="67" t="s">
        <v>2126</v>
      </c>
      <c r="I222" s="65" t="s">
        <v>2042</v>
      </c>
    </row>
    <row r="223" spans="1:9" x14ac:dyDescent="0.25">
      <c r="A223" s="57"/>
      <c r="B223" s="58" t="s">
        <v>207</v>
      </c>
      <c r="C223" s="59" t="s">
        <v>2127</v>
      </c>
      <c r="D223" s="60">
        <v>2.5600000000013097</v>
      </c>
      <c r="E223" s="61">
        <v>597</v>
      </c>
      <c r="F223" s="61">
        <v>2.9849999999999999</v>
      </c>
      <c r="G223" s="60">
        <v>5.3730000000000011</v>
      </c>
      <c r="H223" s="62" t="s">
        <v>2128</v>
      </c>
      <c r="I223" s="60" t="s">
        <v>2042</v>
      </c>
    </row>
    <row r="224" spans="1:9" x14ac:dyDescent="0.25">
      <c r="A224" s="57"/>
      <c r="B224" s="63" t="s">
        <v>860</v>
      </c>
      <c r="C224" s="64" t="s">
        <v>2129</v>
      </c>
      <c r="D224" s="65">
        <v>1.2800000000006548</v>
      </c>
      <c r="E224" s="66">
        <v>298.52000000001863</v>
      </c>
      <c r="F224" s="66">
        <v>2.9852000000001864</v>
      </c>
      <c r="G224" s="65">
        <v>5.3733600000003356</v>
      </c>
      <c r="H224" s="67" t="s">
        <v>2130</v>
      </c>
      <c r="I224" s="65" t="s">
        <v>2042</v>
      </c>
    </row>
    <row r="225" spans="1:9" x14ac:dyDescent="0.25">
      <c r="A225" s="57"/>
      <c r="B225" s="58" t="s">
        <v>206</v>
      </c>
      <c r="C225" s="59" t="s">
        <v>2131</v>
      </c>
      <c r="D225" s="60">
        <v>2.5600000000013097</v>
      </c>
      <c r="E225" s="61">
        <v>597</v>
      </c>
      <c r="F225" s="61">
        <v>2.9849999999999999</v>
      </c>
      <c r="G225" s="60">
        <v>5.3730000000000011</v>
      </c>
      <c r="H225" s="62" t="s">
        <v>2132</v>
      </c>
      <c r="I225" s="60" t="s">
        <v>2042</v>
      </c>
    </row>
    <row r="226" spans="1:9" x14ac:dyDescent="0.25">
      <c r="A226" s="57"/>
      <c r="B226" s="63" t="s">
        <v>863</v>
      </c>
      <c r="C226" s="64" t="s">
        <v>2133</v>
      </c>
      <c r="D226" s="65">
        <v>1.2800000000006548</v>
      </c>
      <c r="E226" s="66">
        <v>298.52000000001863</v>
      </c>
      <c r="F226" s="66">
        <v>2.9852000000001864</v>
      </c>
      <c r="G226" s="65">
        <v>5.3733600000003356</v>
      </c>
      <c r="H226" s="67" t="s">
        <v>2134</v>
      </c>
      <c r="I226" s="65" t="s">
        <v>2042</v>
      </c>
    </row>
    <row r="227" spans="1:9" x14ac:dyDescent="0.25">
      <c r="A227" s="57"/>
      <c r="B227" s="58" t="s">
        <v>209</v>
      </c>
      <c r="C227" s="59" t="s">
        <v>2135</v>
      </c>
      <c r="D227" s="60">
        <v>2.5600000000013097</v>
      </c>
      <c r="E227" s="61">
        <v>597</v>
      </c>
      <c r="F227" s="61">
        <v>2.9849999999999999</v>
      </c>
      <c r="G227" s="60">
        <v>5.3730000000000011</v>
      </c>
      <c r="H227" s="62" t="s">
        <v>2136</v>
      </c>
      <c r="I227" s="60" t="s">
        <v>2042</v>
      </c>
    </row>
    <row r="228" spans="1:9" x14ac:dyDescent="0.25">
      <c r="A228" s="57"/>
      <c r="B228" s="63" t="s">
        <v>856</v>
      </c>
      <c r="C228" s="64" t="s">
        <v>2137</v>
      </c>
      <c r="D228" s="65">
        <v>1.2800000000006548</v>
      </c>
      <c r="E228" s="66">
        <v>298.52000000001863</v>
      </c>
      <c r="F228" s="66">
        <v>2.9852000000001864</v>
      </c>
      <c r="G228" s="65">
        <v>5.3733600000003356</v>
      </c>
      <c r="H228" s="67" t="s">
        <v>2138</v>
      </c>
      <c r="I228" s="65" t="s">
        <v>2042</v>
      </c>
    </row>
    <row r="229" spans="1:9" x14ac:dyDescent="0.25">
      <c r="A229" s="57"/>
      <c r="B229" s="58" t="s">
        <v>208</v>
      </c>
      <c r="C229" s="59" t="s">
        <v>2139</v>
      </c>
      <c r="D229" s="60">
        <v>2.5600000000013097</v>
      </c>
      <c r="E229" s="61">
        <v>597</v>
      </c>
      <c r="F229" s="61">
        <v>2.9849999999999999</v>
      </c>
      <c r="G229" s="60">
        <v>5.3730000000000011</v>
      </c>
      <c r="H229" s="62" t="s">
        <v>2140</v>
      </c>
      <c r="I229" s="60" t="s">
        <v>2042</v>
      </c>
    </row>
    <row r="230" spans="1:9" x14ac:dyDescent="0.25">
      <c r="A230" s="57"/>
      <c r="B230" s="63" t="s">
        <v>859</v>
      </c>
      <c r="C230" s="64" t="s">
        <v>2141</v>
      </c>
      <c r="D230" s="65">
        <v>1.2800000000006548</v>
      </c>
      <c r="E230" s="66">
        <v>298.52000000001863</v>
      </c>
      <c r="F230" s="66">
        <v>2.9852000000001864</v>
      </c>
      <c r="G230" s="65">
        <v>5.3733600000003356</v>
      </c>
      <c r="H230" s="67" t="s">
        <v>2142</v>
      </c>
      <c r="I230" s="65" t="s">
        <v>2042</v>
      </c>
    </row>
    <row r="231" spans="1:9" x14ac:dyDescent="0.25">
      <c r="A231" s="57"/>
      <c r="B231" s="58" t="s">
        <v>205</v>
      </c>
      <c r="C231" s="59" t="s">
        <v>2143</v>
      </c>
      <c r="D231" s="60">
        <v>2.5600000000013097</v>
      </c>
      <c r="E231" s="61">
        <v>597</v>
      </c>
      <c r="F231" s="61">
        <v>2.9849999999999999</v>
      </c>
      <c r="G231" s="60">
        <v>5.3730000000000011</v>
      </c>
      <c r="H231" s="62" t="s">
        <v>2144</v>
      </c>
      <c r="I231" s="60" t="s">
        <v>2042</v>
      </c>
    </row>
    <row r="232" spans="1:9" x14ac:dyDescent="0.25">
      <c r="A232" s="57"/>
      <c r="B232" s="63" t="s">
        <v>858</v>
      </c>
      <c r="C232" s="64" t="s">
        <v>2145</v>
      </c>
      <c r="D232" s="65">
        <v>1.2800000000006548</v>
      </c>
      <c r="E232" s="66">
        <v>298.52000000001863</v>
      </c>
      <c r="F232" s="66">
        <v>2.9852000000001864</v>
      </c>
      <c r="G232" s="65">
        <v>5.3733600000003356</v>
      </c>
      <c r="H232" s="67" t="s">
        <v>2146</v>
      </c>
      <c r="I232" s="65" t="s">
        <v>2042</v>
      </c>
    </row>
    <row r="233" spans="1:9" x14ac:dyDescent="0.25">
      <c r="A233" s="57"/>
      <c r="B233" s="58" t="s">
        <v>204</v>
      </c>
      <c r="C233" s="59" t="s">
        <v>2147</v>
      </c>
      <c r="D233" s="60">
        <v>2.5600000000013097</v>
      </c>
      <c r="E233" s="61">
        <v>597</v>
      </c>
      <c r="F233" s="61">
        <v>2.9849999999999999</v>
      </c>
      <c r="G233" s="60">
        <v>5.3730000000000011</v>
      </c>
      <c r="H233" s="62" t="s">
        <v>2148</v>
      </c>
      <c r="I233" s="60" t="s">
        <v>2042</v>
      </c>
    </row>
    <row r="234" spans="1:9" x14ac:dyDescent="0.25">
      <c r="A234" s="57"/>
      <c r="B234" s="63" t="s">
        <v>857</v>
      </c>
      <c r="C234" s="64" t="s">
        <v>2149</v>
      </c>
      <c r="D234" s="65">
        <v>1.2800000000006548</v>
      </c>
      <c r="E234" s="66">
        <v>298.52000000001863</v>
      </c>
      <c r="F234" s="66">
        <v>2.9852000000001864</v>
      </c>
      <c r="G234" s="65">
        <v>5.3733600000003356</v>
      </c>
      <c r="H234" s="67" t="s">
        <v>2150</v>
      </c>
      <c r="I234" s="65" t="s">
        <v>2042</v>
      </c>
    </row>
    <row r="235" spans="1:9" x14ac:dyDescent="0.25">
      <c r="A235" s="57"/>
      <c r="B235" s="58" t="s">
        <v>203</v>
      </c>
      <c r="C235" s="59" t="s">
        <v>2151</v>
      </c>
      <c r="D235" s="60">
        <v>2.5600000000013097</v>
      </c>
      <c r="E235" s="61">
        <v>597</v>
      </c>
      <c r="F235" s="61">
        <v>2.9849999999999999</v>
      </c>
      <c r="G235" s="60">
        <v>5.3730000000000011</v>
      </c>
      <c r="H235" s="62" t="s">
        <v>2152</v>
      </c>
      <c r="I235" s="60" t="s">
        <v>2042</v>
      </c>
    </row>
    <row r="236" spans="1:9" x14ac:dyDescent="0.25">
      <c r="A236" s="57"/>
      <c r="B236" s="63" t="s">
        <v>870</v>
      </c>
      <c r="C236" s="64" t="s">
        <v>2153</v>
      </c>
      <c r="D236" s="65">
        <v>1.930000000000291</v>
      </c>
      <c r="E236" s="66">
        <v>431.93000000016764</v>
      </c>
      <c r="F236" s="66">
        <v>4.3193000000016761</v>
      </c>
      <c r="G236" s="65">
        <v>7.7747400000030176</v>
      </c>
      <c r="H236" s="67" t="s">
        <v>2154</v>
      </c>
      <c r="I236" s="65" t="s">
        <v>2042</v>
      </c>
    </row>
    <row r="237" spans="1:9" x14ac:dyDescent="0.25">
      <c r="A237" s="57"/>
      <c r="B237" s="58" t="s">
        <v>210</v>
      </c>
      <c r="C237" s="59" t="s">
        <v>2155</v>
      </c>
      <c r="D237" s="60">
        <v>3.8600000000005821</v>
      </c>
      <c r="E237" s="61">
        <v>863.88999999966472</v>
      </c>
      <c r="F237" s="61">
        <v>4.3194499999983238</v>
      </c>
      <c r="G237" s="60">
        <v>7.7750099999969828</v>
      </c>
      <c r="H237" s="62" t="s">
        <v>2156</v>
      </c>
      <c r="I237" s="60" t="s">
        <v>2042</v>
      </c>
    </row>
    <row r="238" spans="1:9" x14ac:dyDescent="0.25">
      <c r="A238" s="57"/>
      <c r="B238" s="63" t="s">
        <v>869</v>
      </c>
      <c r="C238" s="64" t="s">
        <v>2157</v>
      </c>
      <c r="D238" s="65">
        <v>1.930000000000291</v>
      </c>
      <c r="E238" s="66">
        <v>431.93000000016764</v>
      </c>
      <c r="F238" s="66">
        <v>4.3193000000016761</v>
      </c>
      <c r="G238" s="65">
        <v>7.7747400000030176</v>
      </c>
      <c r="H238" s="67" t="s">
        <v>2158</v>
      </c>
      <c r="I238" s="65" t="s">
        <v>2042</v>
      </c>
    </row>
    <row r="239" spans="1:9" x14ac:dyDescent="0.25">
      <c r="A239" s="57"/>
      <c r="B239" s="58" t="s">
        <v>215</v>
      </c>
      <c r="C239" s="59" t="s">
        <v>2159</v>
      </c>
      <c r="D239" s="60">
        <v>3.8600000000005821</v>
      </c>
      <c r="E239" s="61">
        <v>863.88999999966472</v>
      </c>
      <c r="F239" s="61">
        <v>4.3194499999983238</v>
      </c>
      <c r="G239" s="60">
        <v>7.7750099999969828</v>
      </c>
      <c r="H239" s="62" t="s">
        <v>2160</v>
      </c>
      <c r="I239" s="60" t="s">
        <v>2042</v>
      </c>
    </row>
    <row r="240" spans="1:9" x14ac:dyDescent="0.25">
      <c r="A240" s="57"/>
      <c r="B240" s="63" t="s">
        <v>868</v>
      </c>
      <c r="C240" s="64" t="s">
        <v>2161</v>
      </c>
      <c r="D240" s="65">
        <v>1.930000000000291</v>
      </c>
      <c r="E240" s="66">
        <v>431.93000000016764</v>
      </c>
      <c r="F240" s="66">
        <v>4.3193000000016761</v>
      </c>
      <c r="G240" s="65">
        <v>7.7747400000030176</v>
      </c>
      <c r="H240" s="67" t="s">
        <v>2162</v>
      </c>
      <c r="I240" s="65" t="s">
        <v>2042</v>
      </c>
    </row>
    <row r="241" spans="1:9" x14ac:dyDescent="0.25">
      <c r="A241" s="57"/>
      <c r="B241" s="58" t="s">
        <v>214</v>
      </c>
      <c r="C241" s="59" t="s">
        <v>2163</v>
      </c>
      <c r="D241" s="60">
        <v>3.8600000000005821</v>
      </c>
      <c r="E241" s="61">
        <v>863.88999999966472</v>
      </c>
      <c r="F241" s="61">
        <v>4.3194499999983238</v>
      </c>
      <c r="G241" s="60">
        <v>7.7750099999969828</v>
      </c>
      <c r="H241" s="62" t="s">
        <v>2164</v>
      </c>
      <c r="I241" s="60" t="s">
        <v>2042</v>
      </c>
    </row>
    <row r="242" spans="1:9" x14ac:dyDescent="0.25">
      <c r="A242" s="57"/>
      <c r="B242" s="63" t="s">
        <v>871</v>
      </c>
      <c r="C242" s="64" t="s">
        <v>2165</v>
      </c>
      <c r="D242" s="65">
        <v>1.930000000000291</v>
      </c>
      <c r="E242" s="66">
        <v>431.93000000016764</v>
      </c>
      <c r="F242" s="66">
        <v>4.3193000000016761</v>
      </c>
      <c r="G242" s="65">
        <v>7.7747400000030176</v>
      </c>
      <c r="H242" s="67" t="s">
        <v>2166</v>
      </c>
      <c r="I242" s="65" t="s">
        <v>2042</v>
      </c>
    </row>
    <row r="243" spans="1:9" x14ac:dyDescent="0.25">
      <c r="A243" s="57"/>
      <c r="B243" s="58" t="s">
        <v>217</v>
      </c>
      <c r="C243" s="59" t="s">
        <v>2167</v>
      </c>
      <c r="D243" s="60">
        <v>3.8600000000005821</v>
      </c>
      <c r="E243" s="61">
        <v>863.88999999966472</v>
      </c>
      <c r="F243" s="61">
        <v>4.3194499999983238</v>
      </c>
      <c r="G243" s="60">
        <v>7.7750099999969828</v>
      </c>
      <c r="H243" s="62" t="s">
        <v>2168</v>
      </c>
      <c r="I243" s="60" t="s">
        <v>2042</v>
      </c>
    </row>
    <row r="244" spans="1:9" x14ac:dyDescent="0.25">
      <c r="A244" s="57"/>
      <c r="B244" s="63" t="s">
        <v>864</v>
      </c>
      <c r="C244" s="64" t="s">
        <v>2169</v>
      </c>
      <c r="D244" s="65">
        <v>1.930000000000291</v>
      </c>
      <c r="E244" s="66">
        <v>431.93000000016764</v>
      </c>
      <c r="F244" s="66">
        <v>4.3193000000016761</v>
      </c>
      <c r="G244" s="65">
        <v>7.7747400000030176</v>
      </c>
      <c r="H244" s="67" t="s">
        <v>2170</v>
      </c>
      <c r="I244" s="65" t="s">
        <v>2042</v>
      </c>
    </row>
    <row r="245" spans="1:9" x14ac:dyDescent="0.25">
      <c r="A245" s="57"/>
      <c r="B245" s="58" t="s">
        <v>216</v>
      </c>
      <c r="C245" s="59" t="s">
        <v>2171</v>
      </c>
      <c r="D245" s="60">
        <v>3.8600000000005821</v>
      </c>
      <c r="E245" s="61">
        <v>863.88999999966472</v>
      </c>
      <c r="F245" s="61">
        <v>4.3194499999983238</v>
      </c>
      <c r="G245" s="60">
        <v>7.7750099999969828</v>
      </c>
      <c r="H245" s="62" t="s">
        <v>2172</v>
      </c>
      <c r="I245" s="60" t="s">
        <v>2042</v>
      </c>
    </row>
    <row r="246" spans="1:9" x14ac:dyDescent="0.25">
      <c r="A246" s="57"/>
      <c r="B246" s="63" t="s">
        <v>867</v>
      </c>
      <c r="C246" s="64" t="s">
        <v>2173</v>
      </c>
      <c r="D246" s="65">
        <v>1.930000000000291</v>
      </c>
      <c r="E246" s="66">
        <v>431.93000000016764</v>
      </c>
      <c r="F246" s="66">
        <v>4.3193000000016761</v>
      </c>
      <c r="G246" s="65">
        <v>7.7747400000030176</v>
      </c>
      <c r="H246" s="67" t="s">
        <v>2174</v>
      </c>
      <c r="I246" s="65" t="s">
        <v>2042</v>
      </c>
    </row>
    <row r="247" spans="1:9" x14ac:dyDescent="0.25">
      <c r="A247" s="57"/>
      <c r="B247" s="58" t="s">
        <v>213</v>
      </c>
      <c r="C247" s="59" t="s">
        <v>2175</v>
      </c>
      <c r="D247" s="60">
        <v>3.8600000000005821</v>
      </c>
      <c r="E247" s="61">
        <v>863.88999999966472</v>
      </c>
      <c r="F247" s="61">
        <v>4.3194499999983238</v>
      </c>
      <c r="G247" s="60">
        <v>7.7750099999969828</v>
      </c>
      <c r="H247" s="62" t="s">
        <v>2176</v>
      </c>
      <c r="I247" s="60" t="s">
        <v>2042</v>
      </c>
    </row>
    <row r="248" spans="1:9" x14ac:dyDescent="0.25">
      <c r="A248" s="57"/>
      <c r="B248" s="63" t="s">
        <v>866</v>
      </c>
      <c r="C248" s="64" t="s">
        <v>2177</v>
      </c>
      <c r="D248" s="65">
        <v>1.930000000000291</v>
      </c>
      <c r="E248" s="66">
        <v>431.93000000016764</v>
      </c>
      <c r="F248" s="66">
        <v>4.3193000000016761</v>
      </c>
      <c r="G248" s="65">
        <v>7.7747400000030176</v>
      </c>
      <c r="H248" s="67" t="s">
        <v>2178</v>
      </c>
      <c r="I248" s="65" t="s">
        <v>2042</v>
      </c>
    </row>
    <row r="249" spans="1:9" x14ac:dyDescent="0.25">
      <c r="A249" s="57"/>
      <c r="B249" s="58" t="s">
        <v>212</v>
      </c>
      <c r="C249" s="59" t="s">
        <v>2179</v>
      </c>
      <c r="D249" s="60">
        <v>3.8600000000005821</v>
      </c>
      <c r="E249" s="61">
        <v>863.88999999966472</v>
      </c>
      <c r="F249" s="61">
        <v>4.3194499999983238</v>
      </c>
      <c r="G249" s="60">
        <v>7.7750099999969828</v>
      </c>
      <c r="H249" s="62" t="s">
        <v>2180</v>
      </c>
      <c r="I249" s="60" t="s">
        <v>2042</v>
      </c>
    </row>
    <row r="250" spans="1:9" x14ac:dyDescent="0.25">
      <c r="A250" s="57"/>
      <c r="B250" s="63" t="s">
        <v>865</v>
      </c>
      <c r="C250" s="64" t="s">
        <v>2181</v>
      </c>
      <c r="D250" s="65">
        <v>1.7700000000004366</v>
      </c>
      <c r="E250" s="66">
        <v>431.93000000016764</v>
      </c>
      <c r="F250" s="66">
        <v>4.3193000000016761</v>
      </c>
      <c r="G250" s="65">
        <v>7.7747400000030176</v>
      </c>
      <c r="H250" s="67" t="s">
        <v>2182</v>
      </c>
      <c r="I250" s="65" t="s">
        <v>2042</v>
      </c>
    </row>
    <row r="251" spans="1:9" x14ac:dyDescent="0.25">
      <c r="A251" s="57"/>
      <c r="B251" s="58" t="s">
        <v>211</v>
      </c>
      <c r="C251" s="59" t="s">
        <v>2183</v>
      </c>
      <c r="D251" s="60">
        <v>3.5400000000008731</v>
      </c>
      <c r="E251" s="61">
        <v>863.88999999966472</v>
      </c>
      <c r="F251" s="61">
        <v>4.3194499999983238</v>
      </c>
      <c r="G251" s="60">
        <v>7.7750099999969828</v>
      </c>
      <c r="H251" s="62" t="s">
        <v>2184</v>
      </c>
      <c r="I251" s="60" t="s">
        <v>2042</v>
      </c>
    </row>
    <row r="252" spans="1:9" x14ac:dyDescent="0.25">
      <c r="A252" s="57"/>
      <c r="B252" s="63" t="s">
        <v>218</v>
      </c>
      <c r="C252" s="64" t="s">
        <v>2185</v>
      </c>
      <c r="D252" s="65">
        <v>4.5999999999985448</v>
      </c>
      <c r="E252" s="66">
        <v>1059.2200000006706</v>
      </c>
      <c r="F252" s="66">
        <v>5.2961000000033529</v>
      </c>
      <c r="G252" s="65">
        <v>9.5329800000060363</v>
      </c>
      <c r="H252" s="67" t="s">
        <v>2186</v>
      </c>
      <c r="I252" s="65" t="s">
        <v>2042</v>
      </c>
    </row>
    <row r="253" spans="1:9" x14ac:dyDescent="0.25">
      <c r="A253" s="57"/>
      <c r="B253" s="58" t="s">
        <v>219</v>
      </c>
      <c r="C253" s="59" t="s">
        <v>2187</v>
      </c>
      <c r="D253" s="60">
        <v>2</v>
      </c>
      <c r="E253" s="61">
        <v>1059.2200000006706</v>
      </c>
      <c r="F253" s="61">
        <v>5.2961000000033529</v>
      </c>
      <c r="G253" s="60">
        <v>9.5329800000060363</v>
      </c>
      <c r="H253" s="62" t="s">
        <v>2188</v>
      </c>
      <c r="I253" s="60" t="s">
        <v>2042</v>
      </c>
    </row>
    <row r="254" spans="1:9" x14ac:dyDescent="0.25">
      <c r="A254" s="57"/>
      <c r="B254" s="63" t="s">
        <v>220</v>
      </c>
      <c r="C254" s="64" t="s">
        <v>2189</v>
      </c>
      <c r="D254" s="65">
        <v>7.5</v>
      </c>
      <c r="E254" s="66">
        <v>1282.0800000000745</v>
      </c>
      <c r="F254" s="66">
        <v>6.4104000000003722</v>
      </c>
      <c r="G254" s="65">
        <v>11.538720000000671</v>
      </c>
      <c r="H254" s="67" t="s">
        <v>2190</v>
      </c>
      <c r="I254" s="65" t="s">
        <v>2042</v>
      </c>
    </row>
    <row r="255" spans="1:9" x14ac:dyDescent="0.25">
      <c r="A255" s="57"/>
      <c r="B255" s="58" t="s">
        <v>221</v>
      </c>
      <c r="C255" s="59" t="s">
        <v>2191</v>
      </c>
      <c r="D255" s="60">
        <v>3.2000000000007276</v>
      </c>
      <c r="E255" s="61">
        <v>1282.0800000000745</v>
      </c>
      <c r="F255" s="61">
        <v>6.4104000000003722</v>
      </c>
      <c r="G255" s="60">
        <v>11.538720000000671</v>
      </c>
      <c r="H255" s="62" t="s">
        <v>2192</v>
      </c>
      <c r="I255" s="60" t="s">
        <v>231</v>
      </c>
    </row>
    <row r="256" spans="1:9" x14ac:dyDescent="0.25">
      <c r="A256" s="57"/>
      <c r="B256" s="63" t="s">
        <v>222</v>
      </c>
      <c r="C256" s="64" t="s">
        <v>2193</v>
      </c>
      <c r="D256" s="65">
        <v>5.4000000000014552</v>
      </c>
      <c r="E256" s="66">
        <v>1645.25</v>
      </c>
      <c r="F256" s="66">
        <v>8.2262500000000003</v>
      </c>
      <c r="G256" s="65">
        <v>14.807250000000002</v>
      </c>
      <c r="H256" s="67" t="s">
        <v>2194</v>
      </c>
      <c r="I256" s="65" t="s">
        <v>2042</v>
      </c>
    </row>
    <row r="257" spans="1:9" x14ac:dyDescent="0.25">
      <c r="A257" s="57"/>
      <c r="B257" s="58" t="s">
        <v>223</v>
      </c>
      <c r="C257" s="59" t="s">
        <v>2195</v>
      </c>
      <c r="D257" s="60">
        <v>5.4000000000014552</v>
      </c>
      <c r="E257" s="61">
        <v>1645.25</v>
      </c>
      <c r="F257" s="61">
        <v>8.2262500000000003</v>
      </c>
      <c r="G257" s="60">
        <v>14.807250000000002</v>
      </c>
      <c r="H257" s="62" t="s">
        <v>2196</v>
      </c>
      <c r="I257" s="60" t="s">
        <v>2042</v>
      </c>
    </row>
    <row r="258" spans="1:9" x14ac:dyDescent="0.25">
      <c r="A258" s="57"/>
      <c r="B258" s="63" t="s">
        <v>224</v>
      </c>
      <c r="C258" s="64" t="s">
        <v>2197</v>
      </c>
      <c r="D258" s="65">
        <v>7</v>
      </c>
      <c r="E258" s="66">
        <v>2011.1500000003725</v>
      </c>
      <c r="F258" s="66">
        <v>10.055750000001863</v>
      </c>
      <c r="G258" s="65">
        <v>18.100350000003353</v>
      </c>
      <c r="H258" s="67" t="s">
        <v>2198</v>
      </c>
      <c r="I258" s="65" t="s">
        <v>2042</v>
      </c>
    </row>
    <row r="259" spans="1:9" x14ac:dyDescent="0.25">
      <c r="A259" s="57"/>
      <c r="B259" s="58" t="s">
        <v>225</v>
      </c>
      <c r="C259" s="59" t="s">
        <v>2199</v>
      </c>
      <c r="D259" s="60">
        <v>7</v>
      </c>
      <c r="E259" s="61">
        <v>2011.1500000003725</v>
      </c>
      <c r="F259" s="61">
        <v>10.055750000001863</v>
      </c>
      <c r="G259" s="60">
        <v>18.100350000003353</v>
      </c>
      <c r="H259" s="62" t="s">
        <v>2200</v>
      </c>
      <c r="I259" s="60" t="s">
        <v>2042</v>
      </c>
    </row>
    <row r="260" spans="1:9" x14ac:dyDescent="0.25">
      <c r="A260" s="57"/>
      <c r="B260" s="63" t="s">
        <v>227</v>
      </c>
      <c r="C260" s="64" t="s">
        <v>2201</v>
      </c>
      <c r="D260" s="65">
        <v>8.3000000000029104</v>
      </c>
      <c r="E260" s="66">
        <v>2726.4699999988079</v>
      </c>
      <c r="F260" s="66">
        <v>13.632349999994039</v>
      </c>
      <c r="G260" s="65">
        <v>24.538229999989269</v>
      </c>
      <c r="H260" s="67" t="s">
        <v>2202</v>
      </c>
      <c r="I260" s="65" t="s">
        <v>2042</v>
      </c>
    </row>
    <row r="261" spans="1:9" x14ac:dyDescent="0.25">
      <c r="A261" s="57"/>
      <c r="B261" s="58" t="s">
        <v>226</v>
      </c>
      <c r="C261" s="59" t="s">
        <v>2203</v>
      </c>
      <c r="D261" s="60">
        <v>8.3000000000029104</v>
      </c>
      <c r="E261" s="61">
        <v>2726.4699999988079</v>
      </c>
      <c r="F261" s="61">
        <v>13.632349999994039</v>
      </c>
      <c r="G261" s="60">
        <v>24.538229999989269</v>
      </c>
      <c r="H261" s="62" t="s">
        <v>2204</v>
      </c>
      <c r="I261" s="60" t="s">
        <v>2042</v>
      </c>
    </row>
    <row r="262" spans="1:9" x14ac:dyDescent="0.25">
      <c r="A262" s="57"/>
      <c r="B262" s="63" t="s">
        <v>228</v>
      </c>
      <c r="C262" s="64" t="s">
        <v>2205</v>
      </c>
      <c r="D262" s="65">
        <v>5.069999999999709</v>
      </c>
      <c r="E262" s="66">
        <v>1741.5299999993294</v>
      </c>
      <c r="F262" s="66">
        <v>17.415299999993294</v>
      </c>
      <c r="G262" s="65">
        <v>31.34753999998793</v>
      </c>
      <c r="H262" s="67" t="s">
        <v>2206</v>
      </c>
      <c r="I262" s="65" t="s">
        <v>2042</v>
      </c>
    </row>
    <row r="263" spans="1:9" x14ac:dyDescent="0.25">
      <c r="A263" s="57"/>
      <c r="B263" s="58" t="s">
        <v>229</v>
      </c>
      <c r="C263" s="59" t="s">
        <v>2207</v>
      </c>
      <c r="D263" s="60">
        <v>5.069999999999709</v>
      </c>
      <c r="E263" s="61">
        <v>1741.5299999993294</v>
      </c>
      <c r="F263" s="61">
        <v>17.415299999993294</v>
      </c>
      <c r="G263" s="60">
        <v>31.34753999998793</v>
      </c>
      <c r="H263" s="62" t="s">
        <v>2208</v>
      </c>
      <c r="I263" s="60" t="s">
        <v>2042</v>
      </c>
    </row>
    <row r="264" spans="1:9" x14ac:dyDescent="0.25">
      <c r="A264" s="57"/>
      <c r="B264" s="63" t="s">
        <v>873</v>
      </c>
      <c r="C264" s="64" t="s">
        <v>2209</v>
      </c>
      <c r="D264" s="65">
        <v>0.53999999999996362</v>
      </c>
      <c r="E264" s="66">
        <v>184.33000000007451</v>
      </c>
      <c r="F264" s="66">
        <v>1.8433000000007451</v>
      </c>
      <c r="G264" s="65">
        <v>3.3179400000013413</v>
      </c>
      <c r="H264" s="67" t="s">
        <v>2210</v>
      </c>
      <c r="I264" s="65" t="s">
        <v>231</v>
      </c>
    </row>
    <row r="265" spans="1:9" x14ac:dyDescent="0.25">
      <c r="A265" s="57"/>
      <c r="B265" s="58" t="s">
        <v>874</v>
      </c>
      <c r="C265" s="59" t="s">
        <v>2211</v>
      </c>
      <c r="D265" s="60">
        <v>1.0799999999999272</v>
      </c>
      <c r="E265" s="61">
        <v>368.66000000014901</v>
      </c>
      <c r="F265" s="61">
        <v>1.8433000000007451</v>
      </c>
      <c r="G265" s="60">
        <v>3.3179400000013413</v>
      </c>
      <c r="H265" s="62" t="s">
        <v>2212</v>
      </c>
      <c r="I265" s="60" t="s">
        <v>231</v>
      </c>
    </row>
    <row r="266" spans="1:9" x14ac:dyDescent="0.25">
      <c r="A266" s="57"/>
      <c r="B266" s="63" t="s">
        <v>875</v>
      </c>
      <c r="C266" s="64" t="s">
        <v>2213</v>
      </c>
      <c r="D266" s="65">
        <v>0.6000000000003638</v>
      </c>
      <c r="E266" s="66">
        <v>195.34000000008382</v>
      </c>
      <c r="F266" s="66">
        <v>1.9534000000008382</v>
      </c>
      <c r="G266" s="65">
        <v>3.5161200000015089</v>
      </c>
      <c r="H266" s="67" t="s">
        <v>2214</v>
      </c>
      <c r="I266" s="65" t="s">
        <v>231</v>
      </c>
    </row>
    <row r="267" spans="1:9" x14ac:dyDescent="0.25">
      <c r="A267" s="57"/>
      <c r="B267" s="58" t="s">
        <v>876</v>
      </c>
      <c r="C267" s="59" t="s">
        <v>2215</v>
      </c>
      <c r="D267" s="60">
        <v>1.3600000000005821</v>
      </c>
      <c r="E267" s="61">
        <v>390.68000000016764</v>
      </c>
      <c r="F267" s="61">
        <v>1.9534000000008382</v>
      </c>
      <c r="G267" s="60">
        <v>3.5161200000015089</v>
      </c>
      <c r="H267" s="62" t="s">
        <v>2216</v>
      </c>
      <c r="I267" s="60" t="s">
        <v>231</v>
      </c>
    </row>
    <row r="268" spans="1:9" x14ac:dyDescent="0.25">
      <c r="A268" s="57"/>
      <c r="B268" s="63" t="s">
        <v>877</v>
      </c>
      <c r="C268" s="64" t="s">
        <v>2217</v>
      </c>
      <c r="D268" s="65">
        <v>1.2399999999997817</v>
      </c>
      <c r="E268" s="66">
        <v>258.60999999986961</v>
      </c>
      <c r="F268" s="66">
        <v>2.5860999999986962</v>
      </c>
      <c r="G268" s="65">
        <v>4.6549799999976536</v>
      </c>
      <c r="H268" s="67" t="s">
        <v>2218</v>
      </c>
      <c r="I268" s="65" t="s">
        <v>231</v>
      </c>
    </row>
    <row r="269" spans="1:9" x14ac:dyDescent="0.25">
      <c r="A269" s="57"/>
      <c r="B269" s="58" t="s">
        <v>878</v>
      </c>
      <c r="C269" s="59" t="s">
        <v>2219</v>
      </c>
      <c r="D269" s="60">
        <v>2.5</v>
      </c>
      <c r="E269" s="61">
        <v>517.24000000022352</v>
      </c>
      <c r="F269" s="61">
        <v>2.5862000000011176</v>
      </c>
      <c r="G269" s="60">
        <v>4.6551600000020121</v>
      </c>
      <c r="H269" s="62" t="s">
        <v>2220</v>
      </c>
      <c r="I269" s="60" t="s">
        <v>231</v>
      </c>
    </row>
    <row r="270" spans="1:9" x14ac:dyDescent="0.25">
      <c r="A270" s="57"/>
      <c r="B270" s="63" t="s">
        <v>879</v>
      </c>
      <c r="C270" s="64" t="s">
        <v>2221</v>
      </c>
      <c r="D270" s="65">
        <v>1.5599999999994907</v>
      </c>
      <c r="E270" s="66">
        <v>346.66999999992549</v>
      </c>
      <c r="F270" s="66">
        <v>3.4666999999992552</v>
      </c>
      <c r="G270" s="65">
        <v>6.2400599999986595</v>
      </c>
      <c r="H270" s="67" t="s">
        <v>2222</v>
      </c>
      <c r="I270" s="65" t="s">
        <v>231</v>
      </c>
    </row>
    <row r="271" spans="1:9" x14ac:dyDescent="0.25">
      <c r="A271" s="57"/>
      <c r="B271" s="58" t="s">
        <v>880</v>
      </c>
      <c r="C271" s="59" t="s">
        <v>2223</v>
      </c>
      <c r="D271" s="60">
        <v>3.1199999999989814</v>
      </c>
      <c r="E271" s="61">
        <v>693.29000000003725</v>
      </c>
      <c r="F271" s="61">
        <v>3.4664500000001861</v>
      </c>
      <c r="G271" s="60">
        <v>6.2396100000003356</v>
      </c>
      <c r="H271" s="62" t="s">
        <v>2224</v>
      </c>
      <c r="I271" s="60" t="s">
        <v>231</v>
      </c>
    </row>
    <row r="272" spans="1:9" x14ac:dyDescent="0.25">
      <c r="A272" s="57"/>
      <c r="B272" s="63" t="s">
        <v>881</v>
      </c>
      <c r="C272" s="64" t="s">
        <v>2225</v>
      </c>
      <c r="D272" s="65">
        <v>2.2299999999995634</v>
      </c>
      <c r="E272" s="66">
        <v>507.60000000009313</v>
      </c>
      <c r="F272" s="66">
        <v>5.0760000000009313</v>
      </c>
      <c r="G272" s="65">
        <v>9.136800000001676</v>
      </c>
      <c r="H272" s="67" t="s">
        <v>2226</v>
      </c>
      <c r="I272" s="65" t="s">
        <v>231</v>
      </c>
    </row>
    <row r="273" spans="1:9" x14ac:dyDescent="0.25">
      <c r="A273" s="57"/>
      <c r="B273" s="58" t="s">
        <v>882</v>
      </c>
      <c r="C273" s="59" t="s">
        <v>2227</v>
      </c>
      <c r="D273" s="60">
        <v>0</v>
      </c>
      <c r="E273" s="61">
        <v>1015.2000000001863</v>
      </c>
      <c r="F273" s="61">
        <v>5.0760000000009313</v>
      </c>
      <c r="G273" s="60">
        <v>9.136800000001676</v>
      </c>
      <c r="H273" s="62" t="s">
        <v>2228</v>
      </c>
      <c r="I273" s="60" t="s">
        <v>231</v>
      </c>
    </row>
    <row r="274" spans="1:9" x14ac:dyDescent="0.25">
      <c r="A274" s="57"/>
      <c r="B274" s="63" t="s">
        <v>883</v>
      </c>
      <c r="C274" s="64" t="s">
        <v>2229</v>
      </c>
      <c r="D274" s="65">
        <v>3.5600000000013097</v>
      </c>
      <c r="E274" s="66">
        <v>707.05999999959022</v>
      </c>
      <c r="F274" s="66">
        <v>7.0705999999959026</v>
      </c>
      <c r="G274" s="65">
        <v>12.727079999992625</v>
      </c>
      <c r="H274" s="67" t="s">
        <v>2230</v>
      </c>
      <c r="I274" s="65" t="s">
        <v>231</v>
      </c>
    </row>
    <row r="275" spans="1:9" x14ac:dyDescent="0.25">
      <c r="A275" s="57"/>
      <c r="B275" s="58" t="s">
        <v>884</v>
      </c>
      <c r="C275" s="59" t="s">
        <v>2231</v>
      </c>
      <c r="D275" s="60">
        <v>7.1200000000026193</v>
      </c>
      <c r="E275" s="61">
        <v>1414.1500000003725</v>
      </c>
      <c r="F275" s="61">
        <v>7.0707500000018628</v>
      </c>
      <c r="G275" s="60">
        <v>12.727350000003353</v>
      </c>
      <c r="H275" s="62" t="s">
        <v>2232</v>
      </c>
      <c r="I275" s="60" t="s">
        <v>231</v>
      </c>
    </row>
    <row r="276" spans="1:9" x14ac:dyDescent="0.25">
      <c r="A276" s="57"/>
      <c r="B276" s="63" t="s">
        <v>885</v>
      </c>
      <c r="C276" s="64" t="s">
        <v>2233</v>
      </c>
      <c r="D276" s="65">
        <v>4.5</v>
      </c>
      <c r="E276" s="66">
        <v>940.92999999970198</v>
      </c>
      <c r="F276" s="66">
        <v>9.4092999999970193</v>
      </c>
      <c r="G276" s="65">
        <v>16.936739999994636</v>
      </c>
      <c r="H276" s="67" t="s">
        <v>2234</v>
      </c>
      <c r="I276" s="65" t="s">
        <v>231</v>
      </c>
    </row>
    <row r="277" spans="1:9" x14ac:dyDescent="0.25">
      <c r="A277" s="57"/>
      <c r="B277" s="58" t="s">
        <v>886</v>
      </c>
      <c r="C277" s="59" t="s">
        <v>2235</v>
      </c>
      <c r="D277" s="60">
        <v>9</v>
      </c>
      <c r="E277" s="61">
        <v>1881.8499999996275</v>
      </c>
      <c r="F277" s="61">
        <v>9.4092499999981367</v>
      </c>
      <c r="G277" s="60">
        <v>16.936649999996646</v>
      </c>
      <c r="H277" s="62" t="s">
        <v>2236</v>
      </c>
      <c r="I277" s="60" t="s">
        <v>231</v>
      </c>
    </row>
    <row r="278" spans="1:9" x14ac:dyDescent="0.25">
      <c r="A278" s="57"/>
      <c r="B278" s="63" t="s">
        <v>887</v>
      </c>
      <c r="C278" s="64" t="s">
        <v>2237</v>
      </c>
      <c r="D278" s="65">
        <v>0</v>
      </c>
      <c r="E278" s="66">
        <v>1072.9900000002235</v>
      </c>
      <c r="F278" s="66">
        <v>10.729900000002235</v>
      </c>
      <c r="G278" s="65">
        <v>19.313820000004021</v>
      </c>
      <c r="H278" s="67" t="s">
        <v>2238</v>
      </c>
      <c r="I278" s="65" t="s">
        <v>2239</v>
      </c>
    </row>
    <row r="279" spans="1:9" x14ac:dyDescent="0.25">
      <c r="A279" s="57"/>
      <c r="B279" s="58" t="s">
        <v>888</v>
      </c>
      <c r="C279" s="59" t="s">
        <v>2240</v>
      </c>
      <c r="D279" s="60">
        <v>0</v>
      </c>
      <c r="E279" s="61">
        <v>2145.9499999992549</v>
      </c>
      <c r="F279" s="61">
        <v>10.729749999996274</v>
      </c>
      <c r="G279" s="60">
        <v>19.313549999993295</v>
      </c>
      <c r="H279" s="62" t="s">
        <v>2241</v>
      </c>
      <c r="I279" s="60" t="s">
        <v>231</v>
      </c>
    </row>
    <row r="280" spans="1:9" x14ac:dyDescent="0.25">
      <c r="A280" s="57"/>
      <c r="B280" s="63" t="s">
        <v>2242</v>
      </c>
      <c r="C280" s="64" t="s">
        <v>2243</v>
      </c>
      <c r="D280" s="65">
        <v>0.36999999999989086</v>
      </c>
      <c r="E280" s="66">
        <v>144.42999999993481</v>
      </c>
      <c r="F280" s="66">
        <v>1.444299999999348</v>
      </c>
      <c r="G280" s="65">
        <v>2.5997399999988264</v>
      </c>
      <c r="H280" s="67" t="s">
        <v>2244</v>
      </c>
      <c r="I280" s="65" t="s">
        <v>231</v>
      </c>
    </row>
    <row r="281" spans="1:9" x14ac:dyDescent="0.25">
      <c r="A281" s="57"/>
      <c r="B281" s="58" t="s">
        <v>234</v>
      </c>
      <c r="C281" s="59" t="s">
        <v>2245</v>
      </c>
      <c r="D281" s="60">
        <v>0.73999999999978172</v>
      </c>
      <c r="E281" s="61">
        <v>288.87999999988824</v>
      </c>
      <c r="F281" s="61">
        <v>1.4443999999994412</v>
      </c>
      <c r="G281" s="60">
        <v>2.5999199999989941</v>
      </c>
      <c r="H281" s="62" t="s">
        <v>2246</v>
      </c>
      <c r="I281" s="60" t="s">
        <v>231</v>
      </c>
    </row>
    <row r="282" spans="1:9" x14ac:dyDescent="0.25">
      <c r="A282" s="57"/>
      <c r="B282" s="63" t="s">
        <v>2247</v>
      </c>
      <c r="C282" s="64" t="s">
        <v>2248</v>
      </c>
      <c r="D282" s="65">
        <v>0.36999999999989086</v>
      </c>
      <c r="E282" s="66">
        <v>144.42999999993481</v>
      </c>
      <c r="F282" s="66">
        <v>1.444299999999348</v>
      </c>
      <c r="G282" s="65">
        <v>2.5997399999988264</v>
      </c>
      <c r="H282" s="67" t="s">
        <v>2249</v>
      </c>
      <c r="I282" s="65" t="s">
        <v>231</v>
      </c>
    </row>
    <row r="283" spans="1:9" x14ac:dyDescent="0.25">
      <c r="A283" s="57"/>
      <c r="B283" s="58" t="s">
        <v>236</v>
      </c>
      <c r="C283" s="59" t="s">
        <v>2250</v>
      </c>
      <c r="D283" s="60">
        <v>0.73999999999978172</v>
      </c>
      <c r="E283" s="61">
        <v>288.87999999988824</v>
      </c>
      <c r="F283" s="61">
        <v>1.4443999999994412</v>
      </c>
      <c r="G283" s="60">
        <v>2.5999199999989941</v>
      </c>
      <c r="H283" s="62" t="s">
        <v>2251</v>
      </c>
      <c r="I283" s="60" t="s">
        <v>231</v>
      </c>
    </row>
    <row r="284" spans="1:9" x14ac:dyDescent="0.25">
      <c r="A284" s="57"/>
      <c r="B284" s="63" t="s">
        <v>2252</v>
      </c>
      <c r="C284" s="64" t="s">
        <v>2253</v>
      </c>
      <c r="D284" s="65">
        <v>0.36999999999989086</v>
      </c>
      <c r="E284" s="66">
        <v>144.42999999993481</v>
      </c>
      <c r="F284" s="66">
        <v>1.444299999999348</v>
      </c>
      <c r="G284" s="65">
        <v>2.5997399999988264</v>
      </c>
      <c r="H284" s="67" t="s">
        <v>2254</v>
      </c>
      <c r="I284" s="65" t="s">
        <v>231</v>
      </c>
    </row>
    <row r="285" spans="1:9" x14ac:dyDescent="0.25">
      <c r="A285" s="57"/>
      <c r="B285" s="58" t="s">
        <v>235</v>
      </c>
      <c r="C285" s="59" t="s">
        <v>2255</v>
      </c>
      <c r="D285" s="60">
        <v>0.73999999999978172</v>
      </c>
      <c r="E285" s="61">
        <v>288.87999999988824</v>
      </c>
      <c r="F285" s="61">
        <v>1.4443999999994412</v>
      </c>
      <c r="G285" s="60">
        <v>2.5999199999989941</v>
      </c>
      <c r="H285" s="62" t="s">
        <v>2256</v>
      </c>
      <c r="I285" s="60" t="s">
        <v>231</v>
      </c>
    </row>
    <row r="286" spans="1:9" x14ac:dyDescent="0.25">
      <c r="A286" s="57"/>
      <c r="B286" s="63" t="s">
        <v>2257</v>
      </c>
      <c r="C286" s="64" t="s">
        <v>2258</v>
      </c>
      <c r="D286" s="65">
        <v>0.6000000000003638</v>
      </c>
      <c r="E286" s="66">
        <v>207.72999999998137</v>
      </c>
      <c r="F286" s="66">
        <v>2.0772999999998136</v>
      </c>
      <c r="G286" s="65">
        <v>3.7391399999996651</v>
      </c>
      <c r="H286" s="67" t="s">
        <v>2259</v>
      </c>
      <c r="I286" s="65" t="s">
        <v>231</v>
      </c>
    </row>
    <row r="287" spans="1:9" x14ac:dyDescent="0.25">
      <c r="A287" s="57"/>
      <c r="B287" s="58" t="s">
        <v>237</v>
      </c>
      <c r="C287" s="59" t="s">
        <v>2260</v>
      </c>
      <c r="D287" s="60">
        <v>1.2000000000007276</v>
      </c>
      <c r="E287" s="61">
        <v>415.43000000016764</v>
      </c>
      <c r="F287" s="61">
        <v>2.077150000000838</v>
      </c>
      <c r="G287" s="60">
        <v>3.7388700000015085</v>
      </c>
      <c r="H287" s="62" t="s">
        <v>2261</v>
      </c>
      <c r="I287" s="60" t="s">
        <v>231</v>
      </c>
    </row>
    <row r="288" spans="1:9" x14ac:dyDescent="0.25">
      <c r="A288" s="57"/>
      <c r="B288" s="63" t="s">
        <v>2262</v>
      </c>
      <c r="C288" s="64" t="s">
        <v>2263</v>
      </c>
      <c r="D288" s="65">
        <v>0.6000000000003638</v>
      </c>
      <c r="E288" s="66">
        <v>207.72999999998137</v>
      </c>
      <c r="F288" s="66">
        <v>2.0772999999998136</v>
      </c>
      <c r="G288" s="65">
        <v>3.7391399999996651</v>
      </c>
      <c r="H288" s="67" t="s">
        <v>2264</v>
      </c>
      <c r="I288" s="65" t="s">
        <v>231</v>
      </c>
    </row>
    <row r="289" spans="1:9" x14ac:dyDescent="0.25">
      <c r="A289" s="57"/>
      <c r="B289" s="58" t="s">
        <v>239</v>
      </c>
      <c r="C289" s="59" t="s">
        <v>2265</v>
      </c>
      <c r="D289" s="60">
        <v>1.2000000000007276</v>
      </c>
      <c r="E289" s="61">
        <v>415.43000000016764</v>
      </c>
      <c r="F289" s="61">
        <v>2.077150000000838</v>
      </c>
      <c r="G289" s="60">
        <v>3.7388700000015085</v>
      </c>
      <c r="H289" s="62" t="s">
        <v>2266</v>
      </c>
      <c r="I289" s="60" t="s">
        <v>231</v>
      </c>
    </row>
    <row r="290" spans="1:9" x14ac:dyDescent="0.25">
      <c r="A290" s="57"/>
      <c r="B290" s="63" t="s">
        <v>2267</v>
      </c>
      <c r="C290" s="64" t="s">
        <v>2268</v>
      </c>
      <c r="D290" s="65">
        <v>0.6000000000003638</v>
      </c>
      <c r="E290" s="66">
        <v>207.72999999998137</v>
      </c>
      <c r="F290" s="66">
        <v>2.0772999999998136</v>
      </c>
      <c r="G290" s="65">
        <v>3.7391399999996651</v>
      </c>
      <c r="H290" s="67" t="s">
        <v>2269</v>
      </c>
      <c r="I290" s="65" t="s">
        <v>231</v>
      </c>
    </row>
    <row r="291" spans="1:9" x14ac:dyDescent="0.25">
      <c r="A291" s="57"/>
      <c r="B291" s="58" t="s">
        <v>238</v>
      </c>
      <c r="C291" s="59" t="s">
        <v>2270</v>
      </c>
      <c r="D291" s="60">
        <v>1.2000000000007276</v>
      </c>
      <c r="E291" s="61">
        <v>415.43000000016764</v>
      </c>
      <c r="F291" s="61">
        <v>2.077150000000838</v>
      </c>
      <c r="G291" s="60">
        <v>3.7388700000015085</v>
      </c>
      <c r="H291" s="62" t="s">
        <v>2271</v>
      </c>
      <c r="I291" s="60" t="s">
        <v>231</v>
      </c>
    </row>
    <row r="292" spans="1:9" x14ac:dyDescent="0.25">
      <c r="A292" s="57"/>
      <c r="B292" s="63" t="s">
        <v>2272</v>
      </c>
      <c r="C292" s="64" t="s">
        <v>2273</v>
      </c>
      <c r="D292" s="65">
        <v>1</v>
      </c>
      <c r="E292" s="66">
        <v>261.37000000011176</v>
      </c>
      <c r="F292" s="66">
        <v>2.6137000000011175</v>
      </c>
      <c r="G292" s="65">
        <v>4.7046600000020113</v>
      </c>
      <c r="H292" s="67" t="s">
        <v>2274</v>
      </c>
      <c r="I292" s="65" t="s">
        <v>2042</v>
      </c>
    </row>
    <row r="293" spans="1:9" x14ac:dyDescent="0.25">
      <c r="A293" s="57"/>
      <c r="B293" s="58" t="s">
        <v>240</v>
      </c>
      <c r="C293" s="59" t="s">
        <v>2275</v>
      </c>
      <c r="D293" s="60">
        <v>1.9599999999991269</v>
      </c>
      <c r="E293" s="61">
        <v>522.71999999973923</v>
      </c>
      <c r="F293" s="61">
        <v>2.6135999999986961</v>
      </c>
      <c r="G293" s="60">
        <v>4.7044799999976536</v>
      </c>
      <c r="H293" s="62" t="s">
        <v>2276</v>
      </c>
      <c r="I293" s="60" t="s">
        <v>2042</v>
      </c>
    </row>
    <row r="294" spans="1:9" x14ac:dyDescent="0.25">
      <c r="A294" s="57"/>
      <c r="B294" s="63" t="s">
        <v>2277</v>
      </c>
      <c r="C294" s="64" t="s">
        <v>2278</v>
      </c>
      <c r="D294" s="65">
        <v>1</v>
      </c>
      <c r="E294" s="66">
        <v>261.37000000011176</v>
      </c>
      <c r="F294" s="66">
        <v>2.6137000000011175</v>
      </c>
      <c r="G294" s="65">
        <v>4.7046600000020113</v>
      </c>
      <c r="H294" s="67" t="s">
        <v>2279</v>
      </c>
      <c r="I294" s="65" t="s">
        <v>2042</v>
      </c>
    </row>
    <row r="295" spans="1:9" x14ac:dyDescent="0.25">
      <c r="A295" s="57"/>
      <c r="B295" s="58" t="s">
        <v>242</v>
      </c>
      <c r="C295" s="59" t="s">
        <v>2280</v>
      </c>
      <c r="D295" s="60">
        <v>2</v>
      </c>
      <c r="E295" s="61">
        <v>522.71999999973923</v>
      </c>
      <c r="F295" s="61">
        <v>2.6135999999986961</v>
      </c>
      <c r="G295" s="60">
        <v>4.7044799999976536</v>
      </c>
      <c r="H295" s="62" t="s">
        <v>2281</v>
      </c>
      <c r="I295" s="60" t="s">
        <v>2042</v>
      </c>
    </row>
    <row r="296" spans="1:9" x14ac:dyDescent="0.25">
      <c r="A296" s="57"/>
      <c r="B296" s="63" t="s">
        <v>2282</v>
      </c>
      <c r="C296" s="64" t="s">
        <v>2283</v>
      </c>
      <c r="D296" s="65">
        <v>1</v>
      </c>
      <c r="E296" s="66">
        <v>261.37000000011176</v>
      </c>
      <c r="F296" s="66">
        <v>2.6137000000011175</v>
      </c>
      <c r="G296" s="65">
        <v>4.7046600000020113</v>
      </c>
      <c r="H296" s="67" t="s">
        <v>2284</v>
      </c>
      <c r="I296" s="65" t="s">
        <v>2042</v>
      </c>
    </row>
    <row r="297" spans="1:9" x14ac:dyDescent="0.25">
      <c r="A297" s="57"/>
      <c r="B297" s="58" t="s">
        <v>241</v>
      </c>
      <c r="C297" s="59" t="s">
        <v>2285</v>
      </c>
      <c r="D297" s="60">
        <v>1.9599999999991269</v>
      </c>
      <c r="E297" s="61">
        <v>522.71999999973923</v>
      </c>
      <c r="F297" s="61">
        <v>2.6135999999986961</v>
      </c>
      <c r="G297" s="60">
        <v>4.7044799999976536</v>
      </c>
      <c r="H297" s="62" t="s">
        <v>2286</v>
      </c>
      <c r="I297" s="60" t="s">
        <v>2042</v>
      </c>
    </row>
    <row r="298" spans="1:9" x14ac:dyDescent="0.25">
      <c r="A298" s="57"/>
      <c r="B298" s="63" t="s">
        <v>2287</v>
      </c>
      <c r="C298" s="64" t="s">
        <v>2288</v>
      </c>
      <c r="D298" s="65">
        <v>2</v>
      </c>
      <c r="E298" s="66">
        <v>386.52999999979511</v>
      </c>
      <c r="F298" s="66">
        <v>3.8652999999979509</v>
      </c>
      <c r="G298" s="65">
        <v>6.9575399999963121</v>
      </c>
      <c r="H298" s="67" t="s">
        <v>2289</v>
      </c>
      <c r="I298" s="65" t="s">
        <v>231</v>
      </c>
    </row>
    <row r="299" spans="1:9" x14ac:dyDescent="0.25">
      <c r="A299" s="57"/>
      <c r="B299" s="58" t="s">
        <v>243</v>
      </c>
      <c r="C299" s="59" t="s">
        <v>2290</v>
      </c>
      <c r="D299" s="60">
        <v>2.5600000000013097</v>
      </c>
      <c r="E299" s="61">
        <v>773.11000000033528</v>
      </c>
      <c r="F299" s="61">
        <v>3.8655500000016763</v>
      </c>
      <c r="G299" s="60">
        <v>6.9579900000030186</v>
      </c>
      <c r="H299" s="62" t="s">
        <v>2291</v>
      </c>
      <c r="I299" s="60" t="s">
        <v>231</v>
      </c>
    </row>
    <row r="300" spans="1:9" x14ac:dyDescent="0.25">
      <c r="A300" s="57"/>
      <c r="B300" s="63" t="s">
        <v>2292</v>
      </c>
      <c r="C300" s="64" t="s">
        <v>2293</v>
      </c>
      <c r="D300" s="65">
        <v>2</v>
      </c>
      <c r="E300" s="66">
        <v>386.52999999979511</v>
      </c>
      <c r="F300" s="66">
        <v>3.8652999999979509</v>
      </c>
      <c r="G300" s="65">
        <v>6.9575399999963121</v>
      </c>
      <c r="H300" s="67" t="s">
        <v>2294</v>
      </c>
      <c r="I300" s="65" t="s">
        <v>231</v>
      </c>
    </row>
    <row r="301" spans="1:9" x14ac:dyDescent="0.25">
      <c r="A301" s="57"/>
      <c r="B301" s="58" t="s">
        <v>245</v>
      </c>
      <c r="C301" s="59" t="s">
        <v>2295</v>
      </c>
      <c r="D301" s="60">
        <v>2.5600000000013097</v>
      </c>
      <c r="E301" s="61">
        <v>773.11000000033528</v>
      </c>
      <c r="F301" s="61">
        <v>3.8655500000016763</v>
      </c>
      <c r="G301" s="60">
        <v>6.9579900000030186</v>
      </c>
      <c r="H301" s="62" t="s">
        <v>2296</v>
      </c>
      <c r="I301" s="60" t="s">
        <v>231</v>
      </c>
    </row>
    <row r="302" spans="1:9" x14ac:dyDescent="0.25">
      <c r="A302" s="57"/>
      <c r="B302" s="63" t="s">
        <v>2297</v>
      </c>
      <c r="C302" s="64" t="s">
        <v>2298</v>
      </c>
      <c r="D302" s="65">
        <v>2</v>
      </c>
      <c r="E302" s="66">
        <v>386.52999999979511</v>
      </c>
      <c r="F302" s="66">
        <v>3.8652999999979509</v>
      </c>
      <c r="G302" s="65">
        <v>6.9575399999963121</v>
      </c>
      <c r="H302" s="67" t="s">
        <v>2299</v>
      </c>
      <c r="I302" s="65" t="s">
        <v>231</v>
      </c>
    </row>
    <row r="303" spans="1:9" x14ac:dyDescent="0.25">
      <c r="A303" s="57"/>
      <c r="B303" s="58" t="s">
        <v>244</v>
      </c>
      <c r="C303" s="59" t="s">
        <v>2300</v>
      </c>
      <c r="D303" s="60">
        <v>2.5600000000013097</v>
      </c>
      <c r="E303" s="61">
        <v>773.11000000033528</v>
      </c>
      <c r="F303" s="61">
        <v>3.8655500000016763</v>
      </c>
      <c r="G303" s="60">
        <v>6.9579900000030186</v>
      </c>
      <c r="H303" s="62" t="s">
        <v>2301</v>
      </c>
      <c r="I303" s="60" t="s">
        <v>231</v>
      </c>
    </row>
    <row r="304" spans="1:9" x14ac:dyDescent="0.25">
      <c r="A304" s="57"/>
      <c r="B304" s="63" t="s">
        <v>2302</v>
      </c>
      <c r="C304" s="64" t="s">
        <v>2303</v>
      </c>
      <c r="D304" s="65">
        <v>2.2400000000016007</v>
      </c>
      <c r="E304" s="66">
        <v>557.12000000011176</v>
      </c>
      <c r="F304" s="66">
        <v>5.5712000000011175</v>
      </c>
      <c r="G304" s="65">
        <v>10.028160000002011</v>
      </c>
      <c r="H304" s="67" t="s">
        <v>2304</v>
      </c>
      <c r="I304" s="65" t="s">
        <v>231</v>
      </c>
    </row>
    <row r="305" spans="1:9" x14ac:dyDescent="0.25">
      <c r="A305" s="57"/>
      <c r="B305" s="58" t="s">
        <v>246</v>
      </c>
      <c r="C305" s="59" t="s">
        <v>2305</v>
      </c>
      <c r="D305" s="60">
        <v>4.4800000000032014</v>
      </c>
      <c r="E305" s="61">
        <v>1114.25</v>
      </c>
      <c r="F305" s="61">
        <v>5.57125</v>
      </c>
      <c r="G305" s="60">
        <v>10.02825</v>
      </c>
      <c r="H305" s="62" t="s">
        <v>2306</v>
      </c>
      <c r="I305" s="60" t="s">
        <v>231</v>
      </c>
    </row>
    <row r="306" spans="1:9" x14ac:dyDescent="0.25">
      <c r="A306" s="57"/>
      <c r="B306" s="63" t="s">
        <v>2307</v>
      </c>
      <c r="C306" s="64" t="s">
        <v>2308</v>
      </c>
      <c r="D306" s="65">
        <v>2.2400000000016007</v>
      </c>
      <c r="E306" s="66">
        <v>557.12000000011176</v>
      </c>
      <c r="F306" s="66">
        <v>5.5712000000011175</v>
      </c>
      <c r="G306" s="65">
        <v>10.028160000002011</v>
      </c>
      <c r="H306" s="67" t="s">
        <v>2309</v>
      </c>
      <c r="I306" s="65" t="s">
        <v>231</v>
      </c>
    </row>
    <row r="307" spans="1:9" x14ac:dyDescent="0.25">
      <c r="A307" s="57"/>
      <c r="B307" s="58" t="s">
        <v>247</v>
      </c>
      <c r="C307" s="59" t="s">
        <v>2310</v>
      </c>
      <c r="D307" s="60">
        <v>4.4800000000032014</v>
      </c>
      <c r="E307" s="61">
        <v>1114.25</v>
      </c>
      <c r="F307" s="61">
        <v>5.57125</v>
      </c>
      <c r="G307" s="60">
        <v>10.02825</v>
      </c>
      <c r="H307" s="62" t="s">
        <v>2311</v>
      </c>
      <c r="I307" s="60" t="s">
        <v>231</v>
      </c>
    </row>
    <row r="308" spans="1:9" x14ac:dyDescent="0.25">
      <c r="A308" s="57"/>
      <c r="B308" s="63" t="s">
        <v>248</v>
      </c>
      <c r="C308" s="64" t="s">
        <v>2312</v>
      </c>
      <c r="D308" s="65">
        <v>2</v>
      </c>
      <c r="E308" s="66">
        <v>1367.359999999404</v>
      </c>
      <c r="F308" s="66">
        <v>6.8367999999970195</v>
      </c>
      <c r="G308" s="65">
        <v>12.306239999994636</v>
      </c>
      <c r="H308" s="67" t="s">
        <v>2313</v>
      </c>
      <c r="I308" s="65" t="s">
        <v>231</v>
      </c>
    </row>
    <row r="309" spans="1:9" x14ac:dyDescent="0.25">
      <c r="A309" s="57"/>
      <c r="B309" s="58" t="s">
        <v>249</v>
      </c>
      <c r="C309" s="59" t="s">
        <v>2314</v>
      </c>
      <c r="D309" s="60">
        <v>2</v>
      </c>
      <c r="E309" s="61">
        <v>1367.359999999404</v>
      </c>
      <c r="F309" s="61">
        <v>6.8367999999970195</v>
      </c>
      <c r="G309" s="60">
        <v>12.306239999994636</v>
      </c>
      <c r="H309" s="62" t="s">
        <v>2315</v>
      </c>
      <c r="I309" s="60" t="s">
        <v>231</v>
      </c>
    </row>
    <row r="310" spans="1:9" x14ac:dyDescent="0.25">
      <c r="A310" s="57"/>
      <c r="B310" s="63" t="s">
        <v>2316</v>
      </c>
      <c r="C310" s="64" t="s">
        <v>2317</v>
      </c>
      <c r="D310" s="65">
        <v>3.2999999999992724</v>
      </c>
      <c r="E310" s="66">
        <v>763.45999999996275</v>
      </c>
      <c r="F310" s="66">
        <v>7.6345999999996277</v>
      </c>
      <c r="G310" s="65">
        <v>13.742279999999329</v>
      </c>
      <c r="H310" s="67" t="s">
        <v>2318</v>
      </c>
      <c r="I310" s="65" t="s">
        <v>231</v>
      </c>
    </row>
    <row r="311" spans="1:9" x14ac:dyDescent="0.25">
      <c r="A311" s="57"/>
      <c r="B311" s="58" t="s">
        <v>250</v>
      </c>
      <c r="C311" s="59" t="s">
        <v>2319</v>
      </c>
      <c r="D311" s="60">
        <v>6.5999999999985448</v>
      </c>
      <c r="E311" s="61">
        <v>1526.9399999994785</v>
      </c>
      <c r="F311" s="61">
        <v>7.6346999999973919</v>
      </c>
      <c r="G311" s="60">
        <v>13.742459999995306</v>
      </c>
      <c r="H311" s="62" t="s">
        <v>2320</v>
      </c>
      <c r="I311" s="60" t="s">
        <v>231</v>
      </c>
    </row>
    <row r="312" spans="1:9" x14ac:dyDescent="0.25">
      <c r="A312" s="57"/>
      <c r="B312" s="63" t="s">
        <v>2321</v>
      </c>
      <c r="C312" s="64" t="s">
        <v>2322</v>
      </c>
      <c r="D312" s="65">
        <v>3.2999999999992724</v>
      </c>
      <c r="E312" s="66">
        <v>763.45999999996275</v>
      </c>
      <c r="F312" s="66">
        <v>7.6345999999996277</v>
      </c>
      <c r="G312" s="65">
        <v>13.742279999999329</v>
      </c>
      <c r="H312" s="67" t="s">
        <v>2323</v>
      </c>
      <c r="I312" s="65" t="s">
        <v>231</v>
      </c>
    </row>
    <row r="313" spans="1:9" x14ac:dyDescent="0.25">
      <c r="A313" s="57"/>
      <c r="B313" s="58" t="s">
        <v>251</v>
      </c>
      <c r="C313" s="59" t="s">
        <v>2324</v>
      </c>
      <c r="D313" s="60">
        <v>6.5999999999985448</v>
      </c>
      <c r="E313" s="61">
        <v>1526.9399999994785</v>
      </c>
      <c r="F313" s="61">
        <v>7.6346999999973919</v>
      </c>
      <c r="G313" s="60">
        <v>13.742459999995306</v>
      </c>
      <c r="H313" s="62" t="s">
        <v>2325</v>
      </c>
      <c r="I313" s="60" t="s">
        <v>231</v>
      </c>
    </row>
    <row r="314" spans="1:9" x14ac:dyDescent="0.25">
      <c r="A314" s="57"/>
      <c r="B314" s="63" t="s">
        <v>252</v>
      </c>
      <c r="C314" s="64" t="s">
        <v>2326</v>
      </c>
      <c r="D314" s="65">
        <v>7.5</v>
      </c>
      <c r="E314" s="66">
        <v>1656.2400000002235</v>
      </c>
      <c r="F314" s="66">
        <v>8.2812000000011174</v>
      </c>
      <c r="G314" s="65">
        <v>14.906160000002012</v>
      </c>
      <c r="H314" s="67" t="s">
        <v>2327</v>
      </c>
      <c r="I314" s="65" t="s">
        <v>2042</v>
      </c>
    </row>
    <row r="315" spans="1:9" x14ac:dyDescent="0.25">
      <c r="A315" s="57"/>
      <c r="B315" s="58" t="s">
        <v>253</v>
      </c>
      <c r="C315" s="59" t="s">
        <v>2328</v>
      </c>
      <c r="D315" s="60">
        <v>7.5</v>
      </c>
      <c r="E315" s="61">
        <v>1656.2400000002235</v>
      </c>
      <c r="F315" s="61">
        <v>8.2812000000011174</v>
      </c>
      <c r="G315" s="60">
        <v>14.906160000002012</v>
      </c>
      <c r="H315" s="62" t="s">
        <v>2329</v>
      </c>
      <c r="I315" s="60" t="s">
        <v>2042</v>
      </c>
    </row>
    <row r="316" spans="1:9" x14ac:dyDescent="0.25">
      <c r="A316" s="57"/>
      <c r="B316" s="63" t="s">
        <v>254</v>
      </c>
      <c r="C316" s="64" t="s">
        <v>2330</v>
      </c>
      <c r="D316" s="65">
        <v>9.6600000000034925</v>
      </c>
      <c r="E316" s="66">
        <v>2126.6999999992549</v>
      </c>
      <c r="F316" s="66">
        <v>10.633499999996275</v>
      </c>
      <c r="G316" s="65">
        <v>19.140299999993296</v>
      </c>
      <c r="H316" s="67" t="s">
        <v>2331</v>
      </c>
      <c r="I316" s="65" t="s">
        <v>231</v>
      </c>
    </row>
    <row r="317" spans="1:9" x14ac:dyDescent="0.25">
      <c r="A317" s="57"/>
      <c r="B317" s="58" t="s">
        <v>2332</v>
      </c>
      <c r="C317" s="59" t="s">
        <v>2333</v>
      </c>
      <c r="D317" s="60">
        <v>4.8300000000017462</v>
      </c>
      <c r="E317" s="61">
        <v>1063.25</v>
      </c>
      <c r="F317" s="61">
        <v>10.6325</v>
      </c>
      <c r="G317" s="60">
        <v>19.138500000000001</v>
      </c>
      <c r="H317" s="62" t="s">
        <v>2334</v>
      </c>
      <c r="I317" s="60" t="s">
        <v>231</v>
      </c>
    </row>
    <row r="318" spans="1:9" x14ac:dyDescent="0.25">
      <c r="A318" s="57"/>
      <c r="B318" s="63" t="s">
        <v>255</v>
      </c>
      <c r="C318" s="64" t="s">
        <v>2335</v>
      </c>
      <c r="D318" s="65">
        <v>9.6600000000034925</v>
      </c>
      <c r="E318" s="66">
        <v>2126.6999999992549</v>
      </c>
      <c r="F318" s="66">
        <v>10.633499999996275</v>
      </c>
      <c r="G318" s="65">
        <v>19.140299999993296</v>
      </c>
      <c r="H318" s="67" t="s">
        <v>2336</v>
      </c>
      <c r="I318" s="65" t="s">
        <v>231</v>
      </c>
    </row>
    <row r="319" spans="1:9" x14ac:dyDescent="0.25">
      <c r="A319" s="57"/>
      <c r="B319" s="58" t="s">
        <v>256</v>
      </c>
      <c r="C319" s="59" t="s">
        <v>2337</v>
      </c>
      <c r="D319" s="60">
        <v>7</v>
      </c>
      <c r="E319" s="61">
        <v>2597.1700000017881</v>
      </c>
      <c r="F319" s="61">
        <v>12.985850000008941</v>
      </c>
      <c r="G319" s="60">
        <v>23.374530000016094</v>
      </c>
      <c r="H319" s="62" t="s">
        <v>2338</v>
      </c>
      <c r="I319" s="60" t="s">
        <v>2042</v>
      </c>
    </row>
    <row r="320" spans="1:9" x14ac:dyDescent="0.25">
      <c r="A320" s="57"/>
      <c r="B320" s="63" t="s">
        <v>257</v>
      </c>
      <c r="C320" s="64" t="s">
        <v>2339</v>
      </c>
      <c r="D320" s="65">
        <v>7</v>
      </c>
      <c r="E320" s="66">
        <v>2597.1700000017881</v>
      </c>
      <c r="F320" s="66">
        <v>12.985850000008941</v>
      </c>
      <c r="G320" s="65">
        <v>23.374530000016094</v>
      </c>
      <c r="H320" s="67" t="s">
        <v>2340</v>
      </c>
      <c r="I320" s="65" t="s">
        <v>2042</v>
      </c>
    </row>
    <row r="321" spans="1:9" x14ac:dyDescent="0.25">
      <c r="A321" s="57"/>
      <c r="B321" s="58" t="s">
        <v>891</v>
      </c>
      <c r="C321" s="59" t="s">
        <v>2341</v>
      </c>
      <c r="D321" s="60">
        <v>0.6000000000003638</v>
      </c>
      <c r="E321" s="61">
        <v>253.12000000011176</v>
      </c>
      <c r="F321" s="61">
        <v>2.5312000000011174</v>
      </c>
      <c r="G321" s="60">
        <v>4.5561600000020119</v>
      </c>
      <c r="H321" s="62" t="s">
        <v>2342</v>
      </c>
      <c r="I321" s="60" t="s">
        <v>231</v>
      </c>
    </row>
    <row r="322" spans="1:9" x14ac:dyDescent="0.25">
      <c r="A322" s="57"/>
      <c r="B322" s="63" t="s">
        <v>892</v>
      </c>
      <c r="C322" s="64" t="s">
        <v>2343</v>
      </c>
      <c r="D322" s="65">
        <v>1.0599999999994907</v>
      </c>
      <c r="E322" s="66">
        <v>506.22000000020489</v>
      </c>
      <c r="F322" s="66">
        <v>2.5311000000010244</v>
      </c>
      <c r="G322" s="65">
        <v>4.5559800000018438</v>
      </c>
      <c r="H322" s="67" t="s">
        <v>2344</v>
      </c>
      <c r="I322" s="65" t="s">
        <v>231</v>
      </c>
    </row>
    <row r="323" spans="1:9" x14ac:dyDescent="0.25">
      <c r="A323" s="57"/>
      <c r="B323" s="58" t="s">
        <v>893</v>
      </c>
      <c r="C323" s="59" t="s">
        <v>2345</v>
      </c>
      <c r="D323" s="60">
        <v>1.1000000000003638</v>
      </c>
      <c r="E323" s="61">
        <v>337.02000000001863</v>
      </c>
      <c r="F323" s="61">
        <v>3.3702000000001862</v>
      </c>
      <c r="G323" s="60">
        <v>6.0663600000003353</v>
      </c>
      <c r="H323" s="62" t="s">
        <v>2346</v>
      </c>
      <c r="I323" s="60" t="s">
        <v>231</v>
      </c>
    </row>
    <row r="324" spans="1:9" x14ac:dyDescent="0.25">
      <c r="A324" s="57"/>
      <c r="B324" s="63" t="s">
        <v>894</v>
      </c>
      <c r="C324" s="64" t="s">
        <v>2347</v>
      </c>
      <c r="D324" s="65">
        <v>2.2000000000007276</v>
      </c>
      <c r="E324" s="66">
        <v>674.04999999981374</v>
      </c>
      <c r="F324" s="66">
        <v>3.3702499999990687</v>
      </c>
      <c r="G324" s="65">
        <v>6.0664499999983237</v>
      </c>
      <c r="H324" s="67" t="s">
        <v>2348</v>
      </c>
      <c r="I324" s="65" t="s">
        <v>231</v>
      </c>
    </row>
    <row r="325" spans="1:9" x14ac:dyDescent="0.25">
      <c r="A325" s="57"/>
      <c r="B325" s="58" t="s">
        <v>895</v>
      </c>
      <c r="C325" s="59" t="s">
        <v>2349</v>
      </c>
      <c r="D325" s="60">
        <v>1.5599999999994907</v>
      </c>
      <c r="E325" s="61">
        <v>422.31000000005588</v>
      </c>
      <c r="F325" s="61">
        <v>4.2231000000005592</v>
      </c>
      <c r="G325" s="60">
        <v>7.6015800000010065</v>
      </c>
      <c r="H325" s="62" t="s">
        <v>2350</v>
      </c>
      <c r="I325" s="60" t="s">
        <v>2351</v>
      </c>
    </row>
    <row r="326" spans="1:9" x14ac:dyDescent="0.25">
      <c r="A326" s="57"/>
      <c r="B326" s="63" t="s">
        <v>896</v>
      </c>
      <c r="C326" s="64" t="s">
        <v>2352</v>
      </c>
      <c r="D326" s="65">
        <v>3</v>
      </c>
      <c r="E326" s="66">
        <v>844.62999999988824</v>
      </c>
      <c r="F326" s="66">
        <v>4.2231499999994409</v>
      </c>
      <c r="G326" s="65">
        <v>7.6016699999989941</v>
      </c>
      <c r="H326" s="67" t="s">
        <v>2353</v>
      </c>
      <c r="I326" s="65" t="s">
        <v>231</v>
      </c>
    </row>
    <row r="327" spans="1:9" x14ac:dyDescent="0.25">
      <c r="A327" s="57"/>
      <c r="B327" s="58" t="s">
        <v>897</v>
      </c>
      <c r="C327" s="59" t="s">
        <v>2354</v>
      </c>
      <c r="D327" s="60">
        <v>1.75</v>
      </c>
      <c r="E327" s="61">
        <v>656.16000000014901</v>
      </c>
      <c r="F327" s="61">
        <v>6.5616000000014898</v>
      </c>
      <c r="G327" s="60">
        <v>11.810880000002683</v>
      </c>
      <c r="H327" s="62" t="s">
        <v>2355</v>
      </c>
      <c r="I327" s="60" t="s">
        <v>231</v>
      </c>
    </row>
    <row r="328" spans="1:9" x14ac:dyDescent="0.25">
      <c r="A328" s="57"/>
      <c r="B328" s="63" t="s">
        <v>898</v>
      </c>
      <c r="C328" s="64" t="s">
        <v>2356</v>
      </c>
      <c r="D328" s="65">
        <v>3.5400000000008731</v>
      </c>
      <c r="E328" s="66">
        <v>1312.339999999851</v>
      </c>
      <c r="F328" s="66">
        <v>6.5616999999992549</v>
      </c>
      <c r="G328" s="65">
        <v>11.811059999998658</v>
      </c>
      <c r="H328" s="67" t="s">
        <v>2357</v>
      </c>
      <c r="I328" s="65" t="s">
        <v>231</v>
      </c>
    </row>
    <row r="329" spans="1:9" x14ac:dyDescent="0.25">
      <c r="A329" s="57"/>
      <c r="B329" s="58" t="s">
        <v>899</v>
      </c>
      <c r="C329" s="59" t="s">
        <v>2358</v>
      </c>
      <c r="D329" s="60">
        <v>2.2999999999992724</v>
      </c>
      <c r="E329" s="61">
        <v>913.40000000037253</v>
      </c>
      <c r="F329" s="61">
        <v>9.1340000000037254</v>
      </c>
      <c r="G329" s="60">
        <v>16.441200000006706</v>
      </c>
      <c r="H329" s="62" t="s">
        <v>2359</v>
      </c>
      <c r="I329" s="60" t="s">
        <v>231</v>
      </c>
    </row>
    <row r="330" spans="1:9" x14ac:dyDescent="0.25">
      <c r="A330" s="57"/>
      <c r="B330" s="63" t="s">
        <v>900</v>
      </c>
      <c r="C330" s="64" t="s">
        <v>2360</v>
      </c>
      <c r="D330" s="65">
        <v>4.5999999999985448</v>
      </c>
      <c r="E330" s="66">
        <v>1826.820000000298</v>
      </c>
      <c r="F330" s="66">
        <v>9.1341000000014905</v>
      </c>
      <c r="G330" s="65">
        <v>16.441380000002681</v>
      </c>
      <c r="H330" s="67" t="s">
        <v>2361</v>
      </c>
      <c r="I330" s="65" t="s">
        <v>231</v>
      </c>
    </row>
    <row r="331" spans="1:9" x14ac:dyDescent="0.25">
      <c r="A331" s="57"/>
      <c r="B331" s="58" t="s">
        <v>901</v>
      </c>
      <c r="C331" s="59" t="s">
        <v>2362</v>
      </c>
      <c r="D331" s="60">
        <v>4.4499999999970896</v>
      </c>
      <c r="E331" s="61">
        <v>1148.640000000596</v>
      </c>
      <c r="F331" s="61">
        <v>11.486400000005961</v>
      </c>
      <c r="G331" s="60">
        <v>20.675520000010728</v>
      </c>
      <c r="H331" s="62" t="s">
        <v>2363</v>
      </c>
      <c r="I331" s="60" t="s">
        <v>2364</v>
      </c>
    </row>
    <row r="332" spans="1:9" x14ac:dyDescent="0.25">
      <c r="A332" s="57"/>
      <c r="B332" s="63" t="s">
        <v>902</v>
      </c>
      <c r="C332" s="64" t="s">
        <v>2365</v>
      </c>
      <c r="D332" s="65">
        <v>8.8999999999941792</v>
      </c>
      <c r="E332" s="66">
        <v>2297.2800000011921</v>
      </c>
      <c r="F332" s="66">
        <v>11.486400000005961</v>
      </c>
      <c r="G332" s="65">
        <v>20.675520000010728</v>
      </c>
      <c r="H332" s="67" t="s">
        <v>2366</v>
      </c>
      <c r="I332" s="65" t="s">
        <v>2364</v>
      </c>
    </row>
    <row r="333" spans="1:9" x14ac:dyDescent="0.25">
      <c r="A333" s="57"/>
      <c r="B333" s="58" t="s">
        <v>903</v>
      </c>
      <c r="C333" s="59" t="s">
        <v>2367</v>
      </c>
      <c r="D333" s="60">
        <v>10.80000000000291</v>
      </c>
      <c r="E333" s="61">
        <v>2773.2399999983609</v>
      </c>
      <c r="F333" s="61">
        <v>13.866199999991805</v>
      </c>
      <c r="G333" s="60">
        <v>24.95915999998525</v>
      </c>
      <c r="H333" s="62" t="s">
        <v>2368</v>
      </c>
      <c r="I333" s="60" t="s">
        <v>231</v>
      </c>
    </row>
    <row r="334" spans="1:9" x14ac:dyDescent="0.25">
      <c r="A334" s="57"/>
      <c r="B334" s="63" t="s">
        <v>904</v>
      </c>
      <c r="C334" s="64" t="s">
        <v>2369</v>
      </c>
      <c r="D334" s="65">
        <v>12.80000000000291</v>
      </c>
      <c r="E334" s="66">
        <v>3320.7399999983609</v>
      </c>
      <c r="F334" s="66">
        <v>16.603699999991804</v>
      </c>
      <c r="G334" s="65">
        <v>29.886659999985248</v>
      </c>
      <c r="H334" s="67" t="s">
        <v>2370</v>
      </c>
      <c r="I334" s="65" t="s">
        <v>231</v>
      </c>
    </row>
    <row r="335" spans="1:9" x14ac:dyDescent="0.25">
      <c r="A335" s="57"/>
      <c r="B335" s="58" t="s">
        <v>2371</v>
      </c>
      <c r="C335" s="59" t="s">
        <v>2372</v>
      </c>
      <c r="D335" s="60">
        <v>9.3999999999941792</v>
      </c>
      <c r="E335" s="61">
        <v>1179.9600000008941</v>
      </c>
      <c r="F335" s="61">
        <v>5.8998000000044701</v>
      </c>
      <c r="G335" s="60">
        <v>10.619640000008046</v>
      </c>
      <c r="H335" s="62" t="s">
        <v>2373</v>
      </c>
      <c r="I335" s="60" t="s">
        <v>231</v>
      </c>
    </row>
    <row r="336" spans="1:9" x14ac:dyDescent="0.25">
      <c r="A336" s="57"/>
      <c r="B336" s="63" t="s">
        <v>2374</v>
      </c>
      <c r="C336" s="64" t="s">
        <v>2375</v>
      </c>
      <c r="D336" s="65">
        <v>9.3999999999941792</v>
      </c>
      <c r="E336" s="66">
        <v>1179.9600000008941</v>
      </c>
      <c r="F336" s="66">
        <v>5.8998000000044701</v>
      </c>
      <c r="G336" s="65">
        <v>10.619640000008046</v>
      </c>
      <c r="H336" s="67" t="s">
        <v>2376</v>
      </c>
      <c r="I336" s="65" t="s">
        <v>231</v>
      </c>
    </row>
    <row r="337" spans="1:9" x14ac:dyDescent="0.25">
      <c r="A337" s="57"/>
      <c r="B337" s="58" t="s">
        <v>2377</v>
      </c>
      <c r="C337" s="59" t="s">
        <v>2378</v>
      </c>
      <c r="D337" s="60">
        <v>9.3999999999941792</v>
      </c>
      <c r="E337" s="61">
        <v>1179.9600000008941</v>
      </c>
      <c r="F337" s="61">
        <v>5.8998000000044701</v>
      </c>
      <c r="G337" s="60">
        <v>10.619640000008046</v>
      </c>
      <c r="H337" s="62" t="s">
        <v>2379</v>
      </c>
      <c r="I337" s="60" t="s">
        <v>231</v>
      </c>
    </row>
    <row r="338" spans="1:9" x14ac:dyDescent="0.25">
      <c r="A338" s="57"/>
      <c r="B338" s="63" t="s">
        <v>2380</v>
      </c>
      <c r="C338" s="64" t="s">
        <v>2381</v>
      </c>
      <c r="D338" s="65">
        <v>9.3999999999941792</v>
      </c>
      <c r="E338" s="66">
        <v>1179.9600000008941</v>
      </c>
      <c r="F338" s="66">
        <v>5.8998000000044701</v>
      </c>
      <c r="G338" s="65">
        <v>10.619640000008046</v>
      </c>
      <c r="H338" s="67" t="s">
        <v>2382</v>
      </c>
      <c r="I338" s="65" t="s">
        <v>231</v>
      </c>
    </row>
    <row r="339" spans="1:9" x14ac:dyDescent="0.25">
      <c r="A339" s="57"/>
      <c r="B339" s="58" t="s">
        <v>2383</v>
      </c>
      <c r="C339" s="59" t="s">
        <v>2384</v>
      </c>
      <c r="D339" s="60">
        <v>14.69999999999709</v>
      </c>
      <c r="E339" s="61">
        <v>1434.410000000149</v>
      </c>
      <c r="F339" s="61">
        <v>7.1720500000007448</v>
      </c>
      <c r="G339" s="60">
        <v>12.909690000001342</v>
      </c>
      <c r="H339" s="62" t="s">
        <v>2385</v>
      </c>
      <c r="I339" s="60" t="s">
        <v>231</v>
      </c>
    </row>
    <row r="340" spans="1:9" x14ac:dyDescent="0.25">
      <c r="A340" s="57"/>
      <c r="B340" s="63" t="s">
        <v>2386</v>
      </c>
      <c r="C340" s="64" t="s">
        <v>2387</v>
      </c>
      <c r="D340" s="65">
        <v>14.69999999999709</v>
      </c>
      <c r="E340" s="66">
        <v>1434.410000000149</v>
      </c>
      <c r="F340" s="66">
        <v>7.1720500000007448</v>
      </c>
      <c r="G340" s="65">
        <v>12.909690000001342</v>
      </c>
      <c r="H340" s="67" t="s">
        <v>2388</v>
      </c>
      <c r="I340" s="65" t="s">
        <v>231</v>
      </c>
    </row>
    <row r="341" spans="1:9" x14ac:dyDescent="0.25">
      <c r="A341" s="57"/>
      <c r="B341" s="58" t="s">
        <v>2389</v>
      </c>
      <c r="C341" s="59" t="s">
        <v>2390</v>
      </c>
      <c r="D341" s="60">
        <v>14.69999999999709</v>
      </c>
      <c r="E341" s="61">
        <v>1434.410000000149</v>
      </c>
      <c r="F341" s="61">
        <v>7.1720500000007448</v>
      </c>
      <c r="G341" s="60">
        <v>12.909690000001342</v>
      </c>
      <c r="H341" s="62" t="s">
        <v>2391</v>
      </c>
      <c r="I341" s="60" t="s">
        <v>231</v>
      </c>
    </row>
    <row r="342" spans="1:9" x14ac:dyDescent="0.25">
      <c r="A342" s="57"/>
      <c r="B342" s="63" t="s">
        <v>2392</v>
      </c>
      <c r="C342" s="64" t="s">
        <v>2393</v>
      </c>
      <c r="D342" s="65">
        <v>14.69999999999709</v>
      </c>
      <c r="E342" s="66">
        <v>1434.410000000149</v>
      </c>
      <c r="F342" s="66">
        <v>7.1720500000007448</v>
      </c>
      <c r="G342" s="65">
        <v>12.909690000001342</v>
      </c>
      <c r="H342" s="67" t="s">
        <v>2394</v>
      </c>
      <c r="I342" s="65" t="s">
        <v>231</v>
      </c>
    </row>
    <row r="343" spans="1:9" x14ac:dyDescent="0.25">
      <c r="A343" s="57"/>
      <c r="B343" s="58" t="s">
        <v>2395</v>
      </c>
      <c r="C343" s="59" t="s">
        <v>2396</v>
      </c>
      <c r="D343" s="60">
        <v>21.160000000003492</v>
      </c>
      <c r="E343" s="61">
        <v>1818.4700000006706</v>
      </c>
      <c r="F343" s="61">
        <v>9.0923500000033535</v>
      </c>
      <c r="G343" s="60">
        <v>16.366230000006034</v>
      </c>
      <c r="H343" s="62" t="s">
        <v>2397</v>
      </c>
      <c r="I343" s="60" t="s">
        <v>231</v>
      </c>
    </row>
    <row r="344" spans="1:9" x14ac:dyDescent="0.25">
      <c r="A344" s="57"/>
      <c r="B344" s="63" t="s">
        <v>2398</v>
      </c>
      <c r="C344" s="64" t="s">
        <v>2399</v>
      </c>
      <c r="D344" s="65">
        <v>21.160000000003492</v>
      </c>
      <c r="E344" s="66">
        <v>1818.4700000006706</v>
      </c>
      <c r="F344" s="66">
        <v>9.0923500000033535</v>
      </c>
      <c r="G344" s="65">
        <v>16.366230000006034</v>
      </c>
      <c r="H344" s="67" t="s">
        <v>2400</v>
      </c>
      <c r="I344" s="65" t="s">
        <v>231</v>
      </c>
    </row>
    <row r="345" spans="1:9" x14ac:dyDescent="0.25">
      <c r="A345" s="57"/>
      <c r="B345" s="58" t="s">
        <v>2401</v>
      </c>
      <c r="C345" s="59" t="s">
        <v>2402</v>
      </c>
      <c r="D345" s="60">
        <v>21.160000000003492</v>
      </c>
      <c r="E345" s="61">
        <v>1818.4700000006706</v>
      </c>
      <c r="F345" s="61">
        <v>9.0923500000033535</v>
      </c>
      <c r="G345" s="60">
        <v>16.366230000006034</v>
      </c>
      <c r="H345" s="62" t="s">
        <v>2403</v>
      </c>
      <c r="I345" s="60" t="s">
        <v>231</v>
      </c>
    </row>
    <row r="346" spans="1:9" x14ac:dyDescent="0.25">
      <c r="A346" s="57"/>
      <c r="B346" s="63" t="s">
        <v>2404</v>
      </c>
      <c r="C346" s="64" t="s">
        <v>2405</v>
      </c>
      <c r="D346" s="65">
        <v>21.160000000003492</v>
      </c>
      <c r="E346" s="66">
        <v>1818.4700000006706</v>
      </c>
      <c r="F346" s="66">
        <v>9.0923500000033535</v>
      </c>
      <c r="G346" s="65">
        <v>16.366230000006034</v>
      </c>
      <c r="H346" s="67" t="s">
        <v>2406</v>
      </c>
      <c r="I346" s="65" t="s">
        <v>231</v>
      </c>
    </row>
    <row r="347" spans="1:9" x14ac:dyDescent="0.25">
      <c r="A347" s="57"/>
      <c r="B347" s="58" t="s">
        <v>2407</v>
      </c>
      <c r="C347" s="59" t="s">
        <v>2408</v>
      </c>
      <c r="D347" s="60">
        <v>28.820000000006985</v>
      </c>
      <c r="E347" s="61">
        <v>2727.980000000447</v>
      </c>
      <c r="F347" s="61">
        <v>13.639900000002235</v>
      </c>
      <c r="G347" s="60">
        <v>24.551820000004021</v>
      </c>
      <c r="H347" s="62" t="s">
        <v>2409</v>
      </c>
      <c r="I347" s="60" t="s">
        <v>231</v>
      </c>
    </row>
    <row r="348" spans="1:9" x14ac:dyDescent="0.25">
      <c r="A348" s="57"/>
      <c r="B348" s="63" t="s">
        <v>2410</v>
      </c>
      <c r="C348" s="64" t="s">
        <v>2411</v>
      </c>
      <c r="D348" s="65">
        <v>28.820000000006985</v>
      </c>
      <c r="E348" s="66">
        <v>2727.980000000447</v>
      </c>
      <c r="F348" s="66">
        <v>13.639900000002235</v>
      </c>
      <c r="G348" s="65">
        <v>24.551820000004021</v>
      </c>
      <c r="H348" s="67" t="s">
        <v>2412</v>
      </c>
      <c r="I348" s="65" t="s">
        <v>231</v>
      </c>
    </row>
    <row r="349" spans="1:9" x14ac:dyDescent="0.25">
      <c r="A349" s="57"/>
      <c r="B349" s="58" t="s">
        <v>2413</v>
      </c>
      <c r="C349" s="59" t="s">
        <v>2414</v>
      </c>
      <c r="D349" s="60">
        <v>28.820000000006985</v>
      </c>
      <c r="E349" s="61">
        <v>2727.980000000447</v>
      </c>
      <c r="F349" s="61">
        <v>13.639900000002235</v>
      </c>
      <c r="G349" s="60">
        <v>24.551820000004021</v>
      </c>
      <c r="H349" s="62" t="s">
        <v>2415</v>
      </c>
      <c r="I349" s="60" t="s">
        <v>231</v>
      </c>
    </row>
    <row r="350" spans="1:9" x14ac:dyDescent="0.25">
      <c r="A350" s="57"/>
      <c r="B350" s="63" t="s">
        <v>2416</v>
      </c>
      <c r="C350" s="64" t="s">
        <v>2417</v>
      </c>
      <c r="D350" s="65">
        <v>28.820000000006985</v>
      </c>
      <c r="E350" s="66">
        <v>2727.980000000447</v>
      </c>
      <c r="F350" s="66">
        <v>13.639900000002235</v>
      </c>
      <c r="G350" s="65">
        <v>24.551820000004021</v>
      </c>
      <c r="H350" s="67" t="s">
        <v>2418</v>
      </c>
      <c r="I350" s="65" t="s">
        <v>231</v>
      </c>
    </row>
    <row r="351" spans="1:9" x14ac:dyDescent="0.25">
      <c r="A351" s="57"/>
      <c r="B351" s="58" t="s">
        <v>2419</v>
      </c>
      <c r="C351" s="59" t="s">
        <v>2420</v>
      </c>
      <c r="D351" s="60">
        <v>18.820000000006985</v>
      </c>
      <c r="E351" s="61">
        <v>1846.25</v>
      </c>
      <c r="F351" s="61">
        <v>18.462499999999999</v>
      </c>
      <c r="G351" s="60">
        <v>33.232500000000002</v>
      </c>
      <c r="H351" s="62" t="s">
        <v>2421</v>
      </c>
      <c r="I351" s="60" t="s">
        <v>231</v>
      </c>
    </row>
    <row r="352" spans="1:9" x14ac:dyDescent="0.25">
      <c r="A352" s="57"/>
      <c r="B352" s="63" t="s">
        <v>2422</v>
      </c>
      <c r="C352" s="64" t="s">
        <v>2423</v>
      </c>
      <c r="D352" s="65">
        <v>18.820000000006985</v>
      </c>
      <c r="E352" s="66">
        <v>1846.25</v>
      </c>
      <c r="F352" s="66">
        <v>18.462499999999999</v>
      </c>
      <c r="G352" s="65">
        <v>33.232500000000002</v>
      </c>
      <c r="H352" s="67" t="s">
        <v>2424</v>
      </c>
      <c r="I352" s="65" t="s">
        <v>231</v>
      </c>
    </row>
    <row r="353" spans="1:9" x14ac:dyDescent="0.25">
      <c r="A353" s="57"/>
      <c r="B353" s="58" t="s">
        <v>2425</v>
      </c>
      <c r="C353" s="59" t="s">
        <v>2426</v>
      </c>
      <c r="D353" s="60">
        <v>18.820000000006985</v>
      </c>
      <c r="E353" s="61">
        <v>1846.25</v>
      </c>
      <c r="F353" s="61">
        <v>18.462499999999999</v>
      </c>
      <c r="G353" s="60">
        <v>33.232500000000002</v>
      </c>
      <c r="H353" s="62" t="s">
        <v>2427</v>
      </c>
      <c r="I353" s="60" t="s">
        <v>231</v>
      </c>
    </row>
    <row r="354" spans="1:9" x14ac:dyDescent="0.25">
      <c r="A354" s="57"/>
      <c r="B354" s="63" t="s">
        <v>2428</v>
      </c>
      <c r="C354" s="64" t="s">
        <v>2429</v>
      </c>
      <c r="D354" s="65">
        <v>18.820000000006985</v>
      </c>
      <c r="E354" s="66">
        <v>1846.25</v>
      </c>
      <c r="F354" s="66">
        <v>18.462499999999999</v>
      </c>
      <c r="G354" s="65">
        <v>33.232500000000002</v>
      </c>
      <c r="H354" s="67" t="s">
        <v>2430</v>
      </c>
      <c r="I354" s="65" t="s">
        <v>231</v>
      </c>
    </row>
    <row r="355" spans="1:9" x14ac:dyDescent="0.25">
      <c r="A355" s="57"/>
      <c r="B355" s="58" t="s">
        <v>2431</v>
      </c>
      <c r="C355" s="59" t="s">
        <v>2432</v>
      </c>
      <c r="D355" s="60">
        <v>23.809999999997672</v>
      </c>
      <c r="E355" s="61">
        <v>2359.7800000011921</v>
      </c>
      <c r="F355" s="61">
        <v>23.597800000011922</v>
      </c>
      <c r="G355" s="60">
        <v>42.476040000021456</v>
      </c>
      <c r="H355" s="62" t="s">
        <v>2433</v>
      </c>
      <c r="I355" s="60" t="s">
        <v>231</v>
      </c>
    </row>
    <row r="356" spans="1:9" x14ac:dyDescent="0.25">
      <c r="A356" s="57"/>
      <c r="B356" s="63" t="s">
        <v>2434</v>
      </c>
      <c r="C356" s="64" t="s">
        <v>2435</v>
      </c>
      <c r="D356" s="65">
        <v>23.809999999997672</v>
      </c>
      <c r="E356" s="66">
        <v>2359.7800000011921</v>
      </c>
      <c r="F356" s="66">
        <v>23.597800000011922</v>
      </c>
      <c r="G356" s="65">
        <v>42.476040000021456</v>
      </c>
      <c r="H356" s="67" t="s">
        <v>2436</v>
      </c>
      <c r="I356" s="65" t="s">
        <v>231</v>
      </c>
    </row>
    <row r="357" spans="1:9" x14ac:dyDescent="0.25">
      <c r="A357" s="57"/>
      <c r="B357" s="58" t="s">
        <v>2437</v>
      </c>
      <c r="C357" s="59" t="s">
        <v>2438</v>
      </c>
      <c r="D357" s="60">
        <v>23.809999999997672</v>
      </c>
      <c r="E357" s="61">
        <v>2359.7800000011921</v>
      </c>
      <c r="F357" s="61">
        <v>23.597800000011922</v>
      </c>
      <c r="G357" s="60">
        <v>42.476040000021456</v>
      </c>
      <c r="H357" s="62" t="s">
        <v>2439</v>
      </c>
      <c r="I357" s="60" t="s">
        <v>231</v>
      </c>
    </row>
    <row r="358" spans="1:9" x14ac:dyDescent="0.25">
      <c r="A358" s="57"/>
      <c r="B358" s="63" t="s">
        <v>2440</v>
      </c>
      <c r="C358" s="64" t="s">
        <v>2441</v>
      </c>
      <c r="D358" s="65">
        <v>23.809999999997672</v>
      </c>
      <c r="E358" s="66">
        <v>2359.7800000011921</v>
      </c>
      <c r="F358" s="66">
        <v>23.597800000011922</v>
      </c>
      <c r="G358" s="65">
        <v>42.476040000021456</v>
      </c>
      <c r="H358" s="67" t="s">
        <v>2442</v>
      </c>
      <c r="I358" s="65" t="s">
        <v>231</v>
      </c>
    </row>
    <row r="359" spans="1:9" x14ac:dyDescent="0.25">
      <c r="A359" s="57"/>
      <c r="B359" s="58" t="s">
        <v>385</v>
      </c>
      <c r="C359" s="59" t="s">
        <v>2443</v>
      </c>
      <c r="D359" s="60">
        <v>1.0799999999999272</v>
      </c>
      <c r="E359" s="61">
        <v>432.70999999996275</v>
      </c>
      <c r="F359" s="61">
        <v>2.1635499999998138</v>
      </c>
      <c r="G359" s="60">
        <v>3.8943899999996647</v>
      </c>
      <c r="H359" s="62" t="s">
        <v>2444</v>
      </c>
      <c r="I359" s="60" t="s">
        <v>231</v>
      </c>
    </row>
    <row r="360" spans="1:9" x14ac:dyDescent="0.25">
      <c r="A360" s="57"/>
      <c r="B360" s="63" t="s">
        <v>386</v>
      </c>
      <c r="C360" s="64" t="s">
        <v>2445</v>
      </c>
      <c r="D360" s="65">
        <v>1.2000000000007276</v>
      </c>
      <c r="E360" s="66">
        <v>484.22000000020489</v>
      </c>
      <c r="F360" s="66">
        <v>2.4211000000010245</v>
      </c>
      <c r="G360" s="65">
        <v>4.3579800000018443</v>
      </c>
      <c r="H360" s="67" t="s">
        <v>2446</v>
      </c>
      <c r="I360" s="65" t="s">
        <v>231</v>
      </c>
    </row>
    <row r="361" spans="1:9" x14ac:dyDescent="0.25">
      <c r="A361" s="57"/>
      <c r="B361" s="58" t="s">
        <v>387</v>
      </c>
      <c r="C361" s="59" t="s">
        <v>2447</v>
      </c>
      <c r="D361" s="60">
        <v>2.2200000000011642</v>
      </c>
      <c r="E361" s="61">
        <v>646.54000000003725</v>
      </c>
      <c r="F361" s="61">
        <v>3.2327000000001864</v>
      </c>
      <c r="G361" s="60">
        <v>5.8188600000003348</v>
      </c>
      <c r="H361" s="62" t="s">
        <v>2448</v>
      </c>
      <c r="I361" s="60" t="s">
        <v>231</v>
      </c>
    </row>
    <row r="362" spans="1:9" x14ac:dyDescent="0.25">
      <c r="A362" s="57"/>
      <c r="B362" s="63" t="s">
        <v>388</v>
      </c>
      <c r="C362" s="64" t="s">
        <v>2449</v>
      </c>
      <c r="D362" s="65">
        <v>3.1199999999989814</v>
      </c>
      <c r="E362" s="66">
        <v>806.11000000033528</v>
      </c>
      <c r="F362" s="66">
        <v>4.0305500000016767</v>
      </c>
      <c r="G362" s="65">
        <v>7.2549900000030174</v>
      </c>
      <c r="H362" s="67" t="s">
        <v>2450</v>
      </c>
      <c r="I362" s="65" t="s">
        <v>231</v>
      </c>
    </row>
    <row r="363" spans="1:9" x14ac:dyDescent="0.25">
      <c r="A363" s="57"/>
      <c r="B363" s="58" t="s">
        <v>389</v>
      </c>
      <c r="C363" s="59" t="s">
        <v>2451</v>
      </c>
      <c r="D363" s="60">
        <v>4.5</v>
      </c>
      <c r="E363" s="61">
        <v>1254.5600000005215</v>
      </c>
      <c r="F363" s="61">
        <v>6.2728000000026078</v>
      </c>
      <c r="G363" s="60">
        <v>11.291040000004694</v>
      </c>
      <c r="H363" s="62" t="s">
        <v>2452</v>
      </c>
      <c r="I363" s="60" t="s">
        <v>231</v>
      </c>
    </row>
    <row r="364" spans="1:9" x14ac:dyDescent="0.25">
      <c r="A364" s="57"/>
      <c r="B364" s="63" t="s">
        <v>390</v>
      </c>
      <c r="C364" s="64" t="s">
        <v>2453</v>
      </c>
      <c r="D364" s="65">
        <v>7.1200000000026193</v>
      </c>
      <c r="E364" s="66">
        <v>1744.2899999991059</v>
      </c>
      <c r="F364" s="66">
        <v>8.7214499999955297</v>
      </c>
      <c r="G364" s="65">
        <v>15.698609999991954</v>
      </c>
      <c r="H364" s="67" t="s">
        <v>2454</v>
      </c>
      <c r="I364" s="65" t="s">
        <v>231</v>
      </c>
    </row>
    <row r="365" spans="1:9" x14ac:dyDescent="0.25">
      <c r="A365" s="57"/>
      <c r="B365" s="58" t="s">
        <v>391</v>
      </c>
      <c r="C365" s="59" t="s">
        <v>2455</v>
      </c>
      <c r="D365" s="60">
        <v>4.5</v>
      </c>
      <c r="E365" s="61">
        <v>1097.75</v>
      </c>
      <c r="F365" s="61">
        <v>10.977499999999999</v>
      </c>
      <c r="G365" s="60">
        <v>19.759499999999999</v>
      </c>
      <c r="H365" s="62" t="s">
        <v>2456</v>
      </c>
      <c r="I365" s="60" t="s">
        <v>231</v>
      </c>
    </row>
    <row r="366" spans="1:9" x14ac:dyDescent="0.25">
      <c r="A366" s="57"/>
      <c r="B366" s="63" t="s">
        <v>392</v>
      </c>
      <c r="C366" s="64" t="s">
        <v>2457</v>
      </c>
      <c r="D366" s="65">
        <v>5.5</v>
      </c>
      <c r="E366" s="66">
        <v>1324.730000000447</v>
      </c>
      <c r="F366" s="66">
        <v>13.24730000000447</v>
      </c>
      <c r="G366" s="65">
        <v>23.845140000008044</v>
      </c>
      <c r="H366" s="67" t="s">
        <v>2458</v>
      </c>
      <c r="I366" s="65" t="s">
        <v>231</v>
      </c>
    </row>
    <row r="367" spans="1:9" x14ac:dyDescent="0.25">
      <c r="A367" s="57"/>
      <c r="B367" s="58" t="s">
        <v>393</v>
      </c>
      <c r="C367" s="59" t="s">
        <v>2459</v>
      </c>
      <c r="D367" s="60">
        <v>5.5</v>
      </c>
      <c r="E367" s="61">
        <v>1587.4600000008941</v>
      </c>
      <c r="F367" s="61">
        <v>15.874600000008941</v>
      </c>
      <c r="G367" s="60">
        <v>28.574280000016092</v>
      </c>
      <c r="H367" s="62" t="s">
        <v>2460</v>
      </c>
      <c r="I367" s="60" t="s">
        <v>231</v>
      </c>
    </row>
    <row r="368" spans="1:9" x14ac:dyDescent="0.25">
      <c r="A368" s="57"/>
      <c r="B368" s="63" t="s">
        <v>394</v>
      </c>
      <c r="C368" s="64" t="s">
        <v>2461</v>
      </c>
      <c r="D368" s="65">
        <v>7.5500000000029104</v>
      </c>
      <c r="E368" s="66">
        <v>1851.5800000000745</v>
      </c>
      <c r="F368" s="66">
        <v>18.515800000000745</v>
      </c>
      <c r="G368" s="65">
        <v>33.328440000001343</v>
      </c>
      <c r="H368" s="67" t="s">
        <v>2462</v>
      </c>
      <c r="I368" s="65" t="s">
        <v>231</v>
      </c>
    </row>
    <row r="369" spans="1:9" x14ac:dyDescent="0.25">
      <c r="A369" s="57"/>
      <c r="B369" s="58" t="s">
        <v>2463</v>
      </c>
      <c r="C369" s="59" t="s">
        <v>2464</v>
      </c>
      <c r="D369" s="60">
        <v>5.1999999999970896</v>
      </c>
      <c r="E369" s="61">
        <v>358.81000000005588</v>
      </c>
      <c r="F369" s="61">
        <v>3.588100000000559</v>
      </c>
      <c r="G369" s="60">
        <v>6.4585800000010058</v>
      </c>
      <c r="H369" s="62" t="s">
        <v>2465</v>
      </c>
      <c r="I369" s="60" t="s">
        <v>1664</v>
      </c>
    </row>
    <row r="370" spans="1:9" x14ac:dyDescent="0.25">
      <c r="A370" s="57"/>
      <c r="B370" s="63" t="s">
        <v>2466</v>
      </c>
      <c r="C370" s="64" t="s">
        <v>2467</v>
      </c>
      <c r="D370" s="65">
        <v>10.399999999994179</v>
      </c>
      <c r="E370" s="66">
        <v>717.61000000033528</v>
      </c>
      <c r="F370" s="66">
        <v>3.5880500000016764</v>
      </c>
      <c r="G370" s="65">
        <v>6.4584900000030174</v>
      </c>
      <c r="H370" s="67" t="s">
        <v>2468</v>
      </c>
      <c r="I370" s="65" t="s">
        <v>1664</v>
      </c>
    </row>
    <row r="371" spans="1:9" x14ac:dyDescent="0.25">
      <c r="A371" s="57"/>
      <c r="B371" s="58" t="s">
        <v>2469</v>
      </c>
      <c r="C371" s="59" t="s">
        <v>2470</v>
      </c>
      <c r="D371" s="60">
        <v>8.1000000000058208</v>
      </c>
      <c r="E371" s="61">
        <v>0</v>
      </c>
      <c r="F371" s="61">
        <v>0</v>
      </c>
      <c r="G371" s="60">
        <v>0</v>
      </c>
      <c r="H371" s="62" t="s">
        <v>2471</v>
      </c>
      <c r="I371" s="60" t="s">
        <v>2472</v>
      </c>
    </row>
    <row r="372" spans="1:9" x14ac:dyDescent="0.25">
      <c r="A372" s="57"/>
      <c r="B372" s="63" t="s">
        <v>2473</v>
      </c>
      <c r="C372" s="64" t="s">
        <v>2474</v>
      </c>
      <c r="D372" s="65">
        <v>17</v>
      </c>
      <c r="E372" s="66">
        <v>1181.7899999991059</v>
      </c>
      <c r="F372" s="66">
        <v>5.9089499999955297</v>
      </c>
      <c r="G372" s="65">
        <v>10.636109999991954</v>
      </c>
      <c r="H372" s="67" t="s">
        <v>2475</v>
      </c>
      <c r="I372" s="65" t="s">
        <v>2472</v>
      </c>
    </row>
    <row r="373" spans="1:9" x14ac:dyDescent="0.25">
      <c r="A373" s="57"/>
      <c r="B373" s="58" t="s">
        <v>2476</v>
      </c>
      <c r="C373" s="59" t="s">
        <v>2477</v>
      </c>
      <c r="D373" s="60">
        <v>11.600000000005821</v>
      </c>
      <c r="E373" s="61">
        <v>0</v>
      </c>
      <c r="F373" s="61">
        <v>0</v>
      </c>
      <c r="G373" s="60">
        <v>0</v>
      </c>
      <c r="H373" s="62" t="s">
        <v>2478</v>
      </c>
      <c r="I373" s="60" t="s">
        <v>2472</v>
      </c>
    </row>
    <row r="374" spans="1:9" x14ac:dyDescent="0.25">
      <c r="A374" s="57"/>
      <c r="B374" s="63" t="s">
        <v>2479</v>
      </c>
      <c r="C374" s="64" t="s">
        <v>2480</v>
      </c>
      <c r="D374" s="65">
        <v>24</v>
      </c>
      <c r="E374" s="66">
        <v>0</v>
      </c>
      <c r="F374" s="66">
        <v>0</v>
      </c>
      <c r="G374" s="65">
        <v>0</v>
      </c>
      <c r="H374" s="67" t="s">
        <v>2481</v>
      </c>
      <c r="I374" s="65" t="s">
        <v>2472</v>
      </c>
    </row>
    <row r="375" spans="1:9" x14ac:dyDescent="0.25">
      <c r="A375" s="57"/>
      <c r="B375" s="58" t="s">
        <v>2482</v>
      </c>
      <c r="C375" s="59" t="s">
        <v>2483</v>
      </c>
      <c r="D375" s="60">
        <v>15.19999999999709</v>
      </c>
      <c r="E375" s="61">
        <v>1074.3699999991804</v>
      </c>
      <c r="F375" s="61">
        <v>10.743699999991804</v>
      </c>
      <c r="G375" s="60">
        <v>19.338659999985246</v>
      </c>
      <c r="H375" s="62" t="s">
        <v>2484</v>
      </c>
      <c r="I375" s="60" t="s">
        <v>2472</v>
      </c>
    </row>
    <row r="376" spans="1:9" x14ac:dyDescent="0.25">
      <c r="A376" s="57"/>
      <c r="B376" s="63" t="s">
        <v>2485</v>
      </c>
      <c r="C376" s="64" t="s">
        <v>2486</v>
      </c>
      <c r="D376" s="65">
        <v>30.420000000012806</v>
      </c>
      <c r="E376" s="66">
        <v>2148.75</v>
      </c>
      <c r="F376" s="66">
        <v>10.74375</v>
      </c>
      <c r="G376" s="65">
        <v>19.338750000000001</v>
      </c>
      <c r="H376" s="67" t="s">
        <v>2487</v>
      </c>
      <c r="I376" s="65" t="s">
        <v>2472</v>
      </c>
    </row>
    <row r="377" spans="1:9" x14ac:dyDescent="0.25">
      <c r="A377" s="57"/>
      <c r="B377" s="58" t="s">
        <v>2488</v>
      </c>
      <c r="C377" s="59" t="s">
        <v>2489</v>
      </c>
      <c r="D377" s="60">
        <v>25</v>
      </c>
      <c r="E377" s="61">
        <v>1779.3300000000745</v>
      </c>
      <c r="F377" s="61">
        <v>17.793300000000745</v>
      </c>
      <c r="G377" s="60">
        <v>32.027940000001337</v>
      </c>
      <c r="H377" s="62" t="s">
        <v>2490</v>
      </c>
      <c r="I377" s="60" t="s">
        <v>2472</v>
      </c>
    </row>
    <row r="378" spans="1:9" x14ac:dyDescent="0.25">
      <c r="A378" s="57"/>
      <c r="B378" s="63" t="s">
        <v>2491</v>
      </c>
      <c r="C378" s="64" t="s">
        <v>2492</v>
      </c>
      <c r="D378" s="65">
        <v>50</v>
      </c>
      <c r="E378" s="66">
        <v>3558.6700000017881</v>
      </c>
      <c r="F378" s="66">
        <v>17.793350000008942</v>
      </c>
      <c r="G378" s="65">
        <v>32.028030000016095</v>
      </c>
      <c r="H378" s="67" t="s">
        <v>2493</v>
      </c>
      <c r="I378" s="65" t="s">
        <v>2472</v>
      </c>
    </row>
    <row r="379" spans="1:9" x14ac:dyDescent="0.25">
      <c r="A379" s="57"/>
      <c r="B379" s="58" t="s">
        <v>397</v>
      </c>
      <c r="C379" s="59" t="s">
        <v>2494</v>
      </c>
      <c r="D379" s="60">
        <v>5.1999999999970896</v>
      </c>
      <c r="E379" s="61">
        <v>358.81000000005588</v>
      </c>
      <c r="F379" s="61">
        <v>3.588100000000559</v>
      </c>
      <c r="G379" s="60">
        <v>6.4585800000010058</v>
      </c>
      <c r="H379" s="62" t="s">
        <v>2495</v>
      </c>
      <c r="I379" s="60" t="s">
        <v>1664</v>
      </c>
    </row>
    <row r="380" spans="1:9" x14ac:dyDescent="0.25">
      <c r="A380" s="57"/>
      <c r="B380" s="63" t="s">
        <v>398</v>
      </c>
      <c r="C380" s="64" t="s">
        <v>2496</v>
      </c>
      <c r="D380" s="65">
        <v>10.399999999994179</v>
      </c>
      <c r="E380" s="66">
        <v>717.61000000033528</v>
      </c>
      <c r="F380" s="66">
        <v>3.5880500000016764</v>
      </c>
      <c r="G380" s="65">
        <v>6.4584900000030174</v>
      </c>
      <c r="H380" s="67" t="s">
        <v>2497</v>
      </c>
      <c r="I380" s="65" t="s">
        <v>1664</v>
      </c>
    </row>
    <row r="381" spans="1:9" x14ac:dyDescent="0.25">
      <c r="A381" s="57"/>
      <c r="B381" s="58" t="s">
        <v>399</v>
      </c>
      <c r="C381" s="59" t="s">
        <v>2498</v>
      </c>
      <c r="D381" s="60">
        <v>8.1000000000058208</v>
      </c>
      <c r="E381" s="61">
        <v>590.75999999977648</v>
      </c>
      <c r="F381" s="61">
        <v>5.9075999999977649</v>
      </c>
      <c r="G381" s="60">
        <v>10.633679999995977</v>
      </c>
      <c r="H381" s="62" t="s">
        <v>2499</v>
      </c>
      <c r="I381" s="60" t="s">
        <v>2472</v>
      </c>
    </row>
    <row r="382" spans="1:9" x14ac:dyDescent="0.25">
      <c r="A382" s="57"/>
      <c r="B382" s="63" t="s">
        <v>400</v>
      </c>
      <c r="C382" s="64" t="s">
        <v>2500</v>
      </c>
      <c r="D382" s="65">
        <v>17</v>
      </c>
      <c r="E382" s="66">
        <v>1181.7899999991059</v>
      </c>
      <c r="F382" s="66">
        <v>5.9089499999955297</v>
      </c>
      <c r="G382" s="65">
        <v>10.636109999991954</v>
      </c>
      <c r="H382" s="67" t="s">
        <v>2501</v>
      </c>
      <c r="I382" s="65" t="s">
        <v>2472</v>
      </c>
    </row>
    <row r="383" spans="1:9" x14ac:dyDescent="0.25">
      <c r="A383" s="57"/>
      <c r="B383" s="58" t="s">
        <v>402</v>
      </c>
      <c r="C383" s="59" t="s">
        <v>2502</v>
      </c>
      <c r="D383" s="60">
        <v>24</v>
      </c>
      <c r="E383" s="61">
        <v>1732.9000000003725</v>
      </c>
      <c r="F383" s="61">
        <v>8.6645000000018619</v>
      </c>
      <c r="G383" s="60">
        <v>15.596100000003354</v>
      </c>
      <c r="H383" s="62" t="s">
        <v>2503</v>
      </c>
      <c r="I383" s="60" t="s">
        <v>231</v>
      </c>
    </row>
    <row r="384" spans="1:9" x14ac:dyDescent="0.25">
      <c r="A384" s="57"/>
      <c r="B384" s="63" t="s">
        <v>401</v>
      </c>
      <c r="C384" s="64" t="s">
        <v>2504</v>
      </c>
      <c r="D384" s="65">
        <v>11.600000000005821</v>
      </c>
      <c r="E384" s="66">
        <v>865.73000000044703</v>
      </c>
      <c r="F384" s="66">
        <v>8.6573000000044704</v>
      </c>
      <c r="G384" s="65">
        <v>15.583140000008047</v>
      </c>
      <c r="H384" s="67" t="s">
        <v>2505</v>
      </c>
      <c r="I384" s="65" t="s">
        <v>2472</v>
      </c>
    </row>
    <row r="385" spans="1:9" x14ac:dyDescent="0.25">
      <c r="A385" s="57"/>
      <c r="B385" s="58" t="s">
        <v>403</v>
      </c>
      <c r="C385" s="59" t="s">
        <v>2506</v>
      </c>
      <c r="D385" s="60">
        <v>15.19999999999709</v>
      </c>
      <c r="E385" s="61">
        <v>1074.3699999991804</v>
      </c>
      <c r="F385" s="61">
        <v>10.743699999991804</v>
      </c>
      <c r="G385" s="60">
        <v>19.338659999985246</v>
      </c>
      <c r="H385" s="62" t="s">
        <v>2507</v>
      </c>
      <c r="I385" s="60" t="s">
        <v>2472</v>
      </c>
    </row>
    <row r="386" spans="1:9" x14ac:dyDescent="0.25">
      <c r="A386" s="57"/>
      <c r="B386" s="63" t="s">
        <v>404</v>
      </c>
      <c r="C386" s="64" t="s">
        <v>2508</v>
      </c>
      <c r="D386" s="65">
        <v>30.420000000012806</v>
      </c>
      <c r="E386" s="66">
        <v>2148.75</v>
      </c>
      <c r="F386" s="66">
        <v>10.74375</v>
      </c>
      <c r="G386" s="65">
        <v>19.338750000000001</v>
      </c>
      <c r="H386" s="67" t="s">
        <v>2509</v>
      </c>
      <c r="I386" s="65" t="s">
        <v>2472</v>
      </c>
    </row>
    <row r="387" spans="1:9" x14ac:dyDescent="0.25">
      <c r="A387" s="57"/>
      <c r="B387" s="58" t="s">
        <v>405</v>
      </c>
      <c r="C387" s="59" t="s">
        <v>2510</v>
      </c>
      <c r="D387" s="60">
        <v>25</v>
      </c>
      <c r="E387" s="61">
        <v>1779.3300000000745</v>
      </c>
      <c r="F387" s="61">
        <v>17.793300000000745</v>
      </c>
      <c r="G387" s="60">
        <v>32.027940000001337</v>
      </c>
      <c r="H387" s="62" t="s">
        <v>2511</v>
      </c>
      <c r="I387" s="60" t="s">
        <v>2472</v>
      </c>
    </row>
    <row r="388" spans="1:9" x14ac:dyDescent="0.25">
      <c r="A388" s="57"/>
      <c r="B388" s="63" t="s">
        <v>406</v>
      </c>
      <c r="C388" s="64" t="s">
        <v>2512</v>
      </c>
      <c r="D388" s="65">
        <v>50</v>
      </c>
      <c r="E388" s="66">
        <v>3558.6700000017881</v>
      </c>
      <c r="F388" s="66">
        <v>17.793350000008942</v>
      </c>
      <c r="G388" s="65">
        <v>32.028030000016095</v>
      </c>
      <c r="H388" s="67" t="s">
        <v>2513</v>
      </c>
      <c r="I388" s="65" t="s">
        <v>2472</v>
      </c>
    </row>
    <row r="389" spans="1:9" x14ac:dyDescent="0.25">
      <c r="A389" s="57"/>
      <c r="B389" s="58" t="s">
        <v>411</v>
      </c>
      <c r="C389" s="59" t="s">
        <v>2514</v>
      </c>
      <c r="D389" s="60">
        <v>5</v>
      </c>
      <c r="E389" s="61">
        <v>327.14000000013039</v>
      </c>
      <c r="F389" s="61">
        <v>1.6357000000006519</v>
      </c>
      <c r="G389" s="60">
        <v>2.9442600000011736</v>
      </c>
      <c r="H389" s="62" t="s">
        <v>2515</v>
      </c>
      <c r="I389" s="60" t="s">
        <v>231</v>
      </c>
    </row>
    <row r="390" spans="1:9" x14ac:dyDescent="0.25">
      <c r="A390" s="57"/>
      <c r="B390" s="63" t="s">
        <v>410</v>
      </c>
      <c r="C390" s="64" t="s">
        <v>2516</v>
      </c>
      <c r="D390" s="65">
        <v>5</v>
      </c>
      <c r="E390" s="66">
        <v>327.14000000013039</v>
      </c>
      <c r="F390" s="66">
        <v>1.6357000000006519</v>
      </c>
      <c r="G390" s="65">
        <v>2.9442600000011736</v>
      </c>
      <c r="H390" s="67" t="s">
        <v>2517</v>
      </c>
      <c r="I390" s="65" t="s">
        <v>231</v>
      </c>
    </row>
    <row r="391" spans="1:9" x14ac:dyDescent="0.25">
      <c r="A391" s="57"/>
      <c r="B391" s="58" t="s">
        <v>409</v>
      </c>
      <c r="C391" s="59" t="s">
        <v>2518</v>
      </c>
      <c r="D391" s="60">
        <v>5</v>
      </c>
      <c r="E391" s="61">
        <v>327.14000000013039</v>
      </c>
      <c r="F391" s="61">
        <v>1.6357000000006519</v>
      </c>
      <c r="G391" s="60">
        <v>2.9442600000011736</v>
      </c>
      <c r="H391" s="62" t="s">
        <v>2519</v>
      </c>
      <c r="I391" s="60" t="s">
        <v>231</v>
      </c>
    </row>
    <row r="392" spans="1:9" x14ac:dyDescent="0.25">
      <c r="A392" s="57"/>
      <c r="B392" s="63" t="s">
        <v>412</v>
      </c>
      <c r="C392" s="64" t="s">
        <v>2520</v>
      </c>
      <c r="D392" s="65">
        <v>5</v>
      </c>
      <c r="E392" s="66">
        <v>327.14000000013039</v>
      </c>
      <c r="F392" s="66">
        <v>1.6357000000006519</v>
      </c>
      <c r="G392" s="65">
        <v>2.9442600000011736</v>
      </c>
      <c r="H392" s="67" t="s">
        <v>2521</v>
      </c>
      <c r="I392" s="65" t="s">
        <v>231</v>
      </c>
    </row>
    <row r="393" spans="1:9" x14ac:dyDescent="0.25">
      <c r="A393" s="57"/>
      <c r="B393" s="58" t="s">
        <v>408</v>
      </c>
      <c r="C393" s="59" t="s">
        <v>2522</v>
      </c>
      <c r="D393" s="60">
        <v>5</v>
      </c>
      <c r="E393" s="61">
        <v>327.14000000013039</v>
      </c>
      <c r="F393" s="61">
        <v>1.6357000000006519</v>
      </c>
      <c r="G393" s="60">
        <v>2.9442600000011736</v>
      </c>
      <c r="H393" s="62" t="s">
        <v>2523</v>
      </c>
      <c r="I393" s="60" t="s">
        <v>231</v>
      </c>
    </row>
    <row r="394" spans="1:9" x14ac:dyDescent="0.25">
      <c r="A394" s="57"/>
      <c r="B394" s="63" t="s">
        <v>416</v>
      </c>
      <c r="C394" s="64" t="s">
        <v>2524</v>
      </c>
      <c r="D394" s="65">
        <v>6.9000000000014552</v>
      </c>
      <c r="E394" s="66">
        <v>347.75</v>
      </c>
      <c r="F394" s="66">
        <v>1.73875</v>
      </c>
      <c r="G394" s="65">
        <v>3.12975</v>
      </c>
      <c r="H394" s="67" t="s">
        <v>2525</v>
      </c>
      <c r="I394" s="65" t="s">
        <v>231</v>
      </c>
    </row>
    <row r="395" spans="1:9" x14ac:dyDescent="0.25">
      <c r="A395" s="57"/>
      <c r="B395" s="58" t="s">
        <v>415</v>
      </c>
      <c r="C395" s="59" t="s">
        <v>2526</v>
      </c>
      <c r="D395" s="60">
        <v>6.9000000000014552</v>
      </c>
      <c r="E395" s="61">
        <v>347.75</v>
      </c>
      <c r="F395" s="61">
        <v>1.73875</v>
      </c>
      <c r="G395" s="60">
        <v>3.12975</v>
      </c>
      <c r="H395" s="62" t="s">
        <v>2527</v>
      </c>
      <c r="I395" s="60" t="s">
        <v>231</v>
      </c>
    </row>
    <row r="396" spans="1:9" x14ac:dyDescent="0.25">
      <c r="A396" s="57"/>
      <c r="B396" s="63" t="s">
        <v>414</v>
      </c>
      <c r="C396" s="64" t="s">
        <v>2528</v>
      </c>
      <c r="D396" s="65">
        <v>6.9000000000014552</v>
      </c>
      <c r="E396" s="66">
        <v>347.75</v>
      </c>
      <c r="F396" s="66">
        <v>1.73875</v>
      </c>
      <c r="G396" s="65">
        <v>3.12975</v>
      </c>
      <c r="H396" s="67" t="s">
        <v>2529</v>
      </c>
      <c r="I396" s="65" t="s">
        <v>231</v>
      </c>
    </row>
    <row r="397" spans="1:9" x14ac:dyDescent="0.25">
      <c r="A397" s="57"/>
      <c r="B397" s="58" t="s">
        <v>417</v>
      </c>
      <c r="C397" s="59" t="s">
        <v>2530</v>
      </c>
      <c r="D397" s="60">
        <v>6.9000000000014552</v>
      </c>
      <c r="E397" s="61">
        <v>347.75</v>
      </c>
      <c r="F397" s="61">
        <v>1.73875</v>
      </c>
      <c r="G397" s="60">
        <v>3.12975</v>
      </c>
      <c r="H397" s="62" t="s">
        <v>2531</v>
      </c>
      <c r="I397" s="60" t="s">
        <v>231</v>
      </c>
    </row>
    <row r="398" spans="1:9" x14ac:dyDescent="0.25">
      <c r="A398" s="57"/>
      <c r="B398" s="63" t="s">
        <v>413</v>
      </c>
      <c r="C398" s="64" t="s">
        <v>2532</v>
      </c>
      <c r="D398" s="65">
        <v>6.9000000000014552</v>
      </c>
      <c r="E398" s="66">
        <v>347.75</v>
      </c>
      <c r="F398" s="66">
        <v>1.73875</v>
      </c>
      <c r="G398" s="65">
        <v>3.12975</v>
      </c>
      <c r="H398" s="67" t="s">
        <v>2533</v>
      </c>
      <c r="I398" s="65" t="s">
        <v>231</v>
      </c>
    </row>
    <row r="399" spans="1:9" x14ac:dyDescent="0.25">
      <c r="A399" s="57"/>
      <c r="B399" s="58" t="s">
        <v>421</v>
      </c>
      <c r="C399" s="59" t="s">
        <v>2534</v>
      </c>
      <c r="D399" s="60">
        <v>8.8000000000029104</v>
      </c>
      <c r="E399" s="61">
        <v>394.91000000014901</v>
      </c>
      <c r="F399" s="61">
        <v>1.974550000000745</v>
      </c>
      <c r="G399" s="60">
        <v>3.5541900000013413</v>
      </c>
      <c r="H399" s="62" t="s">
        <v>2535</v>
      </c>
      <c r="I399" s="60" t="s">
        <v>231</v>
      </c>
    </row>
    <row r="400" spans="1:9" x14ac:dyDescent="0.25">
      <c r="A400" s="57"/>
      <c r="B400" s="63" t="s">
        <v>420</v>
      </c>
      <c r="C400" s="64" t="s">
        <v>2536</v>
      </c>
      <c r="D400" s="65">
        <v>8.8000000000029104</v>
      </c>
      <c r="E400" s="66">
        <v>394.91000000014901</v>
      </c>
      <c r="F400" s="66">
        <v>1.974550000000745</v>
      </c>
      <c r="G400" s="65">
        <v>3.5541900000013413</v>
      </c>
      <c r="H400" s="67" t="s">
        <v>2537</v>
      </c>
      <c r="I400" s="65" t="s">
        <v>231</v>
      </c>
    </row>
    <row r="401" spans="1:9" x14ac:dyDescent="0.25">
      <c r="A401" s="57"/>
      <c r="B401" s="58" t="s">
        <v>419</v>
      </c>
      <c r="C401" s="59" t="s">
        <v>2538</v>
      </c>
      <c r="D401" s="60">
        <v>8.8000000000029104</v>
      </c>
      <c r="E401" s="61">
        <v>394.91000000014901</v>
      </c>
      <c r="F401" s="61">
        <v>1.974550000000745</v>
      </c>
      <c r="G401" s="60">
        <v>3.5541900000013413</v>
      </c>
      <c r="H401" s="62" t="s">
        <v>2539</v>
      </c>
      <c r="I401" s="60" t="s">
        <v>231</v>
      </c>
    </row>
    <row r="402" spans="1:9" x14ac:dyDescent="0.25">
      <c r="A402" s="57"/>
      <c r="B402" s="63" t="s">
        <v>422</v>
      </c>
      <c r="C402" s="64" t="s">
        <v>2540</v>
      </c>
      <c r="D402" s="65">
        <v>8.8000000000029104</v>
      </c>
      <c r="E402" s="66">
        <v>394.91000000014901</v>
      </c>
      <c r="F402" s="66">
        <v>1.974550000000745</v>
      </c>
      <c r="G402" s="65">
        <v>3.5541900000013413</v>
      </c>
      <c r="H402" s="67" t="s">
        <v>2541</v>
      </c>
      <c r="I402" s="65" t="s">
        <v>231</v>
      </c>
    </row>
    <row r="403" spans="1:9" x14ac:dyDescent="0.25">
      <c r="A403" s="57"/>
      <c r="B403" s="58" t="s">
        <v>418</v>
      </c>
      <c r="C403" s="59" t="s">
        <v>2542</v>
      </c>
      <c r="D403" s="60">
        <v>8.8000000000029104</v>
      </c>
      <c r="E403" s="61">
        <v>394.91000000014901</v>
      </c>
      <c r="F403" s="61">
        <v>1.974550000000745</v>
      </c>
      <c r="G403" s="60">
        <v>3.5541900000013413</v>
      </c>
      <c r="H403" s="62" t="s">
        <v>2543</v>
      </c>
      <c r="I403" s="60" t="s">
        <v>231</v>
      </c>
    </row>
    <row r="404" spans="1:9" x14ac:dyDescent="0.25">
      <c r="A404" s="57"/>
      <c r="B404" s="63" t="s">
        <v>426</v>
      </c>
      <c r="C404" s="64" t="s">
        <v>2544</v>
      </c>
      <c r="D404" s="65">
        <v>11.100000000005821</v>
      </c>
      <c r="E404" s="66">
        <v>527.54000000003725</v>
      </c>
      <c r="F404" s="66">
        <v>2.6377000000001862</v>
      </c>
      <c r="G404" s="65">
        <v>4.747860000000335</v>
      </c>
      <c r="H404" s="67" t="s">
        <v>2545</v>
      </c>
      <c r="I404" s="65" t="s">
        <v>231</v>
      </c>
    </row>
    <row r="405" spans="1:9" x14ac:dyDescent="0.25">
      <c r="A405" s="57"/>
      <c r="B405" s="58" t="s">
        <v>425</v>
      </c>
      <c r="C405" s="59" t="s">
        <v>2546</v>
      </c>
      <c r="D405" s="60">
        <v>11.100000000005821</v>
      </c>
      <c r="E405" s="61">
        <v>527.54000000003725</v>
      </c>
      <c r="F405" s="61">
        <v>2.6377000000001862</v>
      </c>
      <c r="G405" s="60">
        <v>4.747860000000335</v>
      </c>
      <c r="H405" s="62" t="s">
        <v>2547</v>
      </c>
      <c r="I405" s="60" t="s">
        <v>231</v>
      </c>
    </row>
    <row r="406" spans="1:9" x14ac:dyDescent="0.25">
      <c r="A406" s="57"/>
      <c r="B406" s="63" t="s">
        <v>424</v>
      </c>
      <c r="C406" s="64" t="s">
        <v>2548</v>
      </c>
      <c r="D406" s="65">
        <v>11.100000000005821</v>
      </c>
      <c r="E406" s="66">
        <v>527.54000000003725</v>
      </c>
      <c r="F406" s="66">
        <v>2.6377000000001862</v>
      </c>
      <c r="G406" s="65">
        <v>4.747860000000335</v>
      </c>
      <c r="H406" s="67" t="s">
        <v>2549</v>
      </c>
      <c r="I406" s="65" t="s">
        <v>231</v>
      </c>
    </row>
    <row r="407" spans="1:9" x14ac:dyDescent="0.25">
      <c r="A407" s="57"/>
      <c r="B407" s="58" t="s">
        <v>427</v>
      </c>
      <c r="C407" s="59" t="s">
        <v>2550</v>
      </c>
      <c r="D407" s="60">
        <v>11.100000000005821</v>
      </c>
      <c r="E407" s="61">
        <v>527.54000000003725</v>
      </c>
      <c r="F407" s="61">
        <v>2.6377000000001862</v>
      </c>
      <c r="G407" s="60">
        <v>4.747860000000335</v>
      </c>
      <c r="H407" s="62" t="s">
        <v>2551</v>
      </c>
      <c r="I407" s="60" t="s">
        <v>231</v>
      </c>
    </row>
    <row r="408" spans="1:9" x14ac:dyDescent="0.25">
      <c r="A408" s="57"/>
      <c r="B408" s="63" t="s">
        <v>423</v>
      </c>
      <c r="C408" s="64" t="s">
        <v>2552</v>
      </c>
      <c r="D408" s="65">
        <v>11.100000000005821</v>
      </c>
      <c r="E408" s="66">
        <v>527.54000000003725</v>
      </c>
      <c r="F408" s="66">
        <v>2.6377000000001862</v>
      </c>
      <c r="G408" s="65">
        <v>4.747860000000335</v>
      </c>
      <c r="H408" s="67" t="s">
        <v>2553</v>
      </c>
      <c r="I408" s="65" t="s">
        <v>231</v>
      </c>
    </row>
    <row r="409" spans="1:9" x14ac:dyDescent="0.25">
      <c r="A409" s="57"/>
      <c r="B409" s="58" t="s">
        <v>431</v>
      </c>
      <c r="C409" s="59" t="s">
        <v>2554</v>
      </c>
      <c r="D409" s="60">
        <v>14</v>
      </c>
      <c r="E409" s="61">
        <v>660.16000000014901</v>
      </c>
      <c r="F409" s="61">
        <v>3.3008000000007449</v>
      </c>
      <c r="G409" s="60">
        <v>5.9414400000013412</v>
      </c>
      <c r="H409" s="62" t="s">
        <v>2555</v>
      </c>
      <c r="I409" s="60" t="s">
        <v>231</v>
      </c>
    </row>
    <row r="410" spans="1:9" x14ac:dyDescent="0.25">
      <c r="A410" s="57"/>
      <c r="B410" s="63" t="s">
        <v>430</v>
      </c>
      <c r="C410" s="64" t="s">
        <v>2556</v>
      </c>
      <c r="D410" s="65">
        <v>14</v>
      </c>
      <c r="E410" s="66">
        <v>660.16000000014901</v>
      </c>
      <c r="F410" s="66">
        <v>3.3008000000007449</v>
      </c>
      <c r="G410" s="65">
        <v>5.9414400000013412</v>
      </c>
      <c r="H410" s="67" t="s">
        <v>2557</v>
      </c>
      <c r="I410" s="65" t="s">
        <v>231</v>
      </c>
    </row>
    <row r="411" spans="1:9" x14ac:dyDescent="0.25">
      <c r="A411" s="57"/>
      <c r="B411" s="58" t="s">
        <v>429</v>
      </c>
      <c r="C411" s="59" t="s">
        <v>2558</v>
      </c>
      <c r="D411" s="60">
        <v>14</v>
      </c>
      <c r="E411" s="61">
        <v>660.16000000014901</v>
      </c>
      <c r="F411" s="61">
        <v>3.3008000000007449</v>
      </c>
      <c r="G411" s="60">
        <v>5.9414400000013412</v>
      </c>
      <c r="H411" s="62" t="s">
        <v>2559</v>
      </c>
      <c r="I411" s="60" t="s">
        <v>231</v>
      </c>
    </row>
    <row r="412" spans="1:9" x14ac:dyDescent="0.25">
      <c r="A412" s="57"/>
      <c r="B412" s="63" t="s">
        <v>432</v>
      </c>
      <c r="C412" s="64" t="s">
        <v>2560</v>
      </c>
      <c r="D412" s="65">
        <v>14</v>
      </c>
      <c r="E412" s="66">
        <v>660.16000000014901</v>
      </c>
      <c r="F412" s="66">
        <v>3.3008000000007449</v>
      </c>
      <c r="G412" s="65">
        <v>5.9414400000013412</v>
      </c>
      <c r="H412" s="67" t="s">
        <v>2561</v>
      </c>
      <c r="I412" s="65" t="s">
        <v>231</v>
      </c>
    </row>
    <row r="413" spans="1:9" x14ac:dyDescent="0.25">
      <c r="A413" s="57"/>
      <c r="B413" s="58" t="s">
        <v>428</v>
      </c>
      <c r="C413" s="59" t="s">
        <v>2562</v>
      </c>
      <c r="D413" s="60">
        <v>14</v>
      </c>
      <c r="E413" s="61">
        <v>660.16000000014901</v>
      </c>
      <c r="F413" s="61">
        <v>3.3008000000007449</v>
      </c>
      <c r="G413" s="60">
        <v>5.9414400000013412</v>
      </c>
      <c r="H413" s="62" t="s">
        <v>2563</v>
      </c>
      <c r="I413" s="60" t="s">
        <v>231</v>
      </c>
    </row>
    <row r="414" spans="1:9" x14ac:dyDescent="0.25">
      <c r="A414" s="57"/>
      <c r="B414" s="63" t="s">
        <v>436</v>
      </c>
      <c r="C414" s="64" t="s">
        <v>2564</v>
      </c>
      <c r="D414" s="65">
        <v>15.80000000000291</v>
      </c>
      <c r="E414" s="66">
        <v>857.59999999962747</v>
      </c>
      <c r="F414" s="66">
        <v>4.2879999999981377</v>
      </c>
      <c r="G414" s="65">
        <v>7.7183999999966479</v>
      </c>
      <c r="H414" s="67" t="s">
        <v>2565</v>
      </c>
      <c r="I414" s="65" t="s">
        <v>231</v>
      </c>
    </row>
    <row r="415" spans="1:9" x14ac:dyDescent="0.25">
      <c r="A415" s="57"/>
      <c r="B415" s="58" t="s">
        <v>435</v>
      </c>
      <c r="C415" s="59" t="s">
        <v>2566</v>
      </c>
      <c r="D415" s="60">
        <v>15.80000000000291</v>
      </c>
      <c r="E415" s="61">
        <v>857.59999999962747</v>
      </c>
      <c r="F415" s="61">
        <v>4.2879999999981377</v>
      </c>
      <c r="G415" s="60">
        <v>7.7183999999966479</v>
      </c>
      <c r="H415" s="62" t="s">
        <v>2567</v>
      </c>
      <c r="I415" s="60" t="s">
        <v>231</v>
      </c>
    </row>
    <row r="416" spans="1:9" x14ac:dyDescent="0.25">
      <c r="A416" s="57"/>
      <c r="B416" s="63" t="s">
        <v>434</v>
      </c>
      <c r="C416" s="64" t="s">
        <v>2568</v>
      </c>
      <c r="D416" s="65">
        <v>15.80000000000291</v>
      </c>
      <c r="E416" s="66">
        <v>857.59999999962747</v>
      </c>
      <c r="F416" s="66">
        <v>4.2879999999981377</v>
      </c>
      <c r="G416" s="65">
        <v>7.7183999999966479</v>
      </c>
      <c r="H416" s="67" t="s">
        <v>2569</v>
      </c>
      <c r="I416" s="65" t="s">
        <v>231</v>
      </c>
    </row>
    <row r="417" spans="1:9" x14ac:dyDescent="0.25">
      <c r="A417" s="57"/>
      <c r="B417" s="58" t="s">
        <v>437</v>
      </c>
      <c r="C417" s="59" t="s">
        <v>2570</v>
      </c>
      <c r="D417" s="60">
        <v>15.80000000000291</v>
      </c>
      <c r="E417" s="61">
        <v>857.59999999962747</v>
      </c>
      <c r="F417" s="61">
        <v>4.2879999999981377</v>
      </c>
      <c r="G417" s="60">
        <v>7.7183999999966479</v>
      </c>
      <c r="H417" s="62" t="s">
        <v>2571</v>
      </c>
      <c r="I417" s="60" t="s">
        <v>231</v>
      </c>
    </row>
    <row r="418" spans="1:9" x14ac:dyDescent="0.25">
      <c r="A418" s="57"/>
      <c r="B418" s="63" t="s">
        <v>433</v>
      </c>
      <c r="C418" s="64" t="s">
        <v>2572</v>
      </c>
      <c r="D418" s="65">
        <v>15.80000000000291</v>
      </c>
      <c r="E418" s="66">
        <v>857.59999999962747</v>
      </c>
      <c r="F418" s="66">
        <v>4.2879999999981377</v>
      </c>
      <c r="G418" s="65">
        <v>7.7183999999966479</v>
      </c>
      <c r="H418" s="67" t="s">
        <v>2573</v>
      </c>
      <c r="I418" s="65" t="s">
        <v>231</v>
      </c>
    </row>
    <row r="419" spans="1:9" x14ac:dyDescent="0.25">
      <c r="A419" s="57"/>
      <c r="B419" s="58" t="s">
        <v>262</v>
      </c>
      <c r="C419" s="59" t="s">
        <v>2574</v>
      </c>
      <c r="D419" s="60">
        <v>0</v>
      </c>
      <c r="E419" s="61">
        <v>73.790000000037253</v>
      </c>
      <c r="F419" s="61">
        <v>0.73790000000037248</v>
      </c>
      <c r="G419" s="60">
        <v>1.3282200000006705</v>
      </c>
      <c r="H419" s="62" t="s">
        <v>2575</v>
      </c>
      <c r="I419" s="60" t="s">
        <v>2576</v>
      </c>
    </row>
    <row r="420" spans="1:9" x14ac:dyDescent="0.25">
      <c r="A420" s="57"/>
      <c r="B420" s="63" t="s">
        <v>268</v>
      </c>
      <c r="C420" s="64" t="s">
        <v>2577</v>
      </c>
      <c r="D420" s="65">
        <v>0</v>
      </c>
      <c r="E420" s="66">
        <v>147.54000000003725</v>
      </c>
      <c r="F420" s="66">
        <v>0.73770000000018632</v>
      </c>
      <c r="G420" s="65">
        <v>1.3278600000003353</v>
      </c>
      <c r="H420" s="67" t="s">
        <v>2578</v>
      </c>
      <c r="I420" s="65" t="s">
        <v>2576</v>
      </c>
    </row>
    <row r="421" spans="1:9" x14ac:dyDescent="0.25">
      <c r="A421" s="57"/>
      <c r="B421" s="58" t="s">
        <v>264</v>
      </c>
      <c r="C421" s="59" t="s">
        <v>2579</v>
      </c>
      <c r="D421" s="60">
        <v>0</v>
      </c>
      <c r="E421" s="61">
        <v>73.790000000037253</v>
      </c>
      <c r="F421" s="61">
        <v>0.73790000000037248</v>
      </c>
      <c r="G421" s="60">
        <v>1.3282200000006705</v>
      </c>
      <c r="H421" s="62" t="s">
        <v>2580</v>
      </c>
      <c r="I421" s="60" t="s">
        <v>2576</v>
      </c>
    </row>
    <row r="422" spans="1:9" x14ac:dyDescent="0.25">
      <c r="A422" s="57"/>
      <c r="B422" s="63" t="s">
        <v>270</v>
      </c>
      <c r="C422" s="64" t="s">
        <v>2581</v>
      </c>
      <c r="D422" s="65">
        <v>3</v>
      </c>
      <c r="E422" s="66">
        <v>147.54000000003725</v>
      </c>
      <c r="F422" s="66">
        <v>0.73770000000018632</v>
      </c>
      <c r="G422" s="65">
        <v>1.3278600000003353</v>
      </c>
      <c r="H422" s="67" t="s">
        <v>2582</v>
      </c>
      <c r="I422" s="65" t="s">
        <v>2576</v>
      </c>
    </row>
    <row r="423" spans="1:9" x14ac:dyDescent="0.25">
      <c r="A423" s="57"/>
      <c r="B423" s="58" t="s">
        <v>263</v>
      </c>
      <c r="C423" s="59" t="s">
        <v>2583</v>
      </c>
      <c r="D423" s="60">
        <v>0</v>
      </c>
      <c r="E423" s="61">
        <v>73.790000000037253</v>
      </c>
      <c r="F423" s="61">
        <v>0.73790000000037248</v>
      </c>
      <c r="G423" s="60">
        <v>1.3282200000006705</v>
      </c>
      <c r="H423" s="62" t="s">
        <v>2584</v>
      </c>
      <c r="I423" s="60" t="s">
        <v>2576</v>
      </c>
    </row>
    <row r="424" spans="1:9" x14ac:dyDescent="0.25">
      <c r="A424" s="57"/>
      <c r="B424" s="63" t="s">
        <v>269</v>
      </c>
      <c r="C424" s="64" t="s">
        <v>2585</v>
      </c>
      <c r="D424" s="65">
        <v>3</v>
      </c>
      <c r="E424" s="66">
        <v>147.54000000003725</v>
      </c>
      <c r="F424" s="66">
        <v>0.73770000000018632</v>
      </c>
      <c r="G424" s="65">
        <v>1.3278600000003353</v>
      </c>
      <c r="H424" s="67" t="s">
        <v>2586</v>
      </c>
      <c r="I424" s="65" t="s">
        <v>2576</v>
      </c>
    </row>
    <row r="425" spans="1:9" x14ac:dyDescent="0.25">
      <c r="A425" s="57"/>
      <c r="B425" s="58" t="s">
        <v>261</v>
      </c>
      <c r="C425" s="59" t="s">
        <v>2587</v>
      </c>
      <c r="D425" s="60">
        <v>0</v>
      </c>
      <c r="E425" s="61">
        <v>73.790000000037253</v>
      </c>
      <c r="F425" s="61">
        <v>0.73790000000037248</v>
      </c>
      <c r="G425" s="60">
        <v>1.3282200000006705</v>
      </c>
      <c r="H425" s="62" t="s">
        <v>2588</v>
      </c>
      <c r="I425" s="60" t="s">
        <v>2576</v>
      </c>
    </row>
    <row r="426" spans="1:9" x14ac:dyDescent="0.25">
      <c r="A426" s="57"/>
      <c r="B426" s="63" t="s">
        <v>267</v>
      </c>
      <c r="C426" s="64" t="s">
        <v>2589</v>
      </c>
      <c r="D426" s="65">
        <v>3</v>
      </c>
      <c r="E426" s="66">
        <v>147.54000000003725</v>
      </c>
      <c r="F426" s="66">
        <v>0.73770000000018632</v>
      </c>
      <c r="G426" s="65">
        <v>1.3278600000003353</v>
      </c>
      <c r="H426" s="67" t="s">
        <v>2590</v>
      </c>
      <c r="I426" s="65" t="s">
        <v>2576</v>
      </c>
    </row>
    <row r="427" spans="1:9" x14ac:dyDescent="0.25">
      <c r="A427" s="57"/>
      <c r="B427" s="58" t="s">
        <v>265</v>
      </c>
      <c r="C427" s="59" t="s">
        <v>2591</v>
      </c>
      <c r="D427" s="60">
        <v>2.5</v>
      </c>
      <c r="E427" s="61">
        <v>73.790000000037253</v>
      </c>
      <c r="F427" s="61">
        <v>0.73790000000037248</v>
      </c>
      <c r="G427" s="60">
        <v>1.3282200000006705</v>
      </c>
      <c r="H427" s="62" t="s">
        <v>2592</v>
      </c>
      <c r="I427" s="60" t="s">
        <v>2576</v>
      </c>
    </row>
    <row r="428" spans="1:9" x14ac:dyDescent="0.25">
      <c r="A428" s="57"/>
      <c r="B428" s="63" t="s">
        <v>271</v>
      </c>
      <c r="C428" s="64" t="s">
        <v>2593</v>
      </c>
      <c r="D428" s="65">
        <v>3</v>
      </c>
      <c r="E428" s="66">
        <v>147.54000000003725</v>
      </c>
      <c r="F428" s="66">
        <v>0.73770000000018632</v>
      </c>
      <c r="G428" s="65">
        <v>1.3278600000003353</v>
      </c>
      <c r="H428" s="67" t="s">
        <v>2594</v>
      </c>
      <c r="I428" s="65" t="s">
        <v>2576</v>
      </c>
    </row>
    <row r="429" spans="1:9" x14ac:dyDescent="0.25">
      <c r="A429" s="57"/>
      <c r="B429" s="58" t="s">
        <v>260</v>
      </c>
      <c r="C429" s="59" t="s">
        <v>2595</v>
      </c>
      <c r="D429" s="60">
        <v>1.5</v>
      </c>
      <c r="E429" s="61">
        <v>73.790000000037253</v>
      </c>
      <c r="F429" s="61">
        <v>0.73790000000037248</v>
      </c>
      <c r="G429" s="60">
        <v>1.3282200000006705</v>
      </c>
      <c r="H429" s="62" t="s">
        <v>2596</v>
      </c>
      <c r="I429" s="60" t="s">
        <v>2576</v>
      </c>
    </row>
    <row r="430" spans="1:9" x14ac:dyDescent="0.25">
      <c r="A430" s="57"/>
      <c r="B430" s="63" t="s">
        <v>266</v>
      </c>
      <c r="C430" s="64" t="s">
        <v>2597</v>
      </c>
      <c r="D430" s="65">
        <v>3</v>
      </c>
      <c r="E430" s="66">
        <v>147.54000000003725</v>
      </c>
      <c r="F430" s="66">
        <v>0.73770000000018632</v>
      </c>
      <c r="G430" s="65">
        <v>1.3278600000003353</v>
      </c>
      <c r="H430" s="67" t="s">
        <v>2598</v>
      </c>
      <c r="I430" s="65" t="s">
        <v>2576</v>
      </c>
    </row>
    <row r="431" spans="1:9" x14ac:dyDescent="0.25">
      <c r="A431" s="57"/>
      <c r="B431" s="58" t="s">
        <v>274</v>
      </c>
      <c r="C431" s="59" t="s">
        <v>2599</v>
      </c>
      <c r="D431" s="60">
        <v>2</v>
      </c>
      <c r="E431" s="61">
        <v>103.53000000002794</v>
      </c>
      <c r="F431" s="61">
        <v>1.0353000000002794</v>
      </c>
      <c r="G431" s="60">
        <v>1.8635400000005029</v>
      </c>
      <c r="H431" s="62" t="s">
        <v>2600</v>
      </c>
      <c r="I431" s="60" t="s">
        <v>2576</v>
      </c>
    </row>
    <row r="432" spans="1:9" x14ac:dyDescent="0.25">
      <c r="A432" s="57"/>
      <c r="B432" s="63" t="s">
        <v>280</v>
      </c>
      <c r="C432" s="64" t="s">
        <v>2601</v>
      </c>
      <c r="D432" s="65">
        <v>3</v>
      </c>
      <c r="E432" s="66">
        <v>207.01000000000931</v>
      </c>
      <c r="F432" s="66">
        <v>1.0350500000000467</v>
      </c>
      <c r="G432" s="65">
        <v>1.8630900000000838</v>
      </c>
      <c r="H432" s="67" t="s">
        <v>2602</v>
      </c>
      <c r="I432" s="65" t="s">
        <v>2576</v>
      </c>
    </row>
    <row r="433" spans="1:9" x14ac:dyDescent="0.25">
      <c r="A433" s="57"/>
      <c r="B433" s="58" t="s">
        <v>276</v>
      </c>
      <c r="C433" s="59" t="s">
        <v>2603</v>
      </c>
      <c r="D433" s="60">
        <v>2</v>
      </c>
      <c r="E433" s="61">
        <v>103.53000000002794</v>
      </c>
      <c r="F433" s="61">
        <v>1.0353000000002794</v>
      </c>
      <c r="G433" s="60">
        <v>1.8635400000005029</v>
      </c>
      <c r="H433" s="62" t="s">
        <v>2604</v>
      </c>
      <c r="I433" s="60" t="s">
        <v>2576</v>
      </c>
    </row>
    <row r="434" spans="1:9" x14ac:dyDescent="0.25">
      <c r="A434" s="57"/>
      <c r="B434" s="63" t="s">
        <v>282</v>
      </c>
      <c r="C434" s="64" t="s">
        <v>2605</v>
      </c>
      <c r="D434" s="65">
        <v>0</v>
      </c>
      <c r="E434" s="66">
        <v>207.01000000000931</v>
      </c>
      <c r="F434" s="66">
        <v>1.0350500000000467</v>
      </c>
      <c r="G434" s="65">
        <v>1.8630900000000838</v>
      </c>
      <c r="H434" s="67" t="s">
        <v>2606</v>
      </c>
      <c r="I434" s="65" t="s">
        <v>2576</v>
      </c>
    </row>
    <row r="435" spans="1:9" x14ac:dyDescent="0.25">
      <c r="A435" s="57"/>
      <c r="B435" s="58" t="s">
        <v>275</v>
      </c>
      <c r="C435" s="59" t="s">
        <v>2607</v>
      </c>
      <c r="D435" s="60">
        <v>0</v>
      </c>
      <c r="E435" s="61">
        <v>103.53000000002794</v>
      </c>
      <c r="F435" s="61">
        <v>1.0353000000002794</v>
      </c>
      <c r="G435" s="60">
        <v>1.8635400000005029</v>
      </c>
      <c r="H435" s="62" t="s">
        <v>2608</v>
      </c>
      <c r="I435" s="60" t="s">
        <v>2576</v>
      </c>
    </row>
    <row r="436" spans="1:9" x14ac:dyDescent="0.25">
      <c r="A436" s="57"/>
      <c r="B436" s="63" t="s">
        <v>281</v>
      </c>
      <c r="C436" s="64" t="s">
        <v>2609</v>
      </c>
      <c r="D436" s="65">
        <v>0</v>
      </c>
      <c r="E436" s="66">
        <v>207.01000000000931</v>
      </c>
      <c r="F436" s="66">
        <v>1.0350500000000467</v>
      </c>
      <c r="G436" s="65">
        <v>1.8630900000000838</v>
      </c>
      <c r="H436" s="67" t="s">
        <v>2610</v>
      </c>
      <c r="I436" s="65" t="s">
        <v>2576</v>
      </c>
    </row>
    <row r="437" spans="1:9" x14ac:dyDescent="0.25">
      <c r="A437" s="57"/>
      <c r="B437" s="58" t="s">
        <v>273</v>
      </c>
      <c r="C437" s="59" t="s">
        <v>2611</v>
      </c>
      <c r="D437" s="60">
        <v>2</v>
      </c>
      <c r="E437" s="61">
        <v>103.53000000002794</v>
      </c>
      <c r="F437" s="61">
        <v>1.0353000000002794</v>
      </c>
      <c r="G437" s="60">
        <v>1.8635400000005029</v>
      </c>
      <c r="H437" s="62" t="s">
        <v>2612</v>
      </c>
      <c r="I437" s="60" t="s">
        <v>2576</v>
      </c>
    </row>
    <row r="438" spans="1:9" x14ac:dyDescent="0.25">
      <c r="A438" s="57"/>
      <c r="B438" s="63" t="s">
        <v>279</v>
      </c>
      <c r="C438" s="64" t="s">
        <v>2613</v>
      </c>
      <c r="D438" s="65">
        <v>3</v>
      </c>
      <c r="E438" s="66">
        <v>207.01000000000931</v>
      </c>
      <c r="F438" s="66">
        <v>1.0350500000000467</v>
      </c>
      <c r="G438" s="65">
        <v>1.8630900000000838</v>
      </c>
      <c r="H438" s="67" t="s">
        <v>2614</v>
      </c>
      <c r="I438" s="65" t="s">
        <v>2576</v>
      </c>
    </row>
    <row r="439" spans="1:9" x14ac:dyDescent="0.25">
      <c r="A439" s="57"/>
      <c r="B439" s="58" t="s">
        <v>277</v>
      </c>
      <c r="C439" s="59" t="s">
        <v>2615</v>
      </c>
      <c r="D439" s="60">
        <v>4.8000000000029104</v>
      </c>
      <c r="E439" s="61">
        <v>103.53000000002794</v>
      </c>
      <c r="F439" s="61">
        <v>1.0353000000002794</v>
      </c>
      <c r="G439" s="60">
        <v>1.8635400000005029</v>
      </c>
      <c r="H439" s="62" t="s">
        <v>2616</v>
      </c>
      <c r="I439" s="60" t="s">
        <v>2576</v>
      </c>
    </row>
    <row r="440" spans="1:9" x14ac:dyDescent="0.25">
      <c r="A440" s="57"/>
      <c r="B440" s="63" t="s">
        <v>283</v>
      </c>
      <c r="C440" s="64" t="s">
        <v>2617</v>
      </c>
      <c r="D440" s="65">
        <v>0</v>
      </c>
      <c r="E440" s="66">
        <v>207.04000000003725</v>
      </c>
      <c r="F440" s="66">
        <v>1.0352000000001862</v>
      </c>
      <c r="G440" s="65">
        <v>1.8633600000003352</v>
      </c>
      <c r="H440" s="67" t="s">
        <v>2618</v>
      </c>
      <c r="I440" s="65" t="s">
        <v>2576</v>
      </c>
    </row>
    <row r="441" spans="1:9" x14ac:dyDescent="0.25">
      <c r="A441" s="57"/>
      <c r="B441" s="58" t="s">
        <v>272</v>
      </c>
      <c r="C441" s="59" t="s">
        <v>2619</v>
      </c>
      <c r="D441" s="60">
        <v>0</v>
      </c>
      <c r="E441" s="61">
        <v>103.53000000002794</v>
      </c>
      <c r="F441" s="61">
        <v>1.0353000000002794</v>
      </c>
      <c r="G441" s="60">
        <v>1.8635400000005029</v>
      </c>
      <c r="H441" s="62" t="s">
        <v>2620</v>
      </c>
      <c r="I441" s="60" t="s">
        <v>2576</v>
      </c>
    </row>
    <row r="442" spans="1:9" x14ac:dyDescent="0.25">
      <c r="A442" s="57"/>
      <c r="B442" s="63" t="s">
        <v>278</v>
      </c>
      <c r="C442" s="64" t="s">
        <v>2621</v>
      </c>
      <c r="D442" s="65">
        <v>0</v>
      </c>
      <c r="E442" s="66">
        <v>207.01000000000931</v>
      </c>
      <c r="F442" s="66">
        <v>1.0350500000000467</v>
      </c>
      <c r="G442" s="65">
        <v>1.8630900000000838</v>
      </c>
      <c r="H442" s="67" t="s">
        <v>2622</v>
      </c>
      <c r="I442" s="65" t="s">
        <v>2576</v>
      </c>
    </row>
    <row r="443" spans="1:9" x14ac:dyDescent="0.25">
      <c r="A443" s="57"/>
      <c r="B443" s="58" t="s">
        <v>286</v>
      </c>
      <c r="C443" s="59" t="s">
        <v>2623</v>
      </c>
      <c r="D443" s="60">
        <v>2.5</v>
      </c>
      <c r="E443" s="61">
        <v>158.91999999992549</v>
      </c>
      <c r="F443" s="61">
        <v>1.589199999999255</v>
      </c>
      <c r="G443" s="60">
        <v>2.8605599999986588</v>
      </c>
      <c r="H443" s="62" t="s">
        <v>2624</v>
      </c>
      <c r="I443" s="60" t="s">
        <v>2576</v>
      </c>
    </row>
    <row r="444" spans="1:9" x14ac:dyDescent="0.25">
      <c r="A444" s="57"/>
      <c r="B444" s="63" t="s">
        <v>292</v>
      </c>
      <c r="C444" s="64" t="s">
        <v>2625</v>
      </c>
      <c r="D444" s="65">
        <v>5</v>
      </c>
      <c r="E444" s="66">
        <v>317.83000000007451</v>
      </c>
      <c r="F444" s="66">
        <v>1.5891500000003724</v>
      </c>
      <c r="G444" s="65">
        <v>2.8604700000006704</v>
      </c>
      <c r="H444" s="67" t="s">
        <v>2626</v>
      </c>
      <c r="I444" s="65" t="s">
        <v>2576</v>
      </c>
    </row>
    <row r="445" spans="1:9" x14ac:dyDescent="0.25">
      <c r="A445" s="57"/>
      <c r="B445" s="58" t="s">
        <v>288</v>
      </c>
      <c r="C445" s="59" t="s">
        <v>2627</v>
      </c>
      <c r="D445" s="60">
        <v>0</v>
      </c>
      <c r="E445" s="61">
        <v>158.94999999995343</v>
      </c>
      <c r="F445" s="61">
        <v>1.5894999999995343</v>
      </c>
      <c r="G445" s="60">
        <v>2.8610999999991615</v>
      </c>
      <c r="H445" s="62" t="s">
        <v>2628</v>
      </c>
      <c r="I445" s="60" t="s">
        <v>2576</v>
      </c>
    </row>
    <row r="446" spans="1:9" x14ac:dyDescent="0.25">
      <c r="A446" s="57"/>
      <c r="B446" s="63" t="s">
        <v>294</v>
      </c>
      <c r="C446" s="64" t="s">
        <v>2629</v>
      </c>
      <c r="D446" s="65">
        <v>5</v>
      </c>
      <c r="E446" s="66">
        <v>317.83000000007451</v>
      </c>
      <c r="F446" s="66">
        <v>1.5891500000003724</v>
      </c>
      <c r="G446" s="65">
        <v>2.8604700000006704</v>
      </c>
      <c r="H446" s="67" t="s">
        <v>2630</v>
      </c>
      <c r="I446" s="65" t="s">
        <v>2576</v>
      </c>
    </row>
    <row r="447" spans="1:9" x14ac:dyDescent="0.25">
      <c r="A447" s="57"/>
      <c r="B447" s="58" t="s">
        <v>287</v>
      </c>
      <c r="C447" s="59" t="s">
        <v>2631</v>
      </c>
      <c r="D447" s="60">
        <v>0</v>
      </c>
      <c r="E447" s="61">
        <v>158.91999999992549</v>
      </c>
      <c r="F447" s="61">
        <v>1.589199999999255</v>
      </c>
      <c r="G447" s="60">
        <v>2.8605599999986588</v>
      </c>
      <c r="H447" s="62" t="s">
        <v>2632</v>
      </c>
      <c r="I447" s="60" t="s">
        <v>2576</v>
      </c>
    </row>
    <row r="448" spans="1:9" x14ac:dyDescent="0.25">
      <c r="A448" s="57"/>
      <c r="B448" s="63" t="s">
        <v>293</v>
      </c>
      <c r="C448" s="64" t="s">
        <v>2633</v>
      </c>
      <c r="D448" s="65">
        <v>5</v>
      </c>
      <c r="E448" s="66">
        <v>317.83000000007451</v>
      </c>
      <c r="F448" s="66">
        <v>1.5891500000003724</v>
      </c>
      <c r="G448" s="65">
        <v>2.8604700000006704</v>
      </c>
      <c r="H448" s="67" t="s">
        <v>2634</v>
      </c>
      <c r="I448" s="65" t="s">
        <v>2576</v>
      </c>
    </row>
    <row r="449" spans="1:9" x14ac:dyDescent="0.25">
      <c r="A449" s="57"/>
      <c r="B449" s="58" t="s">
        <v>285</v>
      </c>
      <c r="C449" s="59" t="s">
        <v>2635</v>
      </c>
      <c r="D449" s="60">
        <v>2.5</v>
      </c>
      <c r="E449" s="61">
        <v>158.91999999992549</v>
      </c>
      <c r="F449" s="61">
        <v>1.589199999999255</v>
      </c>
      <c r="G449" s="60">
        <v>2.8605599999986588</v>
      </c>
      <c r="H449" s="62" t="s">
        <v>2636</v>
      </c>
      <c r="I449" s="60" t="s">
        <v>2576</v>
      </c>
    </row>
    <row r="450" spans="1:9" x14ac:dyDescent="0.25">
      <c r="A450" s="57"/>
      <c r="B450" s="63" t="s">
        <v>291</v>
      </c>
      <c r="C450" s="64" t="s">
        <v>2637</v>
      </c>
      <c r="D450" s="65">
        <v>5</v>
      </c>
      <c r="E450" s="66">
        <v>317.83000000007451</v>
      </c>
      <c r="F450" s="66">
        <v>1.5891500000003724</v>
      </c>
      <c r="G450" s="65">
        <v>2.8604700000006704</v>
      </c>
      <c r="H450" s="67" t="s">
        <v>2638</v>
      </c>
      <c r="I450" s="65" t="s">
        <v>2576</v>
      </c>
    </row>
    <row r="451" spans="1:9" x14ac:dyDescent="0.25">
      <c r="A451" s="57"/>
      <c r="B451" s="58" t="s">
        <v>295</v>
      </c>
      <c r="C451" s="59" t="s">
        <v>2639</v>
      </c>
      <c r="D451" s="60">
        <v>0</v>
      </c>
      <c r="E451" s="61">
        <v>317.81999999983236</v>
      </c>
      <c r="F451" s="61">
        <v>1.5890999999991617</v>
      </c>
      <c r="G451" s="60">
        <v>2.8603799999984916</v>
      </c>
      <c r="H451" s="62" t="s">
        <v>2640</v>
      </c>
      <c r="I451" s="60" t="s">
        <v>2576</v>
      </c>
    </row>
    <row r="452" spans="1:9" x14ac:dyDescent="0.25">
      <c r="A452" s="57"/>
      <c r="B452" s="63" t="s">
        <v>289</v>
      </c>
      <c r="C452" s="64" t="s">
        <v>2641</v>
      </c>
      <c r="D452" s="65">
        <v>0</v>
      </c>
      <c r="E452" s="66">
        <v>158.91999999992549</v>
      </c>
      <c r="F452" s="66">
        <v>1.589199999999255</v>
      </c>
      <c r="G452" s="65">
        <v>2.8605599999986588</v>
      </c>
      <c r="H452" s="67" t="s">
        <v>2642</v>
      </c>
      <c r="I452" s="65" t="s">
        <v>2576</v>
      </c>
    </row>
    <row r="453" spans="1:9" x14ac:dyDescent="0.25">
      <c r="A453" s="57"/>
      <c r="B453" s="58" t="s">
        <v>284</v>
      </c>
      <c r="C453" s="59" t="s">
        <v>2643</v>
      </c>
      <c r="D453" s="60">
        <v>2.5</v>
      </c>
      <c r="E453" s="61">
        <v>158.91999999992549</v>
      </c>
      <c r="F453" s="61">
        <v>1.589199999999255</v>
      </c>
      <c r="G453" s="60">
        <v>2.8605599999986588</v>
      </c>
      <c r="H453" s="62" t="s">
        <v>2644</v>
      </c>
      <c r="I453" s="60" t="s">
        <v>2576</v>
      </c>
    </row>
    <row r="454" spans="1:9" x14ac:dyDescent="0.25">
      <c r="A454" s="57"/>
      <c r="B454" s="63" t="s">
        <v>290</v>
      </c>
      <c r="C454" s="64" t="s">
        <v>2645</v>
      </c>
      <c r="D454" s="65">
        <v>0</v>
      </c>
      <c r="E454" s="66">
        <v>317.83000000007451</v>
      </c>
      <c r="F454" s="66">
        <v>1.5891500000003724</v>
      </c>
      <c r="G454" s="65">
        <v>2.8604700000006704</v>
      </c>
      <c r="H454" s="67" t="s">
        <v>2646</v>
      </c>
      <c r="I454" s="65" t="s">
        <v>2576</v>
      </c>
    </row>
    <row r="455" spans="1:9" x14ac:dyDescent="0.25">
      <c r="A455" s="57"/>
      <c r="B455" s="58" t="s">
        <v>298</v>
      </c>
      <c r="C455" s="59" t="s">
        <v>2647</v>
      </c>
      <c r="D455" s="60">
        <v>2.5</v>
      </c>
      <c r="E455" s="61">
        <v>224.02000000001863</v>
      </c>
      <c r="F455" s="61">
        <v>2.2402000000001863</v>
      </c>
      <c r="G455" s="60">
        <v>4.0323600000003355</v>
      </c>
      <c r="H455" s="62" t="s">
        <v>2648</v>
      </c>
      <c r="I455" s="60" t="s">
        <v>2576</v>
      </c>
    </row>
    <row r="456" spans="1:9" x14ac:dyDescent="0.25">
      <c r="A456" s="57"/>
      <c r="B456" s="63" t="s">
        <v>304</v>
      </c>
      <c r="C456" s="64" t="s">
        <v>2649</v>
      </c>
      <c r="D456" s="65">
        <v>5</v>
      </c>
      <c r="E456" s="66">
        <v>448.04000000003725</v>
      </c>
      <c r="F456" s="66">
        <v>2.2402000000001863</v>
      </c>
      <c r="G456" s="65">
        <v>4.0323600000003355</v>
      </c>
      <c r="H456" s="67" t="s">
        <v>2650</v>
      </c>
      <c r="I456" s="65" t="s">
        <v>2576</v>
      </c>
    </row>
    <row r="457" spans="1:9" x14ac:dyDescent="0.25">
      <c r="A457" s="57"/>
      <c r="B457" s="58" t="s">
        <v>300</v>
      </c>
      <c r="C457" s="59" t="s">
        <v>2651</v>
      </c>
      <c r="D457" s="60">
        <v>0</v>
      </c>
      <c r="E457" s="61">
        <v>224.02000000001863</v>
      </c>
      <c r="F457" s="61">
        <v>2.2402000000001863</v>
      </c>
      <c r="G457" s="60">
        <v>4.0323600000003355</v>
      </c>
      <c r="H457" s="62" t="s">
        <v>2652</v>
      </c>
      <c r="I457" s="60" t="s">
        <v>2576</v>
      </c>
    </row>
    <row r="458" spans="1:9" x14ac:dyDescent="0.25">
      <c r="A458" s="57"/>
      <c r="B458" s="63" t="s">
        <v>306</v>
      </c>
      <c r="C458" s="64" t="s">
        <v>2653</v>
      </c>
      <c r="D458" s="65">
        <v>0</v>
      </c>
      <c r="E458" s="66">
        <v>448.04000000003725</v>
      </c>
      <c r="F458" s="66">
        <v>2.2402000000001863</v>
      </c>
      <c r="G458" s="65">
        <v>4.0323600000003355</v>
      </c>
      <c r="H458" s="67" t="s">
        <v>2654</v>
      </c>
      <c r="I458" s="65" t="s">
        <v>2576</v>
      </c>
    </row>
    <row r="459" spans="1:9" x14ac:dyDescent="0.25">
      <c r="A459" s="57"/>
      <c r="B459" s="58" t="s">
        <v>299</v>
      </c>
      <c r="C459" s="59" t="s">
        <v>2655</v>
      </c>
      <c r="D459" s="60">
        <v>0</v>
      </c>
      <c r="E459" s="61">
        <v>224.02000000001863</v>
      </c>
      <c r="F459" s="61">
        <v>2.2402000000001863</v>
      </c>
      <c r="G459" s="60">
        <v>4.0323600000003355</v>
      </c>
      <c r="H459" s="62" t="s">
        <v>2656</v>
      </c>
      <c r="I459" s="60" t="s">
        <v>2576</v>
      </c>
    </row>
    <row r="460" spans="1:9" x14ac:dyDescent="0.25">
      <c r="A460" s="57"/>
      <c r="B460" s="63" t="s">
        <v>305</v>
      </c>
      <c r="C460" s="64" t="s">
        <v>2657</v>
      </c>
      <c r="D460" s="65">
        <v>5</v>
      </c>
      <c r="E460" s="66">
        <v>448.04000000003725</v>
      </c>
      <c r="F460" s="66">
        <v>2.2402000000001863</v>
      </c>
      <c r="G460" s="65">
        <v>4.0323600000003355</v>
      </c>
      <c r="H460" s="67" t="s">
        <v>2658</v>
      </c>
      <c r="I460" s="65" t="s">
        <v>2576</v>
      </c>
    </row>
    <row r="461" spans="1:9" x14ac:dyDescent="0.25">
      <c r="A461" s="57"/>
      <c r="B461" s="58" t="s">
        <v>297</v>
      </c>
      <c r="C461" s="59" t="s">
        <v>2659</v>
      </c>
      <c r="D461" s="60">
        <v>2.5</v>
      </c>
      <c r="E461" s="61">
        <v>224.02000000001863</v>
      </c>
      <c r="F461" s="61">
        <v>2.2402000000001863</v>
      </c>
      <c r="G461" s="60">
        <v>4.0323600000003355</v>
      </c>
      <c r="H461" s="62" t="s">
        <v>2660</v>
      </c>
      <c r="I461" s="60" t="s">
        <v>2576</v>
      </c>
    </row>
    <row r="462" spans="1:9" x14ac:dyDescent="0.25">
      <c r="A462" s="57"/>
      <c r="B462" s="63" t="s">
        <v>303</v>
      </c>
      <c r="C462" s="64" t="s">
        <v>2661</v>
      </c>
      <c r="D462" s="65">
        <v>5</v>
      </c>
      <c r="E462" s="66">
        <v>448.04000000003725</v>
      </c>
      <c r="F462" s="66">
        <v>2.2402000000001863</v>
      </c>
      <c r="G462" s="65">
        <v>4.0323600000003355</v>
      </c>
      <c r="H462" s="67" t="s">
        <v>2662</v>
      </c>
      <c r="I462" s="65" t="s">
        <v>2576</v>
      </c>
    </row>
    <row r="463" spans="1:9" x14ac:dyDescent="0.25">
      <c r="A463" s="57"/>
      <c r="B463" s="58" t="s">
        <v>301</v>
      </c>
      <c r="C463" s="59" t="s">
        <v>2663</v>
      </c>
      <c r="D463" s="60">
        <v>11</v>
      </c>
      <c r="E463" s="61">
        <v>224.02000000001863</v>
      </c>
      <c r="F463" s="61">
        <v>2.2402000000001863</v>
      </c>
      <c r="G463" s="60">
        <v>4.0323600000003355</v>
      </c>
      <c r="H463" s="62" t="s">
        <v>2664</v>
      </c>
      <c r="I463" s="60" t="s">
        <v>2576</v>
      </c>
    </row>
    <row r="464" spans="1:9" x14ac:dyDescent="0.25">
      <c r="A464" s="57"/>
      <c r="B464" s="63" t="s">
        <v>307</v>
      </c>
      <c r="C464" s="64" t="s">
        <v>2665</v>
      </c>
      <c r="D464" s="65">
        <v>0</v>
      </c>
      <c r="E464" s="66">
        <v>448.04000000003725</v>
      </c>
      <c r="F464" s="66">
        <v>2.2402000000001863</v>
      </c>
      <c r="G464" s="65">
        <v>4.0323600000003355</v>
      </c>
      <c r="H464" s="67" t="s">
        <v>2666</v>
      </c>
      <c r="I464" s="65" t="s">
        <v>2576</v>
      </c>
    </row>
    <row r="465" spans="1:9" x14ac:dyDescent="0.25">
      <c r="A465" s="57"/>
      <c r="B465" s="58" t="s">
        <v>296</v>
      </c>
      <c r="C465" s="59" t="s">
        <v>2667</v>
      </c>
      <c r="D465" s="60">
        <v>11.100000000005821</v>
      </c>
      <c r="E465" s="61">
        <v>224.02000000001863</v>
      </c>
      <c r="F465" s="61">
        <v>2.2402000000001863</v>
      </c>
      <c r="G465" s="60">
        <v>4.0323600000003355</v>
      </c>
      <c r="H465" s="62" t="s">
        <v>2668</v>
      </c>
      <c r="I465" s="60" t="s">
        <v>2576</v>
      </c>
    </row>
    <row r="466" spans="1:9" x14ac:dyDescent="0.25">
      <c r="A466" s="57"/>
      <c r="B466" s="63" t="s">
        <v>302</v>
      </c>
      <c r="C466" s="64" t="s">
        <v>2669</v>
      </c>
      <c r="D466" s="65">
        <v>5</v>
      </c>
      <c r="E466" s="66">
        <v>448.04000000003725</v>
      </c>
      <c r="F466" s="66">
        <v>2.2402000000001863</v>
      </c>
      <c r="G466" s="65">
        <v>4.0323600000003355</v>
      </c>
      <c r="H466" s="67" t="s">
        <v>2670</v>
      </c>
      <c r="I466" s="65" t="s">
        <v>2576</v>
      </c>
    </row>
    <row r="467" spans="1:9" x14ac:dyDescent="0.25">
      <c r="A467" s="57"/>
      <c r="B467" s="58" t="s">
        <v>310</v>
      </c>
      <c r="C467" s="59" t="s">
        <v>2671</v>
      </c>
      <c r="D467" s="60">
        <v>0</v>
      </c>
      <c r="E467" s="61">
        <v>330.70999999996275</v>
      </c>
      <c r="F467" s="61">
        <v>3.3070999999996276</v>
      </c>
      <c r="G467" s="60">
        <v>5.9527799999993292</v>
      </c>
      <c r="H467" s="62" t="s">
        <v>2672</v>
      </c>
      <c r="I467" s="60" t="s">
        <v>2576</v>
      </c>
    </row>
    <row r="468" spans="1:9" x14ac:dyDescent="0.25">
      <c r="A468" s="57"/>
      <c r="B468" s="63" t="s">
        <v>316</v>
      </c>
      <c r="C468" s="64" t="s">
        <v>2673</v>
      </c>
      <c r="D468" s="65">
        <v>0</v>
      </c>
      <c r="E468" s="66">
        <v>661.41999999992549</v>
      </c>
      <c r="F468" s="66">
        <v>3.3070999999996276</v>
      </c>
      <c r="G468" s="65">
        <v>5.9527799999993292</v>
      </c>
      <c r="H468" s="67" t="s">
        <v>2674</v>
      </c>
      <c r="I468" s="65" t="s">
        <v>2576</v>
      </c>
    </row>
    <row r="469" spans="1:9" x14ac:dyDescent="0.25">
      <c r="A469" s="57"/>
      <c r="B469" s="58" t="s">
        <v>312</v>
      </c>
      <c r="C469" s="59" t="s">
        <v>2675</v>
      </c>
      <c r="D469" s="60">
        <v>0</v>
      </c>
      <c r="E469" s="61">
        <v>330.70999999996275</v>
      </c>
      <c r="F469" s="61">
        <v>3.3070999999996276</v>
      </c>
      <c r="G469" s="60">
        <v>5.9527799999993292</v>
      </c>
      <c r="H469" s="62" t="s">
        <v>2676</v>
      </c>
      <c r="I469" s="60" t="s">
        <v>2576</v>
      </c>
    </row>
    <row r="470" spans="1:9" x14ac:dyDescent="0.25">
      <c r="A470" s="57"/>
      <c r="B470" s="63" t="s">
        <v>318</v>
      </c>
      <c r="C470" s="64" t="s">
        <v>2677</v>
      </c>
      <c r="D470" s="65">
        <v>0</v>
      </c>
      <c r="E470" s="66">
        <v>661.41999999992549</v>
      </c>
      <c r="F470" s="66">
        <v>3.3070999999996276</v>
      </c>
      <c r="G470" s="65">
        <v>5.9527799999993292</v>
      </c>
      <c r="H470" s="67" t="s">
        <v>2678</v>
      </c>
      <c r="I470" s="65" t="s">
        <v>2576</v>
      </c>
    </row>
    <row r="471" spans="1:9" x14ac:dyDescent="0.25">
      <c r="A471" s="57"/>
      <c r="B471" s="58" t="s">
        <v>311</v>
      </c>
      <c r="C471" s="59" t="s">
        <v>2679</v>
      </c>
      <c r="D471" s="60">
        <v>0</v>
      </c>
      <c r="E471" s="61">
        <v>330.70999999996275</v>
      </c>
      <c r="F471" s="61">
        <v>3.3070999999996276</v>
      </c>
      <c r="G471" s="60">
        <v>5.9527799999993292</v>
      </c>
      <c r="H471" s="62" t="s">
        <v>2680</v>
      </c>
      <c r="I471" s="60" t="s">
        <v>2576</v>
      </c>
    </row>
    <row r="472" spans="1:9" x14ac:dyDescent="0.25">
      <c r="A472" s="57"/>
      <c r="B472" s="63" t="s">
        <v>317</v>
      </c>
      <c r="C472" s="64" t="s">
        <v>2681</v>
      </c>
      <c r="D472" s="65">
        <v>0</v>
      </c>
      <c r="E472" s="66">
        <v>661.41999999992549</v>
      </c>
      <c r="F472" s="66">
        <v>3.3070999999996276</v>
      </c>
      <c r="G472" s="65">
        <v>5.9527799999993292</v>
      </c>
      <c r="H472" s="67" t="s">
        <v>2682</v>
      </c>
      <c r="I472" s="65" t="s">
        <v>2576</v>
      </c>
    </row>
    <row r="473" spans="1:9" x14ac:dyDescent="0.25">
      <c r="A473" s="57"/>
      <c r="B473" s="58" t="s">
        <v>309</v>
      </c>
      <c r="C473" s="59" t="s">
        <v>2683</v>
      </c>
      <c r="D473" s="60">
        <v>0</v>
      </c>
      <c r="E473" s="61">
        <v>330.70999999996275</v>
      </c>
      <c r="F473" s="61">
        <v>3.3070999999996276</v>
      </c>
      <c r="G473" s="60">
        <v>5.9527799999993292</v>
      </c>
      <c r="H473" s="62" t="s">
        <v>2684</v>
      </c>
      <c r="I473" s="60" t="s">
        <v>2576</v>
      </c>
    </row>
    <row r="474" spans="1:9" x14ac:dyDescent="0.25">
      <c r="A474" s="57"/>
      <c r="B474" s="63" t="s">
        <v>315</v>
      </c>
      <c r="C474" s="64" t="s">
        <v>2685</v>
      </c>
      <c r="D474" s="65">
        <v>0</v>
      </c>
      <c r="E474" s="66">
        <v>661.41999999992549</v>
      </c>
      <c r="F474" s="66">
        <v>3.3070999999996276</v>
      </c>
      <c r="G474" s="65">
        <v>5.9527799999993292</v>
      </c>
      <c r="H474" s="67" t="s">
        <v>2686</v>
      </c>
      <c r="I474" s="65" t="s">
        <v>2576</v>
      </c>
    </row>
    <row r="475" spans="1:9" x14ac:dyDescent="0.25">
      <c r="A475" s="57"/>
      <c r="B475" s="58" t="s">
        <v>313</v>
      </c>
      <c r="C475" s="59" t="s">
        <v>2687</v>
      </c>
      <c r="D475" s="60">
        <v>0</v>
      </c>
      <c r="E475" s="61">
        <v>330.70999999996275</v>
      </c>
      <c r="F475" s="61">
        <v>3.3070999999996276</v>
      </c>
      <c r="G475" s="60">
        <v>5.9527799999993292</v>
      </c>
      <c r="H475" s="62" t="s">
        <v>2688</v>
      </c>
      <c r="I475" s="60" t="s">
        <v>2576</v>
      </c>
    </row>
    <row r="476" spans="1:9" x14ac:dyDescent="0.25">
      <c r="A476" s="57"/>
      <c r="B476" s="63" t="s">
        <v>319</v>
      </c>
      <c r="C476" s="64" t="s">
        <v>2689</v>
      </c>
      <c r="D476" s="65">
        <v>0</v>
      </c>
      <c r="E476" s="66">
        <v>661.41999999992549</v>
      </c>
      <c r="F476" s="66">
        <v>3.3070999999996276</v>
      </c>
      <c r="G476" s="65">
        <v>5.9527799999993292</v>
      </c>
      <c r="H476" s="67" t="s">
        <v>2690</v>
      </c>
      <c r="I476" s="65" t="s">
        <v>2576</v>
      </c>
    </row>
    <row r="477" spans="1:9" x14ac:dyDescent="0.25">
      <c r="A477" s="57"/>
      <c r="B477" s="58" t="s">
        <v>308</v>
      </c>
      <c r="C477" s="59" t="s">
        <v>2691</v>
      </c>
      <c r="D477" s="60">
        <v>0</v>
      </c>
      <c r="E477" s="61">
        <v>330.70999999996275</v>
      </c>
      <c r="F477" s="61">
        <v>3.3070999999996276</v>
      </c>
      <c r="G477" s="60">
        <v>5.9527799999993292</v>
      </c>
      <c r="H477" s="62" t="s">
        <v>2692</v>
      </c>
      <c r="I477" s="60" t="s">
        <v>2576</v>
      </c>
    </row>
    <row r="478" spans="1:9" x14ac:dyDescent="0.25">
      <c r="A478" s="57"/>
      <c r="B478" s="63" t="s">
        <v>314</v>
      </c>
      <c r="C478" s="64" t="s">
        <v>2693</v>
      </c>
      <c r="D478" s="65">
        <v>0</v>
      </c>
      <c r="E478" s="66">
        <v>661.41999999992549</v>
      </c>
      <c r="F478" s="66">
        <v>3.3070999999996276</v>
      </c>
      <c r="G478" s="65">
        <v>5.9527799999993292</v>
      </c>
      <c r="H478" s="67" t="s">
        <v>2694</v>
      </c>
      <c r="I478" s="65" t="s">
        <v>2576</v>
      </c>
    </row>
    <row r="479" spans="1:9" x14ac:dyDescent="0.25">
      <c r="A479" s="57"/>
      <c r="B479" s="58" t="s">
        <v>322</v>
      </c>
      <c r="C479" s="59" t="s">
        <v>2695</v>
      </c>
      <c r="D479" s="60">
        <v>3.3300000000017462</v>
      </c>
      <c r="E479" s="61">
        <v>424.70000000018626</v>
      </c>
      <c r="F479" s="61">
        <v>4.2470000000018624</v>
      </c>
      <c r="G479" s="60">
        <v>7.6446000000033534</v>
      </c>
      <c r="H479" s="62" t="s">
        <v>2696</v>
      </c>
      <c r="I479" s="60" t="s">
        <v>2576</v>
      </c>
    </row>
    <row r="480" spans="1:9" x14ac:dyDescent="0.25">
      <c r="A480" s="57"/>
      <c r="B480" s="63" t="s">
        <v>328</v>
      </c>
      <c r="C480" s="64" t="s">
        <v>2697</v>
      </c>
      <c r="D480" s="65">
        <v>0</v>
      </c>
      <c r="E480" s="66">
        <v>849.36000000033528</v>
      </c>
      <c r="F480" s="66">
        <v>4.2468000000016763</v>
      </c>
      <c r="G480" s="65">
        <v>7.644240000003018</v>
      </c>
      <c r="H480" s="67" t="s">
        <v>2698</v>
      </c>
      <c r="I480" s="65" t="s">
        <v>2576</v>
      </c>
    </row>
    <row r="481" spans="1:9" x14ac:dyDescent="0.25">
      <c r="A481" s="57"/>
      <c r="B481" s="58" t="s">
        <v>324</v>
      </c>
      <c r="C481" s="59" t="s">
        <v>2699</v>
      </c>
      <c r="D481" s="60">
        <v>0</v>
      </c>
      <c r="E481" s="61">
        <v>424.70000000018626</v>
      </c>
      <c r="F481" s="61">
        <v>4.2470000000018624</v>
      </c>
      <c r="G481" s="60">
        <v>7.6446000000033534</v>
      </c>
      <c r="H481" s="62" t="s">
        <v>2700</v>
      </c>
      <c r="I481" s="60" t="s">
        <v>2576</v>
      </c>
    </row>
    <row r="482" spans="1:9" x14ac:dyDescent="0.25">
      <c r="A482" s="57"/>
      <c r="B482" s="63" t="s">
        <v>330</v>
      </c>
      <c r="C482" s="64" t="s">
        <v>2701</v>
      </c>
      <c r="D482" s="65">
        <v>0</v>
      </c>
      <c r="E482" s="66">
        <v>849.36000000033528</v>
      </c>
      <c r="F482" s="66">
        <v>4.2468000000016763</v>
      </c>
      <c r="G482" s="65">
        <v>7.644240000003018</v>
      </c>
      <c r="H482" s="67" t="s">
        <v>2702</v>
      </c>
      <c r="I482" s="65" t="s">
        <v>2576</v>
      </c>
    </row>
    <row r="483" spans="1:9" x14ac:dyDescent="0.25">
      <c r="A483" s="57"/>
      <c r="B483" s="58" t="s">
        <v>323</v>
      </c>
      <c r="C483" s="59" t="s">
        <v>2703</v>
      </c>
      <c r="D483" s="60">
        <v>0</v>
      </c>
      <c r="E483" s="61">
        <v>424.70000000018626</v>
      </c>
      <c r="F483" s="61">
        <v>4.2470000000018624</v>
      </c>
      <c r="G483" s="60">
        <v>7.6446000000033534</v>
      </c>
      <c r="H483" s="62" t="s">
        <v>2704</v>
      </c>
      <c r="I483" s="60" t="s">
        <v>2576</v>
      </c>
    </row>
    <row r="484" spans="1:9" x14ac:dyDescent="0.25">
      <c r="A484" s="57"/>
      <c r="B484" s="63" t="s">
        <v>329</v>
      </c>
      <c r="C484" s="64" t="s">
        <v>2705</v>
      </c>
      <c r="D484" s="65">
        <v>0</v>
      </c>
      <c r="E484" s="66">
        <v>849.36000000033528</v>
      </c>
      <c r="F484" s="66">
        <v>4.2468000000016763</v>
      </c>
      <c r="G484" s="65">
        <v>7.644240000003018</v>
      </c>
      <c r="H484" s="67" t="s">
        <v>2706</v>
      </c>
      <c r="I484" s="65" t="s">
        <v>2576</v>
      </c>
    </row>
    <row r="485" spans="1:9" x14ac:dyDescent="0.25">
      <c r="A485" s="57"/>
      <c r="B485" s="58" t="s">
        <v>321</v>
      </c>
      <c r="C485" s="59" t="s">
        <v>2707</v>
      </c>
      <c r="D485" s="60">
        <v>3.3300000000017462</v>
      </c>
      <c r="E485" s="61">
        <v>424.70000000018626</v>
      </c>
      <c r="F485" s="61">
        <v>4.2470000000018624</v>
      </c>
      <c r="G485" s="60">
        <v>7.6446000000033534</v>
      </c>
      <c r="H485" s="62" t="s">
        <v>2708</v>
      </c>
      <c r="I485" s="60" t="s">
        <v>2576</v>
      </c>
    </row>
    <row r="486" spans="1:9" x14ac:dyDescent="0.25">
      <c r="A486" s="57"/>
      <c r="B486" s="63" t="s">
        <v>327</v>
      </c>
      <c r="C486" s="64" t="s">
        <v>2709</v>
      </c>
      <c r="D486" s="65">
        <v>6.6600000000034925</v>
      </c>
      <c r="E486" s="66">
        <v>849.36000000033528</v>
      </c>
      <c r="F486" s="66">
        <v>4.2468000000016763</v>
      </c>
      <c r="G486" s="65">
        <v>7.644240000003018</v>
      </c>
      <c r="H486" s="67" t="s">
        <v>2710</v>
      </c>
      <c r="I486" s="65" t="s">
        <v>2576</v>
      </c>
    </row>
    <row r="487" spans="1:9" x14ac:dyDescent="0.25">
      <c r="A487" s="57"/>
      <c r="B487" s="58" t="s">
        <v>325</v>
      </c>
      <c r="C487" s="59" t="s">
        <v>2711</v>
      </c>
      <c r="D487" s="60">
        <v>0</v>
      </c>
      <c r="E487" s="61">
        <v>424.70000000018626</v>
      </c>
      <c r="F487" s="61">
        <v>4.2470000000018624</v>
      </c>
      <c r="G487" s="60">
        <v>7.6446000000033534</v>
      </c>
      <c r="H487" s="62" t="s">
        <v>2712</v>
      </c>
      <c r="I487" s="60" t="s">
        <v>2576</v>
      </c>
    </row>
    <row r="488" spans="1:9" x14ac:dyDescent="0.25">
      <c r="A488" s="57"/>
      <c r="B488" s="63" t="s">
        <v>331</v>
      </c>
      <c r="C488" s="64" t="s">
        <v>2713</v>
      </c>
      <c r="D488" s="65">
        <v>38</v>
      </c>
      <c r="E488" s="66">
        <v>849.37000000011176</v>
      </c>
      <c r="F488" s="66">
        <v>4.2468500000005589</v>
      </c>
      <c r="G488" s="65">
        <v>7.6443300000010064</v>
      </c>
      <c r="H488" s="67" t="s">
        <v>2714</v>
      </c>
      <c r="I488" s="65" t="s">
        <v>2576</v>
      </c>
    </row>
    <row r="489" spans="1:9" x14ac:dyDescent="0.25">
      <c r="A489" s="57"/>
      <c r="B489" s="58" t="s">
        <v>320</v>
      </c>
      <c r="C489" s="59" t="s">
        <v>2715</v>
      </c>
      <c r="D489" s="60">
        <v>0</v>
      </c>
      <c r="E489" s="61">
        <v>424.70000000018626</v>
      </c>
      <c r="F489" s="61">
        <v>4.2470000000018624</v>
      </c>
      <c r="G489" s="60">
        <v>7.6446000000033534</v>
      </c>
      <c r="H489" s="62" t="s">
        <v>2716</v>
      </c>
      <c r="I489" s="60" t="s">
        <v>2576</v>
      </c>
    </row>
    <row r="490" spans="1:9" x14ac:dyDescent="0.25">
      <c r="A490" s="57"/>
      <c r="B490" s="63" t="s">
        <v>326</v>
      </c>
      <c r="C490" s="64" t="s">
        <v>2717</v>
      </c>
      <c r="D490" s="65">
        <v>0</v>
      </c>
      <c r="E490" s="66">
        <v>849.36000000033528</v>
      </c>
      <c r="F490" s="66">
        <v>4.2468000000016763</v>
      </c>
      <c r="G490" s="65">
        <v>7.644240000003018</v>
      </c>
      <c r="H490" s="67" t="s">
        <v>2718</v>
      </c>
      <c r="I490" s="65" t="s">
        <v>2576</v>
      </c>
    </row>
    <row r="491" spans="1:9" x14ac:dyDescent="0.25">
      <c r="A491" s="57"/>
      <c r="B491" s="58" t="s">
        <v>334</v>
      </c>
      <c r="C491" s="59" t="s">
        <v>2719</v>
      </c>
      <c r="D491" s="60">
        <v>0</v>
      </c>
      <c r="E491" s="61">
        <v>520.48000000044703</v>
      </c>
      <c r="F491" s="61">
        <v>5.2048000000044707</v>
      </c>
      <c r="G491" s="60">
        <v>9.3686400000080479</v>
      </c>
      <c r="H491" s="62" t="s">
        <v>2720</v>
      </c>
      <c r="I491" s="60" t="s">
        <v>2576</v>
      </c>
    </row>
    <row r="492" spans="1:9" x14ac:dyDescent="0.25">
      <c r="A492" s="57"/>
      <c r="B492" s="63" t="s">
        <v>336</v>
      </c>
      <c r="C492" s="64" t="s">
        <v>2721</v>
      </c>
      <c r="D492" s="65">
        <v>0</v>
      </c>
      <c r="E492" s="66">
        <v>520.46999999973923</v>
      </c>
      <c r="F492" s="66">
        <v>5.2046999999973922</v>
      </c>
      <c r="G492" s="65">
        <v>9.3684599999953058</v>
      </c>
      <c r="H492" s="67" t="s">
        <v>2722</v>
      </c>
      <c r="I492" s="65" t="s">
        <v>2576</v>
      </c>
    </row>
    <row r="493" spans="1:9" x14ac:dyDescent="0.25">
      <c r="A493" s="57"/>
      <c r="B493" s="58" t="s">
        <v>335</v>
      </c>
      <c r="C493" s="59" t="s">
        <v>2723</v>
      </c>
      <c r="D493" s="60">
        <v>0</v>
      </c>
      <c r="E493" s="61">
        <v>520.46999999973923</v>
      </c>
      <c r="F493" s="61">
        <v>5.2046999999973922</v>
      </c>
      <c r="G493" s="60">
        <v>9.3684599999953058</v>
      </c>
      <c r="H493" s="62" t="s">
        <v>2724</v>
      </c>
      <c r="I493" s="60" t="s">
        <v>2576</v>
      </c>
    </row>
    <row r="494" spans="1:9" x14ac:dyDescent="0.25">
      <c r="A494" s="57"/>
      <c r="B494" s="63" t="s">
        <v>333</v>
      </c>
      <c r="C494" s="64" t="s">
        <v>2725</v>
      </c>
      <c r="D494" s="65">
        <v>0</v>
      </c>
      <c r="E494" s="66">
        <v>520.48000000044703</v>
      </c>
      <c r="F494" s="66">
        <v>5.2048000000044707</v>
      </c>
      <c r="G494" s="65">
        <v>9.3686400000080479</v>
      </c>
      <c r="H494" s="67" t="s">
        <v>2726</v>
      </c>
      <c r="I494" s="65" t="s">
        <v>2576</v>
      </c>
    </row>
    <row r="495" spans="1:9" x14ac:dyDescent="0.25">
      <c r="A495" s="57"/>
      <c r="B495" s="58" t="s">
        <v>337</v>
      </c>
      <c r="C495" s="59" t="s">
        <v>2727</v>
      </c>
      <c r="D495" s="60">
        <v>24</v>
      </c>
      <c r="E495" s="61">
        <v>520.48000000044703</v>
      </c>
      <c r="F495" s="61">
        <v>5.2048000000044707</v>
      </c>
      <c r="G495" s="60">
        <v>9.3686400000080479</v>
      </c>
      <c r="H495" s="62" t="s">
        <v>2728</v>
      </c>
      <c r="I495" s="60" t="s">
        <v>2576</v>
      </c>
    </row>
    <row r="496" spans="1:9" x14ac:dyDescent="0.25">
      <c r="A496" s="57"/>
      <c r="B496" s="63" t="s">
        <v>332</v>
      </c>
      <c r="C496" s="64" t="s">
        <v>2729</v>
      </c>
      <c r="D496" s="65">
        <v>0</v>
      </c>
      <c r="E496" s="66">
        <v>520.46999999973923</v>
      </c>
      <c r="F496" s="66">
        <v>5.2046999999973922</v>
      </c>
      <c r="G496" s="65">
        <v>9.3684599999953058</v>
      </c>
      <c r="H496" s="67" t="s">
        <v>2730</v>
      </c>
      <c r="I496" s="65" t="s">
        <v>2576</v>
      </c>
    </row>
    <row r="497" spans="1:9" x14ac:dyDescent="0.25">
      <c r="A497" s="57"/>
      <c r="B497" s="58" t="s">
        <v>343</v>
      </c>
      <c r="C497" s="59" t="s">
        <v>2731</v>
      </c>
      <c r="D497" s="60">
        <v>5.6999999999970896</v>
      </c>
      <c r="E497" s="61">
        <v>159.13999999989755</v>
      </c>
      <c r="F497" s="61">
        <v>0.79569999999948782</v>
      </c>
      <c r="G497" s="60">
        <v>1.4322599999990779</v>
      </c>
      <c r="H497" s="62" t="s">
        <v>2732</v>
      </c>
      <c r="I497" s="60" t="s">
        <v>2576</v>
      </c>
    </row>
    <row r="498" spans="1:9" x14ac:dyDescent="0.25">
      <c r="A498" s="57"/>
      <c r="B498" s="63" t="s">
        <v>342</v>
      </c>
      <c r="C498" s="64" t="s">
        <v>2733</v>
      </c>
      <c r="D498" s="65">
        <v>5.6999999999970896</v>
      </c>
      <c r="E498" s="66">
        <v>159.13999999989755</v>
      </c>
      <c r="F498" s="66">
        <v>0.79569999999948782</v>
      </c>
      <c r="G498" s="65">
        <v>1.4322599999990779</v>
      </c>
      <c r="H498" s="67" t="s">
        <v>2734</v>
      </c>
      <c r="I498" s="65" t="s">
        <v>2576</v>
      </c>
    </row>
    <row r="499" spans="1:9" x14ac:dyDescent="0.25">
      <c r="A499" s="57"/>
      <c r="B499" s="58" t="s">
        <v>340</v>
      </c>
      <c r="C499" s="59" t="s">
        <v>2735</v>
      </c>
      <c r="D499" s="60">
        <v>5.6999999999970896</v>
      </c>
      <c r="E499" s="61">
        <v>159.13999999989755</v>
      </c>
      <c r="F499" s="61">
        <v>0.79569999999948782</v>
      </c>
      <c r="G499" s="60">
        <v>1.4322599999990779</v>
      </c>
      <c r="H499" s="62" t="s">
        <v>2736</v>
      </c>
      <c r="I499" s="60" t="s">
        <v>2576</v>
      </c>
    </row>
    <row r="500" spans="1:9" x14ac:dyDescent="0.25">
      <c r="A500" s="57"/>
      <c r="B500" s="63" t="s">
        <v>341</v>
      </c>
      <c r="C500" s="64" t="s">
        <v>2737</v>
      </c>
      <c r="D500" s="65">
        <v>5.6999999999970896</v>
      </c>
      <c r="E500" s="66">
        <v>159.13999999989755</v>
      </c>
      <c r="F500" s="66">
        <v>0.79569999999948782</v>
      </c>
      <c r="G500" s="65">
        <v>1.4322599999990779</v>
      </c>
      <c r="H500" s="67" t="s">
        <v>2738</v>
      </c>
      <c r="I500" s="65" t="s">
        <v>2576</v>
      </c>
    </row>
    <row r="501" spans="1:9" x14ac:dyDescent="0.25">
      <c r="A501" s="57"/>
      <c r="B501" s="58" t="s">
        <v>348</v>
      </c>
      <c r="C501" s="59" t="s">
        <v>2739</v>
      </c>
      <c r="D501" s="60">
        <v>4.8000000000029104</v>
      </c>
      <c r="E501" s="61">
        <v>111.28000000002794</v>
      </c>
      <c r="F501" s="61">
        <v>1.1128000000002793</v>
      </c>
      <c r="G501" s="60">
        <v>2.0030400000005031</v>
      </c>
      <c r="H501" s="62" t="s">
        <v>2740</v>
      </c>
      <c r="I501" s="60" t="s">
        <v>2576</v>
      </c>
    </row>
    <row r="502" spans="1:9" x14ac:dyDescent="0.25">
      <c r="A502" s="57"/>
      <c r="B502" s="63" t="s">
        <v>352</v>
      </c>
      <c r="C502" s="64" t="s">
        <v>2741</v>
      </c>
      <c r="D502" s="65">
        <v>9.6000000000058208</v>
      </c>
      <c r="E502" s="66">
        <v>222.56000000005588</v>
      </c>
      <c r="F502" s="66">
        <v>1.1128000000002793</v>
      </c>
      <c r="G502" s="65">
        <v>2.0030400000005031</v>
      </c>
      <c r="H502" s="67" t="s">
        <v>2742</v>
      </c>
      <c r="I502" s="65" t="s">
        <v>2576</v>
      </c>
    </row>
    <row r="503" spans="1:9" x14ac:dyDescent="0.25">
      <c r="A503" s="57"/>
      <c r="B503" s="58" t="s">
        <v>347</v>
      </c>
      <c r="C503" s="59" t="s">
        <v>2743</v>
      </c>
      <c r="D503" s="60">
        <v>4.8000000000029104</v>
      </c>
      <c r="E503" s="61">
        <v>111.28000000002794</v>
      </c>
      <c r="F503" s="61">
        <v>1.1128000000002793</v>
      </c>
      <c r="G503" s="60">
        <v>2.0030400000005031</v>
      </c>
      <c r="H503" s="62" t="s">
        <v>2744</v>
      </c>
      <c r="I503" s="60" t="s">
        <v>2576</v>
      </c>
    </row>
    <row r="504" spans="1:9" x14ac:dyDescent="0.25">
      <c r="A504" s="57"/>
      <c r="B504" s="63" t="s">
        <v>351</v>
      </c>
      <c r="C504" s="64" t="s">
        <v>2745</v>
      </c>
      <c r="D504" s="65">
        <v>9.6000000000058208</v>
      </c>
      <c r="E504" s="66">
        <v>222.56000000005588</v>
      </c>
      <c r="F504" s="66">
        <v>1.1128000000002793</v>
      </c>
      <c r="G504" s="65">
        <v>2.0030400000005031</v>
      </c>
      <c r="H504" s="67" t="s">
        <v>2746</v>
      </c>
      <c r="I504" s="65" t="s">
        <v>2576</v>
      </c>
    </row>
    <row r="505" spans="1:9" x14ac:dyDescent="0.25">
      <c r="A505" s="57"/>
      <c r="B505" s="58" t="s">
        <v>345</v>
      </c>
      <c r="C505" s="59" t="s">
        <v>2747</v>
      </c>
      <c r="D505" s="60">
        <v>4.8000000000029104</v>
      </c>
      <c r="E505" s="61">
        <v>111.28000000002794</v>
      </c>
      <c r="F505" s="61">
        <v>1.1128000000002793</v>
      </c>
      <c r="G505" s="60">
        <v>2.0030400000005031</v>
      </c>
      <c r="H505" s="62" t="s">
        <v>2748</v>
      </c>
      <c r="I505" s="60" t="s">
        <v>2576</v>
      </c>
    </row>
    <row r="506" spans="1:9" x14ac:dyDescent="0.25">
      <c r="A506" s="57"/>
      <c r="B506" s="63" t="s">
        <v>349</v>
      </c>
      <c r="C506" s="64" t="s">
        <v>2749</v>
      </c>
      <c r="D506" s="65">
        <v>9.6000000000058208</v>
      </c>
      <c r="E506" s="66">
        <v>222.56000000005588</v>
      </c>
      <c r="F506" s="66">
        <v>1.1128000000002793</v>
      </c>
      <c r="G506" s="65">
        <v>2.0030400000005031</v>
      </c>
      <c r="H506" s="67" t="s">
        <v>2750</v>
      </c>
      <c r="I506" s="65" t="s">
        <v>2576</v>
      </c>
    </row>
    <row r="507" spans="1:9" x14ac:dyDescent="0.25">
      <c r="A507" s="57"/>
      <c r="B507" s="58" t="s">
        <v>346</v>
      </c>
      <c r="C507" s="59" t="s">
        <v>2751</v>
      </c>
      <c r="D507" s="60">
        <v>4.8000000000029104</v>
      </c>
      <c r="E507" s="61">
        <v>111.28000000002794</v>
      </c>
      <c r="F507" s="61">
        <v>1.1128000000002793</v>
      </c>
      <c r="G507" s="60">
        <v>2.0030400000005031</v>
      </c>
      <c r="H507" s="62" t="s">
        <v>2752</v>
      </c>
      <c r="I507" s="60" t="s">
        <v>2576</v>
      </c>
    </row>
    <row r="508" spans="1:9" x14ac:dyDescent="0.25">
      <c r="A508" s="57"/>
      <c r="B508" s="63" t="s">
        <v>350</v>
      </c>
      <c r="C508" s="64" t="s">
        <v>2753</v>
      </c>
      <c r="D508" s="65">
        <v>9.6000000000058208</v>
      </c>
      <c r="E508" s="66">
        <v>222.56000000005588</v>
      </c>
      <c r="F508" s="66">
        <v>1.1128000000002793</v>
      </c>
      <c r="G508" s="65">
        <v>2.0030400000005031</v>
      </c>
      <c r="H508" s="67" t="s">
        <v>2754</v>
      </c>
      <c r="I508" s="65" t="s">
        <v>2576</v>
      </c>
    </row>
    <row r="509" spans="1:9" x14ac:dyDescent="0.25">
      <c r="A509" s="57"/>
      <c r="B509" s="58" t="s">
        <v>357</v>
      </c>
      <c r="C509" s="59" t="s">
        <v>2755</v>
      </c>
      <c r="D509" s="60">
        <v>7.4700000000011642</v>
      </c>
      <c r="E509" s="61">
        <v>170.84000000008382</v>
      </c>
      <c r="F509" s="61">
        <v>1.7084000000008381</v>
      </c>
      <c r="G509" s="60">
        <v>3.0751200000015086</v>
      </c>
      <c r="H509" s="62" t="s">
        <v>2756</v>
      </c>
      <c r="I509" s="60" t="s">
        <v>2576</v>
      </c>
    </row>
    <row r="510" spans="1:9" x14ac:dyDescent="0.25">
      <c r="A510" s="57"/>
      <c r="B510" s="63" t="s">
        <v>361</v>
      </c>
      <c r="C510" s="64" t="s">
        <v>2757</v>
      </c>
      <c r="D510" s="65">
        <v>14.940000000002328</v>
      </c>
      <c r="E510" s="66">
        <v>341.68000000016764</v>
      </c>
      <c r="F510" s="66">
        <v>1.7084000000008381</v>
      </c>
      <c r="G510" s="65">
        <v>3.0751200000015086</v>
      </c>
      <c r="H510" s="67" t="s">
        <v>2758</v>
      </c>
      <c r="I510" s="65" t="s">
        <v>2576</v>
      </c>
    </row>
    <row r="511" spans="1:9" x14ac:dyDescent="0.25">
      <c r="A511" s="57"/>
      <c r="B511" s="58" t="s">
        <v>356</v>
      </c>
      <c r="C511" s="59" t="s">
        <v>2759</v>
      </c>
      <c r="D511" s="60">
        <v>7.4700000000011642</v>
      </c>
      <c r="E511" s="61">
        <v>170.84000000008382</v>
      </c>
      <c r="F511" s="61">
        <v>1.7084000000008381</v>
      </c>
      <c r="G511" s="60">
        <v>3.0751200000015086</v>
      </c>
      <c r="H511" s="62" t="s">
        <v>2760</v>
      </c>
      <c r="I511" s="60" t="s">
        <v>2576</v>
      </c>
    </row>
    <row r="512" spans="1:9" x14ac:dyDescent="0.25">
      <c r="A512" s="57"/>
      <c r="B512" s="63" t="s">
        <v>360</v>
      </c>
      <c r="C512" s="64" t="s">
        <v>2761</v>
      </c>
      <c r="D512" s="65">
        <v>14.940000000002328</v>
      </c>
      <c r="E512" s="66">
        <v>341.68000000016764</v>
      </c>
      <c r="F512" s="66">
        <v>1.7084000000008381</v>
      </c>
      <c r="G512" s="65">
        <v>3.0751200000015086</v>
      </c>
      <c r="H512" s="67" t="s">
        <v>2762</v>
      </c>
      <c r="I512" s="65" t="s">
        <v>2576</v>
      </c>
    </row>
    <row r="513" spans="1:9" x14ac:dyDescent="0.25">
      <c r="A513" s="57"/>
      <c r="B513" s="58" t="s">
        <v>354</v>
      </c>
      <c r="C513" s="59" t="s">
        <v>2763</v>
      </c>
      <c r="D513" s="60">
        <v>7.4700000000011642</v>
      </c>
      <c r="E513" s="61">
        <v>170.84000000008382</v>
      </c>
      <c r="F513" s="61">
        <v>1.7084000000008381</v>
      </c>
      <c r="G513" s="60">
        <v>3.0751200000015086</v>
      </c>
      <c r="H513" s="62" t="s">
        <v>2764</v>
      </c>
      <c r="I513" s="60" t="s">
        <v>2576</v>
      </c>
    </row>
    <row r="514" spans="1:9" x14ac:dyDescent="0.25">
      <c r="A514" s="57"/>
      <c r="B514" s="63" t="s">
        <v>358</v>
      </c>
      <c r="C514" s="64" t="s">
        <v>2765</v>
      </c>
      <c r="D514" s="65">
        <v>14.940000000002328</v>
      </c>
      <c r="E514" s="66">
        <v>341.68000000016764</v>
      </c>
      <c r="F514" s="66">
        <v>1.7084000000008381</v>
      </c>
      <c r="G514" s="65">
        <v>3.0751200000015086</v>
      </c>
      <c r="H514" s="67" t="s">
        <v>2766</v>
      </c>
      <c r="I514" s="65" t="s">
        <v>2576</v>
      </c>
    </row>
    <row r="515" spans="1:9" x14ac:dyDescent="0.25">
      <c r="A515" s="57"/>
      <c r="B515" s="58" t="s">
        <v>355</v>
      </c>
      <c r="C515" s="59" t="s">
        <v>2767</v>
      </c>
      <c r="D515" s="60">
        <v>7.4700000000011642</v>
      </c>
      <c r="E515" s="61">
        <v>170.84000000008382</v>
      </c>
      <c r="F515" s="61">
        <v>1.7084000000008381</v>
      </c>
      <c r="G515" s="60">
        <v>3.0751200000015086</v>
      </c>
      <c r="H515" s="62" t="s">
        <v>2768</v>
      </c>
      <c r="I515" s="60" t="s">
        <v>2576</v>
      </c>
    </row>
    <row r="516" spans="1:9" x14ac:dyDescent="0.25">
      <c r="A516" s="57"/>
      <c r="B516" s="63" t="s">
        <v>359</v>
      </c>
      <c r="C516" s="64" t="s">
        <v>2769</v>
      </c>
      <c r="D516" s="65">
        <v>14.940000000002328</v>
      </c>
      <c r="E516" s="66">
        <v>341.68000000016764</v>
      </c>
      <c r="F516" s="66">
        <v>1.7084000000008381</v>
      </c>
      <c r="G516" s="65">
        <v>3.0751200000015086</v>
      </c>
      <c r="H516" s="67" t="s">
        <v>2770</v>
      </c>
      <c r="I516" s="65" t="s">
        <v>2576</v>
      </c>
    </row>
    <row r="517" spans="1:9" x14ac:dyDescent="0.25">
      <c r="A517" s="57"/>
      <c r="B517" s="58" t="s">
        <v>366</v>
      </c>
      <c r="C517" s="59" t="s">
        <v>2771</v>
      </c>
      <c r="D517" s="60">
        <v>11.100000000005821</v>
      </c>
      <c r="E517" s="61">
        <v>240.81000000005588</v>
      </c>
      <c r="F517" s="61">
        <v>2.4081000000005588</v>
      </c>
      <c r="G517" s="60">
        <v>4.3345800000010062</v>
      </c>
      <c r="H517" s="62" t="s">
        <v>2772</v>
      </c>
      <c r="I517" s="60" t="s">
        <v>2576</v>
      </c>
    </row>
    <row r="518" spans="1:9" x14ac:dyDescent="0.25">
      <c r="A518" s="57"/>
      <c r="B518" s="63" t="s">
        <v>372</v>
      </c>
      <c r="C518" s="64" t="s">
        <v>2773</v>
      </c>
      <c r="D518" s="65">
        <v>22.200000000011642</v>
      </c>
      <c r="E518" s="66">
        <v>481.66000000014901</v>
      </c>
      <c r="F518" s="66">
        <v>2.4083000000007448</v>
      </c>
      <c r="G518" s="65">
        <v>4.3349400000013416</v>
      </c>
      <c r="H518" s="67" t="s">
        <v>2774</v>
      </c>
      <c r="I518" s="65" t="s">
        <v>2576</v>
      </c>
    </row>
    <row r="519" spans="1:9" x14ac:dyDescent="0.25">
      <c r="A519" s="57"/>
      <c r="B519" s="58" t="s">
        <v>365</v>
      </c>
      <c r="C519" s="59" t="s">
        <v>2775</v>
      </c>
      <c r="D519" s="60">
        <v>11.100000000005821</v>
      </c>
      <c r="E519" s="61">
        <v>240.81000000005588</v>
      </c>
      <c r="F519" s="61">
        <v>2.4081000000005588</v>
      </c>
      <c r="G519" s="60">
        <v>4.3345800000010062</v>
      </c>
      <c r="H519" s="62" t="s">
        <v>2776</v>
      </c>
      <c r="I519" s="60" t="s">
        <v>2576</v>
      </c>
    </row>
    <row r="520" spans="1:9" x14ac:dyDescent="0.25">
      <c r="A520" s="57"/>
      <c r="B520" s="63" t="s">
        <v>371</v>
      </c>
      <c r="C520" s="64" t="s">
        <v>2777</v>
      </c>
      <c r="D520" s="65">
        <v>22.200000000011642</v>
      </c>
      <c r="E520" s="66">
        <v>481.66000000014901</v>
      </c>
      <c r="F520" s="66">
        <v>2.4083000000007448</v>
      </c>
      <c r="G520" s="65">
        <v>4.3349400000013416</v>
      </c>
      <c r="H520" s="67" t="s">
        <v>2778</v>
      </c>
      <c r="I520" s="65" t="s">
        <v>2576</v>
      </c>
    </row>
    <row r="521" spans="1:9" x14ac:dyDescent="0.25">
      <c r="A521" s="57"/>
      <c r="B521" s="58" t="s">
        <v>363</v>
      </c>
      <c r="C521" s="59" t="s">
        <v>2779</v>
      </c>
      <c r="D521" s="60">
        <v>11.100000000005821</v>
      </c>
      <c r="E521" s="61">
        <v>240.81000000005588</v>
      </c>
      <c r="F521" s="61">
        <v>2.4081000000005588</v>
      </c>
      <c r="G521" s="60">
        <v>4.3345800000010062</v>
      </c>
      <c r="H521" s="62" t="s">
        <v>2780</v>
      </c>
      <c r="I521" s="60" t="s">
        <v>2576</v>
      </c>
    </row>
    <row r="522" spans="1:9" x14ac:dyDescent="0.25">
      <c r="A522" s="57"/>
      <c r="B522" s="63" t="s">
        <v>369</v>
      </c>
      <c r="C522" s="64" t="s">
        <v>2781</v>
      </c>
      <c r="D522" s="65">
        <v>22.200000000011642</v>
      </c>
      <c r="E522" s="66">
        <v>481.66000000014901</v>
      </c>
      <c r="F522" s="66">
        <v>2.4083000000007448</v>
      </c>
      <c r="G522" s="65">
        <v>4.3349400000013416</v>
      </c>
      <c r="H522" s="67" t="s">
        <v>2782</v>
      </c>
      <c r="I522" s="65" t="s">
        <v>2576</v>
      </c>
    </row>
    <row r="523" spans="1:9" x14ac:dyDescent="0.25">
      <c r="A523" s="57"/>
      <c r="B523" s="58" t="s">
        <v>364</v>
      </c>
      <c r="C523" s="59" t="s">
        <v>2783</v>
      </c>
      <c r="D523" s="60">
        <v>11.100000000005821</v>
      </c>
      <c r="E523" s="61">
        <v>240.81000000005588</v>
      </c>
      <c r="F523" s="61">
        <v>2.4081000000005588</v>
      </c>
      <c r="G523" s="60">
        <v>4.3345800000010062</v>
      </c>
      <c r="H523" s="62" t="s">
        <v>2784</v>
      </c>
      <c r="I523" s="60" t="s">
        <v>2576</v>
      </c>
    </row>
    <row r="524" spans="1:9" x14ac:dyDescent="0.25">
      <c r="A524" s="57"/>
      <c r="B524" s="63" t="s">
        <v>370</v>
      </c>
      <c r="C524" s="64" t="s">
        <v>2785</v>
      </c>
      <c r="D524" s="65">
        <v>22.200000000011642</v>
      </c>
      <c r="E524" s="66">
        <v>481.66000000014901</v>
      </c>
      <c r="F524" s="66">
        <v>2.4083000000007448</v>
      </c>
      <c r="G524" s="65">
        <v>4.3349400000013416</v>
      </c>
      <c r="H524" s="67" t="s">
        <v>2786</v>
      </c>
      <c r="I524" s="65" t="s">
        <v>2576</v>
      </c>
    </row>
    <row r="525" spans="1:9" x14ac:dyDescent="0.25">
      <c r="A525" s="57"/>
      <c r="B525" s="58" t="s">
        <v>377</v>
      </c>
      <c r="C525" s="59" t="s">
        <v>2787</v>
      </c>
      <c r="D525" s="60">
        <v>15.600000000005821</v>
      </c>
      <c r="E525" s="61">
        <v>355.52000000001863</v>
      </c>
      <c r="F525" s="61">
        <v>3.5552000000001862</v>
      </c>
      <c r="G525" s="60">
        <v>6.3993600000003354</v>
      </c>
      <c r="H525" s="62" t="s">
        <v>2788</v>
      </c>
      <c r="I525" s="60" t="s">
        <v>2576</v>
      </c>
    </row>
    <row r="526" spans="1:9" x14ac:dyDescent="0.25">
      <c r="A526" s="57"/>
      <c r="B526" s="63" t="s">
        <v>381</v>
      </c>
      <c r="C526" s="64" t="s">
        <v>2789</v>
      </c>
      <c r="D526" s="65">
        <v>31.200000000011642</v>
      </c>
      <c r="E526" s="66">
        <v>711.04000000003725</v>
      </c>
      <c r="F526" s="66">
        <v>3.5552000000001862</v>
      </c>
      <c r="G526" s="65">
        <v>6.3993600000003354</v>
      </c>
      <c r="H526" s="67" t="s">
        <v>2790</v>
      </c>
      <c r="I526" s="65" t="s">
        <v>2576</v>
      </c>
    </row>
    <row r="527" spans="1:9" x14ac:dyDescent="0.25">
      <c r="A527" s="57"/>
      <c r="B527" s="58" t="s">
        <v>376</v>
      </c>
      <c r="C527" s="59" t="s">
        <v>2791</v>
      </c>
      <c r="D527" s="60">
        <v>15.600000000005821</v>
      </c>
      <c r="E527" s="61">
        <v>355.52000000001863</v>
      </c>
      <c r="F527" s="61">
        <v>3.5552000000001862</v>
      </c>
      <c r="G527" s="60">
        <v>6.3993600000003354</v>
      </c>
      <c r="H527" s="62" t="s">
        <v>2792</v>
      </c>
      <c r="I527" s="60" t="s">
        <v>2576</v>
      </c>
    </row>
    <row r="528" spans="1:9" x14ac:dyDescent="0.25">
      <c r="A528" s="57"/>
      <c r="B528" s="63" t="s">
        <v>380</v>
      </c>
      <c r="C528" s="64" t="s">
        <v>2793</v>
      </c>
      <c r="D528" s="65">
        <v>31.200000000011642</v>
      </c>
      <c r="E528" s="66">
        <v>711.04000000003725</v>
      </c>
      <c r="F528" s="66">
        <v>3.5552000000001862</v>
      </c>
      <c r="G528" s="65">
        <v>6.3993600000003354</v>
      </c>
      <c r="H528" s="67" t="s">
        <v>2794</v>
      </c>
      <c r="I528" s="65" t="s">
        <v>2576</v>
      </c>
    </row>
    <row r="529" spans="1:9" x14ac:dyDescent="0.25">
      <c r="A529" s="57"/>
      <c r="B529" s="58" t="s">
        <v>374</v>
      </c>
      <c r="C529" s="59" t="s">
        <v>2795</v>
      </c>
      <c r="D529" s="60">
        <v>15.600000000005821</v>
      </c>
      <c r="E529" s="61">
        <v>355.52000000001863</v>
      </c>
      <c r="F529" s="61">
        <v>3.5552000000001862</v>
      </c>
      <c r="G529" s="60">
        <v>6.3993600000003354</v>
      </c>
      <c r="H529" s="62" t="s">
        <v>2796</v>
      </c>
      <c r="I529" s="60" t="s">
        <v>2576</v>
      </c>
    </row>
    <row r="530" spans="1:9" x14ac:dyDescent="0.25">
      <c r="A530" s="57"/>
      <c r="B530" s="63" t="s">
        <v>378</v>
      </c>
      <c r="C530" s="64" t="s">
        <v>2797</v>
      </c>
      <c r="D530" s="65">
        <v>31.200000000011642</v>
      </c>
      <c r="E530" s="66">
        <v>711.04000000003725</v>
      </c>
      <c r="F530" s="66">
        <v>3.5552000000001862</v>
      </c>
      <c r="G530" s="65">
        <v>6.3993600000003354</v>
      </c>
      <c r="H530" s="67" t="s">
        <v>2798</v>
      </c>
      <c r="I530" s="65" t="s">
        <v>2576</v>
      </c>
    </row>
    <row r="531" spans="1:9" x14ac:dyDescent="0.25">
      <c r="A531" s="57"/>
      <c r="B531" s="58" t="s">
        <v>375</v>
      </c>
      <c r="C531" s="59" t="s">
        <v>2799</v>
      </c>
      <c r="D531" s="60">
        <v>15.600000000005821</v>
      </c>
      <c r="E531" s="61">
        <v>355.52000000001863</v>
      </c>
      <c r="F531" s="61">
        <v>3.5552000000001862</v>
      </c>
      <c r="G531" s="60">
        <v>6.3993600000003354</v>
      </c>
      <c r="H531" s="62" t="s">
        <v>2800</v>
      </c>
      <c r="I531" s="60" t="s">
        <v>2576</v>
      </c>
    </row>
    <row r="532" spans="1:9" x14ac:dyDescent="0.25">
      <c r="A532" s="57"/>
      <c r="B532" s="63" t="s">
        <v>379</v>
      </c>
      <c r="C532" s="64" t="s">
        <v>2801</v>
      </c>
      <c r="D532" s="65">
        <v>31.200000000011642</v>
      </c>
      <c r="E532" s="66">
        <v>711.04000000003725</v>
      </c>
      <c r="F532" s="66">
        <v>3.5552000000001862</v>
      </c>
      <c r="G532" s="65">
        <v>6.3993600000003354</v>
      </c>
      <c r="H532" s="67" t="s">
        <v>2802</v>
      </c>
      <c r="I532" s="65" t="s">
        <v>2576</v>
      </c>
    </row>
    <row r="533" spans="1:9" x14ac:dyDescent="0.25">
      <c r="A533" s="57"/>
      <c r="B533" s="58" t="s">
        <v>344</v>
      </c>
      <c r="C533" s="59" t="s">
        <v>2803</v>
      </c>
      <c r="D533" s="60">
        <v>5.6999999999970896</v>
      </c>
      <c r="E533" s="61">
        <v>159.13999999989755</v>
      </c>
      <c r="F533" s="61">
        <v>0.79569999999948782</v>
      </c>
      <c r="G533" s="60">
        <v>1.4322599999990779</v>
      </c>
      <c r="H533" s="62" t="s">
        <v>2804</v>
      </c>
      <c r="I533" s="60" t="s">
        <v>2576</v>
      </c>
    </row>
    <row r="534" spans="1:9" x14ac:dyDescent="0.25">
      <c r="A534" s="57"/>
      <c r="B534" s="63" t="s">
        <v>353</v>
      </c>
      <c r="C534" s="64" t="s">
        <v>2805</v>
      </c>
      <c r="D534" s="65">
        <v>9.6000000000058208</v>
      </c>
      <c r="E534" s="66">
        <v>222.56000000005588</v>
      </c>
      <c r="F534" s="66">
        <v>1.1128000000002793</v>
      </c>
      <c r="G534" s="65">
        <v>2.0030400000005031</v>
      </c>
      <c r="H534" s="67" t="s">
        <v>2806</v>
      </c>
      <c r="I534" s="65" t="s">
        <v>2576</v>
      </c>
    </row>
    <row r="535" spans="1:9" x14ac:dyDescent="0.25">
      <c r="A535" s="57"/>
      <c r="B535" s="58" t="s">
        <v>362</v>
      </c>
      <c r="C535" s="59" t="s">
        <v>2807</v>
      </c>
      <c r="D535" s="60">
        <v>14.940000000002328</v>
      </c>
      <c r="E535" s="61">
        <v>341.68000000016764</v>
      </c>
      <c r="F535" s="61">
        <v>1.7084000000008381</v>
      </c>
      <c r="G535" s="60">
        <v>3.0751200000015086</v>
      </c>
      <c r="H535" s="62" t="s">
        <v>2808</v>
      </c>
      <c r="I535" s="60" t="s">
        <v>2576</v>
      </c>
    </row>
    <row r="536" spans="1:9" x14ac:dyDescent="0.25">
      <c r="A536" s="57"/>
      <c r="B536" s="63" t="s">
        <v>373</v>
      </c>
      <c r="C536" s="64" t="s">
        <v>2809</v>
      </c>
      <c r="D536" s="65">
        <v>22.200000000011642</v>
      </c>
      <c r="E536" s="66">
        <v>481.66000000014901</v>
      </c>
      <c r="F536" s="66">
        <v>2.4083000000007448</v>
      </c>
      <c r="G536" s="65">
        <v>4.3349400000013416</v>
      </c>
      <c r="H536" s="67" t="s">
        <v>2810</v>
      </c>
      <c r="I536" s="65" t="s">
        <v>2576</v>
      </c>
    </row>
    <row r="537" spans="1:9" x14ac:dyDescent="0.25">
      <c r="A537" s="57"/>
      <c r="B537" s="58" t="s">
        <v>382</v>
      </c>
      <c r="C537" s="59" t="s">
        <v>2811</v>
      </c>
      <c r="D537" s="60">
        <v>31.200000000011642</v>
      </c>
      <c r="E537" s="61">
        <v>711.04000000003725</v>
      </c>
      <c r="F537" s="61">
        <v>3.5552000000001862</v>
      </c>
      <c r="G537" s="60">
        <v>6.3993600000003354</v>
      </c>
      <c r="H537" s="62" t="s">
        <v>2812</v>
      </c>
      <c r="I537" s="60" t="s">
        <v>2576</v>
      </c>
    </row>
    <row r="538" spans="1:9" x14ac:dyDescent="0.25">
      <c r="A538" s="57"/>
      <c r="B538" s="63" t="s">
        <v>439</v>
      </c>
      <c r="C538" s="64" t="s">
        <v>2813</v>
      </c>
      <c r="D538" s="65">
        <v>3</v>
      </c>
      <c r="E538" s="66">
        <v>86.410000000032596</v>
      </c>
      <c r="F538" s="66">
        <v>0.86410000000032594</v>
      </c>
      <c r="G538" s="65">
        <v>1.5553800000005866</v>
      </c>
      <c r="H538" s="67" t="s">
        <v>2814</v>
      </c>
      <c r="I538" s="65" t="s">
        <v>2815</v>
      </c>
    </row>
    <row r="539" spans="1:9" x14ac:dyDescent="0.25">
      <c r="A539" s="57"/>
      <c r="B539" s="58" t="s">
        <v>445</v>
      </c>
      <c r="C539" s="59" t="s">
        <v>2816</v>
      </c>
      <c r="D539" s="60">
        <v>6</v>
      </c>
      <c r="E539" s="61">
        <v>172.85000000009313</v>
      </c>
      <c r="F539" s="61">
        <v>0.8642500000004657</v>
      </c>
      <c r="G539" s="60">
        <v>1.5556500000008382</v>
      </c>
      <c r="H539" s="62" t="s">
        <v>2817</v>
      </c>
      <c r="I539" s="60" t="s">
        <v>2815</v>
      </c>
    </row>
    <row r="540" spans="1:9" x14ac:dyDescent="0.25">
      <c r="A540" s="57"/>
      <c r="B540" s="63" t="s">
        <v>442</v>
      </c>
      <c r="C540" s="64" t="s">
        <v>2818</v>
      </c>
      <c r="D540" s="65">
        <v>3</v>
      </c>
      <c r="E540" s="66">
        <v>86.410000000032596</v>
      </c>
      <c r="F540" s="66">
        <v>0.86410000000032594</v>
      </c>
      <c r="G540" s="65">
        <v>1.5553800000005866</v>
      </c>
      <c r="H540" s="67" t="s">
        <v>2819</v>
      </c>
      <c r="I540" s="65" t="s">
        <v>2815</v>
      </c>
    </row>
    <row r="541" spans="1:9" x14ac:dyDescent="0.25">
      <c r="A541" s="57"/>
      <c r="B541" s="58" t="s">
        <v>448</v>
      </c>
      <c r="C541" s="59" t="s">
        <v>2820</v>
      </c>
      <c r="D541" s="60">
        <v>6</v>
      </c>
      <c r="E541" s="61">
        <v>172.85000000009313</v>
      </c>
      <c r="F541" s="61">
        <v>0.8642500000004657</v>
      </c>
      <c r="G541" s="60">
        <v>1.5556500000008382</v>
      </c>
      <c r="H541" s="62" t="s">
        <v>2821</v>
      </c>
      <c r="I541" s="60" t="s">
        <v>2815</v>
      </c>
    </row>
    <row r="542" spans="1:9" x14ac:dyDescent="0.25">
      <c r="A542" s="57"/>
      <c r="B542" s="63" t="s">
        <v>441</v>
      </c>
      <c r="C542" s="64" t="s">
        <v>2822</v>
      </c>
      <c r="D542" s="65">
        <v>3</v>
      </c>
      <c r="E542" s="66">
        <v>86.410000000032596</v>
      </c>
      <c r="F542" s="66">
        <v>0.86410000000032594</v>
      </c>
      <c r="G542" s="65">
        <v>1.5553800000005866</v>
      </c>
      <c r="H542" s="67" t="s">
        <v>2823</v>
      </c>
      <c r="I542" s="65" t="s">
        <v>2815</v>
      </c>
    </row>
    <row r="543" spans="1:9" x14ac:dyDescent="0.25">
      <c r="A543" s="57"/>
      <c r="B543" s="58" t="s">
        <v>447</v>
      </c>
      <c r="C543" s="59" t="s">
        <v>2824</v>
      </c>
      <c r="D543" s="60">
        <v>6</v>
      </c>
      <c r="E543" s="61">
        <v>172.85000000009313</v>
      </c>
      <c r="F543" s="61">
        <v>0.8642500000004657</v>
      </c>
      <c r="G543" s="60">
        <v>1.5556500000008382</v>
      </c>
      <c r="H543" s="62" t="s">
        <v>2825</v>
      </c>
      <c r="I543" s="60" t="s">
        <v>2815</v>
      </c>
    </row>
    <row r="544" spans="1:9" x14ac:dyDescent="0.25">
      <c r="A544" s="57"/>
      <c r="B544" s="63" t="s">
        <v>440</v>
      </c>
      <c r="C544" s="64" t="s">
        <v>2826</v>
      </c>
      <c r="D544" s="65">
        <v>3</v>
      </c>
      <c r="E544" s="66">
        <v>86.410000000032596</v>
      </c>
      <c r="F544" s="66">
        <v>0.86410000000032594</v>
      </c>
      <c r="G544" s="65">
        <v>1.5553800000005866</v>
      </c>
      <c r="H544" s="67" t="s">
        <v>2827</v>
      </c>
      <c r="I544" s="65" t="s">
        <v>2815</v>
      </c>
    </row>
    <row r="545" spans="1:9" x14ac:dyDescent="0.25">
      <c r="A545" s="57"/>
      <c r="B545" s="58" t="s">
        <v>446</v>
      </c>
      <c r="C545" s="59" t="s">
        <v>2828</v>
      </c>
      <c r="D545" s="60">
        <v>6</v>
      </c>
      <c r="E545" s="61">
        <v>172.85000000009313</v>
      </c>
      <c r="F545" s="61">
        <v>0.8642500000004657</v>
      </c>
      <c r="G545" s="60">
        <v>1.5556500000008382</v>
      </c>
      <c r="H545" s="62" t="s">
        <v>2829</v>
      </c>
      <c r="I545" s="60" t="s">
        <v>2815</v>
      </c>
    </row>
    <row r="546" spans="1:9" x14ac:dyDescent="0.25">
      <c r="A546" s="57"/>
      <c r="B546" s="63" t="s">
        <v>444</v>
      </c>
      <c r="C546" s="64" t="s">
        <v>2830</v>
      </c>
      <c r="D546" s="65">
        <v>3</v>
      </c>
      <c r="E546" s="66">
        <v>86.410000000032596</v>
      </c>
      <c r="F546" s="66">
        <v>0.86410000000032594</v>
      </c>
      <c r="G546" s="65">
        <v>1.5553800000005866</v>
      </c>
      <c r="H546" s="67" t="s">
        <v>2831</v>
      </c>
      <c r="I546" s="65" t="s">
        <v>2815</v>
      </c>
    </row>
    <row r="547" spans="1:9" x14ac:dyDescent="0.25">
      <c r="A547" s="57"/>
      <c r="B547" s="58" t="s">
        <v>450</v>
      </c>
      <c r="C547" s="59" t="s">
        <v>2832</v>
      </c>
      <c r="D547" s="60">
        <v>6</v>
      </c>
      <c r="E547" s="61">
        <v>172.85000000009313</v>
      </c>
      <c r="F547" s="61">
        <v>0.8642500000004657</v>
      </c>
      <c r="G547" s="60">
        <v>1.5556500000008382</v>
      </c>
      <c r="H547" s="62" t="s">
        <v>2833</v>
      </c>
      <c r="I547" s="60" t="s">
        <v>2815</v>
      </c>
    </row>
    <row r="548" spans="1:9" x14ac:dyDescent="0.25">
      <c r="A548" s="57"/>
      <c r="B548" s="63" t="s">
        <v>443</v>
      </c>
      <c r="C548" s="64" t="s">
        <v>2834</v>
      </c>
      <c r="D548" s="65">
        <v>3</v>
      </c>
      <c r="E548" s="66">
        <v>86.410000000032596</v>
      </c>
      <c r="F548" s="66">
        <v>0.86410000000032594</v>
      </c>
      <c r="G548" s="65">
        <v>1.5553800000005866</v>
      </c>
      <c r="H548" s="67" t="s">
        <v>2835</v>
      </c>
      <c r="I548" s="65" t="s">
        <v>2815</v>
      </c>
    </row>
    <row r="549" spans="1:9" x14ac:dyDescent="0.25">
      <c r="A549" s="57"/>
      <c r="B549" s="58" t="s">
        <v>449</v>
      </c>
      <c r="C549" s="59" t="s">
        <v>2836</v>
      </c>
      <c r="D549" s="60">
        <v>6</v>
      </c>
      <c r="E549" s="61">
        <v>172.85000000009313</v>
      </c>
      <c r="F549" s="61">
        <v>0.8642500000004657</v>
      </c>
      <c r="G549" s="60">
        <v>1.5556500000008382</v>
      </c>
      <c r="H549" s="62" t="s">
        <v>2837</v>
      </c>
      <c r="I549" s="60" t="s">
        <v>2815</v>
      </c>
    </row>
    <row r="550" spans="1:9" x14ac:dyDescent="0.25">
      <c r="A550" s="57"/>
      <c r="B550" s="63" t="s">
        <v>451</v>
      </c>
      <c r="C550" s="64" t="s">
        <v>2838</v>
      </c>
      <c r="D550" s="65">
        <v>4.5</v>
      </c>
      <c r="E550" s="66">
        <v>112.52000000001863</v>
      </c>
      <c r="F550" s="66">
        <v>1.1252000000001863</v>
      </c>
      <c r="G550" s="65">
        <v>2.0253600000003353</v>
      </c>
      <c r="H550" s="67" t="s">
        <v>2839</v>
      </c>
      <c r="I550" s="65" t="s">
        <v>2840</v>
      </c>
    </row>
    <row r="551" spans="1:9" x14ac:dyDescent="0.25">
      <c r="A551" s="57"/>
      <c r="B551" s="58" t="s">
        <v>457</v>
      </c>
      <c r="C551" s="59" t="s">
        <v>2841</v>
      </c>
      <c r="D551" s="60">
        <v>9</v>
      </c>
      <c r="E551" s="61">
        <v>225.01000000000931</v>
      </c>
      <c r="F551" s="61">
        <v>1.1250500000000465</v>
      </c>
      <c r="G551" s="60">
        <v>2.025090000000084</v>
      </c>
      <c r="H551" s="62" t="s">
        <v>2842</v>
      </c>
      <c r="I551" s="60" t="s">
        <v>2840</v>
      </c>
    </row>
    <row r="552" spans="1:9" x14ac:dyDescent="0.25">
      <c r="A552" s="57"/>
      <c r="B552" s="63" t="s">
        <v>454</v>
      </c>
      <c r="C552" s="64" t="s">
        <v>2843</v>
      </c>
      <c r="D552" s="65">
        <v>4.5</v>
      </c>
      <c r="E552" s="66">
        <v>112.52000000001863</v>
      </c>
      <c r="F552" s="66">
        <v>1.1252000000001863</v>
      </c>
      <c r="G552" s="65">
        <v>2.0253600000003353</v>
      </c>
      <c r="H552" s="67" t="s">
        <v>2844</v>
      </c>
      <c r="I552" s="65" t="s">
        <v>2840</v>
      </c>
    </row>
    <row r="553" spans="1:9" x14ac:dyDescent="0.25">
      <c r="A553" s="57"/>
      <c r="B553" s="58" t="s">
        <v>460</v>
      </c>
      <c r="C553" s="59" t="s">
        <v>2845</v>
      </c>
      <c r="D553" s="60">
        <v>9</v>
      </c>
      <c r="E553" s="61">
        <v>225.01000000000931</v>
      </c>
      <c r="F553" s="61">
        <v>1.1250500000000465</v>
      </c>
      <c r="G553" s="60">
        <v>2.025090000000084</v>
      </c>
      <c r="H553" s="62" t="s">
        <v>2846</v>
      </c>
      <c r="I553" s="60" t="s">
        <v>2840</v>
      </c>
    </row>
    <row r="554" spans="1:9" x14ac:dyDescent="0.25">
      <c r="A554" s="57"/>
      <c r="B554" s="63" t="s">
        <v>453</v>
      </c>
      <c r="C554" s="64" t="s">
        <v>2847</v>
      </c>
      <c r="D554" s="65">
        <v>4.5</v>
      </c>
      <c r="E554" s="66">
        <v>112.52000000001863</v>
      </c>
      <c r="F554" s="66">
        <v>1.1252000000001863</v>
      </c>
      <c r="G554" s="65">
        <v>2.0253600000003353</v>
      </c>
      <c r="H554" s="67" t="s">
        <v>2848</v>
      </c>
      <c r="I554" s="65" t="s">
        <v>2840</v>
      </c>
    </row>
    <row r="555" spans="1:9" x14ac:dyDescent="0.25">
      <c r="A555" s="57"/>
      <c r="B555" s="58" t="s">
        <v>459</v>
      </c>
      <c r="C555" s="59" t="s">
        <v>2849</v>
      </c>
      <c r="D555" s="60">
        <v>9</v>
      </c>
      <c r="E555" s="61">
        <v>225.01000000000931</v>
      </c>
      <c r="F555" s="61">
        <v>1.1250500000000465</v>
      </c>
      <c r="G555" s="60">
        <v>2.025090000000084</v>
      </c>
      <c r="H555" s="62" t="s">
        <v>2850</v>
      </c>
      <c r="I555" s="60" t="s">
        <v>2840</v>
      </c>
    </row>
    <row r="556" spans="1:9" x14ac:dyDescent="0.25">
      <c r="A556" s="57"/>
      <c r="B556" s="63" t="s">
        <v>551</v>
      </c>
      <c r="C556" s="64" t="s">
        <v>2851</v>
      </c>
      <c r="D556" s="65">
        <v>4.5</v>
      </c>
      <c r="E556" s="66">
        <v>134.84000000008382</v>
      </c>
      <c r="F556" s="66">
        <v>1.3484000000008383</v>
      </c>
      <c r="G556" s="65">
        <v>2.427120000001509</v>
      </c>
      <c r="H556" s="67" t="s">
        <v>2852</v>
      </c>
      <c r="I556" s="65" t="s">
        <v>2840</v>
      </c>
    </row>
    <row r="557" spans="1:9" x14ac:dyDescent="0.25">
      <c r="A557" s="57"/>
      <c r="B557" s="58" t="s">
        <v>452</v>
      </c>
      <c r="C557" s="59" t="s">
        <v>2853</v>
      </c>
      <c r="D557" s="60">
        <v>4.5</v>
      </c>
      <c r="E557" s="61">
        <v>112.52000000001863</v>
      </c>
      <c r="F557" s="61">
        <v>1.1252000000001863</v>
      </c>
      <c r="G557" s="60">
        <v>2.0253600000003353</v>
      </c>
      <c r="H557" s="62" t="s">
        <v>2854</v>
      </c>
      <c r="I557" s="60" t="s">
        <v>2840</v>
      </c>
    </row>
    <row r="558" spans="1:9" x14ac:dyDescent="0.25">
      <c r="A558" s="57"/>
      <c r="B558" s="63" t="s">
        <v>458</v>
      </c>
      <c r="C558" s="64" t="s">
        <v>2855</v>
      </c>
      <c r="D558" s="65">
        <v>9</v>
      </c>
      <c r="E558" s="66">
        <v>225.04000000003725</v>
      </c>
      <c r="F558" s="66">
        <v>1.1252000000001863</v>
      </c>
      <c r="G558" s="65">
        <v>2.0253600000003353</v>
      </c>
      <c r="H558" s="67" t="s">
        <v>2856</v>
      </c>
      <c r="I558" s="65" t="s">
        <v>2840</v>
      </c>
    </row>
    <row r="559" spans="1:9" x14ac:dyDescent="0.25">
      <c r="A559" s="57"/>
      <c r="B559" s="58" t="s">
        <v>456</v>
      </c>
      <c r="C559" s="59" t="s">
        <v>2857</v>
      </c>
      <c r="D559" s="60">
        <v>3</v>
      </c>
      <c r="E559" s="61">
        <v>112.52000000001863</v>
      </c>
      <c r="F559" s="61">
        <v>1.1252000000001863</v>
      </c>
      <c r="G559" s="60">
        <v>2.0253600000003353</v>
      </c>
      <c r="H559" s="62" t="s">
        <v>2858</v>
      </c>
      <c r="I559" s="60" t="s">
        <v>2840</v>
      </c>
    </row>
    <row r="560" spans="1:9" x14ac:dyDescent="0.25">
      <c r="A560" s="57"/>
      <c r="B560" s="63" t="s">
        <v>462</v>
      </c>
      <c r="C560" s="64" t="s">
        <v>2859</v>
      </c>
      <c r="D560" s="65">
        <v>6</v>
      </c>
      <c r="E560" s="66">
        <v>225.01000000000931</v>
      </c>
      <c r="F560" s="66">
        <v>1.1250500000000465</v>
      </c>
      <c r="G560" s="65">
        <v>2.025090000000084</v>
      </c>
      <c r="H560" s="67" t="s">
        <v>2860</v>
      </c>
      <c r="I560" s="65" t="s">
        <v>2840</v>
      </c>
    </row>
    <row r="561" spans="1:9" x14ac:dyDescent="0.25">
      <c r="A561" s="57"/>
      <c r="B561" s="58" t="s">
        <v>455</v>
      </c>
      <c r="C561" s="59" t="s">
        <v>2861</v>
      </c>
      <c r="D561" s="60">
        <v>4.5</v>
      </c>
      <c r="E561" s="61">
        <v>112.52000000001863</v>
      </c>
      <c r="F561" s="61">
        <v>1.1252000000001863</v>
      </c>
      <c r="G561" s="60">
        <v>2.0253600000003353</v>
      </c>
      <c r="H561" s="62" t="s">
        <v>2862</v>
      </c>
      <c r="I561" s="60" t="s">
        <v>2840</v>
      </c>
    </row>
    <row r="562" spans="1:9" x14ac:dyDescent="0.25">
      <c r="A562" s="57"/>
      <c r="B562" s="63" t="s">
        <v>461</v>
      </c>
      <c r="C562" s="64" t="s">
        <v>2863</v>
      </c>
      <c r="D562" s="65">
        <v>9</v>
      </c>
      <c r="E562" s="66">
        <v>225.01000000000931</v>
      </c>
      <c r="F562" s="66">
        <v>1.1250500000000465</v>
      </c>
      <c r="G562" s="65">
        <v>2.025090000000084</v>
      </c>
      <c r="H562" s="67" t="s">
        <v>2864</v>
      </c>
      <c r="I562" s="65" t="s">
        <v>2840</v>
      </c>
    </row>
    <row r="563" spans="1:9" x14ac:dyDescent="0.25">
      <c r="A563" s="57"/>
      <c r="B563" s="58" t="s">
        <v>463</v>
      </c>
      <c r="C563" s="59" t="s">
        <v>2865</v>
      </c>
      <c r="D563" s="60">
        <v>7.3000000000029104</v>
      </c>
      <c r="E563" s="61">
        <v>172.62000000011176</v>
      </c>
      <c r="F563" s="61">
        <v>1.7262000000011175</v>
      </c>
      <c r="G563" s="60">
        <v>3.1071600000020116</v>
      </c>
      <c r="H563" s="62" t="s">
        <v>2866</v>
      </c>
      <c r="I563" s="60" t="s">
        <v>2867</v>
      </c>
    </row>
    <row r="564" spans="1:9" x14ac:dyDescent="0.25">
      <c r="A564" s="57"/>
      <c r="B564" s="63" t="s">
        <v>469</v>
      </c>
      <c r="C564" s="64" t="s">
        <v>2868</v>
      </c>
      <c r="D564" s="65">
        <v>14.600000000005821</v>
      </c>
      <c r="E564" s="66">
        <v>345.20999999996275</v>
      </c>
      <c r="F564" s="66">
        <v>1.7260499999998138</v>
      </c>
      <c r="G564" s="65">
        <v>3.1068899999996646</v>
      </c>
      <c r="H564" s="67" t="s">
        <v>2869</v>
      </c>
      <c r="I564" s="65" t="s">
        <v>2867</v>
      </c>
    </row>
    <row r="565" spans="1:9" x14ac:dyDescent="0.25">
      <c r="A565" s="57"/>
      <c r="B565" s="58" t="s">
        <v>466</v>
      </c>
      <c r="C565" s="59" t="s">
        <v>2870</v>
      </c>
      <c r="D565" s="60">
        <v>7.3000000000029104</v>
      </c>
      <c r="E565" s="61">
        <v>172.62000000011176</v>
      </c>
      <c r="F565" s="61">
        <v>1.7262000000011175</v>
      </c>
      <c r="G565" s="60">
        <v>3.1071600000020116</v>
      </c>
      <c r="H565" s="62" t="s">
        <v>2871</v>
      </c>
      <c r="I565" s="60" t="s">
        <v>2867</v>
      </c>
    </row>
    <row r="566" spans="1:9" x14ac:dyDescent="0.25">
      <c r="A566" s="57"/>
      <c r="B566" s="63" t="s">
        <v>472</v>
      </c>
      <c r="C566" s="64" t="s">
        <v>2872</v>
      </c>
      <c r="D566" s="65">
        <v>14.600000000005821</v>
      </c>
      <c r="E566" s="66">
        <v>345.20999999996275</v>
      </c>
      <c r="F566" s="66">
        <v>1.7260499999998138</v>
      </c>
      <c r="G566" s="65">
        <v>3.1068899999996646</v>
      </c>
      <c r="H566" s="67" t="s">
        <v>2873</v>
      </c>
      <c r="I566" s="65" t="s">
        <v>2867</v>
      </c>
    </row>
    <row r="567" spans="1:9" x14ac:dyDescent="0.25">
      <c r="A567" s="57"/>
      <c r="B567" s="58" t="s">
        <v>465</v>
      </c>
      <c r="C567" s="59" t="s">
        <v>2874</v>
      </c>
      <c r="D567" s="60">
        <v>7.3000000000029104</v>
      </c>
      <c r="E567" s="61">
        <v>172.62000000011176</v>
      </c>
      <c r="F567" s="61">
        <v>1.7262000000011175</v>
      </c>
      <c r="G567" s="60">
        <v>3.1071600000020116</v>
      </c>
      <c r="H567" s="62" t="s">
        <v>2875</v>
      </c>
      <c r="I567" s="60" t="s">
        <v>2867</v>
      </c>
    </row>
    <row r="568" spans="1:9" x14ac:dyDescent="0.25">
      <c r="A568" s="57"/>
      <c r="B568" s="63" t="s">
        <v>471</v>
      </c>
      <c r="C568" s="64" t="s">
        <v>2876</v>
      </c>
      <c r="D568" s="65">
        <v>14.600000000005821</v>
      </c>
      <c r="E568" s="66">
        <v>345.20999999996275</v>
      </c>
      <c r="F568" s="66">
        <v>1.7260499999998138</v>
      </c>
      <c r="G568" s="65">
        <v>3.1068899999996646</v>
      </c>
      <c r="H568" s="67" t="s">
        <v>2877</v>
      </c>
      <c r="I568" s="65" t="s">
        <v>2867</v>
      </c>
    </row>
    <row r="569" spans="1:9" x14ac:dyDescent="0.25">
      <c r="A569" s="57"/>
      <c r="B569" s="58" t="s">
        <v>464</v>
      </c>
      <c r="C569" s="59" t="s">
        <v>2878</v>
      </c>
      <c r="D569" s="60">
        <v>7.3000000000029104</v>
      </c>
      <c r="E569" s="61">
        <v>172.62000000011176</v>
      </c>
      <c r="F569" s="61">
        <v>1.7262000000011175</v>
      </c>
      <c r="G569" s="60">
        <v>3.1071600000020116</v>
      </c>
      <c r="H569" s="62" t="s">
        <v>2879</v>
      </c>
      <c r="I569" s="60" t="s">
        <v>2867</v>
      </c>
    </row>
    <row r="570" spans="1:9" x14ac:dyDescent="0.25">
      <c r="A570" s="57"/>
      <c r="B570" s="63" t="s">
        <v>470</v>
      </c>
      <c r="C570" s="64" t="s">
        <v>2880</v>
      </c>
      <c r="D570" s="65">
        <v>14.600000000005821</v>
      </c>
      <c r="E570" s="66">
        <v>345.20999999996275</v>
      </c>
      <c r="F570" s="66">
        <v>1.7260499999998138</v>
      </c>
      <c r="G570" s="65">
        <v>3.1068899999996646</v>
      </c>
      <c r="H570" s="67" t="s">
        <v>2881</v>
      </c>
      <c r="I570" s="65" t="s">
        <v>2867</v>
      </c>
    </row>
    <row r="571" spans="1:9" x14ac:dyDescent="0.25">
      <c r="A571" s="57"/>
      <c r="B571" s="58" t="s">
        <v>468</v>
      </c>
      <c r="C571" s="59" t="s">
        <v>2882</v>
      </c>
      <c r="D571" s="60">
        <v>4.5</v>
      </c>
      <c r="E571" s="61">
        <v>172.62000000011176</v>
      </c>
      <c r="F571" s="61">
        <v>1.7262000000011175</v>
      </c>
      <c r="G571" s="60">
        <v>3.1071600000020116</v>
      </c>
      <c r="H571" s="62" t="s">
        <v>2883</v>
      </c>
      <c r="I571" s="60" t="s">
        <v>2867</v>
      </c>
    </row>
    <row r="572" spans="1:9" x14ac:dyDescent="0.25">
      <c r="A572" s="57"/>
      <c r="B572" s="63" t="s">
        <v>474</v>
      </c>
      <c r="C572" s="64" t="s">
        <v>2884</v>
      </c>
      <c r="D572" s="65">
        <v>9</v>
      </c>
      <c r="E572" s="66">
        <v>345.20999999996275</v>
      </c>
      <c r="F572" s="66">
        <v>1.7260499999998138</v>
      </c>
      <c r="G572" s="65">
        <v>3.1068899999996646</v>
      </c>
      <c r="H572" s="67" t="s">
        <v>2885</v>
      </c>
      <c r="I572" s="65" t="s">
        <v>2867</v>
      </c>
    </row>
    <row r="573" spans="1:9" x14ac:dyDescent="0.25">
      <c r="A573" s="57"/>
      <c r="B573" s="58" t="s">
        <v>467</v>
      </c>
      <c r="C573" s="59" t="s">
        <v>2886</v>
      </c>
      <c r="D573" s="60">
        <v>8.3000000000029104</v>
      </c>
      <c r="E573" s="61">
        <v>172.62000000011176</v>
      </c>
      <c r="F573" s="61">
        <v>1.7262000000011175</v>
      </c>
      <c r="G573" s="60">
        <v>3.1071600000020116</v>
      </c>
      <c r="H573" s="62" t="s">
        <v>2887</v>
      </c>
      <c r="I573" s="60" t="s">
        <v>2867</v>
      </c>
    </row>
    <row r="574" spans="1:9" x14ac:dyDescent="0.25">
      <c r="A574" s="57"/>
      <c r="B574" s="63" t="s">
        <v>473</v>
      </c>
      <c r="C574" s="64" t="s">
        <v>2888</v>
      </c>
      <c r="D574" s="65">
        <v>14.600000000005821</v>
      </c>
      <c r="E574" s="66">
        <v>345.20999999996275</v>
      </c>
      <c r="F574" s="66">
        <v>1.7260499999998138</v>
      </c>
      <c r="G574" s="65">
        <v>3.1068899999996646</v>
      </c>
      <c r="H574" s="67" t="s">
        <v>2889</v>
      </c>
      <c r="I574" s="65" t="s">
        <v>2867</v>
      </c>
    </row>
    <row r="575" spans="1:9" x14ac:dyDescent="0.25">
      <c r="A575" s="57"/>
      <c r="B575" s="58" t="s">
        <v>475</v>
      </c>
      <c r="C575" s="59" t="s">
        <v>2890</v>
      </c>
      <c r="D575" s="60">
        <v>10</v>
      </c>
      <c r="E575" s="61">
        <v>250.35000000009313</v>
      </c>
      <c r="F575" s="61">
        <v>2.5035000000009315</v>
      </c>
      <c r="G575" s="60">
        <v>4.5063000000016764</v>
      </c>
      <c r="H575" s="62" t="s">
        <v>2891</v>
      </c>
      <c r="I575" s="60" t="s">
        <v>2892</v>
      </c>
    </row>
    <row r="576" spans="1:9" x14ac:dyDescent="0.25">
      <c r="A576" s="57"/>
      <c r="B576" s="63" t="s">
        <v>481</v>
      </c>
      <c r="C576" s="64" t="s">
        <v>2893</v>
      </c>
      <c r="D576" s="65">
        <v>20</v>
      </c>
      <c r="E576" s="66">
        <v>500.14000000013039</v>
      </c>
      <c r="F576" s="66">
        <v>2.5007000000006521</v>
      </c>
      <c r="G576" s="65">
        <v>4.5012600000011735</v>
      </c>
      <c r="H576" s="67" t="s">
        <v>2894</v>
      </c>
      <c r="I576" s="65" t="s">
        <v>2892</v>
      </c>
    </row>
    <row r="577" spans="1:9" x14ac:dyDescent="0.25">
      <c r="A577" s="57"/>
      <c r="B577" s="58" t="s">
        <v>478</v>
      </c>
      <c r="C577" s="59" t="s">
        <v>2895</v>
      </c>
      <c r="D577" s="60">
        <v>10</v>
      </c>
      <c r="E577" s="61">
        <v>250.35000000009313</v>
      </c>
      <c r="F577" s="61">
        <v>2.5035000000009315</v>
      </c>
      <c r="G577" s="60">
        <v>4.5063000000016764</v>
      </c>
      <c r="H577" s="62" t="s">
        <v>2896</v>
      </c>
      <c r="I577" s="60" t="s">
        <v>2892</v>
      </c>
    </row>
    <row r="578" spans="1:9" x14ac:dyDescent="0.25">
      <c r="A578" s="57"/>
      <c r="B578" s="63" t="s">
        <v>484</v>
      </c>
      <c r="C578" s="64" t="s">
        <v>2897</v>
      </c>
      <c r="D578" s="65">
        <v>20</v>
      </c>
      <c r="E578" s="66">
        <v>500.14000000013039</v>
      </c>
      <c r="F578" s="66">
        <v>2.5007000000006521</v>
      </c>
      <c r="G578" s="65">
        <v>4.5012600000011735</v>
      </c>
      <c r="H578" s="67" t="s">
        <v>2898</v>
      </c>
      <c r="I578" s="65" t="s">
        <v>2892</v>
      </c>
    </row>
    <row r="579" spans="1:9" x14ac:dyDescent="0.25">
      <c r="A579" s="57"/>
      <c r="B579" s="58" t="s">
        <v>477</v>
      </c>
      <c r="C579" s="59" t="s">
        <v>2899</v>
      </c>
      <c r="D579" s="60">
        <v>10</v>
      </c>
      <c r="E579" s="61">
        <v>250.35000000009313</v>
      </c>
      <c r="F579" s="61">
        <v>2.5035000000009315</v>
      </c>
      <c r="G579" s="60">
        <v>4.5063000000016764</v>
      </c>
      <c r="H579" s="62" t="s">
        <v>2900</v>
      </c>
      <c r="I579" s="60" t="s">
        <v>2892</v>
      </c>
    </row>
    <row r="580" spans="1:9" x14ac:dyDescent="0.25">
      <c r="A580" s="57"/>
      <c r="B580" s="63" t="s">
        <v>483</v>
      </c>
      <c r="C580" s="64" t="s">
        <v>2901</v>
      </c>
      <c r="D580" s="65">
        <v>20</v>
      </c>
      <c r="E580" s="66">
        <v>500.14000000013039</v>
      </c>
      <c r="F580" s="66">
        <v>2.5007000000006521</v>
      </c>
      <c r="G580" s="65">
        <v>4.5012600000011735</v>
      </c>
      <c r="H580" s="67" t="s">
        <v>2902</v>
      </c>
      <c r="I580" s="65" t="s">
        <v>2892</v>
      </c>
    </row>
    <row r="581" spans="1:9" x14ac:dyDescent="0.25">
      <c r="A581" s="57"/>
      <c r="B581" s="58" t="s">
        <v>476</v>
      </c>
      <c r="C581" s="59" t="s">
        <v>2903</v>
      </c>
      <c r="D581" s="60">
        <v>10</v>
      </c>
      <c r="E581" s="61">
        <v>250.35000000009313</v>
      </c>
      <c r="F581" s="61">
        <v>2.5035000000009315</v>
      </c>
      <c r="G581" s="60">
        <v>4.5063000000016764</v>
      </c>
      <c r="H581" s="62" t="s">
        <v>2904</v>
      </c>
      <c r="I581" s="60" t="s">
        <v>2892</v>
      </c>
    </row>
    <row r="582" spans="1:9" x14ac:dyDescent="0.25">
      <c r="A582" s="57"/>
      <c r="B582" s="63" t="s">
        <v>482</v>
      </c>
      <c r="C582" s="64" t="s">
        <v>2905</v>
      </c>
      <c r="D582" s="65">
        <v>20</v>
      </c>
      <c r="E582" s="66">
        <v>500.14000000013039</v>
      </c>
      <c r="F582" s="66">
        <v>2.5007000000006521</v>
      </c>
      <c r="G582" s="65">
        <v>4.5012600000011735</v>
      </c>
      <c r="H582" s="67" t="s">
        <v>2906</v>
      </c>
      <c r="I582" s="65" t="s">
        <v>2892</v>
      </c>
    </row>
    <row r="583" spans="1:9" x14ac:dyDescent="0.25">
      <c r="A583" s="57"/>
      <c r="B583" s="58" t="s">
        <v>480</v>
      </c>
      <c r="C583" s="59" t="s">
        <v>2907</v>
      </c>
      <c r="D583" s="60">
        <v>6.5</v>
      </c>
      <c r="E583" s="61">
        <v>250.35000000009313</v>
      </c>
      <c r="F583" s="61">
        <v>2.5035000000009315</v>
      </c>
      <c r="G583" s="60">
        <v>4.5063000000016764</v>
      </c>
      <c r="H583" s="62" t="s">
        <v>2908</v>
      </c>
      <c r="I583" s="60" t="s">
        <v>2892</v>
      </c>
    </row>
    <row r="584" spans="1:9" x14ac:dyDescent="0.25">
      <c r="A584" s="57"/>
      <c r="B584" s="63" t="s">
        <v>486</v>
      </c>
      <c r="C584" s="64" t="s">
        <v>2909</v>
      </c>
      <c r="D584" s="65">
        <v>13</v>
      </c>
      <c r="E584" s="66">
        <v>500.14000000013039</v>
      </c>
      <c r="F584" s="66">
        <v>2.5007000000006521</v>
      </c>
      <c r="G584" s="65">
        <v>4.5012600000011735</v>
      </c>
      <c r="H584" s="67" t="s">
        <v>2910</v>
      </c>
      <c r="I584" s="65" t="s">
        <v>2892</v>
      </c>
    </row>
    <row r="585" spans="1:9" x14ac:dyDescent="0.25">
      <c r="A585" s="57"/>
      <c r="B585" s="58" t="s">
        <v>479</v>
      </c>
      <c r="C585" s="59" t="s">
        <v>2911</v>
      </c>
      <c r="D585" s="60">
        <v>10</v>
      </c>
      <c r="E585" s="61">
        <v>250.35000000009313</v>
      </c>
      <c r="F585" s="61">
        <v>2.5035000000009315</v>
      </c>
      <c r="G585" s="60">
        <v>4.5063000000016764</v>
      </c>
      <c r="H585" s="62" t="s">
        <v>2912</v>
      </c>
      <c r="I585" s="60" t="s">
        <v>2892</v>
      </c>
    </row>
    <row r="586" spans="1:9" x14ac:dyDescent="0.25">
      <c r="A586" s="57"/>
      <c r="B586" s="63" t="s">
        <v>485</v>
      </c>
      <c r="C586" s="64" t="s">
        <v>2913</v>
      </c>
      <c r="D586" s="65">
        <v>20</v>
      </c>
      <c r="E586" s="66">
        <v>500.14000000013039</v>
      </c>
      <c r="F586" s="66">
        <v>2.5007000000006521</v>
      </c>
      <c r="G586" s="65">
        <v>4.5012600000011735</v>
      </c>
      <c r="H586" s="67" t="s">
        <v>2914</v>
      </c>
      <c r="I586" s="65" t="s">
        <v>2892</v>
      </c>
    </row>
    <row r="587" spans="1:9" x14ac:dyDescent="0.25">
      <c r="A587" s="57"/>
      <c r="B587" s="58" t="s">
        <v>487</v>
      </c>
      <c r="C587" s="59" t="s">
        <v>2915</v>
      </c>
      <c r="D587" s="60">
        <v>14.5</v>
      </c>
      <c r="E587" s="61">
        <v>368.27999999979511</v>
      </c>
      <c r="F587" s="61">
        <v>3.6827999999979513</v>
      </c>
      <c r="G587" s="60">
        <v>6.6290399999963121</v>
      </c>
      <c r="H587" s="62" t="s">
        <v>2916</v>
      </c>
      <c r="I587" s="60" t="s">
        <v>2917</v>
      </c>
    </row>
    <row r="588" spans="1:9" x14ac:dyDescent="0.25">
      <c r="A588" s="57"/>
      <c r="B588" s="63" t="s">
        <v>493</v>
      </c>
      <c r="C588" s="64" t="s">
        <v>2918</v>
      </c>
      <c r="D588" s="65">
        <v>29</v>
      </c>
      <c r="E588" s="66">
        <v>736.49000000022352</v>
      </c>
      <c r="F588" s="66">
        <v>3.6824500000011176</v>
      </c>
      <c r="G588" s="65">
        <v>6.6284100000020123</v>
      </c>
      <c r="H588" s="67" t="s">
        <v>2919</v>
      </c>
      <c r="I588" s="65" t="s">
        <v>2917</v>
      </c>
    </row>
    <row r="589" spans="1:9" x14ac:dyDescent="0.25">
      <c r="A589" s="57"/>
      <c r="B589" s="58" t="s">
        <v>490</v>
      </c>
      <c r="C589" s="59" t="s">
        <v>2920</v>
      </c>
      <c r="D589" s="60">
        <v>14.5</v>
      </c>
      <c r="E589" s="61">
        <v>368.27999999979511</v>
      </c>
      <c r="F589" s="61">
        <v>3.6827999999979513</v>
      </c>
      <c r="G589" s="60">
        <v>6.6290399999963121</v>
      </c>
      <c r="H589" s="62" t="s">
        <v>2921</v>
      </c>
      <c r="I589" s="60" t="s">
        <v>2917</v>
      </c>
    </row>
    <row r="590" spans="1:9" x14ac:dyDescent="0.25">
      <c r="A590" s="57"/>
      <c r="B590" s="63" t="s">
        <v>496</v>
      </c>
      <c r="C590" s="64" t="s">
        <v>2922</v>
      </c>
      <c r="D590" s="65">
        <v>29</v>
      </c>
      <c r="E590" s="66">
        <v>736.49000000022352</v>
      </c>
      <c r="F590" s="66">
        <v>3.6824500000011176</v>
      </c>
      <c r="G590" s="65">
        <v>6.6284100000020123</v>
      </c>
      <c r="H590" s="67" t="s">
        <v>2923</v>
      </c>
      <c r="I590" s="65" t="s">
        <v>2917</v>
      </c>
    </row>
    <row r="591" spans="1:9" x14ac:dyDescent="0.25">
      <c r="A591" s="57"/>
      <c r="B591" s="58" t="s">
        <v>489</v>
      </c>
      <c r="C591" s="59" t="s">
        <v>2924</v>
      </c>
      <c r="D591" s="60">
        <v>14.5</v>
      </c>
      <c r="E591" s="61">
        <v>368.27999999979511</v>
      </c>
      <c r="F591" s="61">
        <v>3.6827999999979513</v>
      </c>
      <c r="G591" s="60">
        <v>6.6290399999963121</v>
      </c>
      <c r="H591" s="62" t="s">
        <v>2925</v>
      </c>
      <c r="I591" s="60" t="s">
        <v>2917</v>
      </c>
    </row>
    <row r="592" spans="1:9" x14ac:dyDescent="0.25">
      <c r="A592" s="57"/>
      <c r="B592" s="63" t="s">
        <v>495</v>
      </c>
      <c r="C592" s="64" t="s">
        <v>2926</v>
      </c>
      <c r="D592" s="65">
        <v>29</v>
      </c>
      <c r="E592" s="66">
        <v>736.49000000022352</v>
      </c>
      <c r="F592" s="66">
        <v>3.6824500000011176</v>
      </c>
      <c r="G592" s="65">
        <v>6.6284100000020123</v>
      </c>
      <c r="H592" s="67" t="s">
        <v>2927</v>
      </c>
      <c r="I592" s="65" t="s">
        <v>2917</v>
      </c>
    </row>
    <row r="593" spans="1:9" x14ac:dyDescent="0.25">
      <c r="A593" s="57"/>
      <c r="B593" s="58" t="s">
        <v>488</v>
      </c>
      <c r="C593" s="59" t="s">
        <v>2928</v>
      </c>
      <c r="D593" s="60">
        <v>14.5</v>
      </c>
      <c r="E593" s="61">
        <v>368.27999999979511</v>
      </c>
      <c r="F593" s="61">
        <v>3.6827999999979513</v>
      </c>
      <c r="G593" s="60">
        <v>6.6290399999963121</v>
      </c>
      <c r="H593" s="62" t="s">
        <v>2929</v>
      </c>
      <c r="I593" s="60" t="s">
        <v>2917</v>
      </c>
    </row>
    <row r="594" spans="1:9" x14ac:dyDescent="0.25">
      <c r="A594" s="57"/>
      <c r="B594" s="63" t="s">
        <v>494</v>
      </c>
      <c r="C594" s="64" t="s">
        <v>2930</v>
      </c>
      <c r="D594" s="65">
        <v>29</v>
      </c>
      <c r="E594" s="66">
        <v>736.49000000022352</v>
      </c>
      <c r="F594" s="66">
        <v>3.6824500000011176</v>
      </c>
      <c r="G594" s="65">
        <v>6.6284100000020123</v>
      </c>
      <c r="H594" s="67" t="s">
        <v>2931</v>
      </c>
      <c r="I594" s="65" t="s">
        <v>2917</v>
      </c>
    </row>
    <row r="595" spans="1:9" x14ac:dyDescent="0.25">
      <c r="A595" s="57"/>
      <c r="B595" s="58" t="s">
        <v>492</v>
      </c>
      <c r="C595" s="59" t="s">
        <v>2932</v>
      </c>
      <c r="D595" s="60">
        <v>9</v>
      </c>
      <c r="E595" s="61">
        <v>368.27999999979511</v>
      </c>
      <c r="F595" s="61">
        <v>3.6827999999979513</v>
      </c>
      <c r="G595" s="60">
        <v>6.6290399999963121</v>
      </c>
      <c r="H595" s="62" t="s">
        <v>2933</v>
      </c>
      <c r="I595" s="60" t="s">
        <v>2917</v>
      </c>
    </row>
    <row r="596" spans="1:9" x14ac:dyDescent="0.25">
      <c r="A596" s="57"/>
      <c r="B596" s="63" t="s">
        <v>498</v>
      </c>
      <c r="C596" s="64" t="s">
        <v>2934</v>
      </c>
      <c r="D596" s="65">
        <v>18</v>
      </c>
      <c r="E596" s="66">
        <v>736.49000000022352</v>
      </c>
      <c r="F596" s="66">
        <v>3.6824500000011176</v>
      </c>
      <c r="G596" s="65">
        <v>6.6284100000020123</v>
      </c>
      <c r="H596" s="67" t="s">
        <v>2935</v>
      </c>
      <c r="I596" s="65" t="s">
        <v>2917</v>
      </c>
    </row>
    <row r="597" spans="1:9" x14ac:dyDescent="0.25">
      <c r="A597" s="57"/>
      <c r="B597" s="58" t="s">
        <v>491</v>
      </c>
      <c r="C597" s="59" t="s">
        <v>2936</v>
      </c>
      <c r="D597" s="60">
        <v>14.5</v>
      </c>
      <c r="E597" s="61">
        <v>368.27999999979511</v>
      </c>
      <c r="F597" s="61">
        <v>3.6827999999979513</v>
      </c>
      <c r="G597" s="60">
        <v>6.6290399999963121</v>
      </c>
      <c r="H597" s="62" t="s">
        <v>2937</v>
      </c>
      <c r="I597" s="60" t="s">
        <v>2917</v>
      </c>
    </row>
    <row r="598" spans="1:9" x14ac:dyDescent="0.25">
      <c r="A598" s="57"/>
      <c r="B598" s="63" t="s">
        <v>497</v>
      </c>
      <c r="C598" s="64" t="s">
        <v>2938</v>
      </c>
      <c r="D598" s="65">
        <v>29</v>
      </c>
      <c r="E598" s="66">
        <v>736.49000000022352</v>
      </c>
      <c r="F598" s="66">
        <v>3.6824500000011176</v>
      </c>
      <c r="G598" s="65">
        <v>6.6284100000020123</v>
      </c>
      <c r="H598" s="67" t="s">
        <v>2939</v>
      </c>
      <c r="I598" s="65" t="s">
        <v>2917</v>
      </c>
    </row>
    <row r="599" spans="1:9" x14ac:dyDescent="0.25">
      <c r="A599" s="57"/>
      <c r="B599" s="58" t="s">
        <v>499</v>
      </c>
      <c r="C599" s="59" t="s">
        <v>2940</v>
      </c>
      <c r="D599" s="60">
        <v>19</v>
      </c>
      <c r="E599" s="61">
        <v>456.27999999979511</v>
      </c>
      <c r="F599" s="61">
        <v>4.5627999999979512</v>
      </c>
      <c r="G599" s="60">
        <v>8.2130399999963117</v>
      </c>
      <c r="H599" s="62" t="s">
        <v>2941</v>
      </c>
      <c r="I599" s="60" t="s">
        <v>2942</v>
      </c>
    </row>
    <row r="600" spans="1:9" x14ac:dyDescent="0.25">
      <c r="A600" s="57"/>
      <c r="B600" s="63" t="s">
        <v>505</v>
      </c>
      <c r="C600" s="64" t="s">
        <v>2943</v>
      </c>
      <c r="D600" s="65">
        <v>38</v>
      </c>
      <c r="E600" s="66">
        <v>912.54999999981374</v>
      </c>
      <c r="F600" s="66">
        <v>4.5627499999990686</v>
      </c>
      <c r="G600" s="65">
        <v>8.2129499999983242</v>
      </c>
      <c r="H600" s="67" t="s">
        <v>2944</v>
      </c>
      <c r="I600" s="65" t="s">
        <v>2942</v>
      </c>
    </row>
    <row r="601" spans="1:9" x14ac:dyDescent="0.25">
      <c r="A601" s="57"/>
      <c r="B601" s="58" t="s">
        <v>502</v>
      </c>
      <c r="C601" s="59" t="s">
        <v>2945</v>
      </c>
      <c r="D601" s="60">
        <v>19</v>
      </c>
      <c r="E601" s="61">
        <v>456.27999999979511</v>
      </c>
      <c r="F601" s="61">
        <v>4.5627999999979512</v>
      </c>
      <c r="G601" s="60">
        <v>8.2130399999963117</v>
      </c>
      <c r="H601" s="62" t="s">
        <v>2946</v>
      </c>
      <c r="I601" s="60" t="s">
        <v>2942</v>
      </c>
    </row>
    <row r="602" spans="1:9" x14ac:dyDescent="0.25">
      <c r="A602" s="57"/>
      <c r="B602" s="63" t="s">
        <v>508</v>
      </c>
      <c r="C602" s="64" t="s">
        <v>2947</v>
      </c>
      <c r="D602" s="65">
        <v>38</v>
      </c>
      <c r="E602" s="66">
        <v>912.54999999981374</v>
      </c>
      <c r="F602" s="66">
        <v>4.5627499999990686</v>
      </c>
      <c r="G602" s="65">
        <v>8.2129499999983242</v>
      </c>
      <c r="H602" s="67" t="s">
        <v>2948</v>
      </c>
      <c r="I602" s="65" t="s">
        <v>2942</v>
      </c>
    </row>
    <row r="603" spans="1:9" x14ac:dyDescent="0.25">
      <c r="A603" s="57"/>
      <c r="B603" s="58" t="s">
        <v>501</v>
      </c>
      <c r="C603" s="59" t="s">
        <v>2949</v>
      </c>
      <c r="D603" s="60">
        <v>19</v>
      </c>
      <c r="E603" s="61">
        <v>456.27999999979511</v>
      </c>
      <c r="F603" s="61">
        <v>4.5627999999979512</v>
      </c>
      <c r="G603" s="60">
        <v>8.2130399999963117</v>
      </c>
      <c r="H603" s="62" t="s">
        <v>2950</v>
      </c>
      <c r="I603" s="60" t="s">
        <v>2942</v>
      </c>
    </row>
    <row r="604" spans="1:9" x14ac:dyDescent="0.25">
      <c r="A604" s="57"/>
      <c r="B604" s="63" t="s">
        <v>507</v>
      </c>
      <c r="C604" s="64" t="s">
        <v>2951</v>
      </c>
      <c r="D604" s="65">
        <v>38</v>
      </c>
      <c r="E604" s="66">
        <v>912.54999999981374</v>
      </c>
      <c r="F604" s="66">
        <v>4.5627499999990686</v>
      </c>
      <c r="G604" s="65">
        <v>8.2129499999983242</v>
      </c>
      <c r="H604" s="67" t="s">
        <v>2952</v>
      </c>
      <c r="I604" s="65" t="s">
        <v>2942</v>
      </c>
    </row>
    <row r="605" spans="1:9" x14ac:dyDescent="0.25">
      <c r="A605" s="57"/>
      <c r="B605" s="58" t="s">
        <v>500</v>
      </c>
      <c r="C605" s="59" t="s">
        <v>2953</v>
      </c>
      <c r="D605" s="60">
        <v>19</v>
      </c>
      <c r="E605" s="61">
        <v>456.27999999979511</v>
      </c>
      <c r="F605" s="61">
        <v>4.5627999999979512</v>
      </c>
      <c r="G605" s="60">
        <v>8.2130399999963117</v>
      </c>
      <c r="H605" s="62" t="s">
        <v>2954</v>
      </c>
      <c r="I605" s="60" t="s">
        <v>2942</v>
      </c>
    </row>
    <row r="606" spans="1:9" x14ac:dyDescent="0.25">
      <c r="A606" s="57"/>
      <c r="B606" s="63" t="s">
        <v>506</v>
      </c>
      <c r="C606" s="64" t="s">
        <v>2955</v>
      </c>
      <c r="D606" s="65">
        <v>38</v>
      </c>
      <c r="E606" s="66">
        <v>912.54999999981374</v>
      </c>
      <c r="F606" s="66">
        <v>4.5627499999990686</v>
      </c>
      <c r="G606" s="65">
        <v>8.2129499999983242</v>
      </c>
      <c r="H606" s="67" t="s">
        <v>2956</v>
      </c>
      <c r="I606" s="65" t="s">
        <v>2942</v>
      </c>
    </row>
    <row r="607" spans="1:9" x14ac:dyDescent="0.25">
      <c r="A607" s="57"/>
      <c r="B607" s="58" t="s">
        <v>504</v>
      </c>
      <c r="C607" s="59" t="s">
        <v>2957</v>
      </c>
      <c r="D607" s="60">
        <v>11.5</v>
      </c>
      <c r="E607" s="61">
        <v>456.27999999979511</v>
      </c>
      <c r="F607" s="61">
        <v>4.5627999999979512</v>
      </c>
      <c r="G607" s="60">
        <v>8.2130399999963117</v>
      </c>
      <c r="H607" s="62" t="s">
        <v>2958</v>
      </c>
      <c r="I607" s="60" t="s">
        <v>2942</v>
      </c>
    </row>
    <row r="608" spans="1:9" x14ac:dyDescent="0.25">
      <c r="A608" s="57"/>
      <c r="B608" s="63" t="s">
        <v>510</v>
      </c>
      <c r="C608" s="64" t="s">
        <v>2959</v>
      </c>
      <c r="D608" s="65">
        <v>23</v>
      </c>
      <c r="E608" s="66">
        <v>912.54999999981374</v>
      </c>
      <c r="F608" s="66">
        <v>4.5627499999990686</v>
      </c>
      <c r="G608" s="65">
        <v>8.2129499999983242</v>
      </c>
      <c r="H608" s="67" t="s">
        <v>2960</v>
      </c>
      <c r="I608" s="65" t="s">
        <v>2942</v>
      </c>
    </row>
    <row r="609" spans="1:9" x14ac:dyDescent="0.25">
      <c r="A609" s="57"/>
      <c r="B609" s="58" t="s">
        <v>503</v>
      </c>
      <c r="C609" s="59" t="s">
        <v>2961</v>
      </c>
      <c r="D609" s="60">
        <v>19</v>
      </c>
      <c r="E609" s="61">
        <v>456.27999999979511</v>
      </c>
      <c r="F609" s="61">
        <v>4.5627999999979512</v>
      </c>
      <c r="G609" s="60">
        <v>8.2130399999963117</v>
      </c>
      <c r="H609" s="62" t="s">
        <v>2962</v>
      </c>
      <c r="I609" s="60" t="s">
        <v>2942</v>
      </c>
    </row>
    <row r="610" spans="1:9" x14ac:dyDescent="0.25">
      <c r="A610" s="57"/>
      <c r="B610" s="63" t="s">
        <v>509</v>
      </c>
      <c r="C610" s="64" t="s">
        <v>2963</v>
      </c>
      <c r="D610" s="65">
        <v>38</v>
      </c>
      <c r="E610" s="66">
        <v>912.54999999981374</v>
      </c>
      <c r="F610" s="66">
        <v>4.5627499999990686</v>
      </c>
      <c r="G610" s="65">
        <v>8.2129499999983242</v>
      </c>
      <c r="H610" s="67" t="s">
        <v>2964</v>
      </c>
      <c r="I610" s="65" t="s">
        <v>2942</v>
      </c>
    </row>
    <row r="611" spans="1:9" x14ac:dyDescent="0.25">
      <c r="A611" s="57"/>
      <c r="B611" s="58" t="s">
        <v>511</v>
      </c>
      <c r="C611" s="59" t="s">
        <v>2965</v>
      </c>
      <c r="D611" s="60">
        <v>23.5</v>
      </c>
      <c r="E611" s="61">
        <v>570.82000000029802</v>
      </c>
      <c r="F611" s="61">
        <v>5.7082000000029804</v>
      </c>
      <c r="G611" s="60">
        <v>10.274760000005365</v>
      </c>
      <c r="H611" s="62" t="s">
        <v>2966</v>
      </c>
      <c r="I611" s="60" t="s">
        <v>2967</v>
      </c>
    </row>
    <row r="612" spans="1:9" x14ac:dyDescent="0.25">
      <c r="A612" s="57"/>
      <c r="B612" s="63" t="s">
        <v>517</v>
      </c>
      <c r="C612" s="64" t="s">
        <v>2968</v>
      </c>
      <c r="D612" s="65">
        <v>47</v>
      </c>
      <c r="E612" s="66">
        <v>1141.6199999991804</v>
      </c>
      <c r="F612" s="66">
        <v>5.7080999999959019</v>
      </c>
      <c r="G612" s="65">
        <v>10.274579999992625</v>
      </c>
      <c r="H612" s="67" t="s">
        <v>2969</v>
      </c>
      <c r="I612" s="65" t="s">
        <v>2967</v>
      </c>
    </row>
    <row r="613" spans="1:9" x14ac:dyDescent="0.25">
      <c r="A613" s="57"/>
      <c r="B613" s="58" t="s">
        <v>514</v>
      </c>
      <c r="C613" s="59" t="s">
        <v>2970</v>
      </c>
      <c r="D613" s="60">
        <v>23.149999999994179</v>
      </c>
      <c r="E613" s="61">
        <v>570.82000000029802</v>
      </c>
      <c r="F613" s="61">
        <v>5.7082000000029804</v>
      </c>
      <c r="G613" s="60">
        <v>10.274760000005365</v>
      </c>
      <c r="H613" s="62" t="s">
        <v>2971</v>
      </c>
      <c r="I613" s="60" t="s">
        <v>2967</v>
      </c>
    </row>
    <row r="614" spans="1:9" x14ac:dyDescent="0.25">
      <c r="A614" s="57"/>
      <c r="B614" s="63" t="s">
        <v>520</v>
      </c>
      <c r="C614" s="64" t="s">
        <v>2972</v>
      </c>
      <c r="D614" s="65">
        <v>47</v>
      </c>
      <c r="E614" s="66">
        <v>1141.6199999991804</v>
      </c>
      <c r="F614" s="66">
        <v>5.7080999999959019</v>
      </c>
      <c r="G614" s="65">
        <v>10.274579999992625</v>
      </c>
      <c r="H614" s="67" t="s">
        <v>2973</v>
      </c>
      <c r="I614" s="65" t="s">
        <v>2967</v>
      </c>
    </row>
    <row r="615" spans="1:9" x14ac:dyDescent="0.25">
      <c r="A615" s="57"/>
      <c r="B615" s="58" t="s">
        <v>513</v>
      </c>
      <c r="C615" s="59" t="s">
        <v>2974</v>
      </c>
      <c r="D615" s="60">
        <v>23.149999999994179</v>
      </c>
      <c r="E615" s="61">
        <v>570.82000000029802</v>
      </c>
      <c r="F615" s="61">
        <v>5.7082000000029804</v>
      </c>
      <c r="G615" s="60">
        <v>10.274760000005365</v>
      </c>
      <c r="H615" s="62" t="s">
        <v>2975</v>
      </c>
      <c r="I615" s="60" t="s">
        <v>2967</v>
      </c>
    </row>
    <row r="616" spans="1:9" x14ac:dyDescent="0.25">
      <c r="A616" s="57"/>
      <c r="B616" s="63" t="s">
        <v>519</v>
      </c>
      <c r="C616" s="64" t="s">
        <v>2976</v>
      </c>
      <c r="D616" s="65">
        <v>47</v>
      </c>
      <c r="E616" s="66">
        <v>1141.6199999991804</v>
      </c>
      <c r="F616" s="66">
        <v>5.7080999999959019</v>
      </c>
      <c r="G616" s="65">
        <v>10.274579999992625</v>
      </c>
      <c r="H616" s="67" t="s">
        <v>2977</v>
      </c>
      <c r="I616" s="65" t="s">
        <v>2967</v>
      </c>
    </row>
    <row r="617" spans="1:9" x14ac:dyDescent="0.25">
      <c r="A617" s="57"/>
      <c r="B617" s="58" t="s">
        <v>512</v>
      </c>
      <c r="C617" s="59" t="s">
        <v>2978</v>
      </c>
      <c r="D617" s="60">
        <v>23.5</v>
      </c>
      <c r="E617" s="61">
        <v>570.82000000029802</v>
      </c>
      <c r="F617" s="61">
        <v>5.7082000000029804</v>
      </c>
      <c r="G617" s="60">
        <v>10.274760000005365</v>
      </c>
      <c r="H617" s="62" t="s">
        <v>2979</v>
      </c>
      <c r="I617" s="60" t="s">
        <v>2967</v>
      </c>
    </row>
    <row r="618" spans="1:9" x14ac:dyDescent="0.25">
      <c r="A618" s="57"/>
      <c r="B618" s="63" t="s">
        <v>518</v>
      </c>
      <c r="C618" s="64" t="s">
        <v>2980</v>
      </c>
      <c r="D618" s="65">
        <v>47</v>
      </c>
      <c r="E618" s="66">
        <v>1141.6199999991804</v>
      </c>
      <c r="F618" s="66">
        <v>5.7080999999959019</v>
      </c>
      <c r="G618" s="65">
        <v>10.274579999992625</v>
      </c>
      <c r="H618" s="67" t="s">
        <v>2981</v>
      </c>
      <c r="I618" s="65" t="s">
        <v>2967</v>
      </c>
    </row>
    <row r="619" spans="1:9" x14ac:dyDescent="0.25">
      <c r="A619" s="57"/>
      <c r="B619" s="58" t="s">
        <v>516</v>
      </c>
      <c r="C619" s="59" t="s">
        <v>2982</v>
      </c>
      <c r="D619" s="60">
        <v>14.80000000000291</v>
      </c>
      <c r="E619" s="61">
        <v>570.82000000029802</v>
      </c>
      <c r="F619" s="61">
        <v>5.7082000000029804</v>
      </c>
      <c r="G619" s="60">
        <v>10.274760000005365</v>
      </c>
      <c r="H619" s="62" t="s">
        <v>2983</v>
      </c>
      <c r="I619" s="60" t="s">
        <v>2967</v>
      </c>
    </row>
    <row r="620" spans="1:9" x14ac:dyDescent="0.25">
      <c r="A620" s="57"/>
      <c r="B620" s="63" t="s">
        <v>522</v>
      </c>
      <c r="C620" s="64" t="s">
        <v>2984</v>
      </c>
      <c r="D620" s="65">
        <v>29.600000000005821</v>
      </c>
      <c r="E620" s="66">
        <v>1141.6199999991804</v>
      </c>
      <c r="F620" s="66">
        <v>5.7080999999959019</v>
      </c>
      <c r="G620" s="65">
        <v>10.274579999992625</v>
      </c>
      <c r="H620" s="67" t="s">
        <v>2985</v>
      </c>
      <c r="I620" s="65" t="s">
        <v>2967</v>
      </c>
    </row>
    <row r="621" spans="1:9" x14ac:dyDescent="0.25">
      <c r="A621" s="57"/>
      <c r="B621" s="58" t="s">
        <v>515</v>
      </c>
      <c r="C621" s="59" t="s">
        <v>2986</v>
      </c>
      <c r="D621" s="60">
        <v>23.5</v>
      </c>
      <c r="E621" s="61">
        <v>570.82000000029802</v>
      </c>
      <c r="F621" s="61">
        <v>5.7082000000029804</v>
      </c>
      <c r="G621" s="60">
        <v>10.274760000005365</v>
      </c>
      <c r="H621" s="62" t="s">
        <v>2987</v>
      </c>
      <c r="I621" s="60" t="s">
        <v>2967</v>
      </c>
    </row>
    <row r="622" spans="1:9" x14ac:dyDescent="0.25">
      <c r="A622" s="57"/>
      <c r="B622" s="63" t="s">
        <v>521</v>
      </c>
      <c r="C622" s="64" t="s">
        <v>2988</v>
      </c>
      <c r="D622" s="65">
        <v>47</v>
      </c>
      <c r="E622" s="66">
        <v>1141.6199999991804</v>
      </c>
      <c r="F622" s="66">
        <v>5.7080999999959019</v>
      </c>
      <c r="G622" s="65">
        <v>10.274579999992625</v>
      </c>
      <c r="H622" s="67" t="s">
        <v>2989</v>
      </c>
      <c r="I622" s="65" t="s">
        <v>2967</v>
      </c>
    </row>
    <row r="623" spans="1:9" x14ac:dyDescent="0.25">
      <c r="A623" s="57"/>
      <c r="B623" s="58" t="s">
        <v>523</v>
      </c>
      <c r="C623" s="59" t="s">
        <v>2990</v>
      </c>
      <c r="D623" s="60">
        <v>28.5</v>
      </c>
      <c r="E623" s="61">
        <v>636.70000000018626</v>
      </c>
      <c r="F623" s="61">
        <v>6.3670000000018625</v>
      </c>
      <c r="G623" s="60">
        <v>11.460600000003353</v>
      </c>
      <c r="H623" s="62" t="s">
        <v>2991</v>
      </c>
      <c r="I623" s="60" t="s">
        <v>2992</v>
      </c>
    </row>
    <row r="624" spans="1:9" x14ac:dyDescent="0.25">
      <c r="A624" s="57"/>
      <c r="B624" s="63" t="s">
        <v>529</v>
      </c>
      <c r="C624" s="64" t="s">
        <v>2993</v>
      </c>
      <c r="D624" s="65">
        <v>57</v>
      </c>
      <c r="E624" s="66">
        <v>1273.4000000003725</v>
      </c>
      <c r="F624" s="66">
        <v>6.3670000000018625</v>
      </c>
      <c r="G624" s="65">
        <v>11.460600000003353</v>
      </c>
      <c r="H624" s="67" t="s">
        <v>2994</v>
      </c>
      <c r="I624" s="65" t="s">
        <v>2992</v>
      </c>
    </row>
    <row r="625" spans="1:9" x14ac:dyDescent="0.25">
      <c r="A625" s="57"/>
      <c r="B625" s="58" t="s">
        <v>526</v>
      </c>
      <c r="C625" s="59" t="s">
        <v>2995</v>
      </c>
      <c r="D625" s="60">
        <v>28.5</v>
      </c>
      <c r="E625" s="61">
        <v>636.70000000018626</v>
      </c>
      <c r="F625" s="61">
        <v>6.3670000000018625</v>
      </c>
      <c r="G625" s="60">
        <v>11.460600000003353</v>
      </c>
      <c r="H625" s="62" t="s">
        <v>2996</v>
      </c>
      <c r="I625" s="60" t="s">
        <v>2992</v>
      </c>
    </row>
    <row r="626" spans="1:9" x14ac:dyDescent="0.25">
      <c r="A626" s="57"/>
      <c r="B626" s="63" t="s">
        <v>532</v>
      </c>
      <c r="C626" s="64" t="s">
        <v>2997</v>
      </c>
      <c r="D626" s="65">
        <v>57</v>
      </c>
      <c r="E626" s="66">
        <v>1273.4000000003725</v>
      </c>
      <c r="F626" s="66">
        <v>6.3670000000018625</v>
      </c>
      <c r="G626" s="65">
        <v>11.460600000003353</v>
      </c>
      <c r="H626" s="67" t="s">
        <v>2998</v>
      </c>
      <c r="I626" s="65" t="s">
        <v>2992</v>
      </c>
    </row>
    <row r="627" spans="1:9" x14ac:dyDescent="0.25">
      <c r="A627" s="57"/>
      <c r="B627" s="58" t="s">
        <v>525</v>
      </c>
      <c r="C627" s="59" t="s">
        <v>2999</v>
      </c>
      <c r="D627" s="60">
        <v>28.5</v>
      </c>
      <c r="E627" s="61">
        <v>636.70000000018626</v>
      </c>
      <c r="F627" s="61">
        <v>6.3670000000018625</v>
      </c>
      <c r="G627" s="60">
        <v>11.460600000003353</v>
      </c>
      <c r="H627" s="62" t="s">
        <v>3000</v>
      </c>
      <c r="I627" s="60" t="s">
        <v>2992</v>
      </c>
    </row>
    <row r="628" spans="1:9" x14ac:dyDescent="0.25">
      <c r="A628" s="57"/>
      <c r="B628" s="63" t="s">
        <v>531</v>
      </c>
      <c r="C628" s="64" t="s">
        <v>3001</v>
      </c>
      <c r="D628" s="65">
        <v>57</v>
      </c>
      <c r="E628" s="66">
        <v>1273.4000000003725</v>
      </c>
      <c r="F628" s="66">
        <v>6.3670000000018625</v>
      </c>
      <c r="G628" s="65">
        <v>11.460600000003353</v>
      </c>
      <c r="H628" s="67" t="s">
        <v>3002</v>
      </c>
      <c r="I628" s="65" t="s">
        <v>2992</v>
      </c>
    </row>
    <row r="629" spans="1:9" x14ac:dyDescent="0.25">
      <c r="A629" s="57"/>
      <c r="B629" s="58" t="s">
        <v>524</v>
      </c>
      <c r="C629" s="59" t="s">
        <v>3003</v>
      </c>
      <c r="D629" s="60">
        <v>28.5</v>
      </c>
      <c r="E629" s="61">
        <v>636.70000000018626</v>
      </c>
      <c r="F629" s="61">
        <v>6.3670000000018625</v>
      </c>
      <c r="G629" s="60">
        <v>11.460600000003353</v>
      </c>
      <c r="H629" s="62" t="s">
        <v>3004</v>
      </c>
      <c r="I629" s="60" t="s">
        <v>2992</v>
      </c>
    </row>
    <row r="630" spans="1:9" x14ac:dyDescent="0.25">
      <c r="A630" s="57"/>
      <c r="B630" s="63" t="s">
        <v>530</v>
      </c>
      <c r="C630" s="64" t="s">
        <v>3005</v>
      </c>
      <c r="D630" s="65">
        <v>57</v>
      </c>
      <c r="E630" s="66">
        <v>1273.3699999991804</v>
      </c>
      <c r="F630" s="66">
        <v>6.3668499999959023</v>
      </c>
      <c r="G630" s="65">
        <v>11.460329999992625</v>
      </c>
      <c r="H630" s="67" t="s">
        <v>3006</v>
      </c>
      <c r="I630" s="65" t="s">
        <v>2992</v>
      </c>
    </row>
    <row r="631" spans="1:9" x14ac:dyDescent="0.25">
      <c r="A631" s="57"/>
      <c r="B631" s="58" t="s">
        <v>528</v>
      </c>
      <c r="C631" s="59" t="s">
        <v>3007</v>
      </c>
      <c r="D631" s="60">
        <v>18</v>
      </c>
      <c r="E631" s="61">
        <v>636.70000000018626</v>
      </c>
      <c r="F631" s="61">
        <v>6.3670000000018625</v>
      </c>
      <c r="G631" s="60">
        <v>11.460600000003353</v>
      </c>
      <c r="H631" s="62" t="s">
        <v>3008</v>
      </c>
      <c r="I631" s="60" t="s">
        <v>2992</v>
      </c>
    </row>
    <row r="632" spans="1:9" x14ac:dyDescent="0.25">
      <c r="A632" s="57"/>
      <c r="B632" s="63" t="s">
        <v>534</v>
      </c>
      <c r="C632" s="64" t="s">
        <v>3009</v>
      </c>
      <c r="D632" s="65">
        <v>36</v>
      </c>
      <c r="E632" s="66">
        <v>1273.4000000003725</v>
      </c>
      <c r="F632" s="66">
        <v>6.3670000000018625</v>
      </c>
      <c r="G632" s="65">
        <v>11.460600000003353</v>
      </c>
      <c r="H632" s="67" t="s">
        <v>3010</v>
      </c>
      <c r="I632" s="65" t="s">
        <v>2992</v>
      </c>
    </row>
    <row r="633" spans="1:9" x14ac:dyDescent="0.25">
      <c r="A633" s="57"/>
      <c r="B633" s="58" t="s">
        <v>527</v>
      </c>
      <c r="C633" s="59" t="s">
        <v>3011</v>
      </c>
      <c r="D633" s="60">
        <v>28.5</v>
      </c>
      <c r="E633" s="61">
        <v>636.70000000018626</v>
      </c>
      <c r="F633" s="61">
        <v>6.3670000000018625</v>
      </c>
      <c r="G633" s="60">
        <v>11.460600000003353</v>
      </c>
      <c r="H633" s="62" t="s">
        <v>3012</v>
      </c>
      <c r="I633" s="60" t="s">
        <v>2992</v>
      </c>
    </row>
    <row r="634" spans="1:9" x14ac:dyDescent="0.25">
      <c r="A634" s="57"/>
      <c r="B634" s="63" t="s">
        <v>533</v>
      </c>
      <c r="C634" s="64" t="s">
        <v>3013</v>
      </c>
      <c r="D634" s="65">
        <v>57</v>
      </c>
      <c r="E634" s="66">
        <v>1273.4000000003725</v>
      </c>
      <c r="F634" s="66">
        <v>6.3670000000018625</v>
      </c>
      <c r="G634" s="65">
        <v>11.460600000003353</v>
      </c>
      <c r="H634" s="67" t="s">
        <v>3014</v>
      </c>
      <c r="I634" s="65" t="s">
        <v>2992</v>
      </c>
    </row>
    <row r="635" spans="1:9" x14ac:dyDescent="0.25">
      <c r="A635" s="57"/>
      <c r="B635" s="58" t="s">
        <v>535</v>
      </c>
      <c r="C635" s="59" t="s">
        <v>3015</v>
      </c>
      <c r="D635" s="60">
        <v>42</v>
      </c>
      <c r="E635" s="61">
        <v>893.75</v>
      </c>
      <c r="F635" s="61">
        <v>8.9375</v>
      </c>
      <c r="G635" s="60">
        <v>16.087499999999999</v>
      </c>
      <c r="H635" s="62" t="s">
        <v>3016</v>
      </c>
      <c r="I635" s="60" t="s">
        <v>3017</v>
      </c>
    </row>
    <row r="636" spans="1:9" x14ac:dyDescent="0.25">
      <c r="A636" s="57"/>
      <c r="B636" s="63" t="s">
        <v>3018</v>
      </c>
      <c r="C636" s="64" t="s">
        <v>3019</v>
      </c>
      <c r="D636" s="65">
        <v>84</v>
      </c>
      <c r="E636" s="66">
        <v>1787.519999999553</v>
      </c>
      <c r="F636" s="66">
        <v>8.9375999999977651</v>
      </c>
      <c r="G636" s="65">
        <v>16.087679999995977</v>
      </c>
      <c r="H636" s="67" t="s">
        <v>3020</v>
      </c>
      <c r="I636" s="65" t="s">
        <v>3017</v>
      </c>
    </row>
    <row r="637" spans="1:9" x14ac:dyDescent="0.25">
      <c r="A637" s="57"/>
      <c r="B637" s="58" t="s">
        <v>540</v>
      </c>
      <c r="C637" s="59" t="s">
        <v>3021</v>
      </c>
      <c r="D637" s="60">
        <v>3</v>
      </c>
      <c r="E637" s="61">
        <v>103.70999999996275</v>
      </c>
      <c r="F637" s="61">
        <v>1.0370999999996275</v>
      </c>
      <c r="G637" s="60">
        <v>1.8667799999993295</v>
      </c>
      <c r="H637" s="62" t="s">
        <v>3022</v>
      </c>
      <c r="I637" s="60" t="s">
        <v>2815</v>
      </c>
    </row>
    <row r="638" spans="1:9" x14ac:dyDescent="0.25">
      <c r="A638" s="57"/>
      <c r="B638" s="63" t="s">
        <v>544</v>
      </c>
      <c r="C638" s="64" t="s">
        <v>3023</v>
      </c>
      <c r="D638" s="65">
        <v>6</v>
      </c>
      <c r="E638" s="66">
        <v>207.37999999988824</v>
      </c>
      <c r="F638" s="66">
        <v>1.0368999999994413</v>
      </c>
      <c r="G638" s="65">
        <v>1.8664199999989941</v>
      </c>
      <c r="H638" s="67" t="s">
        <v>3024</v>
      </c>
      <c r="I638" s="65" t="s">
        <v>2815</v>
      </c>
    </row>
    <row r="639" spans="1:9" x14ac:dyDescent="0.25">
      <c r="A639" s="57"/>
      <c r="B639" s="58" t="s">
        <v>542</v>
      </c>
      <c r="C639" s="59" t="s">
        <v>3025</v>
      </c>
      <c r="D639" s="60">
        <v>3</v>
      </c>
      <c r="E639" s="61">
        <v>103.70999999996275</v>
      </c>
      <c r="F639" s="61">
        <v>1.0370999999996275</v>
      </c>
      <c r="G639" s="60">
        <v>1.8667799999993295</v>
      </c>
      <c r="H639" s="62" t="s">
        <v>3026</v>
      </c>
      <c r="I639" s="60" t="s">
        <v>2815</v>
      </c>
    </row>
    <row r="640" spans="1:9" x14ac:dyDescent="0.25">
      <c r="A640" s="57"/>
      <c r="B640" s="63" t="s">
        <v>546</v>
      </c>
      <c r="C640" s="64" t="s">
        <v>3027</v>
      </c>
      <c r="D640" s="65">
        <v>6</v>
      </c>
      <c r="E640" s="66">
        <v>207.37999999988824</v>
      </c>
      <c r="F640" s="66">
        <v>1.0368999999994413</v>
      </c>
      <c r="G640" s="65">
        <v>1.8664199999989941</v>
      </c>
      <c r="H640" s="67" t="s">
        <v>3028</v>
      </c>
      <c r="I640" s="65" t="s">
        <v>2815</v>
      </c>
    </row>
    <row r="641" spans="1:9" x14ac:dyDescent="0.25">
      <c r="A641" s="57"/>
      <c r="B641" s="58" t="s">
        <v>541</v>
      </c>
      <c r="C641" s="59" t="s">
        <v>3029</v>
      </c>
      <c r="D641" s="60">
        <v>3</v>
      </c>
      <c r="E641" s="61">
        <v>103.70999999996275</v>
      </c>
      <c r="F641" s="61">
        <v>1.0370999999996275</v>
      </c>
      <c r="G641" s="60">
        <v>1.8667799999993295</v>
      </c>
      <c r="H641" s="62" t="s">
        <v>3030</v>
      </c>
      <c r="I641" s="60" t="s">
        <v>2815</v>
      </c>
    </row>
    <row r="642" spans="1:9" x14ac:dyDescent="0.25">
      <c r="A642" s="57"/>
      <c r="B642" s="63" t="s">
        <v>545</v>
      </c>
      <c r="C642" s="64" t="s">
        <v>3031</v>
      </c>
      <c r="D642" s="65">
        <v>6</v>
      </c>
      <c r="E642" s="66">
        <v>207.37999999988824</v>
      </c>
      <c r="F642" s="66">
        <v>1.0368999999994413</v>
      </c>
      <c r="G642" s="65">
        <v>1.8664199999989941</v>
      </c>
      <c r="H642" s="67" t="s">
        <v>3032</v>
      </c>
      <c r="I642" s="65" t="s">
        <v>2815</v>
      </c>
    </row>
    <row r="643" spans="1:9" x14ac:dyDescent="0.25">
      <c r="A643" s="57"/>
      <c r="B643" s="58" t="s">
        <v>539</v>
      </c>
      <c r="C643" s="59" t="s">
        <v>3033</v>
      </c>
      <c r="D643" s="60">
        <v>3</v>
      </c>
      <c r="E643" s="61">
        <v>103.70999999996275</v>
      </c>
      <c r="F643" s="61">
        <v>1.0370999999996275</v>
      </c>
      <c r="G643" s="60">
        <v>1.8667799999993295</v>
      </c>
      <c r="H643" s="62" t="s">
        <v>3034</v>
      </c>
      <c r="I643" s="60" t="s">
        <v>2815</v>
      </c>
    </row>
    <row r="644" spans="1:9" x14ac:dyDescent="0.25">
      <c r="A644" s="57"/>
      <c r="B644" s="63" t="s">
        <v>543</v>
      </c>
      <c r="C644" s="64" t="s">
        <v>3035</v>
      </c>
      <c r="D644" s="65">
        <v>6</v>
      </c>
      <c r="E644" s="66">
        <v>207.37999999988824</v>
      </c>
      <c r="F644" s="66">
        <v>1.0368999999994413</v>
      </c>
      <c r="G644" s="65">
        <v>1.8664199999989941</v>
      </c>
      <c r="H644" s="67" t="s">
        <v>3036</v>
      </c>
      <c r="I644" s="65" t="s">
        <v>2815</v>
      </c>
    </row>
    <row r="645" spans="1:9" x14ac:dyDescent="0.25">
      <c r="A645" s="57"/>
      <c r="B645" s="58" t="s">
        <v>556</v>
      </c>
      <c r="C645" s="59" t="s">
        <v>3037</v>
      </c>
      <c r="D645" s="60">
        <v>9</v>
      </c>
      <c r="E645" s="61">
        <v>269.72000000020489</v>
      </c>
      <c r="F645" s="61">
        <v>1.3486000000010245</v>
      </c>
      <c r="G645" s="60">
        <v>2.4274800000018444</v>
      </c>
      <c r="H645" s="62" t="s">
        <v>3038</v>
      </c>
      <c r="I645" s="60" t="s">
        <v>2840</v>
      </c>
    </row>
    <row r="646" spans="1:9" x14ac:dyDescent="0.25">
      <c r="A646" s="57"/>
      <c r="B646" s="63" t="s">
        <v>548</v>
      </c>
      <c r="C646" s="64" t="s">
        <v>3039</v>
      </c>
      <c r="D646" s="65">
        <v>4.5</v>
      </c>
      <c r="E646" s="66">
        <v>134.84000000008382</v>
      </c>
      <c r="F646" s="66">
        <v>1.3484000000008383</v>
      </c>
      <c r="G646" s="65">
        <v>2.427120000001509</v>
      </c>
      <c r="H646" s="67" t="s">
        <v>3040</v>
      </c>
      <c r="I646" s="65" t="s">
        <v>2840</v>
      </c>
    </row>
    <row r="647" spans="1:9" x14ac:dyDescent="0.25">
      <c r="A647" s="57"/>
      <c r="B647" s="58" t="s">
        <v>553</v>
      </c>
      <c r="C647" s="59" t="s">
        <v>3041</v>
      </c>
      <c r="D647" s="60">
        <v>9</v>
      </c>
      <c r="E647" s="61">
        <v>269.72000000020489</v>
      </c>
      <c r="F647" s="61">
        <v>1.3486000000010245</v>
      </c>
      <c r="G647" s="60">
        <v>2.4274800000018444</v>
      </c>
      <c r="H647" s="62" t="s">
        <v>3042</v>
      </c>
      <c r="I647" s="60" t="s">
        <v>2840</v>
      </c>
    </row>
    <row r="648" spans="1:9" x14ac:dyDescent="0.25">
      <c r="A648" s="57"/>
      <c r="B648" s="63" t="s">
        <v>550</v>
      </c>
      <c r="C648" s="64" t="s">
        <v>3043</v>
      </c>
      <c r="D648" s="65">
        <v>4.5</v>
      </c>
      <c r="E648" s="66">
        <v>134.84000000008382</v>
      </c>
      <c r="F648" s="66">
        <v>1.3484000000008383</v>
      </c>
      <c r="G648" s="65">
        <v>2.427120000001509</v>
      </c>
      <c r="H648" s="67" t="s">
        <v>3044</v>
      </c>
      <c r="I648" s="65" t="s">
        <v>2840</v>
      </c>
    </row>
    <row r="649" spans="1:9" x14ac:dyDescent="0.25">
      <c r="A649" s="57"/>
      <c r="B649" s="58" t="s">
        <v>555</v>
      </c>
      <c r="C649" s="59" t="s">
        <v>3045</v>
      </c>
      <c r="D649" s="60">
        <v>9</v>
      </c>
      <c r="E649" s="61">
        <v>269.72000000020489</v>
      </c>
      <c r="F649" s="61">
        <v>1.3486000000010245</v>
      </c>
      <c r="G649" s="60">
        <v>2.4274800000018444</v>
      </c>
      <c r="H649" s="62" t="s">
        <v>3046</v>
      </c>
      <c r="I649" s="60" t="s">
        <v>2840</v>
      </c>
    </row>
    <row r="650" spans="1:9" x14ac:dyDescent="0.25">
      <c r="A650" s="57"/>
      <c r="B650" s="63" t="s">
        <v>549</v>
      </c>
      <c r="C650" s="64" t="s">
        <v>3047</v>
      </c>
      <c r="D650" s="65">
        <v>4.5</v>
      </c>
      <c r="E650" s="66">
        <v>134.84000000008382</v>
      </c>
      <c r="F650" s="66">
        <v>1.3484000000008383</v>
      </c>
      <c r="G650" s="65">
        <v>2.427120000001509</v>
      </c>
      <c r="H650" s="67" t="s">
        <v>3048</v>
      </c>
      <c r="I650" s="65" t="s">
        <v>2840</v>
      </c>
    </row>
    <row r="651" spans="1:9" x14ac:dyDescent="0.25">
      <c r="A651" s="57"/>
      <c r="B651" s="58" t="s">
        <v>554</v>
      </c>
      <c r="C651" s="59" t="s">
        <v>3049</v>
      </c>
      <c r="D651" s="60">
        <v>9</v>
      </c>
      <c r="E651" s="61">
        <v>269.72000000020489</v>
      </c>
      <c r="F651" s="61">
        <v>1.3486000000010245</v>
      </c>
      <c r="G651" s="60">
        <v>2.4274800000018444</v>
      </c>
      <c r="H651" s="62" t="s">
        <v>3050</v>
      </c>
      <c r="I651" s="60" t="s">
        <v>2840</v>
      </c>
    </row>
    <row r="652" spans="1:9" x14ac:dyDescent="0.25">
      <c r="A652" s="57"/>
      <c r="B652" s="63" t="s">
        <v>547</v>
      </c>
      <c r="C652" s="64" t="s">
        <v>3051</v>
      </c>
      <c r="D652" s="65">
        <v>4.5</v>
      </c>
      <c r="E652" s="66">
        <v>134.84000000008382</v>
      </c>
      <c r="F652" s="66">
        <v>1.3484000000008383</v>
      </c>
      <c r="G652" s="65">
        <v>2.427120000001509</v>
      </c>
      <c r="H652" s="67" t="s">
        <v>3052</v>
      </c>
      <c r="I652" s="65" t="s">
        <v>2840</v>
      </c>
    </row>
    <row r="653" spans="1:9" x14ac:dyDescent="0.25">
      <c r="A653" s="57"/>
      <c r="B653" s="58" t="s">
        <v>552</v>
      </c>
      <c r="C653" s="59" t="s">
        <v>3053</v>
      </c>
      <c r="D653" s="60">
        <v>9</v>
      </c>
      <c r="E653" s="61">
        <v>269.72000000020489</v>
      </c>
      <c r="F653" s="61">
        <v>1.3486000000010245</v>
      </c>
      <c r="G653" s="60">
        <v>2.4274800000018444</v>
      </c>
      <c r="H653" s="62" t="s">
        <v>3054</v>
      </c>
      <c r="I653" s="60" t="s">
        <v>2840</v>
      </c>
    </row>
    <row r="654" spans="1:9" x14ac:dyDescent="0.25">
      <c r="A654" s="57"/>
      <c r="B654" s="63" t="s">
        <v>561</v>
      </c>
      <c r="C654" s="64" t="s">
        <v>3055</v>
      </c>
      <c r="D654" s="65">
        <v>7.3000000000029104</v>
      </c>
      <c r="E654" s="66">
        <v>204.01000000000931</v>
      </c>
      <c r="F654" s="66">
        <v>2.0401000000000931</v>
      </c>
      <c r="G654" s="65">
        <v>3.6721800000001679</v>
      </c>
      <c r="H654" s="67" t="s">
        <v>3056</v>
      </c>
      <c r="I654" s="65" t="s">
        <v>2867</v>
      </c>
    </row>
    <row r="655" spans="1:9" x14ac:dyDescent="0.25">
      <c r="A655" s="57"/>
      <c r="B655" s="58" t="s">
        <v>566</v>
      </c>
      <c r="C655" s="59" t="s">
        <v>3057</v>
      </c>
      <c r="D655" s="60">
        <v>14.600000000005821</v>
      </c>
      <c r="E655" s="61">
        <v>408.04999999981374</v>
      </c>
      <c r="F655" s="61">
        <v>2.0402499999990686</v>
      </c>
      <c r="G655" s="60">
        <v>3.6724499999983236</v>
      </c>
      <c r="H655" s="62" t="s">
        <v>3058</v>
      </c>
      <c r="I655" s="60" t="s">
        <v>2867</v>
      </c>
    </row>
    <row r="656" spans="1:9" x14ac:dyDescent="0.25">
      <c r="A656" s="57"/>
      <c r="B656" s="63" t="s">
        <v>558</v>
      </c>
      <c r="C656" s="64" t="s">
        <v>3059</v>
      </c>
      <c r="D656" s="65">
        <v>4.5</v>
      </c>
      <c r="E656" s="66">
        <v>204.01000000000931</v>
      </c>
      <c r="F656" s="66">
        <v>2.0401000000000931</v>
      </c>
      <c r="G656" s="65">
        <v>3.6721800000001679</v>
      </c>
      <c r="H656" s="67" t="s">
        <v>3060</v>
      </c>
      <c r="I656" s="65" t="s">
        <v>2867</v>
      </c>
    </row>
    <row r="657" spans="1:9" x14ac:dyDescent="0.25">
      <c r="A657" s="57"/>
      <c r="B657" s="58" t="s">
        <v>563</v>
      </c>
      <c r="C657" s="59" t="s">
        <v>3061</v>
      </c>
      <c r="D657" s="60">
        <v>9</v>
      </c>
      <c r="E657" s="61">
        <v>408.04999999981374</v>
      </c>
      <c r="F657" s="61">
        <v>2.0402499999990686</v>
      </c>
      <c r="G657" s="60">
        <v>3.6724499999983236</v>
      </c>
      <c r="H657" s="62" t="s">
        <v>3062</v>
      </c>
      <c r="I657" s="60" t="s">
        <v>2867</v>
      </c>
    </row>
    <row r="658" spans="1:9" x14ac:dyDescent="0.25">
      <c r="A658" s="57"/>
      <c r="B658" s="63" t="s">
        <v>560</v>
      </c>
      <c r="C658" s="64" t="s">
        <v>3063</v>
      </c>
      <c r="D658" s="65">
        <v>4.5</v>
      </c>
      <c r="E658" s="66">
        <v>204.01000000000931</v>
      </c>
      <c r="F658" s="66">
        <v>2.0401000000000931</v>
      </c>
      <c r="G658" s="65">
        <v>3.6721800000001679</v>
      </c>
      <c r="H658" s="67" t="s">
        <v>3064</v>
      </c>
      <c r="I658" s="65" t="s">
        <v>2867</v>
      </c>
    </row>
    <row r="659" spans="1:9" x14ac:dyDescent="0.25">
      <c r="A659" s="57"/>
      <c r="B659" s="58" t="s">
        <v>565</v>
      </c>
      <c r="C659" s="59" t="s">
        <v>3065</v>
      </c>
      <c r="D659" s="60">
        <v>9</v>
      </c>
      <c r="E659" s="61">
        <v>408.04999999981374</v>
      </c>
      <c r="F659" s="61">
        <v>2.0402499999990686</v>
      </c>
      <c r="G659" s="60">
        <v>3.6724499999983236</v>
      </c>
      <c r="H659" s="62" t="s">
        <v>3066</v>
      </c>
      <c r="I659" s="60" t="s">
        <v>2867</v>
      </c>
    </row>
    <row r="660" spans="1:9" x14ac:dyDescent="0.25">
      <c r="A660" s="57"/>
      <c r="B660" s="63" t="s">
        <v>559</v>
      </c>
      <c r="C660" s="64" t="s">
        <v>3067</v>
      </c>
      <c r="D660" s="65">
        <v>7.3000000000029104</v>
      </c>
      <c r="E660" s="66">
        <v>204.01000000000931</v>
      </c>
      <c r="F660" s="66">
        <v>2.0401000000000931</v>
      </c>
      <c r="G660" s="65">
        <v>3.6721800000001679</v>
      </c>
      <c r="H660" s="67" t="s">
        <v>3068</v>
      </c>
      <c r="I660" s="65" t="s">
        <v>2867</v>
      </c>
    </row>
    <row r="661" spans="1:9" x14ac:dyDescent="0.25">
      <c r="A661" s="57"/>
      <c r="B661" s="58" t="s">
        <v>564</v>
      </c>
      <c r="C661" s="59" t="s">
        <v>3069</v>
      </c>
      <c r="D661" s="60">
        <v>14.600000000005821</v>
      </c>
      <c r="E661" s="61">
        <v>408.04999999981374</v>
      </c>
      <c r="F661" s="61">
        <v>2.0402499999990686</v>
      </c>
      <c r="G661" s="60">
        <v>3.6724499999983236</v>
      </c>
      <c r="H661" s="62" t="s">
        <v>3070</v>
      </c>
      <c r="I661" s="60" t="s">
        <v>2867</v>
      </c>
    </row>
    <row r="662" spans="1:9" x14ac:dyDescent="0.25">
      <c r="A662" s="57"/>
      <c r="B662" s="63" t="s">
        <v>557</v>
      </c>
      <c r="C662" s="64" t="s">
        <v>3071</v>
      </c>
      <c r="D662" s="65">
        <v>4.5</v>
      </c>
      <c r="E662" s="66">
        <v>204.01000000000931</v>
      </c>
      <c r="F662" s="66">
        <v>2.0401000000000931</v>
      </c>
      <c r="G662" s="65">
        <v>3.6721800000001679</v>
      </c>
      <c r="H662" s="67" t="s">
        <v>3072</v>
      </c>
      <c r="I662" s="65" t="s">
        <v>2867</v>
      </c>
    </row>
    <row r="663" spans="1:9" x14ac:dyDescent="0.25">
      <c r="A663" s="57"/>
      <c r="B663" s="58" t="s">
        <v>562</v>
      </c>
      <c r="C663" s="59" t="s">
        <v>3073</v>
      </c>
      <c r="D663" s="60">
        <v>9</v>
      </c>
      <c r="E663" s="61">
        <v>408.04999999981374</v>
      </c>
      <c r="F663" s="61">
        <v>2.0402499999990686</v>
      </c>
      <c r="G663" s="60">
        <v>3.6724499999983236</v>
      </c>
      <c r="H663" s="62" t="s">
        <v>3074</v>
      </c>
      <c r="I663" s="60" t="s">
        <v>2867</v>
      </c>
    </row>
    <row r="664" spans="1:9" x14ac:dyDescent="0.25">
      <c r="A664" s="57"/>
      <c r="B664" s="63" t="s">
        <v>571</v>
      </c>
      <c r="C664" s="64" t="s">
        <v>3075</v>
      </c>
      <c r="D664" s="65">
        <v>10</v>
      </c>
      <c r="E664" s="66">
        <v>293.31999999983236</v>
      </c>
      <c r="F664" s="66">
        <v>2.9331999999983238</v>
      </c>
      <c r="G664" s="65">
        <v>5.2797599999969824</v>
      </c>
      <c r="H664" s="67" t="s">
        <v>3076</v>
      </c>
      <c r="I664" s="65" t="s">
        <v>2892</v>
      </c>
    </row>
    <row r="665" spans="1:9" x14ac:dyDescent="0.25">
      <c r="A665" s="57"/>
      <c r="B665" s="58" t="s">
        <v>576</v>
      </c>
      <c r="C665" s="59" t="s">
        <v>3077</v>
      </c>
      <c r="D665" s="60">
        <v>20</v>
      </c>
      <c r="E665" s="61">
        <v>586.67999999970198</v>
      </c>
      <c r="F665" s="61">
        <v>2.9333999999985099</v>
      </c>
      <c r="G665" s="60">
        <v>5.2801199999973178</v>
      </c>
      <c r="H665" s="62" t="s">
        <v>3078</v>
      </c>
      <c r="I665" s="60" t="s">
        <v>2892</v>
      </c>
    </row>
    <row r="666" spans="1:9" x14ac:dyDescent="0.25">
      <c r="A666" s="57"/>
      <c r="B666" s="63" t="s">
        <v>568</v>
      </c>
      <c r="C666" s="64" t="s">
        <v>3079</v>
      </c>
      <c r="D666" s="65">
        <v>6.5</v>
      </c>
      <c r="E666" s="66">
        <v>293.31999999983236</v>
      </c>
      <c r="F666" s="66">
        <v>2.9331999999983238</v>
      </c>
      <c r="G666" s="65">
        <v>5.2797599999969824</v>
      </c>
      <c r="H666" s="67" t="s">
        <v>3080</v>
      </c>
      <c r="I666" s="65" t="s">
        <v>2892</v>
      </c>
    </row>
    <row r="667" spans="1:9" x14ac:dyDescent="0.25">
      <c r="A667" s="57"/>
      <c r="B667" s="58" t="s">
        <v>573</v>
      </c>
      <c r="C667" s="59" t="s">
        <v>3081</v>
      </c>
      <c r="D667" s="60">
        <v>13</v>
      </c>
      <c r="E667" s="61">
        <v>586.67999999970198</v>
      </c>
      <c r="F667" s="61">
        <v>2.9333999999985099</v>
      </c>
      <c r="G667" s="60">
        <v>5.2801199999973178</v>
      </c>
      <c r="H667" s="62" t="s">
        <v>3082</v>
      </c>
      <c r="I667" s="60" t="s">
        <v>2892</v>
      </c>
    </row>
    <row r="668" spans="1:9" x14ac:dyDescent="0.25">
      <c r="A668" s="57"/>
      <c r="B668" s="63" t="s">
        <v>570</v>
      </c>
      <c r="C668" s="64" t="s">
        <v>3083</v>
      </c>
      <c r="D668" s="65">
        <v>6.5</v>
      </c>
      <c r="E668" s="66">
        <v>293.31999999983236</v>
      </c>
      <c r="F668" s="66">
        <v>2.9331999999983238</v>
      </c>
      <c r="G668" s="65">
        <v>5.2797599999969824</v>
      </c>
      <c r="H668" s="67" t="s">
        <v>3084</v>
      </c>
      <c r="I668" s="65" t="s">
        <v>2892</v>
      </c>
    </row>
    <row r="669" spans="1:9" x14ac:dyDescent="0.25">
      <c r="A669" s="57"/>
      <c r="B669" s="58" t="s">
        <v>575</v>
      </c>
      <c r="C669" s="59" t="s">
        <v>3085</v>
      </c>
      <c r="D669" s="60">
        <v>13</v>
      </c>
      <c r="E669" s="61">
        <v>586.67999999970198</v>
      </c>
      <c r="F669" s="61">
        <v>2.9333999999985099</v>
      </c>
      <c r="G669" s="60">
        <v>5.2801199999973178</v>
      </c>
      <c r="H669" s="62" t="s">
        <v>3086</v>
      </c>
      <c r="I669" s="60" t="s">
        <v>2892</v>
      </c>
    </row>
    <row r="670" spans="1:9" x14ac:dyDescent="0.25">
      <c r="A670" s="57"/>
      <c r="B670" s="63" t="s">
        <v>569</v>
      </c>
      <c r="C670" s="64" t="s">
        <v>3087</v>
      </c>
      <c r="D670" s="65">
        <v>10</v>
      </c>
      <c r="E670" s="66">
        <v>293.31999999983236</v>
      </c>
      <c r="F670" s="66">
        <v>2.9331999999983238</v>
      </c>
      <c r="G670" s="65">
        <v>5.2797599999969824</v>
      </c>
      <c r="H670" s="67" t="s">
        <v>3088</v>
      </c>
      <c r="I670" s="65" t="s">
        <v>2892</v>
      </c>
    </row>
    <row r="671" spans="1:9" x14ac:dyDescent="0.25">
      <c r="A671" s="57"/>
      <c r="B671" s="58" t="s">
        <v>574</v>
      </c>
      <c r="C671" s="59" t="s">
        <v>3089</v>
      </c>
      <c r="D671" s="60">
        <v>20</v>
      </c>
      <c r="E671" s="61">
        <v>586.67999999970198</v>
      </c>
      <c r="F671" s="61">
        <v>2.9333999999985099</v>
      </c>
      <c r="G671" s="60">
        <v>5.2801199999973178</v>
      </c>
      <c r="H671" s="62" t="s">
        <v>3090</v>
      </c>
      <c r="I671" s="60" t="s">
        <v>2892</v>
      </c>
    </row>
    <row r="672" spans="1:9" x14ac:dyDescent="0.25">
      <c r="A672" s="57"/>
      <c r="B672" s="63" t="s">
        <v>567</v>
      </c>
      <c r="C672" s="64" t="s">
        <v>3091</v>
      </c>
      <c r="D672" s="65">
        <v>6.5</v>
      </c>
      <c r="E672" s="66">
        <v>293.31999999983236</v>
      </c>
      <c r="F672" s="66">
        <v>2.9331999999983238</v>
      </c>
      <c r="G672" s="65">
        <v>5.2797599999969824</v>
      </c>
      <c r="H672" s="67" t="s">
        <v>3092</v>
      </c>
      <c r="I672" s="65" t="s">
        <v>2892</v>
      </c>
    </row>
    <row r="673" spans="1:9" x14ac:dyDescent="0.25">
      <c r="A673" s="57"/>
      <c r="B673" s="58" t="s">
        <v>572</v>
      </c>
      <c r="C673" s="59" t="s">
        <v>3093</v>
      </c>
      <c r="D673" s="60">
        <v>13</v>
      </c>
      <c r="E673" s="61">
        <v>586.67999999970198</v>
      </c>
      <c r="F673" s="61">
        <v>2.9333999999985099</v>
      </c>
      <c r="G673" s="60">
        <v>5.2801199999973178</v>
      </c>
      <c r="H673" s="62" t="s">
        <v>3094</v>
      </c>
      <c r="I673" s="60" t="s">
        <v>2892</v>
      </c>
    </row>
    <row r="674" spans="1:9" x14ac:dyDescent="0.25">
      <c r="A674" s="57"/>
      <c r="B674" s="63" t="s">
        <v>581</v>
      </c>
      <c r="C674" s="64" t="s">
        <v>3095</v>
      </c>
      <c r="D674" s="65">
        <v>14.5</v>
      </c>
      <c r="E674" s="66">
        <v>440.16000000014901</v>
      </c>
      <c r="F674" s="66">
        <v>4.4016000000014905</v>
      </c>
      <c r="G674" s="65">
        <v>7.9228800000026816</v>
      </c>
      <c r="H674" s="67" t="s">
        <v>3096</v>
      </c>
      <c r="I674" s="65" t="s">
        <v>2917</v>
      </c>
    </row>
    <row r="675" spans="1:9" x14ac:dyDescent="0.25">
      <c r="A675" s="57"/>
      <c r="B675" s="58" t="s">
        <v>586</v>
      </c>
      <c r="C675" s="59" t="s">
        <v>3097</v>
      </c>
      <c r="D675" s="60">
        <v>29</v>
      </c>
      <c r="E675" s="61">
        <v>880.29999999981374</v>
      </c>
      <c r="F675" s="61">
        <v>4.4014999999990687</v>
      </c>
      <c r="G675" s="60">
        <v>7.9226999999983239</v>
      </c>
      <c r="H675" s="62" t="s">
        <v>3098</v>
      </c>
      <c r="I675" s="60" t="s">
        <v>2917</v>
      </c>
    </row>
    <row r="676" spans="1:9" x14ac:dyDescent="0.25">
      <c r="A676" s="57"/>
      <c r="B676" s="63" t="s">
        <v>578</v>
      </c>
      <c r="C676" s="64" t="s">
        <v>3099</v>
      </c>
      <c r="D676" s="65">
        <v>9</v>
      </c>
      <c r="E676" s="66">
        <v>440.16000000014901</v>
      </c>
      <c r="F676" s="66">
        <v>4.4016000000014905</v>
      </c>
      <c r="G676" s="65">
        <v>7.9228800000026816</v>
      </c>
      <c r="H676" s="67" t="s">
        <v>3100</v>
      </c>
      <c r="I676" s="65" t="s">
        <v>2917</v>
      </c>
    </row>
    <row r="677" spans="1:9" x14ac:dyDescent="0.25">
      <c r="A677" s="57"/>
      <c r="B677" s="58" t="s">
        <v>583</v>
      </c>
      <c r="C677" s="59" t="s">
        <v>3101</v>
      </c>
      <c r="D677" s="60">
        <v>18</v>
      </c>
      <c r="E677" s="61">
        <v>880.29999999981374</v>
      </c>
      <c r="F677" s="61">
        <v>4.4014999999990687</v>
      </c>
      <c r="G677" s="60">
        <v>7.9226999999983239</v>
      </c>
      <c r="H677" s="62" t="s">
        <v>3102</v>
      </c>
      <c r="I677" s="60" t="s">
        <v>2917</v>
      </c>
    </row>
    <row r="678" spans="1:9" x14ac:dyDescent="0.25">
      <c r="A678" s="57"/>
      <c r="B678" s="63" t="s">
        <v>580</v>
      </c>
      <c r="C678" s="64" t="s">
        <v>3103</v>
      </c>
      <c r="D678" s="65">
        <v>9</v>
      </c>
      <c r="E678" s="66">
        <v>440.16000000014901</v>
      </c>
      <c r="F678" s="66">
        <v>4.4016000000014905</v>
      </c>
      <c r="G678" s="65">
        <v>7.9228800000026816</v>
      </c>
      <c r="H678" s="67" t="s">
        <v>3104</v>
      </c>
      <c r="I678" s="65" t="s">
        <v>2917</v>
      </c>
    </row>
    <row r="679" spans="1:9" x14ac:dyDescent="0.25">
      <c r="A679" s="57"/>
      <c r="B679" s="58" t="s">
        <v>585</v>
      </c>
      <c r="C679" s="59" t="s">
        <v>3105</v>
      </c>
      <c r="D679" s="60">
        <v>18</v>
      </c>
      <c r="E679" s="61">
        <v>880.29999999981374</v>
      </c>
      <c r="F679" s="61">
        <v>4.4014999999990687</v>
      </c>
      <c r="G679" s="60">
        <v>7.9226999999983239</v>
      </c>
      <c r="H679" s="62" t="s">
        <v>3106</v>
      </c>
      <c r="I679" s="60" t="s">
        <v>2917</v>
      </c>
    </row>
    <row r="680" spans="1:9" x14ac:dyDescent="0.25">
      <c r="A680" s="57"/>
      <c r="B680" s="63" t="s">
        <v>579</v>
      </c>
      <c r="C680" s="64" t="s">
        <v>3107</v>
      </c>
      <c r="D680" s="65">
        <v>14.5</v>
      </c>
      <c r="E680" s="66">
        <v>440.16000000014901</v>
      </c>
      <c r="F680" s="66">
        <v>4.4016000000014905</v>
      </c>
      <c r="G680" s="65">
        <v>7.9228800000026816</v>
      </c>
      <c r="H680" s="67" t="s">
        <v>3108</v>
      </c>
      <c r="I680" s="65" t="s">
        <v>2917</v>
      </c>
    </row>
    <row r="681" spans="1:9" x14ac:dyDescent="0.25">
      <c r="A681" s="57"/>
      <c r="B681" s="58" t="s">
        <v>584</v>
      </c>
      <c r="C681" s="59" t="s">
        <v>3109</v>
      </c>
      <c r="D681" s="60">
        <v>29</v>
      </c>
      <c r="E681" s="61">
        <v>880.29999999981374</v>
      </c>
      <c r="F681" s="61">
        <v>4.4014999999990687</v>
      </c>
      <c r="G681" s="60">
        <v>7.9226999999983239</v>
      </c>
      <c r="H681" s="62" t="s">
        <v>3110</v>
      </c>
      <c r="I681" s="60" t="s">
        <v>2917</v>
      </c>
    </row>
    <row r="682" spans="1:9" x14ac:dyDescent="0.25">
      <c r="A682" s="57"/>
      <c r="B682" s="63" t="s">
        <v>577</v>
      </c>
      <c r="C682" s="64" t="s">
        <v>3111</v>
      </c>
      <c r="D682" s="65">
        <v>9</v>
      </c>
      <c r="E682" s="66">
        <v>440.16000000014901</v>
      </c>
      <c r="F682" s="66">
        <v>4.4016000000014905</v>
      </c>
      <c r="G682" s="65">
        <v>7.9228800000026816</v>
      </c>
      <c r="H682" s="67" t="s">
        <v>3112</v>
      </c>
      <c r="I682" s="65" t="s">
        <v>2917</v>
      </c>
    </row>
    <row r="683" spans="1:9" x14ac:dyDescent="0.25">
      <c r="A683" s="57"/>
      <c r="B683" s="58" t="s">
        <v>582</v>
      </c>
      <c r="C683" s="59" t="s">
        <v>3113</v>
      </c>
      <c r="D683" s="60">
        <v>18</v>
      </c>
      <c r="E683" s="61">
        <v>880.29999999981374</v>
      </c>
      <c r="F683" s="61">
        <v>4.4014999999990687</v>
      </c>
      <c r="G683" s="60">
        <v>7.9226999999983239</v>
      </c>
      <c r="H683" s="62" t="s">
        <v>3114</v>
      </c>
      <c r="I683" s="60" t="s">
        <v>2917</v>
      </c>
    </row>
    <row r="684" spans="1:9" x14ac:dyDescent="0.25">
      <c r="A684" s="57"/>
      <c r="B684" s="63" t="s">
        <v>591</v>
      </c>
      <c r="C684" s="64" t="s">
        <v>3115</v>
      </c>
      <c r="D684" s="65">
        <v>19</v>
      </c>
      <c r="E684" s="66">
        <v>547.54000000003725</v>
      </c>
      <c r="F684" s="66">
        <v>5.4754000000003726</v>
      </c>
      <c r="G684" s="65">
        <v>9.8557200000006713</v>
      </c>
      <c r="H684" s="67" t="s">
        <v>3116</v>
      </c>
      <c r="I684" s="65" t="s">
        <v>2942</v>
      </c>
    </row>
    <row r="685" spans="1:9" x14ac:dyDescent="0.25">
      <c r="A685" s="57"/>
      <c r="B685" s="58" t="s">
        <v>596</v>
      </c>
      <c r="C685" s="59" t="s">
        <v>3117</v>
      </c>
      <c r="D685" s="60">
        <v>38</v>
      </c>
      <c r="E685" s="61">
        <v>1095.0600000005215</v>
      </c>
      <c r="F685" s="61">
        <v>5.4753000000026075</v>
      </c>
      <c r="G685" s="60">
        <v>9.8555400000046944</v>
      </c>
      <c r="H685" s="62" t="s">
        <v>3118</v>
      </c>
      <c r="I685" s="60" t="s">
        <v>2942</v>
      </c>
    </row>
    <row r="686" spans="1:9" x14ac:dyDescent="0.25">
      <c r="A686" s="57"/>
      <c r="B686" s="63" t="s">
        <v>588</v>
      </c>
      <c r="C686" s="64" t="s">
        <v>3119</v>
      </c>
      <c r="D686" s="65">
        <v>19</v>
      </c>
      <c r="E686" s="66">
        <v>547.54000000003725</v>
      </c>
      <c r="F686" s="66">
        <v>5.4754000000003726</v>
      </c>
      <c r="G686" s="65">
        <v>9.8557200000006713</v>
      </c>
      <c r="H686" s="67" t="s">
        <v>3120</v>
      </c>
      <c r="I686" s="65" t="s">
        <v>2942</v>
      </c>
    </row>
    <row r="687" spans="1:9" x14ac:dyDescent="0.25">
      <c r="A687" s="57"/>
      <c r="B687" s="58" t="s">
        <v>593</v>
      </c>
      <c r="C687" s="59" t="s">
        <v>3121</v>
      </c>
      <c r="D687" s="60">
        <v>38</v>
      </c>
      <c r="E687" s="61">
        <v>1095.0600000005215</v>
      </c>
      <c r="F687" s="61">
        <v>5.4753000000026075</v>
      </c>
      <c r="G687" s="60">
        <v>9.8555400000046944</v>
      </c>
      <c r="H687" s="62" t="s">
        <v>3122</v>
      </c>
      <c r="I687" s="60" t="s">
        <v>2942</v>
      </c>
    </row>
    <row r="688" spans="1:9" x14ac:dyDescent="0.25">
      <c r="A688" s="57"/>
      <c r="B688" s="63" t="s">
        <v>590</v>
      </c>
      <c r="C688" s="64" t="s">
        <v>3123</v>
      </c>
      <c r="D688" s="65">
        <v>19</v>
      </c>
      <c r="E688" s="66">
        <v>526.46999999973923</v>
      </c>
      <c r="F688" s="66">
        <v>5.2646999999973927</v>
      </c>
      <c r="G688" s="65">
        <v>9.4764599999953063</v>
      </c>
      <c r="H688" s="67" t="s">
        <v>3124</v>
      </c>
      <c r="I688" s="65" t="s">
        <v>2942</v>
      </c>
    </row>
    <row r="689" spans="1:9" x14ac:dyDescent="0.25">
      <c r="A689" s="57"/>
      <c r="B689" s="58" t="s">
        <v>595</v>
      </c>
      <c r="C689" s="59" t="s">
        <v>3125</v>
      </c>
      <c r="D689" s="60">
        <v>38</v>
      </c>
      <c r="E689" s="61">
        <v>1095.0600000005215</v>
      </c>
      <c r="F689" s="61">
        <v>5.4753000000026075</v>
      </c>
      <c r="G689" s="60">
        <v>9.8555400000046944</v>
      </c>
      <c r="H689" s="62" t="s">
        <v>3126</v>
      </c>
      <c r="I689" s="60" t="s">
        <v>2942</v>
      </c>
    </row>
    <row r="690" spans="1:9" x14ac:dyDescent="0.25">
      <c r="A690" s="57"/>
      <c r="B690" s="63" t="s">
        <v>589</v>
      </c>
      <c r="C690" s="64" t="s">
        <v>3127</v>
      </c>
      <c r="D690" s="65">
        <v>19</v>
      </c>
      <c r="E690" s="66">
        <v>547.54000000003725</v>
      </c>
      <c r="F690" s="66">
        <v>5.4754000000003726</v>
      </c>
      <c r="G690" s="65">
        <v>9.8557200000006713</v>
      </c>
      <c r="H690" s="67" t="s">
        <v>3128</v>
      </c>
      <c r="I690" s="65" t="s">
        <v>2942</v>
      </c>
    </row>
    <row r="691" spans="1:9" x14ac:dyDescent="0.25">
      <c r="A691" s="57"/>
      <c r="B691" s="58" t="s">
        <v>594</v>
      </c>
      <c r="C691" s="59" t="s">
        <v>3129</v>
      </c>
      <c r="D691" s="60">
        <v>38</v>
      </c>
      <c r="E691" s="61">
        <v>1095.0600000005215</v>
      </c>
      <c r="F691" s="61">
        <v>5.4753000000026075</v>
      </c>
      <c r="G691" s="60">
        <v>9.8555400000046944</v>
      </c>
      <c r="H691" s="62" t="s">
        <v>3130</v>
      </c>
      <c r="I691" s="60" t="s">
        <v>2942</v>
      </c>
    </row>
    <row r="692" spans="1:9" x14ac:dyDescent="0.25">
      <c r="A692" s="57"/>
      <c r="B692" s="63" t="s">
        <v>587</v>
      </c>
      <c r="C692" s="64" t="s">
        <v>3131</v>
      </c>
      <c r="D692" s="65">
        <v>18.5</v>
      </c>
      <c r="E692" s="66">
        <v>547.54000000003725</v>
      </c>
      <c r="F692" s="66">
        <v>5.4754000000003726</v>
      </c>
      <c r="G692" s="65">
        <v>9.8557200000006713</v>
      </c>
      <c r="H692" s="67" t="s">
        <v>3132</v>
      </c>
      <c r="I692" s="65" t="s">
        <v>2942</v>
      </c>
    </row>
    <row r="693" spans="1:9" x14ac:dyDescent="0.25">
      <c r="A693" s="57"/>
      <c r="B693" s="58" t="s">
        <v>592</v>
      </c>
      <c r="C693" s="59" t="s">
        <v>3133</v>
      </c>
      <c r="D693" s="60">
        <v>23</v>
      </c>
      <c r="E693" s="61">
        <v>1095.0600000005215</v>
      </c>
      <c r="F693" s="61">
        <v>5.4753000000026075</v>
      </c>
      <c r="G693" s="60">
        <v>9.8555400000046944</v>
      </c>
      <c r="H693" s="62" t="s">
        <v>3134</v>
      </c>
      <c r="I693" s="60" t="s">
        <v>2942</v>
      </c>
    </row>
    <row r="694" spans="1:9" x14ac:dyDescent="0.25">
      <c r="A694" s="57"/>
      <c r="B694" s="63" t="s">
        <v>601</v>
      </c>
      <c r="C694" s="64" t="s">
        <v>3135</v>
      </c>
      <c r="D694" s="65">
        <v>23.5</v>
      </c>
      <c r="E694" s="66">
        <v>658.58999999985099</v>
      </c>
      <c r="F694" s="66">
        <v>6.5858999999985102</v>
      </c>
      <c r="G694" s="65">
        <v>11.854619999997318</v>
      </c>
      <c r="H694" s="67" t="s">
        <v>3136</v>
      </c>
      <c r="I694" s="65" t="s">
        <v>2967</v>
      </c>
    </row>
    <row r="695" spans="1:9" x14ac:dyDescent="0.25">
      <c r="A695" s="57"/>
      <c r="B695" s="58" t="s">
        <v>602</v>
      </c>
      <c r="C695" s="59" t="s">
        <v>3137</v>
      </c>
      <c r="D695" s="60">
        <v>29.600000000005821</v>
      </c>
      <c r="E695" s="61">
        <v>1369.9399999994785</v>
      </c>
      <c r="F695" s="61">
        <v>6.8496999999973927</v>
      </c>
      <c r="G695" s="60">
        <v>12.329459999995306</v>
      </c>
      <c r="H695" s="62" t="s">
        <v>3138</v>
      </c>
      <c r="I695" s="60" t="s">
        <v>2967</v>
      </c>
    </row>
    <row r="696" spans="1:9" x14ac:dyDescent="0.25">
      <c r="A696" s="57"/>
      <c r="B696" s="63" t="s">
        <v>598</v>
      </c>
      <c r="C696" s="64" t="s">
        <v>3139</v>
      </c>
      <c r="D696" s="65">
        <v>23.5</v>
      </c>
      <c r="E696" s="66">
        <v>684.95999999996275</v>
      </c>
      <c r="F696" s="66">
        <v>6.8495999999996275</v>
      </c>
      <c r="G696" s="65">
        <v>12.329279999999331</v>
      </c>
      <c r="H696" s="67" t="s">
        <v>3140</v>
      </c>
      <c r="I696" s="65" t="s">
        <v>2967</v>
      </c>
    </row>
    <row r="697" spans="1:9" x14ac:dyDescent="0.25">
      <c r="A697" s="57"/>
      <c r="B697" s="58" t="s">
        <v>600</v>
      </c>
      <c r="C697" s="59" t="s">
        <v>3141</v>
      </c>
      <c r="D697" s="60">
        <v>23.5</v>
      </c>
      <c r="E697" s="61">
        <v>684.95999999996275</v>
      </c>
      <c r="F697" s="61">
        <v>6.8495999999996275</v>
      </c>
      <c r="G697" s="60">
        <v>12.329279999999331</v>
      </c>
      <c r="H697" s="62" t="s">
        <v>3142</v>
      </c>
      <c r="I697" s="60" t="s">
        <v>2967</v>
      </c>
    </row>
    <row r="698" spans="1:9" x14ac:dyDescent="0.25">
      <c r="A698" s="57"/>
      <c r="B698" s="63" t="s">
        <v>599</v>
      </c>
      <c r="C698" s="64" t="s">
        <v>3143</v>
      </c>
      <c r="D698" s="65">
        <v>23.5</v>
      </c>
      <c r="E698" s="66">
        <v>684.95999999996275</v>
      </c>
      <c r="F698" s="66">
        <v>6.8495999999996275</v>
      </c>
      <c r="G698" s="65">
        <v>12.329279999999331</v>
      </c>
      <c r="H698" s="67" t="s">
        <v>3144</v>
      </c>
      <c r="I698" s="65" t="s">
        <v>2967</v>
      </c>
    </row>
    <row r="699" spans="1:9" x14ac:dyDescent="0.25">
      <c r="A699" s="57"/>
      <c r="B699" s="58" t="s">
        <v>597</v>
      </c>
      <c r="C699" s="59" t="s">
        <v>3145</v>
      </c>
      <c r="D699" s="60">
        <v>23.5</v>
      </c>
      <c r="E699" s="61">
        <v>684.95999999996275</v>
      </c>
      <c r="F699" s="61">
        <v>6.8495999999996275</v>
      </c>
      <c r="G699" s="60">
        <v>12.329279999999331</v>
      </c>
      <c r="H699" s="62" t="s">
        <v>3146</v>
      </c>
      <c r="I699" s="60" t="s">
        <v>2967</v>
      </c>
    </row>
    <row r="700" spans="1:9" x14ac:dyDescent="0.25">
      <c r="A700" s="57"/>
      <c r="B700" s="63" t="s">
        <v>3147</v>
      </c>
      <c r="C700" s="64" t="s">
        <v>3148</v>
      </c>
      <c r="D700" s="65">
        <v>28.5</v>
      </c>
      <c r="E700" s="66">
        <v>794.61000000033528</v>
      </c>
      <c r="F700" s="66">
        <v>7.9461000000033524</v>
      </c>
      <c r="G700" s="65">
        <v>14.302980000006034</v>
      </c>
      <c r="H700" s="67" t="s">
        <v>3149</v>
      </c>
      <c r="I700" s="65" t="s">
        <v>2992</v>
      </c>
    </row>
    <row r="701" spans="1:9" x14ac:dyDescent="0.25">
      <c r="A701" s="57"/>
      <c r="B701" s="58" t="s">
        <v>603</v>
      </c>
      <c r="C701" s="59" t="s">
        <v>3150</v>
      </c>
      <c r="D701" s="60">
        <v>0</v>
      </c>
      <c r="E701" s="61">
        <v>1589.2100000008941</v>
      </c>
      <c r="F701" s="61">
        <v>7.9460500000044707</v>
      </c>
      <c r="G701" s="60">
        <v>14.302890000008047</v>
      </c>
      <c r="H701" s="62" t="s">
        <v>3151</v>
      </c>
      <c r="I701" s="60" t="s">
        <v>2992</v>
      </c>
    </row>
    <row r="702" spans="1:9" x14ac:dyDescent="0.25">
      <c r="A702" s="57"/>
      <c r="B702" s="63" t="s">
        <v>3152</v>
      </c>
      <c r="C702" s="64" t="s">
        <v>3153</v>
      </c>
      <c r="D702" s="65">
        <v>28.5</v>
      </c>
      <c r="E702" s="66">
        <v>794.61000000033528</v>
      </c>
      <c r="F702" s="66">
        <v>7.9461000000033524</v>
      </c>
      <c r="G702" s="65">
        <v>14.302980000006034</v>
      </c>
      <c r="H702" s="67" t="s">
        <v>3154</v>
      </c>
      <c r="I702" s="65" t="s">
        <v>2992</v>
      </c>
    </row>
    <row r="703" spans="1:9" x14ac:dyDescent="0.25">
      <c r="A703" s="57"/>
      <c r="B703" s="58" t="s">
        <v>3155</v>
      </c>
      <c r="C703" s="59" t="s">
        <v>3156</v>
      </c>
      <c r="D703" s="60">
        <v>28.5</v>
      </c>
      <c r="E703" s="61">
        <v>794.61000000033528</v>
      </c>
      <c r="F703" s="61">
        <v>7.9461000000033524</v>
      </c>
      <c r="G703" s="60">
        <v>14.302980000006034</v>
      </c>
      <c r="H703" s="62" t="s">
        <v>3157</v>
      </c>
      <c r="I703" s="60" t="s">
        <v>2992</v>
      </c>
    </row>
    <row r="704" spans="1:9" x14ac:dyDescent="0.25">
      <c r="A704" s="57"/>
      <c r="B704" s="63" t="s">
        <v>3158</v>
      </c>
      <c r="C704" s="64" t="s">
        <v>3159</v>
      </c>
      <c r="D704" s="65">
        <v>28.5</v>
      </c>
      <c r="E704" s="66">
        <v>794.61000000033528</v>
      </c>
      <c r="F704" s="66">
        <v>7.9461000000033524</v>
      </c>
      <c r="G704" s="65">
        <v>14.302980000006034</v>
      </c>
      <c r="H704" s="67" t="s">
        <v>3160</v>
      </c>
      <c r="I704" s="65" t="s">
        <v>2992</v>
      </c>
    </row>
    <row r="705" spans="1:9" x14ac:dyDescent="0.25">
      <c r="A705" s="57"/>
      <c r="B705" s="58" t="s">
        <v>3161</v>
      </c>
      <c r="C705" s="59" t="s">
        <v>3162</v>
      </c>
      <c r="D705" s="60">
        <v>28.5</v>
      </c>
      <c r="E705" s="61">
        <v>794.61000000033528</v>
      </c>
      <c r="F705" s="61">
        <v>7.9461000000033524</v>
      </c>
      <c r="G705" s="60">
        <v>14.302980000006034</v>
      </c>
      <c r="H705" s="62" t="s">
        <v>3163</v>
      </c>
      <c r="I705" s="60" t="s">
        <v>2992</v>
      </c>
    </row>
    <row r="706" spans="1:9" x14ac:dyDescent="0.25">
      <c r="A706" s="57"/>
      <c r="B706" s="63" t="s">
        <v>620</v>
      </c>
      <c r="C706" s="64" t="s">
        <v>3164</v>
      </c>
      <c r="D706" s="65">
        <v>8.8000000000029104</v>
      </c>
      <c r="E706" s="66">
        <v>290.16000000014901</v>
      </c>
      <c r="F706" s="66">
        <v>1.450800000000745</v>
      </c>
      <c r="G706" s="65">
        <v>2.6114400000013411</v>
      </c>
      <c r="H706" s="67" t="s">
        <v>3165</v>
      </c>
      <c r="I706" s="65" t="s">
        <v>231</v>
      </c>
    </row>
    <row r="707" spans="1:9" x14ac:dyDescent="0.25">
      <c r="A707" s="57"/>
      <c r="B707" s="58" t="s">
        <v>619</v>
      </c>
      <c r="C707" s="59" t="s">
        <v>3166</v>
      </c>
      <c r="D707" s="60">
        <v>4.4000000000014552</v>
      </c>
      <c r="E707" s="61">
        <v>145.07000000006519</v>
      </c>
      <c r="F707" s="61">
        <v>1.450700000000652</v>
      </c>
      <c r="G707" s="60">
        <v>2.6112600000011734</v>
      </c>
      <c r="H707" s="62" t="s">
        <v>3167</v>
      </c>
      <c r="I707" s="60" t="s">
        <v>231</v>
      </c>
    </row>
    <row r="708" spans="1:9" x14ac:dyDescent="0.25">
      <c r="A708" s="57"/>
      <c r="B708" s="63" t="s">
        <v>622</v>
      </c>
      <c r="C708" s="64" t="s">
        <v>3168</v>
      </c>
      <c r="D708" s="65">
        <v>8.8000000000029104</v>
      </c>
      <c r="E708" s="66">
        <v>290.16000000014901</v>
      </c>
      <c r="F708" s="66">
        <v>1.450800000000745</v>
      </c>
      <c r="G708" s="65">
        <v>2.6114400000013411</v>
      </c>
      <c r="H708" s="67" t="s">
        <v>3169</v>
      </c>
      <c r="I708" s="65" t="s">
        <v>231</v>
      </c>
    </row>
    <row r="709" spans="1:9" x14ac:dyDescent="0.25">
      <c r="A709" s="57"/>
      <c r="B709" s="58" t="s">
        <v>618</v>
      </c>
      <c r="C709" s="59" t="s">
        <v>3170</v>
      </c>
      <c r="D709" s="60">
        <v>4.4000000000014552</v>
      </c>
      <c r="E709" s="61">
        <v>145.07000000006519</v>
      </c>
      <c r="F709" s="61">
        <v>1.450700000000652</v>
      </c>
      <c r="G709" s="60">
        <v>2.6112600000011734</v>
      </c>
      <c r="H709" s="62" t="s">
        <v>3171</v>
      </c>
      <c r="I709" s="60" t="s">
        <v>231</v>
      </c>
    </row>
    <row r="710" spans="1:9" x14ac:dyDescent="0.25">
      <c r="A710" s="57"/>
      <c r="B710" s="63" t="s">
        <v>621</v>
      </c>
      <c r="C710" s="64" t="s">
        <v>3172</v>
      </c>
      <c r="D710" s="65">
        <v>8.8000000000029104</v>
      </c>
      <c r="E710" s="66">
        <v>290.16000000014901</v>
      </c>
      <c r="F710" s="66">
        <v>1.450800000000745</v>
      </c>
      <c r="G710" s="65">
        <v>2.6114400000013411</v>
      </c>
      <c r="H710" s="67" t="s">
        <v>3173</v>
      </c>
      <c r="I710" s="65" t="s">
        <v>231</v>
      </c>
    </row>
    <row r="711" spans="1:9" x14ac:dyDescent="0.25">
      <c r="A711" s="57"/>
      <c r="B711" s="58" t="s">
        <v>605</v>
      </c>
      <c r="C711" s="59" t="s">
        <v>3174</v>
      </c>
      <c r="D711" s="60">
        <v>4.4000000000014552</v>
      </c>
      <c r="E711" s="61">
        <v>130.21999999997206</v>
      </c>
      <c r="F711" s="61">
        <v>1.3021999999997207</v>
      </c>
      <c r="G711" s="60">
        <v>2.3439599999994969</v>
      </c>
      <c r="H711" s="62" t="s">
        <v>3175</v>
      </c>
      <c r="I711" s="60" t="s">
        <v>231</v>
      </c>
    </row>
    <row r="712" spans="1:9" x14ac:dyDescent="0.25">
      <c r="A712" s="57"/>
      <c r="B712" s="63" t="s">
        <v>606</v>
      </c>
      <c r="C712" s="64" t="s">
        <v>3176</v>
      </c>
      <c r="D712" s="65">
        <v>8.8000000000029104</v>
      </c>
      <c r="E712" s="66">
        <v>260.45999999996275</v>
      </c>
      <c r="F712" s="66">
        <v>1.3022999999998137</v>
      </c>
      <c r="G712" s="65">
        <v>2.3441399999996646</v>
      </c>
      <c r="H712" s="67" t="s">
        <v>3177</v>
      </c>
      <c r="I712" s="65" t="s">
        <v>231</v>
      </c>
    </row>
    <row r="713" spans="1:9" x14ac:dyDescent="0.25">
      <c r="A713" s="57"/>
      <c r="B713" s="58" t="s">
        <v>623</v>
      </c>
      <c r="C713" s="59" t="s">
        <v>3178</v>
      </c>
      <c r="D713" s="60">
        <v>7.4000000000014552</v>
      </c>
      <c r="E713" s="61">
        <v>210.40999999991618</v>
      </c>
      <c r="F713" s="61">
        <v>2.1040999999991619</v>
      </c>
      <c r="G713" s="60">
        <v>3.7873799999984912</v>
      </c>
      <c r="H713" s="62" t="s">
        <v>3179</v>
      </c>
      <c r="I713" s="60" t="s">
        <v>231</v>
      </c>
    </row>
    <row r="714" spans="1:9" x14ac:dyDescent="0.25">
      <c r="A714" s="57"/>
      <c r="B714" s="63" t="s">
        <v>626</v>
      </c>
      <c r="C714" s="64" t="s">
        <v>3180</v>
      </c>
      <c r="D714" s="65">
        <v>14.80000000000291</v>
      </c>
      <c r="E714" s="66">
        <v>420.81000000005588</v>
      </c>
      <c r="F714" s="66">
        <v>2.1040500000002793</v>
      </c>
      <c r="G714" s="65">
        <v>3.7872900000005028</v>
      </c>
      <c r="H714" s="67" t="s">
        <v>3181</v>
      </c>
      <c r="I714" s="65" t="s">
        <v>231</v>
      </c>
    </row>
    <row r="715" spans="1:9" x14ac:dyDescent="0.25">
      <c r="A715" s="57"/>
      <c r="B715" s="58" t="s">
        <v>625</v>
      </c>
      <c r="C715" s="59" t="s">
        <v>3182</v>
      </c>
      <c r="D715" s="60">
        <v>7.4000000000014552</v>
      </c>
      <c r="E715" s="61">
        <v>210.38999999989755</v>
      </c>
      <c r="F715" s="61">
        <v>2.1038999999989754</v>
      </c>
      <c r="G715" s="60">
        <v>3.7870199999981562</v>
      </c>
      <c r="H715" s="62" t="s">
        <v>3183</v>
      </c>
      <c r="I715" s="60" t="s">
        <v>231</v>
      </c>
    </row>
    <row r="716" spans="1:9" x14ac:dyDescent="0.25">
      <c r="A716" s="57"/>
      <c r="B716" s="63" t="s">
        <v>628</v>
      </c>
      <c r="C716" s="64" t="s">
        <v>3184</v>
      </c>
      <c r="D716" s="65">
        <v>14.80000000000291</v>
      </c>
      <c r="E716" s="66">
        <v>420.81000000005588</v>
      </c>
      <c r="F716" s="66">
        <v>2.1040500000002793</v>
      </c>
      <c r="G716" s="65">
        <v>3.7872900000005028</v>
      </c>
      <c r="H716" s="67" t="s">
        <v>3185</v>
      </c>
      <c r="I716" s="65" t="s">
        <v>231</v>
      </c>
    </row>
    <row r="717" spans="1:9" x14ac:dyDescent="0.25">
      <c r="A717" s="57"/>
      <c r="B717" s="58" t="s">
        <v>624</v>
      </c>
      <c r="C717" s="59" t="s">
        <v>3186</v>
      </c>
      <c r="D717" s="60">
        <v>7.4000000000014552</v>
      </c>
      <c r="E717" s="61">
        <v>210.38999999989755</v>
      </c>
      <c r="F717" s="61">
        <v>2.1038999999989754</v>
      </c>
      <c r="G717" s="60">
        <v>3.7870199999981562</v>
      </c>
      <c r="H717" s="62" t="s">
        <v>3187</v>
      </c>
      <c r="I717" s="60" t="s">
        <v>231</v>
      </c>
    </row>
    <row r="718" spans="1:9" x14ac:dyDescent="0.25">
      <c r="A718" s="57"/>
      <c r="B718" s="63" t="s">
        <v>627</v>
      </c>
      <c r="C718" s="64" t="s">
        <v>3188</v>
      </c>
      <c r="D718" s="65">
        <v>14.80000000000291</v>
      </c>
      <c r="E718" s="66">
        <v>420.81000000005588</v>
      </c>
      <c r="F718" s="66">
        <v>2.1040500000002793</v>
      </c>
      <c r="G718" s="65">
        <v>3.7872900000005028</v>
      </c>
      <c r="H718" s="67" t="s">
        <v>3189</v>
      </c>
      <c r="I718" s="65" t="s">
        <v>231</v>
      </c>
    </row>
    <row r="719" spans="1:9" x14ac:dyDescent="0.25">
      <c r="A719" s="57"/>
      <c r="B719" s="58" t="s">
        <v>607</v>
      </c>
      <c r="C719" s="59" t="s">
        <v>3190</v>
      </c>
      <c r="D719" s="60">
        <v>7.4000000000014552</v>
      </c>
      <c r="E719" s="61">
        <v>190.85000000009313</v>
      </c>
      <c r="F719" s="61">
        <v>1.9085000000009313</v>
      </c>
      <c r="G719" s="60">
        <v>3.4353000000016767</v>
      </c>
      <c r="H719" s="62" t="s">
        <v>3191</v>
      </c>
      <c r="I719" s="60" t="s">
        <v>231</v>
      </c>
    </row>
    <row r="720" spans="1:9" x14ac:dyDescent="0.25">
      <c r="A720" s="57"/>
      <c r="B720" s="63" t="s">
        <v>3192</v>
      </c>
      <c r="C720" s="64" t="s">
        <v>3193</v>
      </c>
      <c r="D720" s="65">
        <v>14.80000000000291</v>
      </c>
      <c r="E720" s="66">
        <v>381.66000000014901</v>
      </c>
      <c r="F720" s="66">
        <v>1.9083000000007451</v>
      </c>
      <c r="G720" s="65">
        <v>3.4349400000013413</v>
      </c>
      <c r="H720" s="67" t="s">
        <v>3194</v>
      </c>
      <c r="I720" s="65" t="s">
        <v>231</v>
      </c>
    </row>
    <row r="721" spans="1:9" x14ac:dyDescent="0.25">
      <c r="A721" s="57"/>
      <c r="B721" s="58" t="s">
        <v>629</v>
      </c>
      <c r="C721" s="59" t="s">
        <v>3195</v>
      </c>
      <c r="D721" s="60">
        <v>10.30000000000291</v>
      </c>
      <c r="E721" s="61">
        <v>294.56000000005588</v>
      </c>
      <c r="F721" s="61">
        <v>2.9456000000005589</v>
      </c>
      <c r="G721" s="60">
        <v>5.3020800000010055</v>
      </c>
      <c r="H721" s="62" t="s">
        <v>3196</v>
      </c>
      <c r="I721" s="60" t="s">
        <v>231</v>
      </c>
    </row>
    <row r="722" spans="1:9" x14ac:dyDescent="0.25">
      <c r="A722" s="57"/>
      <c r="B722" s="63" t="s">
        <v>632</v>
      </c>
      <c r="C722" s="64" t="s">
        <v>3197</v>
      </c>
      <c r="D722" s="65">
        <v>20.600000000005821</v>
      </c>
      <c r="E722" s="66">
        <v>589.11000000033528</v>
      </c>
      <c r="F722" s="66">
        <v>2.9455500000016763</v>
      </c>
      <c r="G722" s="65">
        <v>5.301990000003018</v>
      </c>
      <c r="H722" s="67" t="s">
        <v>3198</v>
      </c>
      <c r="I722" s="65" t="s">
        <v>231</v>
      </c>
    </row>
    <row r="723" spans="1:9" x14ac:dyDescent="0.25">
      <c r="A723" s="57"/>
      <c r="B723" s="58" t="s">
        <v>631</v>
      </c>
      <c r="C723" s="59" t="s">
        <v>3199</v>
      </c>
      <c r="D723" s="60">
        <v>10.30000000000291</v>
      </c>
      <c r="E723" s="61">
        <v>294.56000000005588</v>
      </c>
      <c r="F723" s="61">
        <v>2.9456000000005589</v>
      </c>
      <c r="G723" s="60">
        <v>5.3020800000010055</v>
      </c>
      <c r="H723" s="62" t="s">
        <v>3200</v>
      </c>
      <c r="I723" s="60" t="s">
        <v>231</v>
      </c>
    </row>
    <row r="724" spans="1:9" x14ac:dyDescent="0.25">
      <c r="A724" s="57"/>
      <c r="B724" s="63" t="s">
        <v>634</v>
      </c>
      <c r="C724" s="64" t="s">
        <v>3201</v>
      </c>
      <c r="D724" s="65">
        <v>20.600000000005821</v>
      </c>
      <c r="E724" s="66">
        <v>589.11000000033528</v>
      </c>
      <c r="F724" s="66">
        <v>2.9455500000016763</v>
      </c>
      <c r="G724" s="65">
        <v>5.301990000003018</v>
      </c>
      <c r="H724" s="67" t="s">
        <v>3202</v>
      </c>
      <c r="I724" s="65" t="s">
        <v>231</v>
      </c>
    </row>
    <row r="725" spans="1:9" x14ac:dyDescent="0.25">
      <c r="A725" s="57"/>
      <c r="B725" s="58" t="s">
        <v>630</v>
      </c>
      <c r="C725" s="59" t="s">
        <v>3203</v>
      </c>
      <c r="D725" s="60">
        <v>10.30000000000291</v>
      </c>
      <c r="E725" s="61">
        <v>294.56000000005588</v>
      </c>
      <c r="F725" s="61">
        <v>2.9456000000005589</v>
      </c>
      <c r="G725" s="60">
        <v>5.3020800000010055</v>
      </c>
      <c r="H725" s="62" t="s">
        <v>3204</v>
      </c>
      <c r="I725" s="60" t="s">
        <v>231</v>
      </c>
    </row>
    <row r="726" spans="1:9" x14ac:dyDescent="0.25">
      <c r="A726" s="57"/>
      <c r="B726" s="63" t="s">
        <v>633</v>
      </c>
      <c r="C726" s="64" t="s">
        <v>3205</v>
      </c>
      <c r="D726" s="65">
        <v>20.600000000005821</v>
      </c>
      <c r="E726" s="66">
        <v>589.11000000033528</v>
      </c>
      <c r="F726" s="66">
        <v>2.9455500000016763</v>
      </c>
      <c r="G726" s="65">
        <v>5.301990000003018</v>
      </c>
      <c r="H726" s="67" t="s">
        <v>3206</v>
      </c>
      <c r="I726" s="65" t="s">
        <v>231</v>
      </c>
    </row>
    <row r="727" spans="1:9" x14ac:dyDescent="0.25">
      <c r="A727" s="57"/>
      <c r="B727" s="58" t="s">
        <v>3207</v>
      </c>
      <c r="C727" s="59" t="s">
        <v>3208</v>
      </c>
      <c r="D727" s="60">
        <v>10.30000000000291</v>
      </c>
      <c r="E727" s="61">
        <v>274.97000000020489</v>
      </c>
      <c r="F727" s="61">
        <v>2.7497000000020488</v>
      </c>
      <c r="G727" s="60">
        <v>4.9494600000036879</v>
      </c>
      <c r="H727" s="62" t="s">
        <v>3209</v>
      </c>
      <c r="I727" s="60" t="s">
        <v>231</v>
      </c>
    </row>
    <row r="728" spans="1:9" x14ac:dyDescent="0.25">
      <c r="A728" s="57"/>
      <c r="B728" s="63" t="s">
        <v>609</v>
      </c>
      <c r="C728" s="64" t="s">
        <v>3210</v>
      </c>
      <c r="D728" s="65">
        <v>20.600000000005821</v>
      </c>
      <c r="E728" s="66">
        <v>549.91000000014901</v>
      </c>
      <c r="F728" s="66">
        <v>2.7495500000007449</v>
      </c>
      <c r="G728" s="65">
        <v>4.9491900000013409</v>
      </c>
      <c r="H728" s="67" t="s">
        <v>3211</v>
      </c>
      <c r="I728" s="65" t="s">
        <v>231</v>
      </c>
    </row>
    <row r="729" spans="1:9" x14ac:dyDescent="0.25">
      <c r="A729" s="57"/>
      <c r="B729" s="58" t="s">
        <v>635</v>
      </c>
      <c r="C729" s="59" t="s">
        <v>3212</v>
      </c>
      <c r="D729" s="60">
        <v>14.600000000005821</v>
      </c>
      <c r="E729" s="61">
        <v>396.02000000001863</v>
      </c>
      <c r="F729" s="61">
        <v>3.9602000000001865</v>
      </c>
      <c r="G729" s="60">
        <v>7.1283600000003355</v>
      </c>
      <c r="H729" s="62" t="s">
        <v>3213</v>
      </c>
      <c r="I729" s="60" t="s">
        <v>231</v>
      </c>
    </row>
    <row r="730" spans="1:9" x14ac:dyDescent="0.25">
      <c r="A730" s="57"/>
      <c r="B730" s="63" t="s">
        <v>638</v>
      </c>
      <c r="C730" s="64" t="s">
        <v>3214</v>
      </c>
      <c r="D730" s="65">
        <v>29.200000000011642</v>
      </c>
      <c r="E730" s="66">
        <v>792.08999999985099</v>
      </c>
      <c r="F730" s="66">
        <v>3.9604499999992551</v>
      </c>
      <c r="G730" s="65">
        <v>7.1288099999986594</v>
      </c>
      <c r="H730" s="67" t="s">
        <v>3215</v>
      </c>
      <c r="I730" s="65" t="s">
        <v>231</v>
      </c>
    </row>
    <row r="731" spans="1:9" x14ac:dyDescent="0.25">
      <c r="A731" s="57"/>
      <c r="B731" s="58" t="s">
        <v>637</v>
      </c>
      <c r="C731" s="59" t="s">
        <v>3216</v>
      </c>
      <c r="D731" s="60">
        <v>14.600000000005821</v>
      </c>
      <c r="E731" s="61">
        <v>396.02000000001863</v>
      </c>
      <c r="F731" s="61">
        <v>3.9602000000001865</v>
      </c>
      <c r="G731" s="60">
        <v>7.1283600000003355</v>
      </c>
      <c r="H731" s="62" t="s">
        <v>3217</v>
      </c>
      <c r="I731" s="60" t="s">
        <v>231</v>
      </c>
    </row>
    <row r="732" spans="1:9" x14ac:dyDescent="0.25">
      <c r="A732" s="57"/>
      <c r="B732" s="63" t="s">
        <v>640</v>
      </c>
      <c r="C732" s="64" t="s">
        <v>3218</v>
      </c>
      <c r="D732" s="65">
        <v>29.200000000011642</v>
      </c>
      <c r="E732" s="66">
        <v>792.08999999985099</v>
      </c>
      <c r="F732" s="66">
        <v>3.9604499999992551</v>
      </c>
      <c r="G732" s="65">
        <v>7.1288099999986594</v>
      </c>
      <c r="H732" s="67" t="s">
        <v>3219</v>
      </c>
      <c r="I732" s="65" t="s">
        <v>231</v>
      </c>
    </row>
    <row r="733" spans="1:9" x14ac:dyDescent="0.25">
      <c r="A733" s="57"/>
      <c r="B733" s="58" t="s">
        <v>636</v>
      </c>
      <c r="C733" s="59" t="s">
        <v>3220</v>
      </c>
      <c r="D733" s="60">
        <v>14.600000000005821</v>
      </c>
      <c r="E733" s="61">
        <v>396.02000000001863</v>
      </c>
      <c r="F733" s="61">
        <v>3.9602000000001865</v>
      </c>
      <c r="G733" s="60">
        <v>7.1283600000003355</v>
      </c>
      <c r="H733" s="62" t="s">
        <v>3221</v>
      </c>
      <c r="I733" s="60" t="s">
        <v>231</v>
      </c>
    </row>
    <row r="734" spans="1:9" x14ac:dyDescent="0.25">
      <c r="A734" s="57"/>
      <c r="B734" s="63" t="s">
        <v>639</v>
      </c>
      <c r="C734" s="64" t="s">
        <v>3222</v>
      </c>
      <c r="D734" s="65">
        <v>29.200000000011642</v>
      </c>
      <c r="E734" s="66">
        <v>792.08999999985099</v>
      </c>
      <c r="F734" s="66">
        <v>3.9604499999992551</v>
      </c>
      <c r="G734" s="65">
        <v>7.1288099999986594</v>
      </c>
      <c r="H734" s="67" t="s">
        <v>3223</v>
      </c>
      <c r="I734" s="65" t="s">
        <v>231</v>
      </c>
    </row>
    <row r="735" spans="1:9" x14ac:dyDescent="0.25">
      <c r="A735" s="57"/>
      <c r="B735" s="58" t="s">
        <v>610</v>
      </c>
      <c r="C735" s="59" t="s">
        <v>3224</v>
      </c>
      <c r="D735" s="60">
        <v>14.600000000005821</v>
      </c>
      <c r="E735" s="61">
        <v>375.58000000007451</v>
      </c>
      <c r="F735" s="61">
        <v>3.755800000000745</v>
      </c>
      <c r="G735" s="60">
        <v>6.7604400000013412</v>
      </c>
      <c r="H735" s="62" t="s">
        <v>3225</v>
      </c>
      <c r="I735" s="60" t="s">
        <v>231</v>
      </c>
    </row>
    <row r="736" spans="1:9" x14ac:dyDescent="0.25">
      <c r="A736" s="57"/>
      <c r="B736" s="63" t="s">
        <v>611</v>
      </c>
      <c r="C736" s="64" t="s">
        <v>3226</v>
      </c>
      <c r="D736" s="65">
        <v>29.200000000011642</v>
      </c>
      <c r="E736" s="66">
        <v>751.09999999962747</v>
      </c>
      <c r="F736" s="66">
        <v>3.7554999999981376</v>
      </c>
      <c r="G736" s="65">
        <v>6.7598999999966471</v>
      </c>
      <c r="H736" s="67" t="s">
        <v>3227</v>
      </c>
      <c r="I736" s="65" t="s">
        <v>231</v>
      </c>
    </row>
    <row r="737" spans="1:9" x14ac:dyDescent="0.25">
      <c r="A737" s="57"/>
      <c r="B737" s="58" t="s">
        <v>641</v>
      </c>
      <c r="C737" s="59" t="s">
        <v>3228</v>
      </c>
      <c r="D737" s="60">
        <v>18.600000000005821</v>
      </c>
      <c r="E737" s="61">
        <v>483.64000000013039</v>
      </c>
      <c r="F737" s="61">
        <v>4.8364000000013041</v>
      </c>
      <c r="G737" s="60">
        <v>8.7055200000023465</v>
      </c>
      <c r="H737" s="62" t="s">
        <v>3229</v>
      </c>
      <c r="I737" s="60" t="s">
        <v>231</v>
      </c>
    </row>
    <row r="738" spans="1:9" x14ac:dyDescent="0.25">
      <c r="A738" s="57"/>
      <c r="B738" s="63" t="s">
        <v>644</v>
      </c>
      <c r="C738" s="64" t="s">
        <v>3230</v>
      </c>
      <c r="D738" s="65">
        <v>37.200000000011642</v>
      </c>
      <c r="E738" s="66">
        <v>967.25</v>
      </c>
      <c r="F738" s="66">
        <v>4.8362499999999997</v>
      </c>
      <c r="G738" s="65">
        <v>8.7052499999999995</v>
      </c>
      <c r="H738" s="67" t="s">
        <v>3231</v>
      </c>
      <c r="I738" s="65" t="s">
        <v>231</v>
      </c>
    </row>
    <row r="739" spans="1:9" x14ac:dyDescent="0.25">
      <c r="A739" s="57"/>
      <c r="B739" s="58" t="s">
        <v>643</v>
      </c>
      <c r="C739" s="59" t="s">
        <v>3232</v>
      </c>
      <c r="D739" s="60">
        <v>18.600000000005821</v>
      </c>
      <c r="E739" s="61">
        <v>483.64000000013039</v>
      </c>
      <c r="F739" s="61">
        <v>4.8364000000013041</v>
      </c>
      <c r="G739" s="60">
        <v>8.7055200000023465</v>
      </c>
      <c r="H739" s="62" t="s">
        <v>3233</v>
      </c>
      <c r="I739" s="60" t="s">
        <v>3234</v>
      </c>
    </row>
    <row r="740" spans="1:9" x14ac:dyDescent="0.25">
      <c r="A740" s="57"/>
      <c r="B740" s="63" t="s">
        <v>646</v>
      </c>
      <c r="C740" s="64" t="s">
        <v>3235</v>
      </c>
      <c r="D740" s="65">
        <v>37.200000000011642</v>
      </c>
      <c r="E740" s="66">
        <v>967.25</v>
      </c>
      <c r="F740" s="66">
        <v>4.8362499999999997</v>
      </c>
      <c r="G740" s="65">
        <v>8.7052499999999995</v>
      </c>
      <c r="H740" s="67" t="s">
        <v>3236</v>
      </c>
      <c r="I740" s="65" t="s">
        <v>231</v>
      </c>
    </row>
    <row r="741" spans="1:9" x14ac:dyDescent="0.25">
      <c r="A741" s="57"/>
      <c r="B741" s="58" t="s">
        <v>642</v>
      </c>
      <c r="C741" s="59" t="s">
        <v>3237</v>
      </c>
      <c r="D741" s="60">
        <v>18.600000000005821</v>
      </c>
      <c r="E741" s="61">
        <v>483.64000000013039</v>
      </c>
      <c r="F741" s="61">
        <v>4.8364000000013041</v>
      </c>
      <c r="G741" s="60">
        <v>8.7055200000023465</v>
      </c>
      <c r="H741" s="62" t="s">
        <v>3238</v>
      </c>
      <c r="I741" s="60" t="s">
        <v>231</v>
      </c>
    </row>
    <row r="742" spans="1:9" x14ac:dyDescent="0.25">
      <c r="A742" s="57"/>
      <c r="B742" s="63" t="s">
        <v>645</v>
      </c>
      <c r="C742" s="64" t="s">
        <v>3239</v>
      </c>
      <c r="D742" s="65">
        <v>37.200000000011642</v>
      </c>
      <c r="E742" s="66">
        <v>967.25</v>
      </c>
      <c r="F742" s="66">
        <v>4.8362499999999997</v>
      </c>
      <c r="G742" s="65">
        <v>8.7052499999999995</v>
      </c>
      <c r="H742" s="67" t="s">
        <v>3240</v>
      </c>
      <c r="I742" s="65" t="s">
        <v>231</v>
      </c>
    </row>
    <row r="743" spans="1:9" x14ac:dyDescent="0.25">
      <c r="A743" s="57"/>
      <c r="B743" s="58" t="s">
        <v>612</v>
      </c>
      <c r="C743" s="59" t="s">
        <v>3241</v>
      </c>
      <c r="D743" s="60">
        <v>18.600000000005821</v>
      </c>
      <c r="E743" s="61">
        <v>453.08000000007451</v>
      </c>
      <c r="F743" s="61">
        <v>4.5308000000007453</v>
      </c>
      <c r="G743" s="60">
        <v>8.1554400000013416</v>
      </c>
      <c r="H743" s="62" t="s">
        <v>3242</v>
      </c>
      <c r="I743" s="60" t="s">
        <v>231</v>
      </c>
    </row>
    <row r="744" spans="1:9" x14ac:dyDescent="0.25">
      <c r="A744" s="57"/>
      <c r="B744" s="63" t="s">
        <v>613</v>
      </c>
      <c r="C744" s="64" t="s">
        <v>3243</v>
      </c>
      <c r="D744" s="65">
        <v>37.200000000011642</v>
      </c>
      <c r="E744" s="66">
        <v>906.19000000040978</v>
      </c>
      <c r="F744" s="66">
        <v>4.5309500000020488</v>
      </c>
      <c r="G744" s="65">
        <v>8.1557100000036886</v>
      </c>
      <c r="H744" s="67" t="s">
        <v>3244</v>
      </c>
      <c r="I744" s="65" t="s">
        <v>231</v>
      </c>
    </row>
    <row r="745" spans="1:9" x14ac:dyDescent="0.25">
      <c r="A745" s="57"/>
      <c r="B745" s="58" t="s">
        <v>647</v>
      </c>
      <c r="C745" s="59" t="s">
        <v>3245</v>
      </c>
      <c r="D745" s="60">
        <v>24.399999999994179</v>
      </c>
      <c r="E745" s="61">
        <v>613.82000000029802</v>
      </c>
      <c r="F745" s="61">
        <v>6.1382000000029802</v>
      </c>
      <c r="G745" s="60">
        <v>11.048760000005366</v>
      </c>
      <c r="H745" s="62" t="s">
        <v>3246</v>
      </c>
      <c r="I745" s="60" t="s">
        <v>231</v>
      </c>
    </row>
    <row r="746" spans="1:9" x14ac:dyDescent="0.25">
      <c r="A746" s="57"/>
      <c r="B746" s="63" t="s">
        <v>650</v>
      </c>
      <c r="C746" s="64" t="s">
        <v>3247</v>
      </c>
      <c r="D746" s="65">
        <v>48.799999999988358</v>
      </c>
      <c r="E746" s="66">
        <v>1227.6199999991804</v>
      </c>
      <c r="F746" s="66">
        <v>6.1380999999959025</v>
      </c>
      <c r="G746" s="65">
        <v>11.048579999992624</v>
      </c>
      <c r="H746" s="67" t="s">
        <v>3248</v>
      </c>
      <c r="I746" s="65" t="s">
        <v>231</v>
      </c>
    </row>
    <row r="747" spans="1:9" x14ac:dyDescent="0.25">
      <c r="A747" s="57"/>
      <c r="B747" s="58" t="s">
        <v>649</v>
      </c>
      <c r="C747" s="59" t="s">
        <v>3249</v>
      </c>
      <c r="D747" s="60">
        <v>24.399999999994179</v>
      </c>
      <c r="E747" s="61">
        <v>613.82000000029802</v>
      </c>
      <c r="F747" s="61">
        <v>6.1382000000029802</v>
      </c>
      <c r="G747" s="60">
        <v>11.048760000005366</v>
      </c>
      <c r="H747" s="62" t="s">
        <v>3250</v>
      </c>
      <c r="I747" s="60" t="s">
        <v>231</v>
      </c>
    </row>
    <row r="748" spans="1:9" x14ac:dyDescent="0.25">
      <c r="A748" s="57"/>
      <c r="B748" s="63" t="s">
        <v>652</v>
      </c>
      <c r="C748" s="64" t="s">
        <v>3251</v>
      </c>
      <c r="D748" s="65">
        <v>48.799999999988358</v>
      </c>
      <c r="E748" s="66">
        <v>1227.6199999991804</v>
      </c>
      <c r="F748" s="66">
        <v>6.1380999999959025</v>
      </c>
      <c r="G748" s="65">
        <v>11.048579999992624</v>
      </c>
      <c r="H748" s="67" t="s">
        <v>3252</v>
      </c>
      <c r="I748" s="65" t="s">
        <v>231</v>
      </c>
    </row>
    <row r="749" spans="1:9" x14ac:dyDescent="0.25">
      <c r="A749" s="57"/>
      <c r="B749" s="58" t="s">
        <v>648</v>
      </c>
      <c r="C749" s="59" t="s">
        <v>3253</v>
      </c>
      <c r="D749" s="60">
        <v>24.399999999994179</v>
      </c>
      <c r="E749" s="61">
        <v>613.82000000029802</v>
      </c>
      <c r="F749" s="61">
        <v>6.1382000000029802</v>
      </c>
      <c r="G749" s="60">
        <v>11.048760000005366</v>
      </c>
      <c r="H749" s="62" t="s">
        <v>3254</v>
      </c>
      <c r="I749" s="60" t="s">
        <v>231</v>
      </c>
    </row>
    <row r="750" spans="1:9" x14ac:dyDescent="0.25">
      <c r="A750" s="57"/>
      <c r="B750" s="63" t="s">
        <v>651</v>
      </c>
      <c r="C750" s="64" t="s">
        <v>3255</v>
      </c>
      <c r="D750" s="65">
        <v>48.799999999988358</v>
      </c>
      <c r="E750" s="66">
        <v>1227.6199999991804</v>
      </c>
      <c r="F750" s="66">
        <v>6.1380999999959025</v>
      </c>
      <c r="G750" s="65">
        <v>11.048579999992624</v>
      </c>
      <c r="H750" s="67" t="s">
        <v>3256</v>
      </c>
      <c r="I750" s="65" t="s">
        <v>231</v>
      </c>
    </row>
    <row r="751" spans="1:9" x14ac:dyDescent="0.25">
      <c r="A751" s="57"/>
      <c r="B751" s="58" t="s">
        <v>614</v>
      </c>
      <c r="C751" s="59" t="s">
        <v>3257</v>
      </c>
      <c r="D751" s="60">
        <v>24.399999999994179</v>
      </c>
      <c r="E751" s="61">
        <v>575.04999999981374</v>
      </c>
      <c r="F751" s="61">
        <v>5.7504999999981372</v>
      </c>
      <c r="G751" s="60">
        <v>10.350899999996647</v>
      </c>
      <c r="H751" s="62" t="s">
        <v>3258</v>
      </c>
      <c r="I751" s="60" t="s">
        <v>231</v>
      </c>
    </row>
    <row r="752" spans="1:9" x14ac:dyDescent="0.25">
      <c r="A752" s="57"/>
      <c r="B752" s="63" t="s">
        <v>615</v>
      </c>
      <c r="C752" s="64" t="s">
        <v>3259</v>
      </c>
      <c r="D752" s="65">
        <v>48.799999999988358</v>
      </c>
      <c r="E752" s="66">
        <v>1150.140000000596</v>
      </c>
      <c r="F752" s="66">
        <v>5.75070000000298</v>
      </c>
      <c r="G752" s="65">
        <v>10.351260000005366</v>
      </c>
      <c r="H752" s="67" t="s">
        <v>3260</v>
      </c>
      <c r="I752" s="65" t="s">
        <v>231</v>
      </c>
    </row>
    <row r="753" spans="1:9" x14ac:dyDescent="0.25">
      <c r="A753" s="57"/>
      <c r="B753" s="58" t="s">
        <v>653</v>
      </c>
      <c r="C753" s="59" t="s">
        <v>3261</v>
      </c>
      <c r="D753" s="60">
        <v>29.799999999988358</v>
      </c>
      <c r="E753" s="61">
        <v>798.84999999962747</v>
      </c>
      <c r="F753" s="61">
        <v>7.9884999999962751</v>
      </c>
      <c r="G753" s="60">
        <v>14.379299999993295</v>
      </c>
      <c r="H753" s="62" t="s">
        <v>3262</v>
      </c>
      <c r="I753" s="60" t="s">
        <v>3263</v>
      </c>
    </row>
    <row r="754" spans="1:9" x14ac:dyDescent="0.25">
      <c r="A754" s="57"/>
      <c r="B754" s="63" t="s">
        <v>655</v>
      </c>
      <c r="C754" s="64" t="s">
        <v>3264</v>
      </c>
      <c r="D754" s="65">
        <v>29.799999999988358</v>
      </c>
      <c r="E754" s="66">
        <v>798.84999999962747</v>
      </c>
      <c r="F754" s="66">
        <v>7.9884999999962751</v>
      </c>
      <c r="G754" s="65">
        <v>14.379299999993295</v>
      </c>
      <c r="H754" s="67" t="s">
        <v>3265</v>
      </c>
      <c r="I754" s="65" t="s">
        <v>3263</v>
      </c>
    </row>
    <row r="755" spans="1:9" x14ac:dyDescent="0.25">
      <c r="A755" s="57"/>
      <c r="B755" s="58" t="s">
        <v>654</v>
      </c>
      <c r="C755" s="59" t="s">
        <v>3266</v>
      </c>
      <c r="D755" s="60">
        <v>29.799999999988358</v>
      </c>
      <c r="E755" s="61">
        <v>798.84999999962747</v>
      </c>
      <c r="F755" s="61">
        <v>7.9884999999962751</v>
      </c>
      <c r="G755" s="60">
        <v>14.379299999993295</v>
      </c>
      <c r="H755" s="62" t="s">
        <v>3267</v>
      </c>
      <c r="I755" s="60" t="s">
        <v>3263</v>
      </c>
    </row>
    <row r="756" spans="1:9" x14ac:dyDescent="0.25">
      <c r="A756" s="57"/>
      <c r="B756" s="63" t="s">
        <v>616</v>
      </c>
      <c r="C756" s="64" t="s">
        <v>3268</v>
      </c>
      <c r="D756" s="65">
        <v>29.799999999988358</v>
      </c>
      <c r="E756" s="66">
        <v>748.69000000040978</v>
      </c>
      <c r="F756" s="66">
        <v>7.4869000000040975</v>
      </c>
      <c r="G756" s="65">
        <v>13.476420000007376</v>
      </c>
      <c r="H756" s="67" t="s">
        <v>3269</v>
      </c>
      <c r="I756" s="65" t="s">
        <v>3263</v>
      </c>
    </row>
    <row r="757" spans="1:9" x14ac:dyDescent="0.25">
      <c r="A757" s="57"/>
      <c r="B757" s="58" t="s">
        <v>617</v>
      </c>
      <c r="C757" s="59" t="s">
        <v>3270</v>
      </c>
      <c r="D757" s="60">
        <v>4.4000000000014552</v>
      </c>
      <c r="E757" s="61">
        <v>145.07000000006519</v>
      </c>
      <c r="F757" s="61">
        <v>1.450700000000652</v>
      </c>
      <c r="G757" s="60">
        <v>2.6112600000011734</v>
      </c>
      <c r="H757" s="62" t="s">
        <v>3271</v>
      </c>
      <c r="I757" s="60" t="s">
        <v>231</v>
      </c>
    </row>
    <row r="758" spans="1:9" x14ac:dyDescent="0.25">
      <c r="A758" s="57"/>
      <c r="B758" s="63" t="s">
        <v>672</v>
      </c>
      <c r="C758" s="64" t="s">
        <v>3272</v>
      </c>
      <c r="D758" s="65">
        <v>1</v>
      </c>
      <c r="E758" s="66">
        <v>213.60000000009313</v>
      </c>
      <c r="F758" s="66">
        <v>2.1360000000009314</v>
      </c>
      <c r="G758" s="65">
        <v>3.8448000000016767</v>
      </c>
      <c r="H758" s="67" t="s">
        <v>3273</v>
      </c>
      <c r="I758" s="65" t="s">
        <v>231</v>
      </c>
    </row>
    <row r="759" spans="1:9" x14ac:dyDescent="0.25">
      <c r="A759" s="57"/>
      <c r="B759" s="58" t="s">
        <v>674</v>
      </c>
      <c r="C759" s="59" t="s">
        <v>3274</v>
      </c>
      <c r="D759" s="60">
        <v>1</v>
      </c>
      <c r="E759" s="61">
        <v>427.20999999996275</v>
      </c>
      <c r="F759" s="61">
        <v>2.1360499999998139</v>
      </c>
      <c r="G759" s="60">
        <v>3.8448899999996651</v>
      </c>
      <c r="H759" s="62" t="s">
        <v>3275</v>
      </c>
      <c r="I759" s="60" t="s">
        <v>231</v>
      </c>
    </row>
    <row r="760" spans="1:9" x14ac:dyDescent="0.25">
      <c r="A760" s="57"/>
      <c r="B760" s="63" t="s">
        <v>671</v>
      </c>
      <c r="C760" s="64" t="s">
        <v>3276</v>
      </c>
      <c r="D760" s="65">
        <v>1</v>
      </c>
      <c r="E760" s="66">
        <v>213.60000000009313</v>
      </c>
      <c r="F760" s="66">
        <v>2.1360000000009314</v>
      </c>
      <c r="G760" s="65">
        <v>3.8448000000016767</v>
      </c>
      <c r="H760" s="67" t="s">
        <v>3277</v>
      </c>
      <c r="I760" s="65" t="s">
        <v>231</v>
      </c>
    </row>
    <row r="761" spans="1:9" x14ac:dyDescent="0.25">
      <c r="A761" s="57"/>
      <c r="B761" s="58" t="s">
        <v>673</v>
      </c>
      <c r="C761" s="59" t="s">
        <v>3278</v>
      </c>
      <c r="D761" s="60">
        <v>1</v>
      </c>
      <c r="E761" s="61">
        <v>427.20999999996275</v>
      </c>
      <c r="F761" s="61">
        <v>2.1360499999998139</v>
      </c>
      <c r="G761" s="60">
        <v>3.8448899999996651</v>
      </c>
      <c r="H761" s="62" t="s">
        <v>3279</v>
      </c>
      <c r="I761" s="60" t="s">
        <v>231</v>
      </c>
    </row>
    <row r="762" spans="1:9" x14ac:dyDescent="0.25">
      <c r="A762" s="57"/>
      <c r="B762" s="63" t="s">
        <v>676</v>
      </c>
      <c r="C762" s="64" t="s">
        <v>3280</v>
      </c>
      <c r="D762" s="65">
        <v>1.9500000000007276</v>
      </c>
      <c r="E762" s="66">
        <v>321.27999999979511</v>
      </c>
      <c r="F762" s="66">
        <v>3.2127999999979511</v>
      </c>
      <c r="G762" s="65">
        <v>5.783039999996312</v>
      </c>
      <c r="H762" s="67" t="s">
        <v>3281</v>
      </c>
      <c r="I762" s="65" t="s">
        <v>231</v>
      </c>
    </row>
    <row r="763" spans="1:9" x14ac:dyDescent="0.25">
      <c r="A763" s="57"/>
      <c r="B763" s="58" t="s">
        <v>678</v>
      </c>
      <c r="C763" s="59" t="s">
        <v>3282</v>
      </c>
      <c r="D763" s="60">
        <v>3.9000000000014552</v>
      </c>
      <c r="E763" s="61">
        <v>642.54999999981374</v>
      </c>
      <c r="F763" s="61">
        <v>3.2127499999990685</v>
      </c>
      <c r="G763" s="60">
        <v>5.7829499999983236</v>
      </c>
      <c r="H763" s="62" t="s">
        <v>3283</v>
      </c>
      <c r="I763" s="60" t="s">
        <v>231</v>
      </c>
    </row>
    <row r="764" spans="1:9" x14ac:dyDescent="0.25">
      <c r="A764" s="57"/>
      <c r="B764" s="63" t="s">
        <v>675</v>
      </c>
      <c r="C764" s="64" t="s">
        <v>3284</v>
      </c>
      <c r="D764" s="65">
        <v>1.8999999999996362</v>
      </c>
      <c r="E764" s="66">
        <v>321.27999999979511</v>
      </c>
      <c r="F764" s="66">
        <v>3.2127999999979511</v>
      </c>
      <c r="G764" s="65">
        <v>5.783039999996312</v>
      </c>
      <c r="H764" s="67" t="s">
        <v>3285</v>
      </c>
      <c r="I764" s="65" t="s">
        <v>231</v>
      </c>
    </row>
    <row r="765" spans="1:9" x14ac:dyDescent="0.25">
      <c r="A765" s="57"/>
      <c r="B765" s="58" t="s">
        <v>677</v>
      </c>
      <c r="C765" s="59" t="s">
        <v>3286</v>
      </c>
      <c r="D765" s="60">
        <v>3.9000000000014552</v>
      </c>
      <c r="E765" s="61">
        <v>642.54999999981374</v>
      </c>
      <c r="F765" s="61">
        <v>3.2127499999990685</v>
      </c>
      <c r="G765" s="60">
        <v>5.7829499999983236</v>
      </c>
      <c r="H765" s="62" t="s">
        <v>3287</v>
      </c>
      <c r="I765" s="60" t="s">
        <v>231</v>
      </c>
    </row>
    <row r="766" spans="1:9" x14ac:dyDescent="0.25">
      <c r="A766" s="57"/>
      <c r="B766" s="63" t="s">
        <v>680</v>
      </c>
      <c r="C766" s="64" t="s">
        <v>3288</v>
      </c>
      <c r="D766" s="65">
        <v>2.5</v>
      </c>
      <c r="E766" s="66">
        <v>417.91000000014901</v>
      </c>
      <c r="F766" s="66">
        <v>4.1791000000014904</v>
      </c>
      <c r="G766" s="65">
        <v>7.5223800000026824</v>
      </c>
      <c r="H766" s="67" t="s">
        <v>3289</v>
      </c>
      <c r="I766" s="65" t="s">
        <v>231</v>
      </c>
    </row>
    <row r="767" spans="1:9" x14ac:dyDescent="0.25">
      <c r="A767" s="57"/>
      <c r="B767" s="58" t="s">
        <v>682</v>
      </c>
      <c r="C767" s="59" t="s">
        <v>3290</v>
      </c>
      <c r="D767" s="60">
        <v>5</v>
      </c>
      <c r="E767" s="61">
        <v>835.83999999985099</v>
      </c>
      <c r="F767" s="61">
        <v>4.1791999999992546</v>
      </c>
      <c r="G767" s="60">
        <v>7.5225599999986592</v>
      </c>
      <c r="H767" s="62" t="s">
        <v>3291</v>
      </c>
      <c r="I767" s="60" t="s">
        <v>231</v>
      </c>
    </row>
    <row r="768" spans="1:9" x14ac:dyDescent="0.25">
      <c r="A768" s="57"/>
      <c r="B768" s="63" t="s">
        <v>679</v>
      </c>
      <c r="C768" s="64" t="s">
        <v>3292</v>
      </c>
      <c r="D768" s="65">
        <v>2.5</v>
      </c>
      <c r="E768" s="66">
        <v>417.91000000014901</v>
      </c>
      <c r="F768" s="66">
        <v>4.1791000000014904</v>
      </c>
      <c r="G768" s="65">
        <v>7.5223800000026824</v>
      </c>
      <c r="H768" s="67" t="s">
        <v>3293</v>
      </c>
      <c r="I768" s="65" t="s">
        <v>231</v>
      </c>
    </row>
    <row r="769" spans="1:9" x14ac:dyDescent="0.25">
      <c r="A769" s="57"/>
      <c r="B769" s="58" t="s">
        <v>681</v>
      </c>
      <c r="C769" s="59" t="s">
        <v>3294</v>
      </c>
      <c r="D769" s="60">
        <v>5</v>
      </c>
      <c r="E769" s="61">
        <v>835.83999999985099</v>
      </c>
      <c r="F769" s="61">
        <v>4.1791999999992546</v>
      </c>
      <c r="G769" s="60">
        <v>7.5225599999986592</v>
      </c>
      <c r="H769" s="62" t="s">
        <v>3295</v>
      </c>
      <c r="I769" s="60" t="s">
        <v>231</v>
      </c>
    </row>
    <row r="770" spans="1:9" x14ac:dyDescent="0.25">
      <c r="A770" s="57"/>
      <c r="B770" s="63" t="s">
        <v>685</v>
      </c>
      <c r="C770" s="64" t="s">
        <v>3296</v>
      </c>
      <c r="D770" s="65">
        <v>1</v>
      </c>
      <c r="E770" s="66">
        <v>189.68999999994412</v>
      </c>
      <c r="F770" s="66">
        <v>1.8968999999994411</v>
      </c>
      <c r="G770" s="65">
        <v>3.4144199999989944</v>
      </c>
      <c r="H770" s="67" t="s">
        <v>3297</v>
      </c>
      <c r="I770" s="65" t="s">
        <v>231</v>
      </c>
    </row>
    <row r="771" spans="1:9" x14ac:dyDescent="0.25">
      <c r="A771" s="57"/>
      <c r="B771" s="58" t="s">
        <v>688</v>
      </c>
      <c r="C771" s="59" t="s">
        <v>3298</v>
      </c>
      <c r="D771" s="60">
        <v>2</v>
      </c>
      <c r="E771" s="61">
        <v>379.41000000014901</v>
      </c>
      <c r="F771" s="61">
        <v>1.8970500000007451</v>
      </c>
      <c r="G771" s="60">
        <v>3.4146900000013414</v>
      </c>
      <c r="H771" s="62" t="s">
        <v>3299</v>
      </c>
      <c r="I771" s="60" t="s">
        <v>231</v>
      </c>
    </row>
    <row r="772" spans="1:9" x14ac:dyDescent="0.25">
      <c r="A772" s="57"/>
      <c r="B772" s="63" t="s">
        <v>686</v>
      </c>
      <c r="C772" s="64" t="s">
        <v>3300</v>
      </c>
      <c r="D772" s="65">
        <v>1</v>
      </c>
      <c r="E772" s="66">
        <v>189.68999999994412</v>
      </c>
      <c r="F772" s="66">
        <v>1.8968999999994411</v>
      </c>
      <c r="G772" s="65">
        <v>3.4144199999989944</v>
      </c>
      <c r="H772" s="67" t="s">
        <v>3301</v>
      </c>
      <c r="I772" s="65" t="s">
        <v>231</v>
      </c>
    </row>
    <row r="773" spans="1:9" x14ac:dyDescent="0.25">
      <c r="A773" s="57"/>
      <c r="B773" s="58" t="s">
        <v>689</v>
      </c>
      <c r="C773" s="59" t="s">
        <v>3302</v>
      </c>
      <c r="D773" s="60">
        <v>2</v>
      </c>
      <c r="E773" s="61">
        <v>379.41000000014901</v>
      </c>
      <c r="F773" s="61">
        <v>1.8970500000007451</v>
      </c>
      <c r="G773" s="60">
        <v>3.4146900000013414</v>
      </c>
      <c r="H773" s="62" t="s">
        <v>3303</v>
      </c>
      <c r="I773" s="60" t="s">
        <v>231</v>
      </c>
    </row>
    <row r="774" spans="1:9" x14ac:dyDescent="0.25">
      <c r="A774" s="57"/>
      <c r="B774" s="63" t="s">
        <v>687</v>
      </c>
      <c r="C774" s="64" t="s">
        <v>3304</v>
      </c>
      <c r="D774" s="65">
        <v>1</v>
      </c>
      <c r="E774" s="66">
        <v>189.68999999994412</v>
      </c>
      <c r="F774" s="66">
        <v>1.8968999999994411</v>
      </c>
      <c r="G774" s="65">
        <v>3.4144199999989944</v>
      </c>
      <c r="H774" s="67" t="s">
        <v>3305</v>
      </c>
      <c r="I774" s="65" t="s">
        <v>231</v>
      </c>
    </row>
    <row r="775" spans="1:9" x14ac:dyDescent="0.25">
      <c r="A775" s="57"/>
      <c r="B775" s="58" t="s">
        <v>690</v>
      </c>
      <c r="C775" s="59" t="s">
        <v>3306</v>
      </c>
      <c r="D775" s="60">
        <v>2</v>
      </c>
      <c r="E775" s="61">
        <v>379.41000000014901</v>
      </c>
      <c r="F775" s="61">
        <v>1.8970500000007451</v>
      </c>
      <c r="G775" s="60">
        <v>3.4146900000013414</v>
      </c>
      <c r="H775" s="62" t="s">
        <v>3307</v>
      </c>
      <c r="I775" s="60" t="s">
        <v>231</v>
      </c>
    </row>
    <row r="776" spans="1:9" x14ac:dyDescent="0.25">
      <c r="A776" s="57"/>
      <c r="B776" s="63" t="s">
        <v>691</v>
      </c>
      <c r="C776" s="64" t="s">
        <v>3308</v>
      </c>
      <c r="D776" s="65">
        <v>1.8999999999996362</v>
      </c>
      <c r="E776" s="66">
        <v>300.24000000022352</v>
      </c>
      <c r="F776" s="66">
        <v>3.0024000000022353</v>
      </c>
      <c r="G776" s="65">
        <v>5.4043200000040237</v>
      </c>
      <c r="H776" s="67" t="s">
        <v>3309</v>
      </c>
      <c r="I776" s="65" t="s">
        <v>231</v>
      </c>
    </row>
    <row r="777" spans="1:9" x14ac:dyDescent="0.25">
      <c r="A777" s="57"/>
      <c r="B777" s="58" t="s">
        <v>694</v>
      </c>
      <c r="C777" s="59" t="s">
        <v>3310</v>
      </c>
      <c r="D777" s="60">
        <v>3.7999999999992724</v>
      </c>
      <c r="E777" s="61">
        <v>600.45999999996275</v>
      </c>
      <c r="F777" s="61">
        <v>3.0022999999998139</v>
      </c>
      <c r="G777" s="60">
        <v>5.4041399999996642</v>
      </c>
      <c r="H777" s="62" t="s">
        <v>3311</v>
      </c>
      <c r="I777" s="60" t="s">
        <v>231</v>
      </c>
    </row>
    <row r="778" spans="1:9" x14ac:dyDescent="0.25">
      <c r="A778" s="57"/>
      <c r="B778" s="63" t="s">
        <v>692</v>
      </c>
      <c r="C778" s="64" t="s">
        <v>3312</v>
      </c>
      <c r="D778" s="65">
        <v>1.8999999999996362</v>
      </c>
      <c r="E778" s="66">
        <v>300.24000000022352</v>
      </c>
      <c r="F778" s="66">
        <v>3.0024000000022353</v>
      </c>
      <c r="G778" s="65">
        <v>5.4043200000040237</v>
      </c>
      <c r="H778" s="67" t="s">
        <v>3313</v>
      </c>
      <c r="I778" s="65" t="s">
        <v>231</v>
      </c>
    </row>
    <row r="779" spans="1:9" x14ac:dyDescent="0.25">
      <c r="A779" s="57"/>
      <c r="B779" s="58" t="s">
        <v>695</v>
      </c>
      <c r="C779" s="59" t="s">
        <v>3314</v>
      </c>
      <c r="D779" s="60">
        <v>3.7999999999992724</v>
      </c>
      <c r="E779" s="61">
        <v>600.45999999996275</v>
      </c>
      <c r="F779" s="61">
        <v>3.0022999999998139</v>
      </c>
      <c r="G779" s="60">
        <v>5.4041399999996642</v>
      </c>
      <c r="H779" s="62" t="s">
        <v>3315</v>
      </c>
      <c r="I779" s="60" t="s">
        <v>231</v>
      </c>
    </row>
    <row r="780" spans="1:9" x14ac:dyDescent="0.25">
      <c r="A780" s="57"/>
      <c r="B780" s="63" t="s">
        <v>693</v>
      </c>
      <c r="C780" s="64" t="s">
        <v>3316</v>
      </c>
      <c r="D780" s="65">
        <v>1.8999999999996362</v>
      </c>
      <c r="E780" s="66">
        <v>300.24000000022352</v>
      </c>
      <c r="F780" s="66">
        <v>3.0024000000022353</v>
      </c>
      <c r="G780" s="65">
        <v>5.4043200000040237</v>
      </c>
      <c r="H780" s="67" t="s">
        <v>3317</v>
      </c>
      <c r="I780" s="65" t="s">
        <v>231</v>
      </c>
    </row>
    <row r="781" spans="1:9" x14ac:dyDescent="0.25">
      <c r="A781" s="57"/>
      <c r="B781" s="58" t="s">
        <v>696</v>
      </c>
      <c r="C781" s="59" t="s">
        <v>3318</v>
      </c>
      <c r="D781" s="60">
        <v>3.7999999999992724</v>
      </c>
      <c r="E781" s="61">
        <v>600.45999999996275</v>
      </c>
      <c r="F781" s="61">
        <v>3.0022999999998139</v>
      </c>
      <c r="G781" s="60">
        <v>5.4041399999996642</v>
      </c>
      <c r="H781" s="62" t="s">
        <v>3319</v>
      </c>
      <c r="I781" s="60" t="s">
        <v>231</v>
      </c>
    </row>
    <row r="782" spans="1:9" x14ac:dyDescent="0.25">
      <c r="A782" s="57"/>
      <c r="B782" s="63" t="s">
        <v>697</v>
      </c>
      <c r="C782" s="64" t="s">
        <v>3320</v>
      </c>
      <c r="D782" s="65">
        <v>2.5</v>
      </c>
      <c r="E782" s="66">
        <v>385.12000000011176</v>
      </c>
      <c r="F782" s="66">
        <v>3.8512000000011177</v>
      </c>
      <c r="G782" s="65">
        <v>6.9321600000020123</v>
      </c>
      <c r="H782" s="67" t="s">
        <v>3321</v>
      </c>
      <c r="I782" s="65" t="s">
        <v>231</v>
      </c>
    </row>
    <row r="783" spans="1:9" x14ac:dyDescent="0.25">
      <c r="A783" s="57"/>
      <c r="B783" s="58" t="s">
        <v>700</v>
      </c>
      <c r="C783" s="59" t="s">
        <v>3322</v>
      </c>
      <c r="D783" s="60">
        <v>5</v>
      </c>
      <c r="E783" s="61">
        <v>770.24000000022352</v>
      </c>
      <c r="F783" s="61">
        <v>3.8512000000011177</v>
      </c>
      <c r="G783" s="60">
        <v>6.9321600000020123</v>
      </c>
      <c r="H783" s="62" t="s">
        <v>3323</v>
      </c>
      <c r="I783" s="60" t="s">
        <v>231</v>
      </c>
    </row>
    <row r="784" spans="1:9" x14ac:dyDescent="0.25">
      <c r="A784" s="57"/>
      <c r="B784" s="63" t="s">
        <v>698</v>
      </c>
      <c r="C784" s="64" t="s">
        <v>3324</v>
      </c>
      <c r="D784" s="65">
        <v>2.5</v>
      </c>
      <c r="E784" s="66">
        <v>385.12000000011176</v>
      </c>
      <c r="F784" s="66">
        <v>3.8512000000011177</v>
      </c>
      <c r="G784" s="65">
        <v>6.9321600000020123</v>
      </c>
      <c r="H784" s="67" t="s">
        <v>3325</v>
      </c>
      <c r="I784" s="65" t="s">
        <v>231</v>
      </c>
    </row>
    <row r="785" spans="1:9" x14ac:dyDescent="0.25">
      <c r="A785" s="57"/>
      <c r="B785" s="58" t="s">
        <v>701</v>
      </c>
      <c r="C785" s="59" t="s">
        <v>3326</v>
      </c>
      <c r="D785" s="60">
        <v>5</v>
      </c>
      <c r="E785" s="61">
        <v>770.24000000022352</v>
      </c>
      <c r="F785" s="61">
        <v>3.8512000000011177</v>
      </c>
      <c r="G785" s="60">
        <v>6.9321600000020123</v>
      </c>
      <c r="H785" s="62" t="s">
        <v>3327</v>
      </c>
      <c r="I785" s="60" t="s">
        <v>231</v>
      </c>
    </row>
    <row r="786" spans="1:9" x14ac:dyDescent="0.25">
      <c r="A786" s="57"/>
      <c r="B786" s="63" t="s">
        <v>699</v>
      </c>
      <c r="C786" s="64" t="s">
        <v>3328</v>
      </c>
      <c r="D786" s="65">
        <v>2.5</v>
      </c>
      <c r="E786" s="66">
        <v>385.12000000011176</v>
      </c>
      <c r="F786" s="66">
        <v>3.8512000000011177</v>
      </c>
      <c r="G786" s="65">
        <v>6.9321600000020123</v>
      </c>
      <c r="H786" s="67" t="s">
        <v>3329</v>
      </c>
      <c r="I786" s="65" t="s">
        <v>231</v>
      </c>
    </row>
    <row r="787" spans="1:9" x14ac:dyDescent="0.25">
      <c r="A787" s="57"/>
      <c r="B787" s="58" t="s">
        <v>702</v>
      </c>
      <c r="C787" s="59" t="s">
        <v>3330</v>
      </c>
      <c r="D787" s="60">
        <v>5</v>
      </c>
      <c r="E787" s="61">
        <v>770.24000000022352</v>
      </c>
      <c r="F787" s="61">
        <v>3.8512000000011177</v>
      </c>
      <c r="G787" s="60">
        <v>6.9321600000020123</v>
      </c>
      <c r="H787" s="62" t="s">
        <v>3331</v>
      </c>
      <c r="I787" s="60" t="s">
        <v>231</v>
      </c>
    </row>
    <row r="788" spans="1:9" x14ac:dyDescent="0.25">
      <c r="A788" s="57"/>
      <c r="B788" s="63" t="s">
        <v>711</v>
      </c>
      <c r="C788" s="64" t="s">
        <v>3332</v>
      </c>
      <c r="D788" s="65">
        <v>0.15000000000009095</v>
      </c>
      <c r="E788" s="66">
        <v>42.169999999983702</v>
      </c>
      <c r="F788" s="66">
        <v>0.42169999999983704</v>
      </c>
      <c r="G788" s="65">
        <v>0.75905999999970664</v>
      </c>
      <c r="H788" s="67" t="s">
        <v>3333</v>
      </c>
      <c r="I788" s="65" t="s">
        <v>3334</v>
      </c>
    </row>
    <row r="789" spans="1:9" x14ac:dyDescent="0.25">
      <c r="A789" s="57"/>
      <c r="B789" s="58" t="s">
        <v>714</v>
      </c>
      <c r="C789" s="59" t="s">
        <v>3335</v>
      </c>
      <c r="D789" s="60">
        <v>0.3000000000001819</v>
      </c>
      <c r="E789" s="61">
        <v>84.319999999948777</v>
      </c>
      <c r="F789" s="61">
        <v>0.4215999999997439</v>
      </c>
      <c r="G789" s="60">
        <v>0.75887999999953903</v>
      </c>
      <c r="H789" s="62" t="s">
        <v>3336</v>
      </c>
      <c r="I789" s="60" t="s">
        <v>3334</v>
      </c>
    </row>
    <row r="790" spans="1:9" x14ac:dyDescent="0.25">
      <c r="A790" s="57"/>
      <c r="B790" s="63" t="s">
        <v>712</v>
      </c>
      <c r="C790" s="64" t="s">
        <v>3337</v>
      </c>
      <c r="D790" s="65">
        <v>0.15000000000009095</v>
      </c>
      <c r="E790" s="66">
        <v>42.169999999983702</v>
      </c>
      <c r="F790" s="66">
        <v>0.42169999999983704</v>
      </c>
      <c r="G790" s="65">
        <v>0.75905999999970664</v>
      </c>
      <c r="H790" s="67" t="s">
        <v>3338</v>
      </c>
      <c r="I790" s="65" t="s">
        <v>3334</v>
      </c>
    </row>
    <row r="791" spans="1:9" x14ac:dyDescent="0.25">
      <c r="A791" s="57"/>
      <c r="B791" s="58" t="s">
        <v>715</v>
      </c>
      <c r="C791" s="59" t="s">
        <v>3339</v>
      </c>
      <c r="D791" s="60">
        <v>0.3000000000001819</v>
      </c>
      <c r="E791" s="61">
        <v>84.319999999948777</v>
      </c>
      <c r="F791" s="61">
        <v>0.4215999999997439</v>
      </c>
      <c r="G791" s="60">
        <v>0.75887999999953903</v>
      </c>
      <c r="H791" s="62" t="s">
        <v>3340</v>
      </c>
      <c r="I791" s="60" t="s">
        <v>3334</v>
      </c>
    </row>
    <row r="792" spans="1:9" x14ac:dyDescent="0.25">
      <c r="A792" s="57"/>
      <c r="B792" s="63" t="s">
        <v>710</v>
      </c>
      <c r="C792" s="64" t="s">
        <v>3341</v>
      </c>
      <c r="D792" s="65">
        <v>0.15000000000009095</v>
      </c>
      <c r="E792" s="66">
        <v>42.169999999983702</v>
      </c>
      <c r="F792" s="66">
        <v>0.42169999999983704</v>
      </c>
      <c r="G792" s="65">
        <v>0.75905999999970664</v>
      </c>
      <c r="H792" s="67" t="s">
        <v>3342</v>
      </c>
      <c r="I792" s="65" t="s">
        <v>3334</v>
      </c>
    </row>
    <row r="793" spans="1:9" x14ac:dyDescent="0.25">
      <c r="A793" s="57"/>
      <c r="B793" s="58" t="s">
        <v>713</v>
      </c>
      <c r="C793" s="59" t="s">
        <v>3343</v>
      </c>
      <c r="D793" s="60">
        <v>0.3000000000001819</v>
      </c>
      <c r="E793" s="61">
        <v>84.319999999948777</v>
      </c>
      <c r="F793" s="61">
        <v>0.4215999999997439</v>
      </c>
      <c r="G793" s="60">
        <v>0.75887999999953903</v>
      </c>
      <c r="H793" s="62" t="s">
        <v>3344</v>
      </c>
      <c r="I793" s="60" t="s">
        <v>3334</v>
      </c>
    </row>
    <row r="794" spans="1:9" x14ac:dyDescent="0.25">
      <c r="A794" s="57"/>
      <c r="B794" s="63" t="s">
        <v>717</v>
      </c>
      <c r="C794" s="64" t="s">
        <v>3345</v>
      </c>
      <c r="D794" s="65">
        <v>0.34000000000014552</v>
      </c>
      <c r="E794" s="66">
        <v>57.28000000002794</v>
      </c>
      <c r="F794" s="66">
        <v>0.57280000000027942</v>
      </c>
      <c r="G794" s="65">
        <v>1.0310400000005029</v>
      </c>
      <c r="H794" s="67" t="s">
        <v>3346</v>
      </c>
      <c r="I794" s="65" t="s">
        <v>3334</v>
      </c>
    </row>
    <row r="795" spans="1:9" x14ac:dyDescent="0.25">
      <c r="A795" s="57"/>
      <c r="B795" s="58" t="s">
        <v>720</v>
      </c>
      <c r="C795" s="59" t="s">
        <v>3347</v>
      </c>
      <c r="D795" s="60">
        <v>0.68000000000029104</v>
      </c>
      <c r="E795" s="61">
        <v>114.53000000002794</v>
      </c>
      <c r="F795" s="61">
        <v>0.57265000000013966</v>
      </c>
      <c r="G795" s="60">
        <v>1.0307700000002515</v>
      </c>
      <c r="H795" s="62" t="s">
        <v>3348</v>
      </c>
      <c r="I795" s="60" t="s">
        <v>3334</v>
      </c>
    </row>
    <row r="796" spans="1:9" x14ac:dyDescent="0.25">
      <c r="A796" s="57"/>
      <c r="B796" s="63" t="s">
        <v>718</v>
      </c>
      <c r="C796" s="64" t="s">
        <v>3349</v>
      </c>
      <c r="D796" s="65">
        <v>0.34000000000014552</v>
      </c>
      <c r="E796" s="66">
        <v>57.28000000002794</v>
      </c>
      <c r="F796" s="66">
        <v>0.57280000000027942</v>
      </c>
      <c r="G796" s="65">
        <v>1.0310400000005029</v>
      </c>
      <c r="H796" s="67" t="s">
        <v>3350</v>
      </c>
      <c r="I796" s="65" t="s">
        <v>3334</v>
      </c>
    </row>
    <row r="797" spans="1:9" x14ac:dyDescent="0.25">
      <c r="A797" s="57"/>
      <c r="B797" s="58" t="s">
        <v>721</v>
      </c>
      <c r="C797" s="59" t="s">
        <v>3351</v>
      </c>
      <c r="D797" s="60">
        <v>0.68000000000029104</v>
      </c>
      <c r="E797" s="61">
        <v>114.53000000002794</v>
      </c>
      <c r="F797" s="61">
        <v>0.57265000000013966</v>
      </c>
      <c r="G797" s="60">
        <v>1.0307700000002515</v>
      </c>
      <c r="H797" s="62" t="s">
        <v>3352</v>
      </c>
      <c r="I797" s="60" t="s">
        <v>3334</v>
      </c>
    </row>
    <row r="798" spans="1:9" x14ac:dyDescent="0.25">
      <c r="A798" s="57"/>
      <c r="B798" s="63" t="s">
        <v>716</v>
      </c>
      <c r="C798" s="64" t="s">
        <v>3353</v>
      </c>
      <c r="D798" s="65">
        <v>0.34000000000014552</v>
      </c>
      <c r="E798" s="66">
        <v>57.28000000002794</v>
      </c>
      <c r="F798" s="66">
        <v>0.57280000000027942</v>
      </c>
      <c r="G798" s="65">
        <v>1.0310400000005029</v>
      </c>
      <c r="H798" s="67" t="s">
        <v>3354</v>
      </c>
      <c r="I798" s="65" t="s">
        <v>3334</v>
      </c>
    </row>
    <row r="799" spans="1:9" x14ac:dyDescent="0.25">
      <c r="A799" s="57"/>
      <c r="B799" s="58" t="s">
        <v>719</v>
      </c>
      <c r="C799" s="59" t="s">
        <v>3355</v>
      </c>
      <c r="D799" s="60">
        <v>0.68000000000029104</v>
      </c>
      <c r="E799" s="61">
        <v>114.54000000003725</v>
      </c>
      <c r="F799" s="61">
        <v>0.57270000000018628</v>
      </c>
      <c r="G799" s="60">
        <v>1.0308600000003354</v>
      </c>
      <c r="H799" s="62" t="s">
        <v>3356</v>
      </c>
      <c r="I799" s="60" t="s">
        <v>3334</v>
      </c>
    </row>
    <row r="800" spans="1:9" x14ac:dyDescent="0.25">
      <c r="A800" s="57"/>
      <c r="B800" s="63" t="s">
        <v>722</v>
      </c>
      <c r="C800" s="64" t="s">
        <v>3357</v>
      </c>
      <c r="D800" s="65">
        <v>0.6000000000003638</v>
      </c>
      <c r="E800" s="66">
        <v>85.010000000009313</v>
      </c>
      <c r="F800" s="66">
        <v>0.85010000000009311</v>
      </c>
      <c r="G800" s="65">
        <v>1.5301800000001677</v>
      </c>
      <c r="H800" s="67" t="s">
        <v>3358</v>
      </c>
      <c r="I800" s="65" t="s">
        <v>3334</v>
      </c>
    </row>
    <row r="801" spans="1:9" x14ac:dyDescent="0.25">
      <c r="A801" s="57"/>
      <c r="B801" s="58" t="s">
        <v>728</v>
      </c>
      <c r="C801" s="59" t="s">
        <v>3359</v>
      </c>
      <c r="D801" s="60">
        <v>1.2000000000007276</v>
      </c>
      <c r="E801" s="61">
        <v>170.02000000001863</v>
      </c>
      <c r="F801" s="61">
        <v>0.85010000000009311</v>
      </c>
      <c r="G801" s="60">
        <v>1.5301800000001677</v>
      </c>
      <c r="H801" s="62" t="s">
        <v>3360</v>
      </c>
      <c r="I801" s="60" t="s">
        <v>3334</v>
      </c>
    </row>
    <row r="802" spans="1:9" x14ac:dyDescent="0.25">
      <c r="A802" s="57"/>
      <c r="B802" s="63" t="s">
        <v>734</v>
      </c>
      <c r="C802" s="64" t="s">
        <v>3361</v>
      </c>
      <c r="D802" s="65">
        <v>1</v>
      </c>
      <c r="E802" s="66">
        <v>144</v>
      </c>
      <c r="F802" s="66">
        <v>1.44</v>
      </c>
      <c r="G802" s="65">
        <v>2.5920000000000001</v>
      </c>
      <c r="H802" s="67" t="s">
        <v>3362</v>
      </c>
      <c r="I802" s="65" t="s">
        <v>3334</v>
      </c>
    </row>
    <row r="803" spans="1:9" x14ac:dyDescent="0.25">
      <c r="A803" s="57"/>
      <c r="B803" s="58" t="s">
        <v>740</v>
      </c>
      <c r="C803" s="59" t="s">
        <v>3363</v>
      </c>
      <c r="D803" s="60">
        <v>2</v>
      </c>
      <c r="E803" s="61">
        <v>288.02000000001863</v>
      </c>
      <c r="F803" s="61">
        <v>1.4401000000000932</v>
      </c>
      <c r="G803" s="60">
        <v>2.5921800000001678</v>
      </c>
      <c r="H803" s="62" t="s">
        <v>3364</v>
      </c>
      <c r="I803" s="60" t="s">
        <v>3334</v>
      </c>
    </row>
    <row r="804" spans="1:9" x14ac:dyDescent="0.25">
      <c r="A804" s="57"/>
      <c r="B804" s="63" t="s">
        <v>746</v>
      </c>
      <c r="C804" s="64" t="s">
        <v>3365</v>
      </c>
      <c r="D804" s="65">
        <v>1.8999999999996362</v>
      </c>
      <c r="E804" s="66">
        <v>202.64999999990687</v>
      </c>
      <c r="F804" s="66">
        <v>2.0264999999990687</v>
      </c>
      <c r="G804" s="65">
        <v>3.6476999999983235</v>
      </c>
      <c r="H804" s="67" t="s">
        <v>3366</v>
      </c>
      <c r="I804" s="65" t="s">
        <v>3334</v>
      </c>
    </row>
    <row r="805" spans="1:9" x14ac:dyDescent="0.25">
      <c r="A805" s="57"/>
      <c r="B805" s="58" t="s">
        <v>752</v>
      </c>
      <c r="C805" s="59" t="s">
        <v>3367</v>
      </c>
      <c r="D805" s="60">
        <v>3.7999999999992724</v>
      </c>
      <c r="E805" s="61">
        <v>405.22999999998137</v>
      </c>
      <c r="F805" s="61">
        <v>2.0261499999999071</v>
      </c>
      <c r="G805" s="60">
        <v>3.6470699999998324</v>
      </c>
      <c r="H805" s="62" t="s">
        <v>3368</v>
      </c>
      <c r="I805" s="60" t="s">
        <v>3334</v>
      </c>
    </row>
    <row r="806" spans="1:9" x14ac:dyDescent="0.25">
      <c r="A806" s="57"/>
      <c r="B806" s="63" t="s">
        <v>758</v>
      </c>
      <c r="C806" s="64" t="s">
        <v>3369</v>
      </c>
      <c r="D806" s="65">
        <v>2.5</v>
      </c>
      <c r="E806" s="66">
        <v>247.52000000001863</v>
      </c>
      <c r="F806" s="66">
        <v>2.4752000000001861</v>
      </c>
      <c r="G806" s="65">
        <v>4.4553600000003355</v>
      </c>
      <c r="H806" s="67" t="s">
        <v>3370</v>
      </c>
      <c r="I806" s="65" t="s">
        <v>3334</v>
      </c>
    </row>
    <row r="807" spans="1:9" x14ac:dyDescent="0.25">
      <c r="A807" s="57"/>
      <c r="B807" s="58" t="s">
        <v>764</v>
      </c>
      <c r="C807" s="59" t="s">
        <v>3371</v>
      </c>
      <c r="D807" s="60">
        <v>5</v>
      </c>
      <c r="E807" s="61">
        <v>495.02000000001863</v>
      </c>
      <c r="F807" s="61">
        <v>2.4751000000000931</v>
      </c>
      <c r="G807" s="60">
        <v>4.4551800000001682</v>
      </c>
      <c r="H807" s="62" t="s">
        <v>3372</v>
      </c>
      <c r="I807" s="60" t="s">
        <v>3334</v>
      </c>
    </row>
    <row r="808" spans="1:9" x14ac:dyDescent="0.25">
      <c r="A808" s="57"/>
      <c r="B808" s="63" t="s">
        <v>724</v>
      </c>
      <c r="C808" s="64" t="s">
        <v>3373</v>
      </c>
      <c r="D808" s="65">
        <v>0.6000000000003638</v>
      </c>
      <c r="E808" s="66">
        <v>85.010000000009313</v>
      </c>
      <c r="F808" s="66">
        <v>0.85010000000009311</v>
      </c>
      <c r="G808" s="65">
        <v>1.5301800000001677</v>
      </c>
      <c r="H808" s="67" t="s">
        <v>3374</v>
      </c>
      <c r="I808" s="65" t="s">
        <v>3334</v>
      </c>
    </row>
    <row r="809" spans="1:9" x14ac:dyDescent="0.25">
      <c r="A809" s="57"/>
      <c r="B809" s="58" t="s">
        <v>730</v>
      </c>
      <c r="C809" s="59" t="s">
        <v>3375</v>
      </c>
      <c r="D809" s="60">
        <v>1.2000000000007276</v>
      </c>
      <c r="E809" s="61">
        <v>170.02000000001863</v>
      </c>
      <c r="F809" s="61">
        <v>0.85010000000009311</v>
      </c>
      <c r="G809" s="60">
        <v>1.5301800000001677</v>
      </c>
      <c r="H809" s="62" t="s">
        <v>3376</v>
      </c>
      <c r="I809" s="60" t="s">
        <v>3334</v>
      </c>
    </row>
    <row r="810" spans="1:9" x14ac:dyDescent="0.25">
      <c r="A810" s="57"/>
      <c r="B810" s="63" t="s">
        <v>736</v>
      </c>
      <c r="C810" s="64" t="s">
        <v>3377</v>
      </c>
      <c r="D810" s="65">
        <v>1</v>
      </c>
      <c r="E810" s="66">
        <v>144</v>
      </c>
      <c r="F810" s="66">
        <v>1.44</v>
      </c>
      <c r="G810" s="65">
        <v>2.5920000000000001</v>
      </c>
      <c r="H810" s="67" t="s">
        <v>3378</v>
      </c>
      <c r="I810" s="65" t="s">
        <v>3334</v>
      </c>
    </row>
    <row r="811" spans="1:9" x14ac:dyDescent="0.25">
      <c r="A811" s="57"/>
      <c r="B811" s="58" t="s">
        <v>742</v>
      </c>
      <c r="C811" s="59" t="s">
        <v>3379</v>
      </c>
      <c r="D811" s="60">
        <v>2</v>
      </c>
      <c r="E811" s="61">
        <v>288.02000000001863</v>
      </c>
      <c r="F811" s="61">
        <v>1.4401000000000932</v>
      </c>
      <c r="G811" s="60">
        <v>2.5921800000001678</v>
      </c>
      <c r="H811" s="62" t="s">
        <v>3380</v>
      </c>
      <c r="I811" s="60" t="s">
        <v>3334</v>
      </c>
    </row>
    <row r="812" spans="1:9" x14ac:dyDescent="0.25">
      <c r="A812" s="57"/>
      <c r="B812" s="63" t="s">
        <v>748</v>
      </c>
      <c r="C812" s="64" t="s">
        <v>3381</v>
      </c>
      <c r="D812" s="65">
        <v>1.8999999999996362</v>
      </c>
      <c r="E812" s="66">
        <v>202.64999999990687</v>
      </c>
      <c r="F812" s="66">
        <v>2.0264999999990687</v>
      </c>
      <c r="G812" s="65">
        <v>3.6476999999983235</v>
      </c>
      <c r="H812" s="67" t="s">
        <v>3382</v>
      </c>
      <c r="I812" s="65" t="s">
        <v>3334</v>
      </c>
    </row>
    <row r="813" spans="1:9" x14ac:dyDescent="0.25">
      <c r="A813" s="57"/>
      <c r="B813" s="58" t="s">
        <v>754</v>
      </c>
      <c r="C813" s="59" t="s">
        <v>3383</v>
      </c>
      <c r="D813" s="60">
        <v>3.7999999999992724</v>
      </c>
      <c r="E813" s="61">
        <v>405.22999999998137</v>
      </c>
      <c r="F813" s="61">
        <v>2.0261499999999071</v>
      </c>
      <c r="G813" s="60">
        <v>3.6470699999998324</v>
      </c>
      <c r="H813" s="62" t="s">
        <v>3384</v>
      </c>
      <c r="I813" s="60" t="s">
        <v>3334</v>
      </c>
    </row>
    <row r="814" spans="1:9" x14ac:dyDescent="0.25">
      <c r="A814" s="57"/>
      <c r="B814" s="63" t="s">
        <v>760</v>
      </c>
      <c r="C814" s="64" t="s">
        <v>3385</v>
      </c>
      <c r="D814" s="65">
        <v>2.5</v>
      </c>
      <c r="E814" s="66">
        <v>247.52000000001863</v>
      </c>
      <c r="F814" s="66">
        <v>2.4752000000001861</v>
      </c>
      <c r="G814" s="65">
        <v>4.4553600000003355</v>
      </c>
      <c r="H814" s="67" t="s">
        <v>3386</v>
      </c>
      <c r="I814" s="65" t="s">
        <v>3334</v>
      </c>
    </row>
    <row r="815" spans="1:9" x14ac:dyDescent="0.25">
      <c r="A815" s="57"/>
      <c r="B815" s="58" t="s">
        <v>766</v>
      </c>
      <c r="C815" s="59" t="s">
        <v>3387</v>
      </c>
      <c r="D815" s="60">
        <v>5</v>
      </c>
      <c r="E815" s="61">
        <v>495.02000000001863</v>
      </c>
      <c r="F815" s="61">
        <v>2.4751000000000931</v>
      </c>
      <c r="G815" s="60">
        <v>4.4551800000001682</v>
      </c>
      <c r="H815" s="62" t="s">
        <v>3388</v>
      </c>
      <c r="I815" s="60" t="s">
        <v>3334</v>
      </c>
    </row>
    <row r="816" spans="1:9" x14ac:dyDescent="0.25">
      <c r="A816" s="57"/>
      <c r="B816" s="63" t="s">
        <v>725</v>
      </c>
      <c r="C816" s="64" t="s">
        <v>3389</v>
      </c>
      <c r="D816" s="65">
        <v>0.6000000000003638</v>
      </c>
      <c r="E816" s="66">
        <v>85.010000000009313</v>
      </c>
      <c r="F816" s="66">
        <v>0.85010000000009311</v>
      </c>
      <c r="G816" s="65">
        <v>1.5301800000001677</v>
      </c>
      <c r="H816" s="67" t="s">
        <v>3390</v>
      </c>
      <c r="I816" s="65" t="s">
        <v>3334</v>
      </c>
    </row>
    <row r="817" spans="1:9" x14ac:dyDescent="0.25">
      <c r="A817" s="57"/>
      <c r="B817" s="58" t="s">
        <v>731</v>
      </c>
      <c r="C817" s="59" t="s">
        <v>3391</v>
      </c>
      <c r="D817" s="60">
        <v>1.2000000000007276</v>
      </c>
      <c r="E817" s="61">
        <v>170.02000000001863</v>
      </c>
      <c r="F817" s="61">
        <v>0.85010000000009311</v>
      </c>
      <c r="G817" s="60">
        <v>1.5301800000001677</v>
      </c>
      <c r="H817" s="62" t="s">
        <v>3392</v>
      </c>
      <c r="I817" s="60" t="s">
        <v>3334</v>
      </c>
    </row>
    <row r="818" spans="1:9" x14ac:dyDescent="0.25">
      <c r="A818" s="57"/>
      <c r="B818" s="63" t="s">
        <v>737</v>
      </c>
      <c r="C818" s="64" t="s">
        <v>3393</v>
      </c>
      <c r="D818" s="65">
        <v>1</v>
      </c>
      <c r="E818" s="66">
        <v>144</v>
      </c>
      <c r="F818" s="66">
        <v>1.44</v>
      </c>
      <c r="G818" s="65">
        <v>2.5920000000000001</v>
      </c>
      <c r="H818" s="67" t="s">
        <v>3394</v>
      </c>
      <c r="I818" s="65" t="s">
        <v>3334</v>
      </c>
    </row>
    <row r="819" spans="1:9" x14ac:dyDescent="0.25">
      <c r="A819" s="57"/>
      <c r="B819" s="58" t="s">
        <v>743</v>
      </c>
      <c r="C819" s="59" t="s">
        <v>3395</v>
      </c>
      <c r="D819" s="60">
        <v>2</v>
      </c>
      <c r="E819" s="61">
        <v>288.02000000001863</v>
      </c>
      <c r="F819" s="61">
        <v>1.4401000000000932</v>
      </c>
      <c r="G819" s="60">
        <v>2.5921800000001678</v>
      </c>
      <c r="H819" s="62" t="s">
        <v>3396</v>
      </c>
      <c r="I819" s="60" t="s">
        <v>3334</v>
      </c>
    </row>
    <row r="820" spans="1:9" x14ac:dyDescent="0.25">
      <c r="A820" s="57"/>
      <c r="B820" s="63" t="s">
        <v>749</v>
      </c>
      <c r="C820" s="64" t="s">
        <v>3397</v>
      </c>
      <c r="D820" s="65">
        <v>1.8999999999996362</v>
      </c>
      <c r="E820" s="66">
        <v>202.64999999990687</v>
      </c>
      <c r="F820" s="66">
        <v>2.0264999999990687</v>
      </c>
      <c r="G820" s="65">
        <v>3.6476999999983235</v>
      </c>
      <c r="H820" s="67" t="s">
        <v>3398</v>
      </c>
      <c r="I820" s="65" t="s">
        <v>3334</v>
      </c>
    </row>
    <row r="821" spans="1:9" x14ac:dyDescent="0.25">
      <c r="A821" s="57"/>
      <c r="B821" s="58" t="s">
        <v>755</v>
      </c>
      <c r="C821" s="59" t="s">
        <v>3399</v>
      </c>
      <c r="D821" s="60">
        <v>3.7999999999992724</v>
      </c>
      <c r="E821" s="61">
        <v>405.22999999998137</v>
      </c>
      <c r="F821" s="61">
        <v>2.0261499999999071</v>
      </c>
      <c r="G821" s="60">
        <v>3.6470699999998324</v>
      </c>
      <c r="H821" s="62" t="s">
        <v>3400</v>
      </c>
      <c r="I821" s="60" t="s">
        <v>3334</v>
      </c>
    </row>
    <row r="822" spans="1:9" x14ac:dyDescent="0.25">
      <c r="A822" s="57"/>
      <c r="B822" s="63" t="s">
        <v>761</v>
      </c>
      <c r="C822" s="64" t="s">
        <v>3401</v>
      </c>
      <c r="D822" s="65">
        <v>2.5</v>
      </c>
      <c r="E822" s="66">
        <v>247.52000000001863</v>
      </c>
      <c r="F822" s="66">
        <v>2.4752000000001861</v>
      </c>
      <c r="G822" s="65">
        <v>4.4553600000003355</v>
      </c>
      <c r="H822" s="67" t="s">
        <v>3402</v>
      </c>
      <c r="I822" s="65" t="s">
        <v>3334</v>
      </c>
    </row>
    <row r="823" spans="1:9" x14ac:dyDescent="0.25">
      <c r="A823" s="57"/>
      <c r="B823" s="58" t="s">
        <v>767</v>
      </c>
      <c r="C823" s="59" t="s">
        <v>3403</v>
      </c>
      <c r="D823" s="60">
        <v>5</v>
      </c>
      <c r="E823" s="61">
        <v>495.02000000001863</v>
      </c>
      <c r="F823" s="61">
        <v>2.4751000000000931</v>
      </c>
      <c r="G823" s="60">
        <v>4.4551800000001682</v>
      </c>
      <c r="H823" s="62" t="s">
        <v>3404</v>
      </c>
      <c r="I823" s="60" t="s">
        <v>3334</v>
      </c>
    </row>
    <row r="824" spans="1:9" x14ac:dyDescent="0.25">
      <c r="A824" s="57"/>
      <c r="B824" s="63" t="s">
        <v>727</v>
      </c>
      <c r="C824" s="64" t="s">
        <v>3405</v>
      </c>
      <c r="D824" s="65">
        <v>0.6000000000003638</v>
      </c>
      <c r="E824" s="66">
        <v>85.010000000009313</v>
      </c>
      <c r="F824" s="66">
        <v>0.85010000000009311</v>
      </c>
      <c r="G824" s="65">
        <v>1.5301800000001677</v>
      </c>
      <c r="H824" s="67" t="s">
        <v>3406</v>
      </c>
      <c r="I824" s="65" t="s">
        <v>3334</v>
      </c>
    </row>
    <row r="825" spans="1:9" x14ac:dyDescent="0.25">
      <c r="A825" s="57"/>
      <c r="B825" s="58" t="s">
        <v>733</v>
      </c>
      <c r="C825" s="59" t="s">
        <v>3407</v>
      </c>
      <c r="D825" s="60">
        <v>1.2000000000007276</v>
      </c>
      <c r="E825" s="61">
        <v>170.02000000001863</v>
      </c>
      <c r="F825" s="61">
        <v>0.85010000000009311</v>
      </c>
      <c r="G825" s="60">
        <v>1.5301800000001677</v>
      </c>
      <c r="H825" s="62" t="s">
        <v>3408</v>
      </c>
      <c r="I825" s="60" t="s">
        <v>3334</v>
      </c>
    </row>
    <row r="826" spans="1:9" x14ac:dyDescent="0.25">
      <c r="A826" s="57"/>
      <c r="B826" s="63" t="s">
        <v>739</v>
      </c>
      <c r="C826" s="64" t="s">
        <v>3409</v>
      </c>
      <c r="D826" s="65">
        <v>1</v>
      </c>
      <c r="E826" s="66">
        <v>144</v>
      </c>
      <c r="F826" s="66">
        <v>1.44</v>
      </c>
      <c r="G826" s="65">
        <v>2.5920000000000001</v>
      </c>
      <c r="H826" s="67" t="s">
        <v>3410</v>
      </c>
      <c r="I826" s="65" t="s">
        <v>3334</v>
      </c>
    </row>
    <row r="827" spans="1:9" x14ac:dyDescent="0.25">
      <c r="A827" s="57"/>
      <c r="B827" s="58" t="s">
        <v>745</v>
      </c>
      <c r="C827" s="59" t="s">
        <v>3411</v>
      </c>
      <c r="D827" s="60">
        <v>2</v>
      </c>
      <c r="E827" s="61">
        <v>288.02000000001863</v>
      </c>
      <c r="F827" s="61">
        <v>1.4401000000000932</v>
      </c>
      <c r="G827" s="60">
        <v>2.5921800000001678</v>
      </c>
      <c r="H827" s="62" t="s">
        <v>3412</v>
      </c>
      <c r="I827" s="60" t="s">
        <v>3334</v>
      </c>
    </row>
    <row r="828" spans="1:9" x14ac:dyDescent="0.25">
      <c r="A828" s="57"/>
      <c r="B828" s="63" t="s">
        <v>751</v>
      </c>
      <c r="C828" s="64" t="s">
        <v>3413</v>
      </c>
      <c r="D828" s="65">
        <v>1.8999999999996362</v>
      </c>
      <c r="E828" s="66">
        <v>202.64999999990687</v>
      </c>
      <c r="F828" s="66">
        <v>2.0264999999990687</v>
      </c>
      <c r="G828" s="65">
        <v>3.6476999999983235</v>
      </c>
      <c r="H828" s="67" t="s">
        <v>3414</v>
      </c>
      <c r="I828" s="65" t="s">
        <v>3334</v>
      </c>
    </row>
    <row r="829" spans="1:9" x14ac:dyDescent="0.25">
      <c r="A829" s="57"/>
      <c r="B829" s="58" t="s">
        <v>757</v>
      </c>
      <c r="C829" s="59" t="s">
        <v>3415</v>
      </c>
      <c r="D829" s="60">
        <v>3.7999999999992724</v>
      </c>
      <c r="E829" s="61">
        <v>405.22999999998137</v>
      </c>
      <c r="F829" s="61">
        <v>2.0261499999999071</v>
      </c>
      <c r="G829" s="60">
        <v>3.6470699999998324</v>
      </c>
      <c r="H829" s="62" t="s">
        <v>3416</v>
      </c>
      <c r="I829" s="60" t="s">
        <v>3334</v>
      </c>
    </row>
    <row r="830" spans="1:9" x14ac:dyDescent="0.25">
      <c r="A830" s="57"/>
      <c r="B830" s="63" t="s">
        <v>763</v>
      </c>
      <c r="C830" s="64" t="s">
        <v>3417</v>
      </c>
      <c r="D830" s="65">
        <v>2.5</v>
      </c>
      <c r="E830" s="66">
        <v>247.52000000001863</v>
      </c>
      <c r="F830" s="66">
        <v>2.4752000000001861</v>
      </c>
      <c r="G830" s="65">
        <v>4.4553600000003355</v>
      </c>
      <c r="H830" s="67" t="s">
        <v>3418</v>
      </c>
      <c r="I830" s="65" t="s">
        <v>3334</v>
      </c>
    </row>
    <row r="831" spans="1:9" x14ac:dyDescent="0.25">
      <c r="A831" s="57"/>
      <c r="B831" s="58" t="s">
        <v>769</v>
      </c>
      <c r="C831" s="59" t="s">
        <v>3419</v>
      </c>
      <c r="D831" s="60">
        <v>5</v>
      </c>
      <c r="E831" s="61">
        <v>495.02000000001863</v>
      </c>
      <c r="F831" s="61">
        <v>2.4751000000000931</v>
      </c>
      <c r="G831" s="60">
        <v>4.4551800000001682</v>
      </c>
      <c r="H831" s="62" t="s">
        <v>3420</v>
      </c>
      <c r="I831" s="60" t="s">
        <v>3334</v>
      </c>
    </row>
    <row r="832" spans="1:9" x14ac:dyDescent="0.25">
      <c r="A832" s="57"/>
      <c r="B832" s="63" t="s">
        <v>723</v>
      </c>
      <c r="C832" s="64" t="s">
        <v>3421</v>
      </c>
      <c r="D832" s="65">
        <v>0.6000000000003638</v>
      </c>
      <c r="E832" s="66">
        <v>85.010000000009313</v>
      </c>
      <c r="F832" s="66">
        <v>0.85010000000009311</v>
      </c>
      <c r="G832" s="65">
        <v>1.5301800000001677</v>
      </c>
      <c r="H832" s="67" t="s">
        <v>3422</v>
      </c>
      <c r="I832" s="65" t="s">
        <v>3334</v>
      </c>
    </row>
    <row r="833" spans="1:9" x14ac:dyDescent="0.25">
      <c r="A833" s="57"/>
      <c r="B833" s="58" t="s">
        <v>729</v>
      </c>
      <c r="C833" s="59" t="s">
        <v>3423</v>
      </c>
      <c r="D833" s="60">
        <v>1.2000000000007276</v>
      </c>
      <c r="E833" s="61">
        <v>170.02000000001863</v>
      </c>
      <c r="F833" s="61">
        <v>0.85010000000009311</v>
      </c>
      <c r="G833" s="60">
        <v>1.5301800000001677</v>
      </c>
      <c r="H833" s="62" t="s">
        <v>3424</v>
      </c>
      <c r="I833" s="60" t="s">
        <v>3334</v>
      </c>
    </row>
    <row r="834" spans="1:9" x14ac:dyDescent="0.25">
      <c r="A834" s="57"/>
      <c r="B834" s="63" t="s">
        <v>735</v>
      </c>
      <c r="C834" s="64" t="s">
        <v>3425</v>
      </c>
      <c r="D834" s="65">
        <v>1</v>
      </c>
      <c r="E834" s="66">
        <v>144</v>
      </c>
      <c r="F834" s="66">
        <v>1.44</v>
      </c>
      <c r="G834" s="65">
        <v>2.5920000000000001</v>
      </c>
      <c r="H834" s="67" t="s">
        <v>3426</v>
      </c>
      <c r="I834" s="65" t="s">
        <v>3334</v>
      </c>
    </row>
    <row r="835" spans="1:9" x14ac:dyDescent="0.25">
      <c r="A835" s="57"/>
      <c r="B835" s="58" t="s">
        <v>741</v>
      </c>
      <c r="C835" s="59" t="s">
        <v>3427</v>
      </c>
      <c r="D835" s="60">
        <v>2</v>
      </c>
      <c r="E835" s="61">
        <v>288.02000000001863</v>
      </c>
      <c r="F835" s="61">
        <v>1.4401000000000932</v>
      </c>
      <c r="G835" s="60">
        <v>2.5921800000001678</v>
      </c>
      <c r="H835" s="62" t="s">
        <v>3428</v>
      </c>
      <c r="I835" s="60" t="s">
        <v>3334</v>
      </c>
    </row>
    <row r="836" spans="1:9" x14ac:dyDescent="0.25">
      <c r="A836" s="57"/>
      <c r="B836" s="63" t="s">
        <v>747</v>
      </c>
      <c r="C836" s="64" t="s">
        <v>3429</v>
      </c>
      <c r="D836" s="65">
        <v>1.8999999999996362</v>
      </c>
      <c r="E836" s="66">
        <v>202.64999999990687</v>
      </c>
      <c r="F836" s="66">
        <v>2.0264999999990687</v>
      </c>
      <c r="G836" s="65">
        <v>3.6476999999983235</v>
      </c>
      <c r="H836" s="67" t="s">
        <v>3430</v>
      </c>
      <c r="I836" s="65" t="s">
        <v>3334</v>
      </c>
    </row>
    <row r="837" spans="1:9" x14ac:dyDescent="0.25">
      <c r="A837" s="57"/>
      <c r="B837" s="58" t="s">
        <v>753</v>
      </c>
      <c r="C837" s="59" t="s">
        <v>3431</v>
      </c>
      <c r="D837" s="60">
        <v>3.7999999999992724</v>
      </c>
      <c r="E837" s="61">
        <v>405.22999999998137</v>
      </c>
      <c r="F837" s="61">
        <v>2.0261499999999071</v>
      </c>
      <c r="G837" s="60">
        <v>3.6470699999998324</v>
      </c>
      <c r="H837" s="62" t="s">
        <v>3432</v>
      </c>
      <c r="I837" s="60" t="s">
        <v>3334</v>
      </c>
    </row>
    <row r="838" spans="1:9" x14ac:dyDescent="0.25">
      <c r="A838" s="57"/>
      <c r="B838" s="63" t="s">
        <v>759</v>
      </c>
      <c r="C838" s="64" t="s">
        <v>3433</v>
      </c>
      <c r="D838" s="65">
        <v>2.5</v>
      </c>
      <c r="E838" s="66">
        <v>247.52000000001863</v>
      </c>
      <c r="F838" s="66">
        <v>2.4752000000001861</v>
      </c>
      <c r="G838" s="65">
        <v>4.4553600000003355</v>
      </c>
      <c r="H838" s="67" t="s">
        <v>3434</v>
      </c>
      <c r="I838" s="65" t="s">
        <v>3334</v>
      </c>
    </row>
    <row r="839" spans="1:9" x14ac:dyDescent="0.25">
      <c r="A839" s="57"/>
      <c r="B839" s="58" t="s">
        <v>765</v>
      </c>
      <c r="C839" s="59" t="s">
        <v>3435</v>
      </c>
      <c r="D839" s="60">
        <v>5</v>
      </c>
      <c r="E839" s="61">
        <v>495.02000000001863</v>
      </c>
      <c r="F839" s="61">
        <v>2.4751000000000931</v>
      </c>
      <c r="G839" s="60">
        <v>4.4551800000001682</v>
      </c>
      <c r="H839" s="62" t="s">
        <v>3436</v>
      </c>
      <c r="I839" s="60" t="s">
        <v>3334</v>
      </c>
    </row>
    <row r="840" spans="1:9" x14ac:dyDescent="0.25">
      <c r="A840" s="57"/>
      <c r="B840" s="63" t="s">
        <v>726</v>
      </c>
      <c r="C840" s="64" t="s">
        <v>3437</v>
      </c>
      <c r="D840" s="65">
        <v>0.6000000000003638</v>
      </c>
      <c r="E840" s="66">
        <v>85.010000000009313</v>
      </c>
      <c r="F840" s="66">
        <v>0.85010000000009311</v>
      </c>
      <c r="G840" s="65">
        <v>1.5301800000001677</v>
      </c>
      <c r="H840" s="67" t="s">
        <v>3438</v>
      </c>
      <c r="I840" s="65" t="s">
        <v>3334</v>
      </c>
    </row>
    <row r="841" spans="1:9" x14ac:dyDescent="0.25">
      <c r="A841" s="57"/>
      <c r="B841" s="58" t="s">
        <v>732</v>
      </c>
      <c r="C841" s="59" t="s">
        <v>3439</v>
      </c>
      <c r="D841" s="60">
        <v>1.2000000000007276</v>
      </c>
      <c r="E841" s="61">
        <v>170.02000000001863</v>
      </c>
      <c r="F841" s="61">
        <v>0.85010000000009311</v>
      </c>
      <c r="G841" s="60">
        <v>1.5301800000001677</v>
      </c>
      <c r="H841" s="62" t="s">
        <v>3440</v>
      </c>
      <c r="I841" s="60" t="s">
        <v>3334</v>
      </c>
    </row>
    <row r="842" spans="1:9" x14ac:dyDescent="0.25">
      <c r="A842" s="57"/>
      <c r="B842" s="63" t="s">
        <v>738</v>
      </c>
      <c r="C842" s="64" t="s">
        <v>3441</v>
      </c>
      <c r="D842" s="65">
        <v>1</v>
      </c>
      <c r="E842" s="66">
        <v>144</v>
      </c>
      <c r="F842" s="66">
        <v>1.44</v>
      </c>
      <c r="G842" s="65">
        <v>2.5920000000000001</v>
      </c>
      <c r="H842" s="67" t="s">
        <v>3442</v>
      </c>
      <c r="I842" s="65" t="s">
        <v>3334</v>
      </c>
    </row>
    <row r="843" spans="1:9" x14ac:dyDescent="0.25">
      <c r="A843" s="57"/>
      <c r="B843" s="58" t="s">
        <v>744</v>
      </c>
      <c r="C843" s="59" t="s">
        <v>3443</v>
      </c>
      <c r="D843" s="60">
        <v>2</v>
      </c>
      <c r="E843" s="61">
        <v>288.02000000001863</v>
      </c>
      <c r="F843" s="61">
        <v>1.4401000000000932</v>
      </c>
      <c r="G843" s="60">
        <v>2.5921800000001678</v>
      </c>
      <c r="H843" s="62" t="s">
        <v>3444</v>
      </c>
      <c r="I843" s="60" t="s">
        <v>3334</v>
      </c>
    </row>
    <row r="844" spans="1:9" x14ac:dyDescent="0.25">
      <c r="A844" s="57"/>
      <c r="B844" s="63" t="s">
        <v>750</v>
      </c>
      <c r="C844" s="64" t="s">
        <v>3445</v>
      </c>
      <c r="D844" s="65">
        <v>1.8999999999996362</v>
      </c>
      <c r="E844" s="66">
        <v>202.64999999990687</v>
      </c>
      <c r="F844" s="66">
        <v>2.0264999999990687</v>
      </c>
      <c r="G844" s="65">
        <v>3.6476999999983235</v>
      </c>
      <c r="H844" s="67" t="s">
        <v>3446</v>
      </c>
      <c r="I844" s="65" t="s">
        <v>3334</v>
      </c>
    </row>
    <row r="845" spans="1:9" x14ac:dyDescent="0.25">
      <c r="A845" s="57"/>
      <c r="B845" s="58" t="s">
        <v>756</v>
      </c>
      <c r="C845" s="59" t="s">
        <v>3447</v>
      </c>
      <c r="D845" s="60">
        <v>3.7999999999992724</v>
      </c>
      <c r="E845" s="61">
        <v>405.22999999998137</v>
      </c>
      <c r="F845" s="61">
        <v>2.0261499999999071</v>
      </c>
      <c r="G845" s="60">
        <v>3.6470699999998324</v>
      </c>
      <c r="H845" s="62" t="s">
        <v>3448</v>
      </c>
      <c r="I845" s="60" t="s">
        <v>3334</v>
      </c>
    </row>
    <row r="846" spans="1:9" x14ac:dyDescent="0.25">
      <c r="A846" s="57"/>
      <c r="B846" s="63" t="s">
        <v>762</v>
      </c>
      <c r="C846" s="64" t="s">
        <v>3449</v>
      </c>
      <c r="D846" s="65">
        <v>2.5</v>
      </c>
      <c r="E846" s="66">
        <v>247.52000000001863</v>
      </c>
      <c r="F846" s="66">
        <v>2.4752000000001861</v>
      </c>
      <c r="G846" s="65">
        <v>4.4553600000003355</v>
      </c>
      <c r="H846" s="67" t="s">
        <v>3450</v>
      </c>
      <c r="I846" s="65" t="s">
        <v>3334</v>
      </c>
    </row>
    <row r="847" spans="1:9" x14ac:dyDescent="0.25">
      <c r="A847" s="57"/>
      <c r="B847" s="58" t="s">
        <v>768</v>
      </c>
      <c r="C847" s="59" t="s">
        <v>3451</v>
      </c>
      <c r="D847" s="60">
        <v>5</v>
      </c>
      <c r="E847" s="61">
        <v>495.02000000001863</v>
      </c>
      <c r="F847" s="61">
        <v>2.4751000000000931</v>
      </c>
      <c r="G847" s="60">
        <v>4.4551800000001682</v>
      </c>
      <c r="H847" s="62" t="s">
        <v>3452</v>
      </c>
      <c r="I847" s="60" t="s">
        <v>3334</v>
      </c>
    </row>
    <row r="848" spans="1:9" x14ac:dyDescent="0.25">
      <c r="A848" s="57"/>
      <c r="B848" s="58" t="s">
        <v>3453</v>
      </c>
      <c r="C848" s="59" t="s">
        <v>3454</v>
      </c>
      <c r="D848" s="60">
        <v>0.6000000000003638</v>
      </c>
      <c r="E848" s="61">
        <v>85.010000000009313</v>
      </c>
      <c r="F848" s="61">
        <v>0.85010000000009311</v>
      </c>
      <c r="G848" s="60">
        <v>1.5301800000001677</v>
      </c>
      <c r="H848" s="62" t="s">
        <v>3455</v>
      </c>
      <c r="I848" s="60" t="s">
        <v>3334</v>
      </c>
    </row>
    <row r="849" spans="1:9" x14ac:dyDescent="0.25">
      <c r="A849" s="57"/>
      <c r="B849" s="63" t="s">
        <v>3456</v>
      </c>
      <c r="C849" s="64" t="s">
        <v>3457</v>
      </c>
      <c r="D849" s="65">
        <v>1.2000000000007276</v>
      </c>
      <c r="E849" s="66">
        <v>170.02000000001863</v>
      </c>
      <c r="F849" s="66">
        <v>0.85010000000009311</v>
      </c>
      <c r="G849" s="65">
        <v>1.5301800000001677</v>
      </c>
      <c r="H849" s="67" t="s">
        <v>3458</v>
      </c>
      <c r="I849" s="65" t="s">
        <v>3334</v>
      </c>
    </row>
    <row r="850" spans="1:9" x14ac:dyDescent="0.25">
      <c r="A850" s="57"/>
      <c r="B850" s="58" t="s">
        <v>3459</v>
      </c>
      <c r="C850" s="59" t="s">
        <v>3460</v>
      </c>
      <c r="D850" s="60">
        <v>0.6000000000003638</v>
      </c>
      <c r="E850" s="61">
        <v>85.010000000009313</v>
      </c>
      <c r="F850" s="61">
        <v>0.85010000000009311</v>
      </c>
      <c r="G850" s="60">
        <v>1.5301800000001677</v>
      </c>
      <c r="H850" s="62" t="s">
        <v>3461</v>
      </c>
      <c r="I850" s="60" t="s">
        <v>3334</v>
      </c>
    </row>
    <row r="851" spans="1:9" x14ac:dyDescent="0.25">
      <c r="A851" s="57"/>
      <c r="B851" s="63" t="s">
        <v>3462</v>
      </c>
      <c r="C851" s="64" t="s">
        <v>3463</v>
      </c>
      <c r="D851" s="65">
        <v>1.2000000000007276</v>
      </c>
      <c r="E851" s="66">
        <v>170.02000000001863</v>
      </c>
      <c r="F851" s="66">
        <v>0.85010000000009311</v>
      </c>
      <c r="G851" s="65">
        <v>1.5301800000001677</v>
      </c>
      <c r="H851" s="67" t="s">
        <v>3464</v>
      </c>
      <c r="I851" s="65" t="s">
        <v>3334</v>
      </c>
    </row>
    <row r="852" spans="1:9" x14ac:dyDescent="0.25">
      <c r="A852" s="57"/>
      <c r="B852" s="58" t="s">
        <v>3465</v>
      </c>
      <c r="C852" s="59" t="s">
        <v>3466</v>
      </c>
      <c r="D852" s="60">
        <v>0.6000000000003638</v>
      </c>
      <c r="E852" s="61">
        <v>85.010000000009313</v>
      </c>
      <c r="F852" s="61">
        <v>0.85010000000009311</v>
      </c>
      <c r="G852" s="60">
        <v>1.5301800000001677</v>
      </c>
      <c r="H852" s="62" t="s">
        <v>3467</v>
      </c>
      <c r="I852" s="60" t="s">
        <v>3334</v>
      </c>
    </row>
    <row r="853" spans="1:9" x14ac:dyDescent="0.25">
      <c r="A853" s="57"/>
      <c r="B853" s="63" t="s">
        <v>3468</v>
      </c>
      <c r="C853" s="64" t="s">
        <v>3469</v>
      </c>
      <c r="D853" s="65">
        <v>1.2000000000007276</v>
      </c>
      <c r="E853" s="66">
        <v>170.02000000001863</v>
      </c>
      <c r="F853" s="66">
        <v>0.85010000000009311</v>
      </c>
      <c r="G853" s="65">
        <v>1.5301800000001677</v>
      </c>
      <c r="H853" s="67" t="s">
        <v>3470</v>
      </c>
      <c r="I853" s="65" t="s">
        <v>3334</v>
      </c>
    </row>
    <row r="854" spans="1:9" x14ac:dyDescent="0.25">
      <c r="A854" s="57"/>
      <c r="B854" s="58" t="s">
        <v>3471</v>
      </c>
      <c r="C854" s="59" t="s">
        <v>3472</v>
      </c>
      <c r="D854" s="60">
        <v>0.6000000000003638</v>
      </c>
      <c r="E854" s="61">
        <v>85.010000000009313</v>
      </c>
      <c r="F854" s="61">
        <v>0.85010000000009311</v>
      </c>
      <c r="G854" s="60">
        <v>1.5301800000001677</v>
      </c>
      <c r="H854" s="62" t="s">
        <v>3473</v>
      </c>
      <c r="I854" s="60" t="s">
        <v>3334</v>
      </c>
    </row>
    <row r="855" spans="1:9" x14ac:dyDescent="0.25">
      <c r="A855" s="57"/>
      <c r="B855" s="63" t="s">
        <v>3474</v>
      </c>
      <c r="C855" s="64" t="s">
        <v>3475</v>
      </c>
      <c r="D855" s="65">
        <v>1.2000000000007276</v>
      </c>
      <c r="E855" s="66">
        <v>170.02000000001863</v>
      </c>
      <c r="F855" s="66">
        <v>0.85010000000009311</v>
      </c>
      <c r="G855" s="65">
        <v>1.5301800000001677</v>
      </c>
      <c r="H855" s="67" t="s">
        <v>3476</v>
      </c>
      <c r="I855" s="65" t="s">
        <v>3334</v>
      </c>
    </row>
    <row r="856" spans="1:9" x14ac:dyDescent="0.25">
      <c r="A856" s="57"/>
      <c r="B856" s="58" t="s">
        <v>3477</v>
      </c>
      <c r="C856" s="59" t="s">
        <v>3478</v>
      </c>
      <c r="D856" s="60">
        <v>0.6000000000003638</v>
      </c>
      <c r="E856" s="61">
        <v>85.010000000009313</v>
      </c>
      <c r="F856" s="61">
        <v>0.85010000000009311</v>
      </c>
      <c r="G856" s="60">
        <v>1.5301800000001677</v>
      </c>
      <c r="H856" s="62" t="s">
        <v>3479</v>
      </c>
      <c r="I856" s="60" t="s">
        <v>3334</v>
      </c>
    </row>
    <row r="857" spans="1:9" x14ac:dyDescent="0.25">
      <c r="A857" s="57"/>
      <c r="B857" s="63" t="s">
        <v>3480</v>
      </c>
      <c r="C857" s="64" t="s">
        <v>3481</v>
      </c>
      <c r="D857" s="65">
        <v>1.2000000000007276</v>
      </c>
      <c r="E857" s="66">
        <v>170.02000000001863</v>
      </c>
      <c r="F857" s="66">
        <v>0.85010000000009311</v>
      </c>
      <c r="G857" s="65">
        <v>1.5301800000001677</v>
      </c>
      <c r="H857" s="67" t="s">
        <v>3482</v>
      </c>
      <c r="I857" s="65" t="s">
        <v>3334</v>
      </c>
    </row>
    <row r="858" spans="1:9" x14ac:dyDescent="0.25">
      <c r="A858" s="57"/>
      <c r="B858" s="58" t="s">
        <v>3483</v>
      </c>
      <c r="C858" s="59" t="s">
        <v>3484</v>
      </c>
      <c r="D858" s="60">
        <v>0.6000000000003638</v>
      </c>
      <c r="E858" s="61">
        <v>85.010000000009313</v>
      </c>
      <c r="F858" s="61">
        <v>0.85010000000009311</v>
      </c>
      <c r="G858" s="60">
        <v>1.5301800000001677</v>
      </c>
      <c r="H858" s="62" t="s">
        <v>3485</v>
      </c>
      <c r="I858" s="60" t="s">
        <v>3334</v>
      </c>
    </row>
    <row r="859" spans="1:9" x14ac:dyDescent="0.25">
      <c r="A859" s="57"/>
      <c r="B859" s="63" t="s">
        <v>3486</v>
      </c>
      <c r="C859" s="64" t="s">
        <v>3487</v>
      </c>
      <c r="D859" s="65">
        <v>1.2000000000007276</v>
      </c>
      <c r="E859" s="66">
        <v>170.02000000001863</v>
      </c>
      <c r="F859" s="66">
        <v>0.85010000000009311</v>
      </c>
      <c r="G859" s="65">
        <v>1.5301800000001677</v>
      </c>
      <c r="H859" s="67" t="s">
        <v>3488</v>
      </c>
      <c r="I859" s="65" t="s">
        <v>3334</v>
      </c>
    </row>
    <row r="860" spans="1:9" x14ac:dyDescent="0.25">
      <c r="A860" s="57"/>
      <c r="B860" s="58" t="s">
        <v>3489</v>
      </c>
      <c r="C860" s="59" t="s">
        <v>3490</v>
      </c>
      <c r="D860" s="60">
        <v>1</v>
      </c>
      <c r="E860" s="61">
        <v>144</v>
      </c>
      <c r="F860" s="61">
        <v>1.44</v>
      </c>
      <c r="G860" s="60">
        <v>2.5920000000000001</v>
      </c>
      <c r="H860" s="62" t="s">
        <v>3491</v>
      </c>
      <c r="I860" s="60" t="s">
        <v>3334</v>
      </c>
    </row>
    <row r="861" spans="1:9" x14ac:dyDescent="0.25">
      <c r="A861" s="57"/>
      <c r="B861" s="63" t="s">
        <v>3492</v>
      </c>
      <c r="C861" s="64" t="s">
        <v>3493</v>
      </c>
      <c r="D861" s="65">
        <v>2</v>
      </c>
      <c r="E861" s="66">
        <v>288.02000000001863</v>
      </c>
      <c r="F861" s="66">
        <v>1.4401000000000932</v>
      </c>
      <c r="G861" s="65">
        <v>2.5921800000001678</v>
      </c>
      <c r="H861" s="67" t="s">
        <v>3494</v>
      </c>
      <c r="I861" s="65" t="s">
        <v>3334</v>
      </c>
    </row>
    <row r="862" spans="1:9" x14ac:dyDescent="0.25">
      <c r="A862" s="57"/>
      <c r="B862" s="58" t="s">
        <v>3495</v>
      </c>
      <c r="C862" s="59" t="s">
        <v>3496</v>
      </c>
      <c r="D862" s="60">
        <v>1</v>
      </c>
      <c r="E862" s="61">
        <v>144</v>
      </c>
      <c r="F862" s="61">
        <v>1.44</v>
      </c>
      <c r="G862" s="60">
        <v>2.5920000000000001</v>
      </c>
      <c r="H862" s="62" t="s">
        <v>3497</v>
      </c>
      <c r="I862" s="60" t="s">
        <v>3334</v>
      </c>
    </row>
    <row r="863" spans="1:9" x14ac:dyDescent="0.25">
      <c r="A863" s="57"/>
      <c r="B863" s="63" t="s">
        <v>3498</v>
      </c>
      <c r="C863" s="64" t="s">
        <v>3499</v>
      </c>
      <c r="D863" s="65">
        <v>2</v>
      </c>
      <c r="E863" s="66">
        <v>288</v>
      </c>
      <c r="F863" s="66">
        <v>1.44</v>
      </c>
      <c r="G863" s="65">
        <v>2.5920000000000001</v>
      </c>
      <c r="H863" s="67" t="s">
        <v>3500</v>
      </c>
      <c r="I863" s="65" t="s">
        <v>3334</v>
      </c>
    </row>
    <row r="864" spans="1:9" x14ac:dyDescent="0.25">
      <c r="A864" s="57"/>
      <c r="B864" s="58" t="s">
        <v>3501</v>
      </c>
      <c r="C864" s="59" t="s">
        <v>3502</v>
      </c>
      <c r="D864" s="60">
        <v>1</v>
      </c>
      <c r="E864" s="61">
        <v>144</v>
      </c>
      <c r="F864" s="61">
        <v>1.44</v>
      </c>
      <c r="G864" s="60">
        <v>2.5920000000000001</v>
      </c>
      <c r="H864" s="62" t="s">
        <v>3503</v>
      </c>
      <c r="I864" s="60" t="s">
        <v>3334</v>
      </c>
    </row>
    <row r="865" spans="1:9" x14ac:dyDescent="0.25">
      <c r="A865" s="57"/>
      <c r="B865" s="63" t="s">
        <v>3504</v>
      </c>
      <c r="C865" s="64" t="s">
        <v>3505</v>
      </c>
      <c r="D865" s="65">
        <v>2</v>
      </c>
      <c r="E865" s="66">
        <v>288.02000000001863</v>
      </c>
      <c r="F865" s="66">
        <v>1.4401000000000932</v>
      </c>
      <c r="G865" s="65">
        <v>2.5921800000001678</v>
      </c>
      <c r="H865" s="67" t="s">
        <v>3506</v>
      </c>
      <c r="I865" s="65" t="s">
        <v>3334</v>
      </c>
    </row>
    <row r="866" spans="1:9" x14ac:dyDescent="0.25">
      <c r="A866" s="57"/>
      <c r="B866" s="58" t="s">
        <v>3507</v>
      </c>
      <c r="C866" s="59" t="s">
        <v>3508</v>
      </c>
      <c r="D866" s="60">
        <v>1</v>
      </c>
      <c r="E866" s="61">
        <v>144</v>
      </c>
      <c r="F866" s="61">
        <v>1.44</v>
      </c>
      <c r="G866" s="60">
        <v>2.5920000000000001</v>
      </c>
      <c r="H866" s="62" t="s">
        <v>3509</v>
      </c>
      <c r="I866" s="60" t="s">
        <v>3334</v>
      </c>
    </row>
    <row r="867" spans="1:9" x14ac:dyDescent="0.25">
      <c r="A867" s="57"/>
      <c r="B867" s="63" t="s">
        <v>3510</v>
      </c>
      <c r="C867" s="64" t="s">
        <v>3511</v>
      </c>
      <c r="D867" s="65">
        <v>2</v>
      </c>
      <c r="E867" s="66">
        <v>288</v>
      </c>
      <c r="F867" s="66">
        <v>1.44</v>
      </c>
      <c r="G867" s="65">
        <v>2.5920000000000001</v>
      </c>
      <c r="H867" s="67" t="s">
        <v>3512</v>
      </c>
      <c r="I867" s="65" t="s">
        <v>3334</v>
      </c>
    </row>
    <row r="868" spans="1:9" x14ac:dyDescent="0.25">
      <c r="A868" s="57"/>
      <c r="B868" s="58" t="s">
        <v>3513</v>
      </c>
      <c r="C868" s="59" t="s">
        <v>3514</v>
      </c>
      <c r="D868" s="60">
        <v>1</v>
      </c>
      <c r="E868" s="61">
        <v>144</v>
      </c>
      <c r="F868" s="61">
        <v>1.44</v>
      </c>
      <c r="G868" s="60">
        <v>2.5920000000000001</v>
      </c>
      <c r="H868" s="62" t="s">
        <v>3515</v>
      </c>
      <c r="I868" s="60" t="s">
        <v>3334</v>
      </c>
    </row>
    <row r="869" spans="1:9" x14ac:dyDescent="0.25">
      <c r="A869" s="57"/>
      <c r="B869" s="63" t="s">
        <v>3516</v>
      </c>
      <c r="C869" s="64" t="s">
        <v>3517</v>
      </c>
      <c r="D869" s="65">
        <v>2</v>
      </c>
      <c r="E869" s="66">
        <v>288.02000000001863</v>
      </c>
      <c r="F869" s="66">
        <v>1.4401000000000932</v>
      </c>
      <c r="G869" s="65">
        <v>2.5921800000001678</v>
      </c>
      <c r="H869" s="67" t="s">
        <v>3518</v>
      </c>
      <c r="I869" s="65" t="s">
        <v>3334</v>
      </c>
    </row>
    <row r="870" spans="1:9" x14ac:dyDescent="0.25">
      <c r="A870" s="57"/>
      <c r="B870" s="58" t="s">
        <v>3519</v>
      </c>
      <c r="C870" s="59" t="s">
        <v>3520</v>
      </c>
      <c r="D870" s="60">
        <v>1</v>
      </c>
      <c r="E870" s="61">
        <v>144</v>
      </c>
      <c r="F870" s="61">
        <v>1.44</v>
      </c>
      <c r="G870" s="60">
        <v>2.5920000000000001</v>
      </c>
      <c r="H870" s="62" t="s">
        <v>3521</v>
      </c>
      <c r="I870" s="60" t="s">
        <v>3334</v>
      </c>
    </row>
    <row r="871" spans="1:9" x14ac:dyDescent="0.25">
      <c r="A871" s="57"/>
      <c r="B871" s="63" t="s">
        <v>3522</v>
      </c>
      <c r="C871" s="64" t="s">
        <v>3523</v>
      </c>
      <c r="D871" s="65">
        <v>2</v>
      </c>
      <c r="E871" s="66">
        <v>288.02000000001863</v>
      </c>
      <c r="F871" s="66">
        <v>1.4401000000000932</v>
      </c>
      <c r="G871" s="65">
        <v>2.5921800000001678</v>
      </c>
      <c r="H871" s="67" t="s">
        <v>3524</v>
      </c>
      <c r="I871" s="65" t="s">
        <v>3334</v>
      </c>
    </row>
    <row r="872" spans="1:9" x14ac:dyDescent="0.25">
      <c r="A872" s="57"/>
      <c r="B872" s="58" t="s">
        <v>3525</v>
      </c>
      <c r="C872" s="59" t="s">
        <v>3526</v>
      </c>
      <c r="D872" s="60">
        <v>1</v>
      </c>
      <c r="E872" s="61">
        <v>144</v>
      </c>
      <c r="F872" s="61">
        <v>1.44</v>
      </c>
      <c r="G872" s="60">
        <v>2.5920000000000001</v>
      </c>
      <c r="H872" s="62" t="s">
        <v>3527</v>
      </c>
      <c r="I872" s="60" t="s">
        <v>3334</v>
      </c>
    </row>
    <row r="873" spans="1:9" x14ac:dyDescent="0.25">
      <c r="A873" s="57"/>
      <c r="B873" s="63" t="s">
        <v>3528</v>
      </c>
      <c r="C873" s="64" t="s">
        <v>3529</v>
      </c>
      <c r="D873" s="65">
        <v>2</v>
      </c>
      <c r="E873" s="66">
        <v>288.02000000001863</v>
      </c>
      <c r="F873" s="66">
        <v>1.4401000000000932</v>
      </c>
      <c r="G873" s="65">
        <v>2.5921800000001678</v>
      </c>
      <c r="H873" s="67" t="s">
        <v>3530</v>
      </c>
      <c r="I873" s="65" t="s">
        <v>3334</v>
      </c>
    </row>
    <row r="874" spans="1:9" x14ac:dyDescent="0.25">
      <c r="A874" s="57"/>
      <c r="B874" s="58" t="s">
        <v>3531</v>
      </c>
      <c r="C874" s="59" t="s">
        <v>3532</v>
      </c>
      <c r="D874" s="60">
        <v>1.8999999999996362</v>
      </c>
      <c r="E874" s="61">
        <v>202.64999999990687</v>
      </c>
      <c r="F874" s="61">
        <v>2.0264999999990687</v>
      </c>
      <c r="G874" s="60">
        <v>3.6476999999983235</v>
      </c>
      <c r="H874" s="62" t="s">
        <v>3533</v>
      </c>
      <c r="I874" s="60" t="s">
        <v>3334</v>
      </c>
    </row>
    <row r="875" spans="1:9" x14ac:dyDescent="0.25">
      <c r="A875" s="57"/>
      <c r="B875" s="63" t="s">
        <v>3534</v>
      </c>
      <c r="C875" s="64" t="s">
        <v>3535</v>
      </c>
      <c r="D875" s="65">
        <v>3.7999999999992724</v>
      </c>
      <c r="E875" s="66">
        <v>405.22999999998137</v>
      </c>
      <c r="F875" s="66">
        <v>2.0261499999999071</v>
      </c>
      <c r="G875" s="65">
        <v>3.6470699999998324</v>
      </c>
      <c r="H875" s="67" t="s">
        <v>3536</v>
      </c>
      <c r="I875" s="65" t="s">
        <v>3334</v>
      </c>
    </row>
    <row r="876" spans="1:9" x14ac:dyDescent="0.25">
      <c r="A876" s="57"/>
      <c r="B876" s="58" t="s">
        <v>3537</v>
      </c>
      <c r="C876" s="59" t="s">
        <v>3538</v>
      </c>
      <c r="D876" s="60">
        <v>1.8999999999996362</v>
      </c>
      <c r="E876" s="61">
        <v>202.64999999990687</v>
      </c>
      <c r="F876" s="61">
        <v>2.0264999999990687</v>
      </c>
      <c r="G876" s="60">
        <v>3.6476999999983235</v>
      </c>
      <c r="H876" s="62" t="s">
        <v>3539</v>
      </c>
      <c r="I876" s="60" t="s">
        <v>3334</v>
      </c>
    </row>
    <row r="877" spans="1:9" x14ac:dyDescent="0.25">
      <c r="A877" s="57"/>
      <c r="B877" s="63" t="s">
        <v>3540</v>
      </c>
      <c r="C877" s="64" t="s">
        <v>3541</v>
      </c>
      <c r="D877" s="65">
        <v>3.7999999999992724</v>
      </c>
      <c r="E877" s="66">
        <v>405.29000000003725</v>
      </c>
      <c r="F877" s="66">
        <v>2.0264500000001862</v>
      </c>
      <c r="G877" s="65">
        <v>3.6476100000003355</v>
      </c>
      <c r="H877" s="67" t="s">
        <v>3542</v>
      </c>
      <c r="I877" s="65" t="s">
        <v>3334</v>
      </c>
    </row>
    <row r="878" spans="1:9" x14ac:dyDescent="0.25">
      <c r="A878" s="57"/>
      <c r="B878" s="58" t="s">
        <v>3543</v>
      </c>
      <c r="C878" s="59" t="s">
        <v>3544</v>
      </c>
      <c r="D878" s="60">
        <v>1.8999999999996362</v>
      </c>
      <c r="E878" s="61">
        <v>202.64999999990687</v>
      </c>
      <c r="F878" s="61">
        <v>2.0264999999990687</v>
      </c>
      <c r="G878" s="60">
        <v>3.6476999999983235</v>
      </c>
      <c r="H878" s="62" t="s">
        <v>3545</v>
      </c>
      <c r="I878" s="60" t="s">
        <v>3334</v>
      </c>
    </row>
    <row r="879" spans="1:9" x14ac:dyDescent="0.25">
      <c r="A879" s="57"/>
      <c r="B879" s="63" t="s">
        <v>3546</v>
      </c>
      <c r="C879" s="64" t="s">
        <v>3547</v>
      </c>
      <c r="D879" s="65">
        <v>3.7999999999992724</v>
      </c>
      <c r="E879" s="66">
        <v>405.29000000003725</v>
      </c>
      <c r="F879" s="66">
        <v>2.0264500000001862</v>
      </c>
      <c r="G879" s="65">
        <v>3.6476100000003355</v>
      </c>
      <c r="H879" s="67" t="s">
        <v>3548</v>
      </c>
      <c r="I879" s="65" t="s">
        <v>3334</v>
      </c>
    </row>
    <row r="880" spans="1:9" x14ac:dyDescent="0.25">
      <c r="A880" s="57"/>
      <c r="B880" s="58" t="s">
        <v>3549</v>
      </c>
      <c r="C880" s="59" t="s">
        <v>3550</v>
      </c>
      <c r="D880" s="60">
        <v>1.8999999999996362</v>
      </c>
      <c r="E880" s="61">
        <v>202.64999999990687</v>
      </c>
      <c r="F880" s="61">
        <v>2.0264999999990687</v>
      </c>
      <c r="G880" s="60">
        <v>3.6476999999983235</v>
      </c>
      <c r="H880" s="62" t="s">
        <v>3551</v>
      </c>
      <c r="I880" s="60" t="s">
        <v>3334</v>
      </c>
    </row>
    <row r="881" spans="1:9" x14ac:dyDescent="0.25">
      <c r="A881" s="57"/>
      <c r="B881" s="63" t="s">
        <v>3552</v>
      </c>
      <c r="C881" s="64" t="s">
        <v>3553</v>
      </c>
      <c r="D881" s="65">
        <v>3.7999999999992724</v>
      </c>
      <c r="E881" s="66">
        <v>405.29000000003725</v>
      </c>
      <c r="F881" s="66">
        <v>2.0264500000001862</v>
      </c>
      <c r="G881" s="65">
        <v>3.6476100000003355</v>
      </c>
      <c r="H881" s="67" t="s">
        <v>3554</v>
      </c>
      <c r="I881" s="65" t="s">
        <v>3334</v>
      </c>
    </row>
    <row r="882" spans="1:9" x14ac:dyDescent="0.25">
      <c r="A882" s="57"/>
      <c r="B882" s="58" t="s">
        <v>3555</v>
      </c>
      <c r="C882" s="59" t="s">
        <v>3556</v>
      </c>
      <c r="D882" s="60">
        <v>1.8999999999996362</v>
      </c>
      <c r="E882" s="61">
        <v>202.64999999990687</v>
      </c>
      <c r="F882" s="61">
        <v>2.0264999999990687</v>
      </c>
      <c r="G882" s="60">
        <v>3.6476999999983235</v>
      </c>
      <c r="H882" s="62" t="s">
        <v>3557</v>
      </c>
      <c r="I882" s="60" t="s">
        <v>3334</v>
      </c>
    </row>
    <row r="883" spans="1:9" x14ac:dyDescent="0.25">
      <c r="A883" s="57"/>
      <c r="B883" s="63" t="s">
        <v>3558</v>
      </c>
      <c r="C883" s="64" t="s">
        <v>3559</v>
      </c>
      <c r="D883" s="65">
        <v>3.7999999999992724</v>
      </c>
      <c r="E883" s="66">
        <v>405.22999999998137</v>
      </c>
      <c r="F883" s="66">
        <v>2.0261499999999071</v>
      </c>
      <c r="G883" s="65">
        <v>3.6470699999998324</v>
      </c>
      <c r="H883" s="67" t="s">
        <v>3560</v>
      </c>
      <c r="I883" s="65" t="s">
        <v>3334</v>
      </c>
    </row>
    <row r="884" spans="1:9" x14ac:dyDescent="0.25">
      <c r="A884" s="57"/>
      <c r="B884" s="58" t="s">
        <v>3561</v>
      </c>
      <c r="C884" s="59" t="s">
        <v>3562</v>
      </c>
      <c r="D884" s="60">
        <v>1.8999999999996362</v>
      </c>
      <c r="E884" s="61">
        <v>202.64999999990687</v>
      </c>
      <c r="F884" s="61">
        <v>2.0264999999990687</v>
      </c>
      <c r="G884" s="60">
        <v>3.6476999999983235</v>
      </c>
      <c r="H884" s="62" t="s">
        <v>3563</v>
      </c>
      <c r="I884" s="60" t="s">
        <v>3334</v>
      </c>
    </row>
    <row r="885" spans="1:9" x14ac:dyDescent="0.25">
      <c r="A885" s="57"/>
      <c r="B885" s="63" t="s">
        <v>3564</v>
      </c>
      <c r="C885" s="64" t="s">
        <v>3565</v>
      </c>
      <c r="D885" s="65">
        <v>3.7999999999992724</v>
      </c>
      <c r="E885" s="66">
        <v>405.29000000003725</v>
      </c>
      <c r="F885" s="66">
        <v>2.0264500000001862</v>
      </c>
      <c r="G885" s="65">
        <v>3.6476100000003355</v>
      </c>
      <c r="H885" s="67" t="s">
        <v>3566</v>
      </c>
      <c r="I885" s="65" t="s">
        <v>3334</v>
      </c>
    </row>
    <row r="886" spans="1:9" x14ac:dyDescent="0.25">
      <c r="A886" s="57"/>
      <c r="B886" s="58" t="s">
        <v>3567</v>
      </c>
      <c r="C886" s="59" t="s">
        <v>3568</v>
      </c>
      <c r="D886" s="60">
        <v>1.8999999999996362</v>
      </c>
      <c r="E886" s="61">
        <v>202.64999999990687</v>
      </c>
      <c r="F886" s="61">
        <v>2.0264999999990687</v>
      </c>
      <c r="G886" s="60">
        <v>3.6476999999983235</v>
      </c>
      <c r="H886" s="62" t="s">
        <v>3569</v>
      </c>
      <c r="I886" s="60" t="s">
        <v>3334</v>
      </c>
    </row>
    <row r="887" spans="1:9" x14ac:dyDescent="0.25">
      <c r="A887" s="57"/>
      <c r="B887" s="63" t="s">
        <v>3570</v>
      </c>
      <c r="C887" s="64" t="s">
        <v>3571</v>
      </c>
      <c r="D887" s="65">
        <v>3.7999999999992724</v>
      </c>
      <c r="E887" s="66">
        <v>405.29000000003725</v>
      </c>
      <c r="F887" s="66">
        <v>2.0264500000001862</v>
      </c>
      <c r="G887" s="65">
        <v>3.6476100000003355</v>
      </c>
      <c r="H887" s="67" t="s">
        <v>3572</v>
      </c>
      <c r="I887" s="65" t="s">
        <v>3334</v>
      </c>
    </row>
    <row r="888" spans="1:9" x14ac:dyDescent="0.25">
      <c r="A888" s="57"/>
      <c r="B888" s="58" t="s">
        <v>3573</v>
      </c>
      <c r="C888" s="59" t="s">
        <v>3574</v>
      </c>
      <c r="D888" s="60">
        <v>2.5</v>
      </c>
      <c r="E888" s="61">
        <v>247.52000000001863</v>
      </c>
      <c r="F888" s="61">
        <v>2.4752000000001861</v>
      </c>
      <c r="G888" s="60">
        <v>4.4553600000003355</v>
      </c>
      <c r="H888" s="62" t="s">
        <v>3575</v>
      </c>
      <c r="I888" s="60" t="s">
        <v>3334</v>
      </c>
    </row>
    <row r="889" spans="1:9" x14ac:dyDescent="0.25">
      <c r="A889" s="57"/>
      <c r="B889" s="63" t="s">
        <v>3576</v>
      </c>
      <c r="C889" s="64" t="s">
        <v>3577</v>
      </c>
      <c r="D889" s="65">
        <v>5</v>
      </c>
      <c r="E889" s="66">
        <v>495.02000000001863</v>
      </c>
      <c r="F889" s="66">
        <v>2.4751000000000931</v>
      </c>
      <c r="G889" s="65">
        <v>4.4551800000001682</v>
      </c>
      <c r="H889" s="67" t="s">
        <v>3578</v>
      </c>
      <c r="I889" s="65" t="s">
        <v>3334</v>
      </c>
    </row>
    <row r="890" spans="1:9" x14ac:dyDescent="0.25">
      <c r="A890" s="57"/>
      <c r="B890" s="58" t="s">
        <v>3579</v>
      </c>
      <c r="C890" s="59" t="s">
        <v>3580</v>
      </c>
      <c r="D890" s="60">
        <v>2.5</v>
      </c>
      <c r="E890" s="61">
        <v>247.52000000001863</v>
      </c>
      <c r="F890" s="61">
        <v>2.4752000000001861</v>
      </c>
      <c r="G890" s="60">
        <v>4.4553600000003355</v>
      </c>
      <c r="H890" s="62" t="s">
        <v>3581</v>
      </c>
      <c r="I890" s="60" t="s">
        <v>3334</v>
      </c>
    </row>
    <row r="891" spans="1:9" x14ac:dyDescent="0.25">
      <c r="A891" s="57"/>
      <c r="B891" s="63" t="s">
        <v>3582</v>
      </c>
      <c r="C891" s="64" t="s">
        <v>3583</v>
      </c>
      <c r="D891" s="65">
        <v>5</v>
      </c>
      <c r="E891" s="66">
        <v>495.02000000001863</v>
      </c>
      <c r="F891" s="66">
        <v>2.4751000000000931</v>
      </c>
      <c r="G891" s="65">
        <v>4.4551800000001682</v>
      </c>
      <c r="H891" s="67" t="s">
        <v>3584</v>
      </c>
      <c r="I891" s="65" t="s">
        <v>3334</v>
      </c>
    </row>
    <row r="892" spans="1:9" x14ac:dyDescent="0.25">
      <c r="A892" s="57"/>
      <c r="B892" s="58" t="s">
        <v>3585</v>
      </c>
      <c r="C892" s="59" t="s">
        <v>3586</v>
      </c>
      <c r="D892" s="60">
        <v>2.5</v>
      </c>
      <c r="E892" s="61">
        <v>247.52000000001863</v>
      </c>
      <c r="F892" s="61">
        <v>2.4752000000001861</v>
      </c>
      <c r="G892" s="60">
        <v>4.4553600000003355</v>
      </c>
      <c r="H892" s="62" t="s">
        <v>3587</v>
      </c>
      <c r="I892" s="60" t="s">
        <v>3334</v>
      </c>
    </row>
    <row r="893" spans="1:9" x14ac:dyDescent="0.25">
      <c r="A893" s="57"/>
      <c r="B893" s="63" t="s">
        <v>3588</v>
      </c>
      <c r="C893" s="64" t="s">
        <v>3589</v>
      </c>
      <c r="D893" s="65">
        <v>5</v>
      </c>
      <c r="E893" s="66">
        <v>495.02000000001863</v>
      </c>
      <c r="F893" s="66">
        <v>2.4751000000000931</v>
      </c>
      <c r="G893" s="65">
        <v>4.4551800000001682</v>
      </c>
      <c r="H893" s="67" t="s">
        <v>3590</v>
      </c>
      <c r="I893" s="65" t="s">
        <v>3334</v>
      </c>
    </row>
    <row r="894" spans="1:9" x14ac:dyDescent="0.25">
      <c r="A894" s="57"/>
      <c r="B894" s="58" t="s">
        <v>3591</v>
      </c>
      <c r="C894" s="59" t="s">
        <v>3592</v>
      </c>
      <c r="D894" s="60">
        <v>2.5</v>
      </c>
      <c r="E894" s="61">
        <v>247.52000000001863</v>
      </c>
      <c r="F894" s="61">
        <v>2.4752000000001861</v>
      </c>
      <c r="G894" s="60">
        <v>4.4553600000003355</v>
      </c>
      <c r="H894" s="62" t="s">
        <v>3593</v>
      </c>
      <c r="I894" s="60" t="s">
        <v>3334</v>
      </c>
    </row>
    <row r="895" spans="1:9" x14ac:dyDescent="0.25">
      <c r="A895" s="57"/>
      <c r="B895" s="63" t="s">
        <v>3594</v>
      </c>
      <c r="C895" s="64" t="s">
        <v>3595</v>
      </c>
      <c r="D895" s="65">
        <v>5</v>
      </c>
      <c r="E895" s="66">
        <v>495.02000000001863</v>
      </c>
      <c r="F895" s="66">
        <v>2.4751000000000931</v>
      </c>
      <c r="G895" s="65">
        <v>4.4551800000001682</v>
      </c>
      <c r="H895" s="67" t="s">
        <v>3596</v>
      </c>
      <c r="I895" s="65" t="s">
        <v>3334</v>
      </c>
    </row>
    <row r="896" spans="1:9" x14ac:dyDescent="0.25">
      <c r="A896" s="57"/>
      <c r="B896" s="58" t="s">
        <v>3597</v>
      </c>
      <c r="C896" s="59" t="s">
        <v>3598</v>
      </c>
      <c r="D896" s="60">
        <v>2.5</v>
      </c>
      <c r="E896" s="61">
        <v>247.52000000001863</v>
      </c>
      <c r="F896" s="61">
        <v>2.4752000000001861</v>
      </c>
      <c r="G896" s="60">
        <v>4.4553600000003355</v>
      </c>
      <c r="H896" s="62" t="s">
        <v>3599</v>
      </c>
      <c r="I896" s="60" t="s">
        <v>3334</v>
      </c>
    </row>
    <row r="897" spans="1:9" x14ac:dyDescent="0.25">
      <c r="A897" s="57"/>
      <c r="B897" s="63" t="s">
        <v>3600</v>
      </c>
      <c r="C897" s="64" t="s">
        <v>3601</v>
      </c>
      <c r="D897" s="65">
        <v>5</v>
      </c>
      <c r="E897" s="66">
        <v>495.02000000001863</v>
      </c>
      <c r="F897" s="66">
        <v>2.4751000000000931</v>
      </c>
      <c r="G897" s="65">
        <v>4.4551800000001682</v>
      </c>
      <c r="H897" s="67" t="s">
        <v>3602</v>
      </c>
      <c r="I897" s="65" t="s">
        <v>3334</v>
      </c>
    </row>
    <row r="898" spans="1:9" x14ac:dyDescent="0.25">
      <c r="A898" s="57"/>
      <c r="B898" s="58" t="s">
        <v>3603</v>
      </c>
      <c r="C898" s="59" t="s">
        <v>3604</v>
      </c>
      <c r="D898" s="60">
        <v>2.5</v>
      </c>
      <c r="E898" s="61">
        <v>247.52000000001863</v>
      </c>
      <c r="F898" s="61">
        <v>2.4752000000001861</v>
      </c>
      <c r="G898" s="60">
        <v>4.4553600000003355</v>
      </c>
      <c r="H898" s="62" t="s">
        <v>3605</v>
      </c>
      <c r="I898" s="60" t="s">
        <v>3334</v>
      </c>
    </row>
    <row r="899" spans="1:9" x14ac:dyDescent="0.25">
      <c r="A899" s="57"/>
      <c r="B899" s="63" t="s">
        <v>3606</v>
      </c>
      <c r="C899" s="64" t="s">
        <v>3607</v>
      </c>
      <c r="D899" s="65">
        <v>5</v>
      </c>
      <c r="E899" s="66">
        <v>495.02000000001863</v>
      </c>
      <c r="F899" s="66">
        <v>2.4751000000000931</v>
      </c>
      <c r="G899" s="65">
        <v>4.4551800000001682</v>
      </c>
      <c r="H899" s="67" t="s">
        <v>3608</v>
      </c>
      <c r="I899" s="65" t="s">
        <v>3334</v>
      </c>
    </row>
    <row r="900" spans="1:9" x14ac:dyDescent="0.25">
      <c r="A900" s="57"/>
      <c r="B900" s="58" t="s">
        <v>3609</v>
      </c>
      <c r="C900" s="59" t="s">
        <v>3610</v>
      </c>
      <c r="D900" s="60">
        <v>2.5</v>
      </c>
      <c r="E900" s="61">
        <v>247.52000000001863</v>
      </c>
      <c r="F900" s="61">
        <v>2.4752000000001861</v>
      </c>
      <c r="G900" s="60">
        <v>4.4553600000003355</v>
      </c>
      <c r="H900" s="62" t="s">
        <v>3611</v>
      </c>
      <c r="I900" s="60" t="s">
        <v>3334</v>
      </c>
    </row>
    <row r="901" spans="1:9" x14ac:dyDescent="0.25">
      <c r="A901" s="57"/>
      <c r="B901" s="63" t="s">
        <v>3612</v>
      </c>
      <c r="C901" s="64" t="s">
        <v>3613</v>
      </c>
      <c r="D901" s="65">
        <v>5</v>
      </c>
      <c r="E901" s="66">
        <v>495.02000000001863</v>
      </c>
      <c r="F901" s="66">
        <v>2.4751000000000931</v>
      </c>
      <c r="G901" s="65">
        <v>4.4551800000001682</v>
      </c>
      <c r="H901" s="67" t="s">
        <v>3614</v>
      </c>
      <c r="I901" s="65" t="s">
        <v>3334</v>
      </c>
    </row>
    <row r="902" spans="1:9" x14ac:dyDescent="0.25">
      <c r="A902" s="57"/>
      <c r="B902" s="58" t="s">
        <v>3615</v>
      </c>
      <c r="C902" s="59" t="s">
        <v>3616</v>
      </c>
      <c r="D902" s="60">
        <v>2.9199999999982538</v>
      </c>
      <c r="E902" s="61">
        <v>199.48999999999069</v>
      </c>
      <c r="F902" s="61">
        <v>1.9948999999999069</v>
      </c>
      <c r="G902" s="60">
        <v>3.590819999999832</v>
      </c>
      <c r="H902" s="62" t="s">
        <v>3617</v>
      </c>
      <c r="I902" s="60" t="s">
        <v>231</v>
      </c>
    </row>
    <row r="903" spans="1:9" x14ac:dyDescent="0.25">
      <c r="A903" s="57"/>
      <c r="B903" s="63" t="s">
        <v>3618</v>
      </c>
      <c r="C903" s="64" t="s">
        <v>3619</v>
      </c>
      <c r="D903" s="65">
        <v>5.8399999999965075</v>
      </c>
      <c r="E903" s="66">
        <v>398.95999999996275</v>
      </c>
      <c r="F903" s="66">
        <v>1.9947999999998138</v>
      </c>
      <c r="G903" s="65">
        <v>3.5906399999996648</v>
      </c>
      <c r="H903" s="67" t="s">
        <v>3620</v>
      </c>
      <c r="I903" s="65" t="s">
        <v>231</v>
      </c>
    </row>
    <row r="904" spans="1:9" x14ac:dyDescent="0.25">
      <c r="A904" s="57"/>
      <c r="B904" s="58" t="s">
        <v>3621</v>
      </c>
      <c r="C904" s="59" t="s">
        <v>3622</v>
      </c>
      <c r="D904" s="60">
        <v>2.9199999999982538</v>
      </c>
      <c r="E904" s="61">
        <v>199.48999999999069</v>
      </c>
      <c r="F904" s="61">
        <v>1.9948999999999069</v>
      </c>
      <c r="G904" s="60">
        <v>3.590819999999832</v>
      </c>
      <c r="H904" s="62" t="s">
        <v>3623</v>
      </c>
      <c r="I904" s="60" t="s">
        <v>231</v>
      </c>
    </row>
    <row r="905" spans="1:9" x14ac:dyDescent="0.25">
      <c r="A905" s="57"/>
      <c r="B905" s="63" t="s">
        <v>3624</v>
      </c>
      <c r="C905" s="64" t="s">
        <v>3625</v>
      </c>
      <c r="D905" s="65">
        <v>5.8399999999965075</v>
      </c>
      <c r="E905" s="66">
        <v>398.95999999996275</v>
      </c>
      <c r="F905" s="66">
        <v>1.9947999999998138</v>
      </c>
      <c r="G905" s="65">
        <v>3.5906399999996648</v>
      </c>
      <c r="H905" s="67" t="s">
        <v>3626</v>
      </c>
      <c r="I905" s="65" t="s">
        <v>231</v>
      </c>
    </row>
    <row r="906" spans="1:9" x14ac:dyDescent="0.25">
      <c r="A906" s="57"/>
      <c r="B906" s="58" t="s">
        <v>3627</v>
      </c>
      <c r="C906" s="59" t="s">
        <v>3628</v>
      </c>
      <c r="D906" s="60">
        <v>4.5899999999965075</v>
      </c>
      <c r="E906" s="61">
        <v>319.66999999992549</v>
      </c>
      <c r="F906" s="61">
        <v>3.1966999999992551</v>
      </c>
      <c r="G906" s="60">
        <v>5.7540599999986588</v>
      </c>
      <c r="H906" s="62" t="s">
        <v>3629</v>
      </c>
      <c r="I906" s="60" t="s">
        <v>231</v>
      </c>
    </row>
    <row r="907" spans="1:9" x14ac:dyDescent="0.25">
      <c r="A907" s="57"/>
      <c r="B907" s="63" t="s">
        <v>3630</v>
      </c>
      <c r="C907" s="64" t="s">
        <v>3631</v>
      </c>
      <c r="D907" s="65">
        <v>9.1799999999930151</v>
      </c>
      <c r="E907" s="66">
        <v>639.34999999962747</v>
      </c>
      <c r="F907" s="66">
        <v>3.1967499999981372</v>
      </c>
      <c r="G907" s="65">
        <v>5.7541499999966472</v>
      </c>
      <c r="H907" s="67" t="s">
        <v>3632</v>
      </c>
      <c r="I907" s="65" t="s">
        <v>231</v>
      </c>
    </row>
    <row r="908" spans="1:9" x14ac:dyDescent="0.25">
      <c r="A908" s="57"/>
      <c r="B908" s="58" t="s">
        <v>3633</v>
      </c>
      <c r="C908" s="59" t="s">
        <v>3634</v>
      </c>
      <c r="D908" s="60">
        <v>4.5899999999965075</v>
      </c>
      <c r="E908" s="61">
        <v>319.66999999992549</v>
      </c>
      <c r="F908" s="61">
        <v>3.1966999999992551</v>
      </c>
      <c r="G908" s="60">
        <v>5.7540599999986588</v>
      </c>
      <c r="H908" s="62" t="s">
        <v>3635</v>
      </c>
      <c r="I908" s="60" t="s">
        <v>231</v>
      </c>
    </row>
    <row r="909" spans="1:9" x14ac:dyDescent="0.25">
      <c r="A909" s="57"/>
      <c r="B909" s="63" t="s">
        <v>3636</v>
      </c>
      <c r="C909" s="64" t="s">
        <v>3637</v>
      </c>
      <c r="D909" s="65">
        <v>9.1799999999930151</v>
      </c>
      <c r="E909" s="66">
        <v>639.34999999962747</v>
      </c>
      <c r="F909" s="66">
        <v>3.1967499999981372</v>
      </c>
      <c r="G909" s="65">
        <v>5.7541499999966472</v>
      </c>
      <c r="H909" s="67" t="s">
        <v>3638</v>
      </c>
      <c r="I909" s="65" t="s">
        <v>231</v>
      </c>
    </row>
    <row r="910" spans="1:9" x14ac:dyDescent="0.25">
      <c r="A910" s="57"/>
      <c r="B910" s="58" t="s">
        <v>772</v>
      </c>
      <c r="C910" s="59" t="s">
        <v>3639</v>
      </c>
      <c r="D910" s="60">
        <v>7.5000000000045475E-2</v>
      </c>
      <c r="E910" s="61">
        <v>156.04000000003725</v>
      </c>
      <c r="F910" s="61">
        <v>1.5604000000003726</v>
      </c>
      <c r="G910" s="60">
        <v>2.8087200000006707</v>
      </c>
      <c r="H910" s="62" t="s">
        <v>3640</v>
      </c>
      <c r="I910" s="60" t="s">
        <v>3641</v>
      </c>
    </row>
    <row r="911" spans="1:9" x14ac:dyDescent="0.25">
      <c r="A911" s="57"/>
      <c r="B911" s="63" t="s">
        <v>775</v>
      </c>
      <c r="C911" s="64" t="s">
        <v>3642</v>
      </c>
      <c r="D911" s="65">
        <v>7.5000000000045475E-2</v>
      </c>
      <c r="E911" s="66">
        <v>312.08000000007451</v>
      </c>
      <c r="F911" s="66">
        <v>1.5604000000003726</v>
      </c>
      <c r="G911" s="65">
        <v>2.8087200000006707</v>
      </c>
      <c r="H911" s="67" t="s">
        <v>3643</v>
      </c>
      <c r="I911" s="65" t="s">
        <v>3641</v>
      </c>
    </row>
    <row r="912" spans="1:9" x14ac:dyDescent="0.25">
      <c r="A912" s="57"/>
      <c r="B912" s="58" t="s">
        <v>778</v>
      </c>
      <c r="C912" s="59" t="s">
        <v>3644</v>
      </c>
      <c r="D912" s="60">
        <v>7.5000000000045475E-2</v>
      </c>
      <c r="E912" s="61">
        <v>216.91999999992549</v>
      </c>
      <c r="F912" s="61">
        <v>2.1691999999992548</v>
      </c>
      <c r="G912" s="60">
        <v>3.9045599999986593</v>
      </c>
      <c r="H912" s="62" t="s">
        <v>3645</v>
      </c>
      <c r="I912" s="60" t="s">
        <v>3641</v>
      </c>
    </row>
    <row r="913" spans="1:9" x14ac:dyDescent="0.25">
      <c r="A913" s="57"/>
      <c r="B913" s="63" t="s">
        <v>781</v>
      </c>
      <c r="C913" s="64" t="s">
        <v>3646</v>
      </c>
      <c r="D913" s="65">
        <v>7.5000000000045475E-2</v>
      </c>
      <c r="E913" s="66">
        <v>433.81000000005588</v>
      </c>
      <c r="F913" s="66">
        <v>2.1690500000002793</v>
      </c>
      <c r="G913" s="65">
        <v>3.9042900000005027</v>
      </c>
      <c r="H913" s="67" t="s">
        <v>3647</v>
      </c>
      <c r="I913" s="65" t="s">
        <v>3641</v>
      </c>
    </row>
    <row r="914" spans="1:9" x14ac:dyDescent="0.25">
      <c r="A914" s="57"/>
      <c r="B914" s="58" t="s">
        <v>784</v>
      </c>
      <c r="C914" s="59" t="s">
        <v>3648</v>
      </c>
      <c r="D914" s="60">
        <v>7.5000000000045475E-2</v>
      </c>
      <c r="E914" s="61">
        <v>323.70999999996275</v>
      </c>
      <c r="F914" s="61">
        <v>3.2370999999996273</v>
      </c>
      <c r="G914" s="60">
        <v>5.8267799999993288</v>
      </c>
      <c r="H914" s="62" t="s">
        <v>3649</v>
      </c>
      <c r="I914" s="60" t="s">
        <v>3641</v>
      </c>
    </row>
    <row r="915" spans="1:9" x14ac:dyDescent="0.25">
      <c r="A915" s="57"/>
      <c r="B915" s="63" t="s">
        <v>787</v>
      </c>
      <c r="C915" s="64" t="s">
        <v>3650</v>
      </c>
      <c r="D915" s="65">
        <v>7.5000000000045475E-2</v>
      </c>
      <c r="E915" s="66">
        <v>647.41999999992549</v>
      </c>
      <c r="F915" s="66">
        <v>3.2370999999996273</v>
      </c>
      <c r="G915" s="65">
        <v>5.8267799999993288</v>
      </c>
      <c r="H915" s="67" t="s">
        <v>3651</v>
      </c>
      <c r="I915" s="65" t="s">
        <v>3641</v>
      </c>
    </row>
    <row r="916" spans="1:9" x14ac:dyDescent="0.25">
      <c r="A916" s="57"/>
      <c r="B916" s="58" t="s">
        <v>790</v>
      </c>
      <c r="C916" s="59" t="s">
        <v>3652</v>
      </c>
      <c r="D916" s="60">
        <v>7.5000000000045475E-2</v>
      </c>
      <c r="E916" s="61">
        <v>493.08000000007451</v>
      </c>
      <c r="F916" s="61">
        <v>4.9308000000007448</v>
      </c>
      <c r="G916" s="60">
        <v>8.8754400000013405</v>
      </c>
      <c r="H916" s="62" t="s">
        <v>3653</v>
      </c>
      <c r="I916" s="60" t="s">
        <v>3641</v>
      </c>
    </row>
    <row r="917" spans="1:9" x14ac:dyDescent="0.25">
      <c r="A917" s="57"/>
      <c r="B917" s="63" t="s">
        <v>793</v>
      </c>
      <c r="C917" s="64" t="s">
        <v>3654</v>
      </c>
      <c r="D917" s="65">
        <v>7.5000000000045475E-2</v>
      </c>
      <c r="E917" s="66">
        <v>986.16000000014901</v>
      </c>
      <c r="F917" s="66">
        <v>4.9308000000007448</v>
      </c>
      <c r="G917" s="65">
        <v>8.8754400000013405</v>
      </c>
      <c r="H917" s="67" t="s">
        <v>3655</v>
      </c>
      <c r="I917" s="65" t="s">
        <v>3641</v>
      </c>
    </row>
    <row r="918" spans="1:9" x14ac:dyDescent="0.25">
      <c r="A918" s="57"/>
      <c r="B918" s="58" t="s">
        <v>773</v>
      </c>
      <c r="C918" s="59" t="s">
        <v>3656</v>
      </c>
      <c r="D918" s="60">
        <v>7.5000000000045475E-2</v>
      </c>
      <c r="E918" s="61">
        <v>156.04000000003725</v>
      </c>
      <c r="F918" s="61">
        <v>1.5604000000003726</v>
      </c>
      <c r="G918" s="60">
        <v>2.8087200000006707</v>
      </c>
      <c r="H918" s="62" t="s">
        <v>3657</v>
      </c>
      <c r="I918" s="60" t="s">
        <v>3641</v>
      </c>
    </row>
    <row r="919" spans="1:9" x14ac:dyDescent="0.25">
      <c r="A919" s="57"/>
      <c r="B919" s="63" t="s">
        <v>776</v>
      </c>
      <c r="C919" s="64" t="s">
        <v>3658</v>
      </c>
      <c r="D919" s="65">
        <v>7.5000000000045475E-2</v>
      </c>
      <c r="E919" s="66">
        <v>312.08000000007451</v>
      </c>
      <c r="F919" s="66">
        <v>1.5604000000003726</v>
      </c>
      <c r="G919" s="65">
        <v>2.8087200000006707</v>
      </c>
      <c r="H919" s="67" t="s">
        <v>3659</v>
      </c>
      <c r="I919" s="65" t="s">
        <v>3641</v>
      </c>
    </row>
    <row r="920" spans="1:9" x14ac:dyDescent="0.25">
      <c r="A920" s="57"/>
      <c r="B920" s="58" t="s">
        <v>779</v>
      </c>
      <c r="C920" s="59" t="s">
        <v>3660</v>
      </c>
      <c r="D920" s="60">
        <v>7.5000000000045475E-2</v>
      </c>
      <c r="E920" s="61">
        <v>216.91999999992549</v>
      </c>
      <c r="F920" s="61">
        <v>2.1691999999992548</v>
      </c>
      <c r="G920" s="60">
        <v>3.9045599999986593</v>
      </c>
      <c r="H920" s="62" t="s">
        <v>3661</v>
      </c>
      <c r="I920" s="60" t="s">
        <v>3641</v>
      </c>
    </row>
    <row r="921" spans="1:9" x14ac:dyDescent="0.25">
      <c r="A921" s="57"/>
      <c r="B921" s="63" t="s">
        <v>782</v>
      </c>
      <c r="C921" s="64" t="s">
        <v>3662</v>
      </c>
      <c r="D921" s="65">
        <v>7.5000000000045475E-2</v>
      </c>
      <c r="E921" s="66">
        <v>433.81000000005588</v>
      </c>
      <c r="F921" s="66">
        <v>2.1690500000002793</v>
      </c>
      <c r="G921" s="65">
        <v>3.9042900000005027</v>
      </c>
      <c r="H921" s="67" t="s">
        <v>3663</v>
      </c>
      <c r="I921" s="65" t="s">
        <v>3641</v>
      </c>
    </row>
    <row r="922" spans="1:9" x14ac:dyDescent="0.25">
      <c r="A922" s="57"/>
      <c r="B922" s="58" t="s">
        <v>785</v>
      </c>
      <c r="C922" s="59" t="s">
        <v>3664</v>
      </c>
      <c r="D922" s="60">
        <v>7.5000000000045475E-2</v>
      </c>
      <c r="E922" s="61">
        <v>323.70999999996275</v>
      </c>
      <c r="F922" s="61">
        <v>3.2370999999996273</v>
      </c>
      <c r="G922" s="60">
        <v>5.8267799999993288</v>
      </c>
      <c r="H922" s="62" t="s">
        <v>3665</v>
      </c>
      <c r="I922" s="60" t="s">
        <v>3641</v>
      </c>
    </row>
    <row r="923" spans="1:9" x14ac:dyDescent="0.25">
      <c r="A923" s="57"/>
      <c r="B923" s="63" t="s">
        <v>788</v>
      </c>
      <c r="C923" s="64" t="s">
        <v>3666</v>
      </c>
      <c r="D923" s="65">
        <v>7.5000000000045475E-2</v>
      </c>
      <c r="E923" s="66">
        <v>647.41999999992549</v>
      </c>
      <c r="F923" s="66">
        <v>3.2370999999996273</v>
      </c>
      <c r="G923" s="65">
        <v>5.8267799999993288</v>
      </c>
      <c r="H923" s="67" t="s">
        <v>3667</v>
      </c>
      <c r="I923" s="65" t="s">
        <v>3641</v>
      </c>
    </row>
    <row r="924" spans="1:9" x14ac:dyDescent="0.25">
      <c r="A924" s="57"/>
      <c r="B924" s="58" t="s">
        <v>791</v>
      </c>
      <c r="C924" s="59" t="s">
        <v>3668</v>
      </c>
      <c r="D924" s="60">
        <v>7.5000000000045475E-2</v>
      </c>
      <c r="E924" s="61">
        <v>493.08000000007451</v>
      </c>
      <c r="F924" s="61">
        <v>4.9308000000007448</v>
      </c>
      <c r="G924" s="60">
        <v>8.8754400000013405</v>
      </c>
      <c r="H924" s="62" t="s">
        <v>3669</v>
      </c>
      <c r="I924" s="60" t="s">
        <v>3641</v>
      </c>
    </row>
    <row r="925" spans="1:9" x14ac:dyDescent="0.25">
      <c r="A925" s="57"/>
      <c r="B925" s="63" t="s">
        <v>794</v>
      </c>
      <c r="C925" s="64" t="s">
        <v>3670</v>
      </c>
      <c r="D925" s="65">
        <v>7.5000000000045475E-2</v>
      </c>
      <c r="E925" s="66">
        <v>986.16000000014901</v>
      </c>
      <c r="F925" s="66">
        <v>4.9308000000007448</v>
      </c>
      <c r="G925" s="65">
        <v>8.8754400000013405</v>
      </c>
      <c r="H925" s="67" t="s">
        <v>3671</v>
      </c>
      <c r="I925" s="65" t="s">
        <v>3641</v>
      </c>
    </row>
    <row r="926" spans="1:9" x14ac:dyDescent="0.25">
      <c r="A926" s="57"/>
      <c r="B926" s="58" t="s">
        <v>774</v>
      </c>
      <c r="C926" s="59" t="s">
        <v>3672</v>
      </c>
      <c r="D926" s="60">
        <v>7.5000000000045475E-2</v>
      </c>
      <c r="E926" s="61">
        <v>156.04000000003725</v>
      </c>
      <c r="F926" s="61">
        <v>1.5604000000003726</v>
      </c>
      <c r="G926" s="60">
        <v>2.8087200000006707</v>
      </c>
      <c r="H926" s="62" t="s">
        <v>3673</v>
      </c>
      <c r="I926" s="60" t="s">
        <v>3641</v>
      </c>
    </row>
    <row r="927" spans="1:9" x14ac:dyDescent="0.25">
      <c r="A927" s="57"/>
      <c r="B927" s="63" t="s">
        <v>777</v>
      </c>
      <c r="C927" s="64" t="s">
        <v>3674</v>
      </c>
      <c r="D927" s="65">
        <v>7.5000000000045475E-2</v>
      </c>
      <c r="E927" s="66">
        <v>312.08000000007451</v>
      </c>
      <c r="F927" s="66">
        <v>1.5604000000003726</v>
      </c>
      <c r="G927" s="65">
        <v>2.8087200000006707</v>
      </c>
      <c r="H927" s="67" t="s">
        <v>3675</v>
      </c>
      <c r="I927" s="65" t="s">
        <v>3641</v>
      </c>
    </row>
    <row r="928" spans="1:9" x14ac:dyDescent="0.25">
      <c r="A928" s="57"/>
      <c r="B928" s="58" t="s">
        <v>780</v>
      </c>
      <c r="C928" s="59" t="s">
        <v>3676</v>
      </c>
      <c r="D928" s="60">
        <v>7.5000000000045475E-2</v>
      </c>
      <c r="E928" s="61">
        <v>216.91999999992549</v>
      </c>
      <c r="F928" s="61">
        <v>2.1691999999992548</v>
      </c>
      <c r="G928" s="60">
        <v>3.9045599999986593</v>
      </c>
      <c r="H928" s="62" t="s">
        <v>3677</v>
      </c>
      <c r="I928" s="60" t="s">
        <v>3641</v>
      </c>
    </row>
    <row r="929" spans="1:9" x14ac:dyDescent="0.25">
      <c r="A929" s="57"/>
      <c r="B929" s="63" t="s">
        <v>783</v>
      </c>
      <c r="C929" s="64" t="s">
        <v>3678</v>
      </c>
      <c r="D929" s="65">
        <v>7.5000000000045475E-2</v>
      </c>
      <c r="E929" s="66">
        <v>433.81000000005588</v>
      </c>
      <c r="F929" s="66">
        <v>2.1690500000002793</v>
      </c>
      <c r="G929" s="65">
        <v>3.9042900000005027</v>
      </c>
      <c r="H929" s="67" t="s">
        <v>3679</v>
      </c>
      <c r="I929" s="65" t="s">
        <v>3641</v>
      </c>
    </row>
    <row r="930" spans="1:9" x14ac:dyDescent="0.25">
      <c r="A930" s="57"/>
      <c r="B930" s="58" t="s">
        <v>786</v>
      </c>
      <c r="C930" s="59" t="s">
        <v>3680</v>
      </c>
      <c r="D930" s="60">
        <v>7.5000000000045475E-2</v>
      </c>
      <c r="E930" s="61">
        <v>323.70999999996275</v>
      </c>
      <c r="F930" s="61">
        <v>3.2370999999996273</v>
      </c>
      <c r="G930" s="60">
        <v>5.8267799999993288</v>
      </c>
      <c r="H930" s="62" t="s">
        <v>3681</v>
      </c>
      <c r="I930" s="60" t="s">
        <v>3641</v>
      </c>
    </row>
    <row r="931" spans="1:9" x14ac:dyDescent="0.25">
      <c r="A931" s="57"/>
      <c r="B931" s="63" t="s">
        <v>789</v>
      </c>
      <c r="C931" s="64" t="s">
        <v>3682</v>
      </c>
      <c r="D931" s="65">
        <v>7.5000000000045475E-2</v>
      </c>
      <c r="E931" s="66">
        <v>647.41999999992549</v>
      </c>
      <c r="F931" s="66">
        <v>3.2370999999996273</v>
      </c>
      <c r="G931" s="65">
        <v>5.8267799999993288</v>
      </c>
      <c r="H931" s="67" t="s">
        <v>3683</v>
      </c>
      <c r="I931" s="65" t="s">
        <v>3641</v>
      </c>
    </row>
    <row r="932" spans="1:9" x14ac:dyDescent="0.25">
      <c r="A932" s="57"/>
      <c r="B932" s="58" t="s">
        <v>792</v>
      </c>
      <c r="C932" s="59" t="s">
        <v>3684</v>
      </c>
      <c r="D932" s="60">
        <v>7.5000000000045475E-2</v>
      </c>
      <c r="E932" s="61">
        <v>493.08000000007451</v>
      </c>
      <c r="F932" s="61">
        <v>4.9308000000007448</v>
      </c>
      <c r="G932" s="60">
        <v>8.8754400000013405</v>
      </c>
      <c r="H932" s="62" t="s">
        <v>3685</v>
      </c>
      <c r="I932" s="60" t="s">
        <v>3641</v>
      </c>
    </row>
    <row r="933" spans="1:9" x14ac:dyDescent="0.25">
      <c r="A933" s="57"/>
      <c r="B933" s="63" t="s">
        <v>795</v>
      </c>
      <c r="C933" s="64" t="s">
        <v>3686</v>
      </c>
      <c r="D933" s="65">
        <v>7.5000000000045475E-2</v>
      </c>
      <c r="E933" s="66">
        <v>986.16000000014901</v>
      </c>
      <c r="F933" s="66">
        <v>4.9308000000007448</v>
      </c>
      <c r="G933" s="65">
        <v>8.8754400000013405</v>
      </c>
      <c r="H933" s="67" t="s">
        <v>3687</v>
      </c>
      <c r="I933" s="65" t="s">
        <v>3641</v>
      </c>
    </row>
    <row r="934" spans="1:9" x14ac:dyDescent="0.25">
      <c r="A934" s="57"/>
      <c r="B934" s="58" t="s">
        <v>798</v>
      </c>
      <c r="C934" s="59" t="s">
        <v>3688</v>
      </c>
      <c r="D934" s="60">
        <v>1.9400000000005093</v>
      </c>
      <c r="E934" s="61">
        <v>285.77999999979511</v>
      </c>
      <c r="F934" s="61">
        <v>2.8577999999979511</v>
      </c>
      <c r="G934" s="60">
        <v>5.1440399999963118</v>
      </c>
      <c r="H934" s="62" t="s">
        <v>3689</v>
      </c>
      <c r="I934" s="60" t="s">
        <v>231</v>
      </c>
    </row>
    <row r="935" spans="1:9" x14ac:dyDescent="0.25">
      <c r="A935" s="57"/>
      <c r="B935" s="63" t="s">
        <v>800</v>
      </c>
      <c r="C935" s="64" t="s">
        <v>3690</v>
      </c>
      <c r="D935" s="65">
        <v>3.8800000000010186</v>
      </c>
      <c r="E935" s="66">
        <v>571.58000000007451</v>
      </c>
      <c r="F935" s="66">
        <v>2.8579000000003725</v>
      </c>
      <c r="G935" s="65">
        <v>5.1442200000006713</v>
      </c>
      <c r="H935" s="67" t="s">
        <v>3691</v>
      </c>
      <c r="I935" s="65" t="s">
        <v>231</v>
      </c>
    </row>
    <row r="936" spans="1:9" x14ac:dyDescent="0.25">
      <c r="A936" s="57"/>
      <c r="B936" s="58" t="s">
        <v>3692</v>
      </c>
      <c r="C936" s="59" t="s">
        <v>3693</v>
      </c>
      <c r="D936" s="60">
        <v>1.9400000000005093</v>
      </c>
      <c r="E936" s="61">
        <v>285.77999999979511</v>
      </c>
      <c r="F936" s="61">
        <v>2.8577999999979511</v>
      </c>
      <c r="G936" s="60">
        <v>5.1440399999963118</v>
      </c>
      <c r="H936" s="62" t="s">
        <v>3694</v>
      </c>
      <c r="I936" s="60" t="s">
        <v>231</v>
      </c>
    </row>
    <row r="937" spans="1:9" x14ac:dyDescent="0.25">
      <c r="A937" s="57"/>
      <c r="B937" s="63" t="s">
        <v>3695</v>
      </c>
      <c r="C937" s="64" t="s">
        <v>3696</v>
      </c>
      <c r="D937" s="65">
        <v>3.8800000000010186</v>
      </c>
      <c r="E937" s="66">
        <v>571.58000000007451</v>
      </c>
      <c r="F937" s="66">
        <v>2.8579000000003725</v>
      </c>
      <c r="G937" s="65">
        <v>5.1442200000006713</v>
      </c>
      <c r="H937" s="67" t="s">
        <v>3697</v>
      </c>
      <c r="I937" s="65" t="s">
        <v>231</v>
      </c>
    </row>
    <row r="938" spans="1:9" x14ac:dyDescent="0.25">
      <c r="A938" s="57"/>
      <c r="B938" s="58" t="s">
        <v>797</v>
      </c>
      <c r="C938" s="59" t="s">
        <v>3698</v>
      </c>
      <c r="D938" s="60">
        <v>1.9400000000005093</v>
      </c>
      <c r="E938" s="61">
        <v>285.77999999979511</v>
      </c>
      <c r="F938" s="61">
        <v>2.8577999999979511</v>
      </c>
      <c r="G938" s="60">
        <v>5.1440399999963118</v>
      </c>
      <c r="H938" s="62" t="s">
        <v>3699</v>
      </c>
      <c r="I938" s="60" t="s">
        <v>231</v>
      </c>
    </row>
    <row r="939" spans="1:9" x14ac:dyDescent="0.25">
      <c r="A939" s="57"/>
      <c r="B939" s="63" t="s">
        <v>799</v>
      </c>
      <c r="C939" s="64" t="s">
        <v>3700</v>
      </c>
      <c r="D939" s="65">
        <v>3.8800000000010186</v>
      </c>
      <c r="E939" s="66">
        <v>571.58000000007451</v>
      </c>
      <c r="F939" s="66">
        <v>2.8579000000003725</v>
      </c>
      <c r="G939" s="65">
        <v>5.1442200000006713</v>
      </c>
      <c r="H939" s="67" t="s">
        <v>3701</v>
      </c>
      <c r="I939" s="65" t="s">
        <v>231</v>
      </c>
    </row>
    <row r="940" spans="1:9" x14ac:dyDescent="0.25">
      <c r="A940" s="57"/>
      <c r="B940" s="58" t="s">
        <v>802</v>
      </c>
      <c r="C940" s="59" t="s">
        <v>3702</v>
      </c>
      <c r="D940" s="60">
        <v>2.7599999999983993</v>
      </c>
      <c r="E940" s="61">
        <v>331.64999999990687</v>
      </c>
      <c r="F940" s="61">
        <v>3.3164999999990687</v>
      </c>
      <c r="G940" s="60">
        <v>5.9696999999983236</v>
      </c>
      <c r="H940" s="62" t="s">
        <v>3703</v>
      </c>
      <c r="I940" s="60" t="s">
        <v>231</v>
      </c>
    </row>
    <row r="941" spans="1:9" x14ac:dyDescent="0.25">
      <c r="A941" s="57"/>
      <c r="B941" s="63" t="s">
        <v>804</v>
      </c>
      <c r="C941" s="64" t="s">
        <v>3704</v>
      </c>
      <c r="D941" s="65">
        <v>5.5199999999967986</v>
      </c>
      <c r="E941" s="66">
        <v>663.37000000011176</v>
      </c>
      <c r="F941" s="66">
        <v>3.3168500000005587</v>
      </c>
      <c r="G941" s="65">
        <v>5.970330000001006</v>
      </c>
      <c r="H941" s="67" t="s">
        <v>3705</v>
      </c>
      <c r="I941" s="65" t="s">
        <v>231</v>
      </c>
    </row>
    <row r="942" spans="1:9" x14ac:dyDescent="0.25">
      <c r="A942" s="57"/>
      <c r="B942" s="58" t="s">
        <v>3706</v>
      </c>
      <c r="C942" s="59" t="s">
        <v>3707</v>
      </c>
      <c r="D942" s="60">
        <v>2.7599999999983993</v>
      </c>
      <c r="E942" s="61">
        <v>331.64999999990687</v>
      </c>
      <c r="F942" s="61">
        <v>3.3164999999990687</v>
      </c>
      <c r="G942" s="60">
        <v>5.9696999999983236</v>
      </c>
      <c r="H942" s="62" t="s">
        <v>3708</v>
      </c>
      <c r="I942" s="60" t="s">
        <v>231</v>
      </c>
    </row>
    <row r="943" spans="1:9" x14ac:dyDescent="0.25">
      <c r="A943" s="57"/>
      <c r="B943" s="63" t="s">
        <v>3709</v>
      </c>
      <c r="C943" s="64" t="s">
        <v>3710</v>
      </c>
      <c r="D943" s="65">
        <v>5.5199999999967986</v>
      </c>
      <c r="E943" s="66">
        <v>663.37000000011176</v>
      </c>
      <c r="F943" s="66">
        <v>3.3168500000005587</v>
      </c>
      <c r="G943" s="65">
        <v>5.970330000001006</v>
      </c>
      <c r="H943" s="67" t="s">
        <v>3711</v>
      </c>
      <c r="I943" s="65" t="s">
        <v>231</v>
      </c>
    </row>
    <row r="944" spans="1:9" x14ac:dyDescent="0.25">
      <c r="A944" s="57"/>
      <c r="B944" s="58" t="s">
        <v>801</v>
      </c>
      <c r="C944" s="59" t="s">
        <v>3712</v>
      </c>
      <c r="D944" s="60">
        <v>2.7599999999983993</v>
      </c>
      <c r="E944" s="61">
        <v>331.64999999990687</v>
      </c>
      <c r="F944" s="61">
        <v>3.3164999999990687</v>
      </c>
      <c r="G944" s="60">
        <v>5.9696999999983236</v>
      </c>
      <c r="H944" s="62" t="s">
        <v>3713</v>
      </c>
      <c r="I944" s="60" t="s">
        <v>231</v>
      </c>
    </row>
    <row r="945" spans="1:9" x14ac:dyDescent="0.25">
      <c r="A945" s="57"/>
      <c r="B945" s="63" t="s">
        <v>803</v>
      </c>
      <c r="C945" s="64" t="s">
        <v>3714</v>
      </c>
      <c r="D945" s="65">
        <v>5.5199999999967986</v>
      </c>
      <c r="E945" s="66">
        <v>663.37000000011176</v>
      </c>
      <c r="F945" s="66">
        <v>3.3168500000005587</v>
      </c>
      <c r="G945" s="65">
        <v>5.970330000001006</v>
      </c>
      <c r="H945" s="67" t="s">
        <v>3715</v>
      </c>
      <c r="I945" s="65" t="s">
        <v>231</v>
      </c>
    </row>
    <row r="946" spans="1:9" x14ac:dyDescent="0.25">
      <c r="A946" s="57"/>
      <c r="B946" s="58" t="s">
        <v>808</v>
      </c>
      <c r="C946" s="59" t="s">
        <v>3716</v>
      </c>
      <c r="D946" s="60">
        <v>1.7299999999995634</v>
      </c>
      <c r="E946" s="61">
        <v>236.86000000010245</v>
      </c>
      <c r="F946" s="61">
        <v>2.3686000000010243</v>
      </c>
      <c r="G946" s="60">
        <v>4.2634800000018442</v>
      </c>
      <c r="H946" s="62" t="s">
        <v>3717</v>
      </c>
      <c r="I946" s="60" t="s">
        <v>231</v>
      </c>
    </row>
    <row r="947" spans="1:9" x14ac:dyDescent="0.25">
      <c r="A947" s="57"/>
      <c r="B947" s="63" t="s">
        <v>811</v>
      </c>
      <c r="C947" s="64" t="s">
        <v>3718</v>
      </c>
      <c r="D947" s="65">
        <v>3.4599999999991269</v>
      </c>
      <c r="E947" s="66">
        <v>473.72000000020489</v>
      </c>
      <c r="F947" s="66">
        <v>2.3686000000010243</v>
      </c>
      <c r="G947" s="65">
        <v>4.2634800000018442</v>
      </c>
      <c r="H947" s="67" t="s">
        <v>3719</v>
      </c>
      <c r="I947" s="65" t="s">
        <v>231</v>
      </c>
    </row>
    <row r="948" spans="1:9" x14ac:dyDescent="0.25">
      <c r="A948" s="57"/>
      <c r="B948" s="58" t="s">
        <v>807</v>
      </c>
      <c r="C948" s="59" t="s">
        <v>3720</v>
      </c>
      <c r="D948" s="60">
        <v>1.7299999999995634</v>
      </c>
      <c r="E948" s="61">
        <v>236.86000000010245</v>
      </c>
      <c r="F948" s="61">
        <v>2.3686000000010243</v>
      </c>
      <c r="G948" s="60">
        <v>4.2634800000018442</v>
      </c>
      <c r="H948" s="62" t="s">
        <v>3721</v>
      </c>
      <c r="I948" s="60" t="s">
        <v>231</v>
      </c>
    </row>
    <row r="949" spans="1:9" x14ac:dyDescent="0.25">
      <c r="A949" s="57"/>
      <c r="B949" s="63" t="s">
        <v>810</v>
      </c>
      <c r="C949" s="64" t="s">
        <v>3722</v>
      </c>
      <c r="D949" s="65">
        <v>3.4599999999991269</v>
      </c>
      <c r="E949" s="66">
        <v>473.72000000020489</v>
      </c>
      <c r="F949" s="66">
        <v>2.3686000000010243</v>
      </c>
      <c r="G949" s="65">
        <v>4.2634800000018442</v>
      </c>
      <c r="H949" s="67" t="s">
        <v>3723</v>
      </c>
      <c r="I949" s="65" t="s">
        <v>231</v>
      </c>
    </row>
    <row r="950" spans="1:9" x14ac:dyDescent="0.25">
      <c r="A950" s="57"/>
      <c r="B950" s="58" t="s">
        <v>806</v>
      </c>
      <c r="C950" s="59" t="s">
        <v>3724</v>
      </c>
      <c r="D950" s="60">
        <v>1.7299999999995634</v>
      </c>
      <c r="E950" s="61">
        <v>236.86000000010245</v>
      </c>
      <c r="F950" s="61">
        <v>2.3686000000010243</v>
      </c>
      <c r="G950" s="60">
        <v>4.2634800000018442</v>
      </c>
      <c r="H950" s="62" t="s">
        <v>3725</v>
      </c>
      <c r="I950" s="60" t="s">
        <v>231</v>
      </c>
    </row>
    <row r="951" spans="1:9" x14ac:dyDescent="0.25">
      <c r="A951" s="57"/>
      <c r="B951" s="63" t="s">
        <v>809</v>
      </c>
      <c r="C951" s="64" t="s">
        <v>3726</v>
      </c>
      <c r="D951" s="65">
        <v>3.4599999999991269</v>
      </c>
      <c r="E951" s="66">
        <v>473.72000000020489</v>
      </c>
      <c r="F951" s="66">
        <v>2.3686000000010243</v>
      </c>
      <c r="G951" s="65">
        <v>4.2634800000018442</v>
      </c>
      <c r="H951" s="67" t="s">
        <v>3727</v>
      </c>
      <c r="I951" s="65" t="s">
        <v>231</v>
      </c>
    </row>
    <row r="952" spans="1:9" x14ac:dyDescent="0.25">
      <c r="A952" s="57"/>
      <c r="B952" s="58" t="s">
        <v>814</v>
      </c>
      <c r="C952" s="59" t="s">
        <v>3728</v>
      </c>
      <c r="D952" s="60">
        <v>2.2000000000007276</v>
      </c>
      <c r="E952" s="61">
        <v>307.87000000011176</v>
      </c>
      <c r="F952" s="61">
        <v>3.0787000000011178</v>
      </c>
      <c r="G952" s="60">
        <v>5.541660000002012</v>
      </c>
      <c r="H952" s="62" t="s">
        <v>3729</v>
      </c>
      <c r="I952" s="60" t="s">
        <v>231</v>
      </c>
    </row>
    <row r="953" spans="1:9" x14ac:dyDescent="0.25">
      <c r="A953" s="57"/>
      <c r="B953" s="63" t="s">
        <v>817</v>
      </c>
      <c r="C953" s="64" t="s">
        <v>3730</v>
      </c>
      <c r="D953" s="65">
        <v>4.4000000000014552</v>
      </c>
      <c r="E953" s="66">
        <v>615.74000000022352</v>
      </c>
      <c r="F953" s="66">
        <v>3.0787000000011178</v>
      </c>
      <c r="G953" s="65">
        <v>5.541660000002012</v>
      </c>
      <c r="H953" s="67" t="s">
        <v>3731</v>
      </c>
      <c r="I953" s="65" t="s">
        <v>231</v>
      </c>
    </row>
    <row r="954" spans="1:9" x14ac:dyDescent="0.25">
      <c r="A954" s="57"/>
      <c r="B954" s="58" t="s">
        <v>813</v>
      </c>
      <c r="C954" s="59" t="s">
        <v>3732</v>
      </c>
      <c r="D954" s="60">
        <v>2.2000000000007276</v>
      </c>
      <c r="E954" s="61">
        <v>307.87000000011176</v>
      </c>
      <c r="F954" s="61">
        <v>3.0787000000011178</v>
      </c>
      <c r="G954" s="60">
        <v>5.541660000002012</v>
      </c>
      <c r="H954" s="62" t="s">
        <v>3733</v>
      </c>
      <c r="I954" s="60" t="s">
        <v>231</v>
      </c>
    </row>
    <row r="955" spans="1:9" x14ac:dyDescent="0.25">
      <c r="A955" s="57"/>
      <c r="B955" s="63" t="s">
        <v>816</v>
      </c>
      <c r="C955" s="64" t="s">
        <v>3734</v>
      </c>
      <c r="D955" s="65">
        <v>4.4000000000014552</v>
      </c>
      <c r="E955" s="66">
        <v>615.74000000022352</v>
      </c>
      <c r="F955" s="66">
        <v>3.0787000000011178</v>
      </c>
      <c r="G955" s="65">
        <v>5.541660000002012</v>
      </c>
      <c r="H955" s="67" t="s">
        <v>3735</v>
      </c>
      <c r="I955" s="65" t="s">
        <v>231</v>
      </c>
    </row>
    <row r="956" spans="1:9" x14ac:dyDescent="0.25">
      <c r="A956" s="57"/>
      <c r="B956" s="58" t="s">
        <v>812</v>
      </c>
      <c r="C956" s="59" t="s">
        <v>3736</v>
      </c>
      <c r="D956" s="60">
        <v>2.2000000000007276</v>
      </c>
      <c r="E956" s="61">
        <v>307.87000000011176</v>
      </c>
      <c r="F956" s="61">
        <v>3.0787000000011178</v>
      </c>
      <c r="G956" s="60">
        <v>5.541660000002012</v>
      </c>
      <c r="H956" s="62" t="s">
        <v>3737</v>
      </c>
      <c r="I956" s="60" t="s">
        <v>231</v>
      </c>
    </row>
    <row r="957" spans="1:9" x14ac:dyDescent="0.25">
      <c r="A957" s="57"/>
      <c r="B957" s="63" t="s">
        <v>815</v>
      </c>
      <c r="C957" s="64" t="s">
        <v>3738</v>
      </c>
      <c r="D957" s="65">
        <v>4.4000000000014552</v>
      </c>
      <c r="E957" s="66">
        <v>615.74000000022352</v>
      </c>
      <c r="F957" s="66">
        <v>3.0787000000011178</v>
      </c>
      <c r="G957" s="65">
        <v>5.541660000002012</v>
      </c>
      <c r="H957" s="67" t="s">
        <v>3739</v>
      </c>
      <c r="I957" s="65" t="s">
        <v>231</v>
      </c>
    </row>
    <row r="958" spans="1:9" x14ac:dyDescent="0.25">
      <c r="A958" s="57"/>
      <c r="B958" s="58" t="s">
        <v>820</v>
      </c>
      <c r="C958" s="59" t="s">
        <v>3740</v>
      </c>
      <c r="D958" s="60">
        <v>2.9000000000014552</v>
      </c>
      <c r="E958" s="61">
        <v>378.85999999986961</v>
      </c>
      <c r="F958" s="61">
        <v>3.7885999999986963</v>
      </c>
      <c r="G958" s="60">
        <v>6.819479999997653</v>
      </c>
      <c r="H958" s="62" t="s">
        <v>3741</v>
      </c>
      <c r="I958" s="60" t="s">
        <v>231</v>
      </c>
    </row>
    <row r="959" spans="1:9" x14ac:dyDescent="0.25">
      <c r="A959" s="57"/>
      <c r="B959" s="63" t="s">
        <v>823</v>
      </c>
      <c r="C959" s="64" t="s">
        <v>3742</v>
      </c>
      <c r="D959" s="65">
        <v>6</v>
      </c>
      <c r="E959" s="66">
        <v>757.75999999977648</v>
      </c>
      <c r="F959" s="66">
        <v>3.7887999999988824</v>
      </c>
      <c r="G959" s="65">
        <v>6.8198399999979884</v>
      </c>
      <c r="H959" s="67" t="s">
        <v>3743</v>
      </c>
      <c r="I959" s="65" t="s">
        <v>231</v>
      </c>
    </row>
    <row r="960" spans="1:9" x14ac:dyDescent="0.25">
      <c r="A960" s="57"/>
      <c r="B960" s="58" t="s">
        <v>819</v>
      </c>
      <c r="C960" s="59" t="s">
        <v>3744</v>
      </c>
      <c r="D960" s="60">
        <v>2.9000000000014552</v>
      </c>
      <c r="E960" s="61">
        <v>378.85999999986961</v>
      </c>
      <c r="F960" s="61">
        <v>3.7885999999986963</v>
      </c>
      <c r="G960" s="60">
        <v>6.819479999997653</v>
      </c>
      <c r="H960" s="62" t="s">
        <v>3745</v>
      </c>
      <c r="I960" s="60" t="s">
        <v>231</v>
      </c>
    </row>
    <row r="961" spans="1:9" x14ac:dyDescent="0.25">
      <c r="A961" s="57"/>
      <c r="B961" s="63" t="s">
        <v>822</v>
      </c>
      <c r="C961" s="64" t="s">
        <v>3746</v>
      </c>
      <c r="D961" s="65">
        <v>6</v>
      </c>
      <c r="E961" s="66">
        <v>757.75999999977648</v>
      </c>
      <c r="F961" s="66">
        <v>3.7887999999988824</v>
      </c>
      <c r="G961" s="65">
        <v>6.8198399999979884</v>
      </c>
      <c r="H961" s="67" t="s">
        <v>3747</v>
      </c>
      <c r="I961" s="65" t="s">
        <v>231</v>
      </c>
    </row>
    <row r="962" spans="1:9" x14ac:dyDescent="0.25">
      <c r="A962" s="57"/>
      <c r="B962" s="58" t="s">
        <v>818</v>
      </c>
      <c r="C962" s="59" t="s">
        <v>3748</v>
      </c>
      <c r="D962" s="60">
        <v>2.9000000000014552</v>
      </c>
      <c r="E962" s="61">
        <v>378.85999999986961</v>
      </c>
      <c r="F962" s="61">
        <v>3.7885999999986963</v>
      </c>
      <c r="G962" s="60">
        <v>6.819479999997653</v>
      </c>
      <c r="H962" s="62" t="s">
        <v>3749</v>
      </c>
      <c r="I962" s="60" t="s">
        <v>231</v>
      </c>
    </row>
    <row r="963" spans="1:9" x14ac:dyDescent="0.25">
      <c r="A963" s="57"/>
      <c r="B963" s="63" t="s">
        <v>821</v>
      </c>
      <c r="C963" s="64" t="s">
        <v>3750</v>
      </c>
      <c r="D963" s="65">
        <v>6</v>
      </c>
      <c r="E963" s="66">
        <v>757.75999999977648</v>
      </c>
      <c r="F963" s="66">
        <v>3.7887999999988824</v>
      </c>
      <c r="G963" s="65">
        <v>6.8198399999979884</v>
      </c>
      <c r="H963" s="67" t="s">
        <v>3751</v>
      </c>
      <c r="I963" s="65" t="s">
        <v>231</v>
      </c>
    </row>
    <row r="964" spans="1:9" x14ac:dyDescent="0.25">
      <c r="A964" s="57"/>
      <c r="B964" s="58" t="s">
        <v>826</v>
      </c>
      <c r="C964" s="59" t="s">
        <v>3752</v>
      </c>
      <c r="D964" s="60">
        <v>5</v>
      </c>
      <c r="E964" s="61">
        <v>596.86000000033528</v>
      </c>
      <c r="F964" s="61">
        <v>5.9686000000033523</v>
      </c>
      <c r="G964" s="60">
        <v>10.743480000006036</v>
      </c>
      <c r="H964" s="62" t="s">
        <v>3753</v>
      </c>
      <c r="I964" s="60" t="s">
        <v>231</v>
      </c>
    </row>
    <row r="965" spans="1:9" x14ac:dyDescent="0.25">
      <c r="A965" s="57"/>
      <c r="B965" s="63" t="s">
        <v>829</v>
      </c>
      <c r="C965" s="64" t="s">
        <v>3754</v>
      </c>
      <c r="D965" s="65">
        <v>10</v>
      </c>
      <c r="E965" s="66">
        <v>1193.6500000003725</v>
      </c>
      <c r="F965" s="66">
        <v>5.9682500000018628</v>
      </c>
      <c r="G965" s="65">
        <v>10.742850000003353</v>
      </c>
      <c r="H965" s="67" t="s">
        <v>3755</v>
      </c>
      <c r="I965" s="65" t="s">
        <v>231</v>
      </c>
    </row>
    <row r="966" spans="1:9" x14ac:dyDescent="0.25">
      <c r="A966" s="57"/>
      <c r="B966" s="58" t="s">
        <v>825</v>
      </c>
      <c r="C966" s="59" t="s">
        <v>3756</v>
      </c>
      <c r="D966" s="60">
        <v>5</v>
      </c>
      <c r="E966" s="61">
        <v>596.86000000033528</v>
      </c>
      <c r="F966" s="61">
        <v>5.9686000000033523</v>
      </c>
      <c r="G966" s="60">
        <v>10.743480000006036</v>
      </c>
      <c r="H966" s="62" t="s">
        <v>3757</v>
      </c>
      <c r="I966" s="60" t="s">
        <v>231</v>
      </c>
    </row>
    <row r="967" spans="1:9" x14ac:dyDescent="0.25">
      <c r="A967" s="57"/>
      <c r="B967" s="63" t="s">
        <v>828</v>
      </c>
      <c r="C967" s="64" t="s">
        <v>3758</v>
      </c>
      <c r="D967" s="65">
        <v>10</v>
      </c>
      <c r="E967" s="66">
        <v>1193.6500000003725</v>
      </c>
      <c r="F967" s="66">
        <v>5.9682500000018628</v>
      </c>
      <c r="G967" s="65">
        <v>10.742850000003353</v>
      </c>
      <c r="H967" s="67" t="s">
        <v>3759</v>
      </c>
      <c r="I967" s="65" t="s">
        <v>231</v>
      </c>
    </row>
    <row r="968" spans="1:9" x14ac:dyDescent="0.25">
      <c r="A968" s="57"/>
      <c r="B968" s="58" t="s">
        <v>824</v>
      </c>
      <c r="C968" s="59" t="s">
        <v>3760</v>
      </c>
      <c r="D968" s="60">
        <v>5</v>
      </c>
      <c r="E968" s="61">
        <v>596.86000000033528</v>
      </c>
      <c r="F968" s="61">
        <v>5.9686000000033523</v>
      </c>
      <c r="G968" s="60">
        <v>10.743480000006036</v>
      </c>
      <c r="H968" s="62" t="s">
        <v>3761</v>
      </c>
      <c r="I968" s="60" t="s">
        <v>231</v>
      </c>
    </row>
    <row r="969" spans="1:9" x14ac:dyDescent="0.25">
      <c r="A969" s="57"/>
      <c r="B969" s="63" t="s">
        <v>827</v>
      </c>
      <c r="C969" s="64" t="s">
        <v>3762</v>
      </c>
      <c r="D969" s="65">
        <v>10</v>
      </c>
      <c r="E969" s="66">
        <v>1193.6500000003725</v>
      </c>
      <c r="F969" s="66">
        <v>5.9682500000018628</v>
      </c>
      <c r="G969" s="65">
        <v>10.742850000003353</v>
      </c>
      <c r="H969" s="67" t="s">
        <v>3763</v>
      </c>
      <c r="I969" s="65" t="s">
        <v>231</v>
      </c>
    </row>
    <row r="970" spans="1:9" x14ac:dyDescent="0.25">
      <c r="A970" s="57"/>
      <c r="B970" s="58" t="s">
        <v>831</v>
      </c>
      <c r="C970" s="59" t="s">
        <v>3764</v>
      </c>
      <c r="D970" s="60">
        <v>2.2000000000007276</v>
      </c>
      <c r="E970" s="61">
        <v>400.12000000011176</v>
      </c>
      <c r="F970" s="61">
        <v>4.0012000000011172</v>
      </c>
      <c r="G970" s="60">
        <v>7.2021600000020127</v>
      </c>
      <c r="H970" s="62" t="s">
        <v>3765</v>
      </c>
      <c r="I970" s="60" t="s">
        <v>231</v>
      </c>
    </row>
    <row r="971" spans="1:9" x14ac:dyDescent="0.25">
      <c r="A971" s="57"/>
      <c r="B971" s="63" t="s">
        <v>832</v>
      </c>
      <c r="C971" s="64" t="s">
        <v>3766</v>
      </c>
      <c r="D971" s="65">
        <v>4.4000000000014552</v>
      </c>
      <c r="E971" s="66">
        <v>800.25999999977648</v>
      </c>
      <c r="F971" s="66">
        <v>4.0012999999988823</v>
      </c>
      <c r="G971" s="65">
        <v>7.2023399999979878</v>
      </c>
      <c r="H971" s="67" t="s">
        <v>3767</v>
      </c>
      <c r="I971" s="65" t="s">
        <v>231</v>
      </c>
    </row>
    <row r="972" spans="1:9" x14ac:dyDescent="0.25">
      <c r="A972" s="57"/>
      <c r="B972" s="58" t="s">
        <v>833</v>
      </c>
      <c r="C972" s="59" t="s">
        <v>3768</v>
      </c>
      <c r="D972" s="60">
        <v>3.7000000000007276</v>
      </c>
      <c r="E972" s="61">
        <v>492.52000000001863</v>
      </c>
      <c r="F972" s="61">
        <v>4.9252000000001859</v>
      </c>
      <c r="G972" s="60">
        <v>8.8653600000003365</v>
      </c>
      <c r="H972" s="62" t="s">
        <v>3769</v>
      </c>
      <c r="I972" s="60" t="s">
        <v>231</v>
      </c>
    </row>
    <row r="973" spans="1:9" x14ac:dyDescent="0.25">
      <c r="A973" s="57"/>
      <c r="B973" s="63" t="s">
        <v>834</v>
      </c>
      <c r="C973" s="64" t="s">
        <v>3770</v>
      </c>
      <c r="D973" s="65">
        <v>8</v>
      </c>
      <c r="E973" s="66">
        <v>985.04999999981374</v>
      </c>
      <c r="F973" s="66">
        <v>4.9252499999990684</v>
      </c>
      <c r="G973" s="65">
        <v>8.8654499999983241</v>
      </c>
      <c r="H973" s="67" t="s">
        <v>3771</v>
      </c>
      <c r="I973" s="65" t="s">
        <v>231</v>
      </c>
    </row>
    <row r="974" spans="1:9" x14ac:dyDescent="0.25">
      <c r="A974" s="57"/>
      <c r="B974" s="58" t="s">
        <v>906</v>
      </c>
      <c r="C974" s="59" t="s">
        <v>3772</v>
      </c>
      <c r="D974" s="60">
        <v>1</v>
      </c>
      <c r="E974" s="61">
        <v>82.229999999981374</v>
      </c>
      <c r="F974" s="61">
        <v>0.82229999999981374</v>
      </c>
      <c r="G974" s="60">
        <v>1.4801399999996647</v>
      </c>
      <c r="H974" s="62" t="s">
        <v>3773</v>
      </c>
      <c r="I974" s="60" t="s">
        <v>231</v>
      </c>
    </row>
    <row r="975" spans="1:9" x14ac:dyDescent="0.25">
      <c r="A975" s="57"/>
      <c r="B975" s="63" t="s">
        <v>912</v>
      </c>
      <c r="C975" s="64" t="s">
        <v>3774</v>
      </c>
      <c r="D975" s="65">
        <v>2</v>
      </c>
      <c r="E975" s="66">
        <v>164.52000000001863</v>
      </c>
      <c r="F975" s="66">
        <v>0.82260000000009315</v>
      </c>
      <c r="G975" s="65">
        <v>1.4806800000001679</v>
      </c>
      <c r="H975" s="67" t="s">
        <v>3775</v>
      </c>
      <c r="I975" s="65" t="s">
        <v>231</v>
      </c>
    </row>
    <row r="976" spans="1:9" x14ac:dyDescent="0.25">
      <c r="A976" s="57"/>
      <c r="B976" s="58" t="s">
        <v>908</v>
      </c>
      <c r="C976" s="59" t="s">
        <v>3776</v>
      </c>
      <c r="D976" s="60">
        <v>1</v>
      </c>
      <c r="E976" s="61">
        <v>82.229999999981374</v>
      </c>
      <c r="F976" s="61">
        <v>0.82229999999981374</v>
      </c>
      <c r="G976" s="60">
        <v>1.4801399999996647</v>
      </c>
      <c r="H976" s="62" t="s">
        <v>3777</v>
      </c>
      <c r="I976" s="60" t="s">
        <v>231</v>
      </c>
    </row>
    <row r="977" spans="1:9" x14ac:dyDescent="0.25">
      <c r="A977" s="57"/>
      <c r="B977" s="63" t="s">
        <v>914</v>
      </c>
      <c r="C977" s="64" t="s">
        <v>3778</v>
      </c>
      <c r="D977" s="65">
        <v>2</v>
      </c>
      <c r="E977" s="66">
        <v>164.52000000001863</v>
      </c>
      <c r="F977" s="66">
        <v>0.82260000000009315</v>
      </c>
      <c r="G977" s="65">
        <v>1.4806800000001679</v>
      </c>
      <c r="H977" s="67" t="s">
        <v>3779</v>
      </c>
      <c r="I977" s="65" t="s">
        <v>231</v>
      </c>
    </row>
    <row r="978" spans="1:9" x14ac:dyDescent="0.25">
      <c r="A978" s="57"/>
      <c r="B978" s="58" t="s">
        <v>907</v>
      </c>
      <c r="C978" s="59" t="s">
        <v>3780</v>
      </c>
      <c r="D978" s="60">
        <v>1</v>
      </c>
      <c r="E978" s="61">
        <v>82.229999999981374</v>
      </c>
      <c r="F978" s="61">
        <v>0.82229999999981374</v>
      </c>
      <c r="G978" s="60">
        <v>1.4801399999996647</v>
      </c>
      <c r="H978" s="62" t="s">
        <v>3781</v>
      </c>
      <c r="I978" s="60" t="s">
        <v>231</v>
      </c>
    </row>
    <row r="979" spans="1:9" x14ac:dyDescent="0.25">
      <c r="A979" s="57"/>
      <c r="B979" s="63" t="s">
        <v>913</v>
      </c>
      <c r="C979" s="64" t="s">
        <v>3782</v>
      </c>
      <c r="D979" s="65">
        <v>2</v>
      </c>
      <c r="E979" s="66">
        <v>164.52000000001863</v>
      </c>
      <c r="F979" s="66">
        <v>0.82260000000009315</v>
      </c>
      <c r="G979" s="65">
        <v>1.4806800000001679</v>
      </c>
      <c r="H979" s="67" t="s">
        <v>3783</v>
      </c>
      <c r="I979" s="65" t="s">
        <v>231</v>
      </c>
    </row>
    <row r="980" spans="1:9" x14ac:dyDescent="0.25">
      <c r="A980" s="57"/>
      <c r="B980" s="58" t="s">
        <v>911</v>
      </c>
      <c r="C980" s="59" t="s">
        <v>3784</v>
      </c>
      <c r="D980" s="60">
        <v>1</v>
      </c>
      <c r="E980" s="61">
        <v>82.229999999981374</v>
      </c>
      <c r="F980" s="61">
        <v>0.82229999999981374</v>
      </c>
      <c r="G980" s="60">
        <v>1.4801399999996647</v>
      </c>
      <c r="H980" s="62" t="s">
        <v>3785</v>
      </c>
      <c r="I980" s="60" t="s">
        <v>231</v>
      </c>
    </row>
    <row r="981" spans="1:9" x14ac:dyDescent="0.25">
      <c r="A981" s="57"/>
      <c r="B981" s="63" t="s">
        <v>917</v>
      </c>
      <c r="C981" s="64" t="s">
        <v>3786</v>
      </c>
      <c r="D981" s="65">
        <v>2</v>
      </c>
      <c r="E981" s="66">
        <v>164.52000000001863</v>
      </c>
      <c r="F981" s="66">
        <v>0.82260000000009315</v>
      </c>
      <c r="G981" s="65">
        <v>1.4806800000001679</v>
      </c>
      <c r="H981" s="67" t="s">
        <v>3787</v>
      </c>
      <c r="I981" s="65" t="s">
        <v>231</v>
      </c>
    </row>
    <row r="982" spans="1:9" x14ac:dyDescent="0.25">
      <c r="A982" s="57"/>
      <c r="B982" s="58" t="s">
        <v>910</v>
      </c>
      <c r="C982" s="59" t="s">
        <v>3788</v>
      </c>
      <c r="D982" s="60">
        <v>1</v>
      </c>
      <c r="E982" s="61">
        <v>82.229999999981374</v>
      </c>
      <c r="F982" s="61">
        <v>0.82229999999981374</v>
      </c>
      <c r="G982" s="60">
        <v>1.4801399999996647</v>
      </c>
      <c r="H982" s="62" t="s">
        <v>3789</v>
      </c>
      <c r="I982" s="60" t="s">
        <v>231</v>
      </c>
    </row>
    <row r="983" spans="1:9" x14ac:dyDescent="0.25">
      <c r="A983" s="57"/>
      <c r="B983" s="63" t="s">
        <v>916</v>
      </c>
      <c r="C983" s="64" t="s">
        <v>3790</v>
      </c>
      <c r="D983" s="65">
        <v>2</v>
      </c>
      <c r="E983" s="66">
        <v>164.52000000001863</v>
      </c>
      <c r="F983" s="66">
        <v>0.82260000000009315</v>
      </c>
      <c r="G983" s="65">
        <v>1.4806800000001679</v>
      </c>
      <c r="H983" s="67" t="s">
        <v>3791</v>
      </c>
      <c r="I983" s="65" t="s">
        <v>231</v>
      </c>
    </row>
    <row r="984" spans="1:9" x14ac:dyDescent="0.25">
      <c r="A984" s="57"/>
      <c r="B984" s="58" t="s">
        <v>909</v>
      </c>
      <c r="C984" s="59" t="s">
        <v>3792</v>
      </c>
      <c r="D984" s="60">
        <v>1</v>
      </c>
      <c r="E984" s="61">
        <v>82.229999999981374</v>
      </c>
      <c r="F984" s="61">
        <v>0.82229999999981374</v>
      </c>
      <c r="G984" s="60">
        <v>1.4801399999996647</v>
      </c>
      <c r="H984" s="62" t="s">
        <v>3793</v>
      </c>
      <c r="I984" s="60" t="s">
        <v>231</v>
      </c>
    </row>
    <row r="985" spans="1:9" x14ac:dyDescent="0.25">
      <c r="A985" s="57"/>
      <c r="B985" s="63" t="s">
        <v>915</v>
      </c>
      <c r="C985" s="64" t="s">
        <v>3794</v>
      </c>
      <c r="D985" s="65">
        <v>2</v>
      </c>
      <c r="E985" s="66">
        <v>164.52000000001863</v>
      </c>
      <c r="F985" s="66">
        <v>0.82260000000009315</v>
      </c>
      <c r="G985" s="65">
        <v>1.4806800000001679</v>
      </c>
      <c r="H985" s="67" t="s">
        <v>3795</v>
      </c>
      <c r="I985" s="65" t="s">
        <v>231</v>
      </c>
    </row>
    <row r="986" spans="1:9" x14ac:dyDescent="0.25">
      <c r="A986" s="57"/>
      <c r="B986" s="58" t="s">
        <v>918</v>
      </c>
      <c r="C986" s="59" t="s">
        <v>3796</v>
      </c>
      <c r="D986" s="60">
        <v>1.8999999999996362</v>
      </c>
      <c r="E986" s="61">
        <v>130.21999999997206</v>
      </c>
      <c r="F986" s="61">
        <v>1.3021999999997207</v>
      </c>
      <c r="G986" s="60">
        <v>2.3439599999994969</v>
      </c>
      <c r="H986" s="62" t="s">
        <v>3797</v>
      </c>
      <c r="I986" s="60" t="s">
        <v>231</v>
      </c>
    </row>
    <row r="987" spans="1:9" x14ac:dyDescent="0.25">
      <c r="A987" s="57"/>
      <c r="B987" s="63" t="s">
        <v>924</v>
      </c>
      <c r="C987" s="64" t="s">
        <v>3798</v>
      </c>
      <c r="D987" s="65">
        <v>3.7999999999992724</v>
      </c>
      <c r="E987" s="66">
        <v>260.45999999996275</v>
      </c>
      <c r="F987" s="66">
        <v>1.3022999999998137</v>
      </c>
      <c r="G987" s="65">
        <v>2.3441399999996646</v>
      </c>
      <c r="H987" s="67" t="s">
        <v>3799</v>
      </c>
      <c r="I987" s="65" t="s">
        <v>231</v>
      </c>
    </row>
    <row r="988" spans="1:9" x14ac:dyDescent="0.25">
      <c r="A988" s="57"/>
      <c r="B988" s="58" t="s">
        <v>920</v>
      </c>
      <c r="C988" s="59" t="s">
        <v>3800</v>
      </c>
      <c r="D988" s="60">
        <v>1.8999999999996362</v>
      </c>
      <c r="E988" s="61">
        <v>130.21999999997206</v>
      </c>
      <c r="F988" s="61">
        <v>1.3021999999997207</v>
      </c>
      <c r="G988" s="60">
        <v>2.3439599999994969</v>
      </c>
      <c r="H988" s="62" t="s">
        <v>3801</v>
      </c>
      <c r="I988" s="60" t="s">
        <v>231</v>
      </c>
    </row>
    <row r="989" spans="1:9" x14ac:dyDescent="0.25">
      <c r="A989" s="57"/>
      <c r="B989" s="63" t="s">
        <v>926</v>
      </c>
      <c r="C989" s="64" t="s">
        <v>3802</v>
      </c>
      <c r="D989" s="65">
        <v>3.7999999999992724</v>
      </c>
      <c r="E989" s="66">
        <v>260.45999999996275</v>
      </c>
      <c r="F989" s="66">
        <v>1.3022999999998137</v>
      </c>
      <c r="G989" s="65">
        <v>2.3441399999996646</v>
      </c>
      <c r="H989" s="67" t="s">
        <v>3803</v>
      </c>
      <c r="I989" s="65" t="s">
        <v>231</v>
      </c>
    </row>
    <row r="990" spans="1:9" x14ac:dyDescent="0.25">
      <c r="A990" s="57"/>
      <c r="B990" s="58" t="s">
        <v>919</v>
      </c>
      <c r="C990" s="59" t="s">
        <v>3804</v>
      </c>
      <c r="D990" s="60">
        <v>1.8999999999996362</v>
      </c>
      <c r="E990" s="61">
        <v>130.21999999997206</v>
      </c>
      <c r="F990" s="61">
        <v>1.3021999999997207</v>
      </c>
      <c r="G990" s="60">
        <v>2.3439599999994969</v>
      </c>
      <c r="H990" s="62" t="s">
        <v>3805</v>
      </c>
      <c r="I990" s="60" t="s">
        <v>231</v>
      </c>
    </row>
    <row r="991" spans="1:9" x14ac:dyDescent="0.25">
      <c r="A991" s="57"/>
      <c r="B991" s="63" t="s">
        <v>925</v>
      </c>
      <c r="C991" s="64" t="s">
        <v>3806</v>
      </c>
      <c r="D991" s="65">
        <v>3.7999999999992724</v>
      </c>
      <c r="E991" s="66">
        <v>260.45999999996275</v>
      </c>
      <c r="F991" s="66">
        <v>1.3022999999998137</v>
      </c>
      <c r="G991" s="65">
        <v>2.3441399999996646</v>
      </c>
      <c r="H991" s="67" t="s">
        <v>3807</v>
      </c>
      <c r="I991" s="65" t="s">
        <v>231</v>
      </c>
    </row>
    <row r="992" spans="1:9" x14ac:dyDescent="0.25">
      <c r="A992" s="57"/>
      <c r="B992" s="58" t="s">
        <v>923</v>
      </c>
      <c r="C992" s="59" t="s">
        <v>3808</v>
      </c>
      <c r="D992" s="60">
        <v>1.8999999999996362</v>
      </c>
      <c r="E992" s="61">
        <v>130.21999999997206</v>
      </c>
      <c r="F992" s="61">
        <v>1.3021999999997207</v>
      </c>
      <c r="G992" s="60">
        <v>2.3439599999994969</v>
      </c>
      <c r="H992" s="62" t="s">
        <v>3809</v>
      </c>
      <c r="I992" s="60" t="s">
        <v>231</v>
      </c>
    </row>
    <row r="993" spans="1:9" x14ac:dyDescent="0.25">
      <c r="A993" s="57"/>
      <c r="B993" s="63" t="s">
        <v>929</v>
      </c>
      <c r="C993" s="64" t="s">
        <v>3810</v>
      </c>
      <c r="D993" s="65">
        <v>3.7999999999992724</v>
      </c>
      <c r="E993" s="66">
        <v>260.45999999996275</v>
      </c>
      <c r="F993" s="66">
        <v>1.3022999999998137</v>
      </c>
      <c r="G993" s="65">
        <v>2.3441399999996646</v>
      </c>
      <c r="H993" s="67" t="s">
        <v>3811</v>
      </c>
      <c r="I993" s="65" t="s">
        <v>231</v>
      </c>
    </row>
    <row r="994" spans="1:9" x14ac:dyDescent="0.25">
      <c r="A994" s="57"/>
      <c r="B994" s="58" t="s">
        <v>922</v>
      </c>
      <c r="C994" s="59" t="s">
        <v>3812</v>
      </c>
      <c r="D994" s="60">
        <v>1.8999999999996362</v>
      </c>
      <c r="E994" s="61">
        <v>130.21999999997206</v>
      </c>
      <c r="F994" s="61">
        <v>1.3021999999997207</v>
      </c>
      <c r="G994" s="60">
        <v>2.3439599999994969</v>
      </c>
      <c r="H994" s="62" t="s">
        <v>3813</v>
      </c>
      <c r="I994" s="60" t="s">
        <v>231</v>
      </c>
    </row>
    <row r="995" spans="1:9" x14ac:dyDescent="0.25">
      <c r="A995" s="57"/>
      <c r="B995" s="63" t="s">
        <v>928</v>
      </c>
      <c r="C995" s="64" t="s">
        <v>3814</v>
      </c>
      <c r="D995" s="65">
        <v>3.7999999999992724</v>
      </c>
      <c r="E995" s="66">
        <v>260.45999999996275</v>
      </c>
      <c r="F995" s="66">
        <v>1.3022999999998137</v>
      </c>
      <c r="G995" s="65">
        <v>2.3441399999996646</v>
      </c>
      <c r="H995" s="67" t="s">
        <v>3815</v>
      </c>
      <c r="I995" s="65" t="s">
        <v>231</v>
      </c>
    </row>
    <row r="996" spans="1:9" x14ac:dyDescent="0.25">
      <c r="A996" s="57"/>
      <c r="B996" s="58" t="s">
        <v>921</v>
      </c>
      <c r="C996" s="59" t="s">
        <v>3816</v>
      </c>
      <c r="D996" s="60">
        <v>1.8999999999996362</v>
      </c>
      <c r="E996" s="61">
        <v>130.21999999997206</v>
      </c>
      <c r="F996" s="61">
        <v>1.3021999999997207</v>
      </c>
      <c r="G996" s="60">
        <v>2.3439599999994969</v>
      </c>
      <c r="H996" s="62" t="s">
        <v>3817</v>
      </c>
      <c r="I996" s="60" t="s">
        <v>231</v>
      </c>
    </row>
    <row r="997" spans="1:9" x14ac:dyDescent="0.25">
      <c r="A997" s="57"/>
      <c r="B997" s="63" t="s">
        <v>927</v>
      </c>
      <c r="C997" s="64" t="s">
        <v>3818</v>
      </c>
      <c r="D997" s="65">
        <v>3.7999999999992724</v>
      </c>
      <c r="E997" s="66">
        <v>260.45999999996275</v>
      </c>
      <c r="F997" s="66">
        <v>1.3022999999998137</v>
      </c>
      <c r="G997" s="65">
        <v>2.3441399999996646</v>
      </c>
      <c r="H997" s="67" t="s">
        <v>3819</v>
      </c>
      <c r="I997" s="65" t="s">
        <v>231</v>
      </c>
    </row>
    <row r="998" spans="1:9" x14ac:dyDescent="0.25">
      <c r="A998" s="57"/>
      <c r="B998" s="58" t="s">
        <v>3820</v>
      </c>
      <c r="C998" s="59" t="s">
        <v>3821</v>
      </c>
      <c r="D998" s="60">
        <v>1.6000000000003638</v>
      </c>
      <c r="E998" s="61">
        <v>103.01000000000931</v>
      </c>
      <c r="F998" s="61">
        <v>0.51505000000004653</v>
      </c>
      <c r="G998" s="60">
        <v>0.9270900000000839</v>
      </c>
      <c r="H998" s="62" t="s">
        <v>3822</v>
      </c>
      <c r="I998" s="60" t="s">
        <v>231</v>
      </c>
    </row>
    <row r="999" spans="1:9" x14ac:dyDescent="0.25">
      <c r="A999" s="57"/>
      <c r="B999" s="63" t="s">
        <v>3823</v>
      </c>
      <c r="C999" s="64" t="s">
        <v>3824</v>
      </c>
      <c r="D999" s="65">
        <v>0.90200000000004366</v>
      </c>
      <c r="E999" s="66">
        <v>76.589999999967404</v>
      </c>
      <c r="F999" s="66">
        <v>0.76589999999967406</v>
      </c>
      <c r="G999" s="65">
        <v>1.3786199999994133</v>
      </c>
      <c r="H999" s="67" t="s">
        <v>3825</v>
      </c>
      <c r="I999" s="65" t="s">
        <v>231</v>
      </c>
    </row>
    <row r="1000" spans="1:9" x14ac:dyDescent="0.25">
      <c r="A1000" s="57"/>
      <c r="B1000" s="58" t="s">
        <v>3826</v>
      </c>
      <c r="C1000" s="59" t="s">
        <v>3827</v>
      </c>
      <c r="D1000" s="60">
        <v>1.8040000000000873</v>
      </c>
      <c r="E1000" s="61">
        <v>153.16999999992549</v>
      </c>
      <c r="F1000" s="61">
        <v>0.76584999999962744</v>
      </c>
      <c r="G1000" s="60">
        <v>1.3785299999993297</v>
      </c>
      <c r="H1000" s="62" t="s">
        <v>3828</v>
      </c>
      <c r="I1000" s="60" t="s">
        <v>231</v>
      </c>
    </row>
    <row r="1001" spans="1:9" x14ac:dyDescent="0.25">
      <c r="A1001" s="57"/>
      <c r="B1001" s="63" t="s">
        <v>658</v>
      </c>
      <c r="C1001" s="64" t="s">
        <v>3829</v>
      </c>
      <c r="D1001" s="65">
        <v>0.90200000000004366</v>
      </c>
      <c r="E1001" s="66">
        <v>76.589999999967404</v>
      </c>
      <c r="F1001" s="66">
        <v>0.76589999999967406</v>
      </c>
      <c r="G1001" s="65">
        <v>1.3786199999994133</v>
      </c>
      <c r="H1001" s="67" t="s">
        <v>3830</v>
      </c>
      <c r="I1001" s="65" t="s">
        <v>231</v>
      </c>
    </row>
    <row r="1002" spans="1:9" x14ac:dyDescent="0.25">
      <c r="A1002" s="57"/>
      <c r="B1002" s="58" t="s">
        <v>660</v>
      </c>
      <c r="C1002" s="59" t="s">
        <v>3831</v>
      </c>
      <c r="D1002" s="60">
        <v>1.8040000000000873</v>
      </c>
      <c r="E1002" s="61">
        <v>153.16999999992549</v>
      </c>
      <c r="F1002" s="61">
        <v>0.76584999999962744</v>
      </c>
      <c r="G1002" s="60">
        <v>1.3785299999993297</v>
      </c>
      <c r="H1002" s="62" t="s">
        <v>3832</v>
      </c>
      <c r="I1002" s="60" t="s">
        <v>231</v>
      </c>
    </row>
    <row r="1003" spans="1:9" x14ac:dyDescent="0.25">
      <c r="A1003" s="57"/>
      <c r="B1003" s="63" t="s">
        <v>3833</v>
      </c>
      <c r="C1003" s="64" t="s">
        <v>3834</v>
      </c>
      <c r="D1003" s="65">
        <v>0.90200000000004366</v>
      </c>
      <c r="E1003" s="66">
        <v>76.589999999967404</v>
      </c>
      <c r="F1003" s="66">
        <v>0.76589999999967406</v>
      </c>
      <c r="G1003" s="65">
        <v>1.3786199999994133</v>
      </c>
      <c r="H1003" s="67" t="s">
        <v>3835</v>
      </c>
      <c r="I1003" s="65" t="s">
        <v>231</v>
      </c>
    </row>
    <row r="1004" spans="1:9" x14ac:dyDescent="0.25">
      <c r="A1004" s="57"/>
      <c r="B1004" s="58" t="s">
        <v>3836</v>
      </c>
      <c r="C1004" s="59" t="s">
        <v>3837</v>
      </c>
      <c r="D1004" s="60">
        <v>1.8040000000000873</v>
      </c>
      <c r="E1004" s="61">
        <v>153.16999999992549</v>
      </c>
      <c r="F1004" s="61">
        <v>0.76584999999962744</v>
      </c>
      <c r="G1004" s="60">
        <v>1.3785299999993297</v>
      </c>
      <c r="H1004" s="62" t="s">
        <v>3838</v>
      </c>
      <c r="I1004" s="60" t="s">
        <v>231</v>
      </c>
    </row>
    <row r="1005" spans="1:9" x14ac:dyDescent="0.25">
      <c r="A1005" s="57"/>
      <c r="B1005" s="63" t="s">
        <v>659</v>
      </c>
      <c r="C1005" s="64" t="s">
        <v>3839</v>
      </c>
      <c r="D1005" s="65">
        <v>0.8999999999996362</v>
      </c>
      <c r="E1005" s="66">
        <v>76.589999999967404</v>
      </c>
      <c r="F1005" s="66">
        <v>0.76589999999967406</v>
      </c>
      <c r="G1005" s="65">
        <v>1.3786199999994133</v>
      </c>
      <c r="H1005" s="67" t="s">
        <v>3840</v>
      </c>
      <c r="I1005" s="65" t="s">
        <v>231</v>
      </c>
    </row>
    <row r="1006" spans="1:9" x14ac:dyDescent="0.25">
      <c r="A1006" s="57"/>
      <c r="B1006" s="58" t="s">
        <v>661</v>
      </c>
      <c r="C1006" s="59" t="s">
        <v>3841</v>
      </c>
      <c r="D1006" s="60">
        <v>1.8040000000000873</v>
      </c>
      <c r="E1006" s="61">
        <v>153.16999999992549</v>
      </c>
      <c r="F1006" s="61">
        <v>0.76584999999962744</v>
      </c>
      <c r="G1006" s="60">
        <v>1.3785299999993297</v>
      </c>
      <c r="H1006" s="62" t="s">
        <v>3842</v>
      </c>
      <c r="I1006" s="60" t="s">
        <v>231</v>
      </c>
    </row>
    <row r="1007" spans="1:9" x14ac:dyDescent="0.25">
      <c r="A1007" s="57"/>
      <c r="B1007" s="63" t="s">
        <v>3843</v>
      </c>
      <c r="C1007" s="64" t="s">
        <v>3844</v>
      </c>
      <c r="D1007" s="65">
        <v>1.9909999999999854</v>
      </c>
      <c r="E1007" s="66">
        <v>103.43000000005122</v>
      </c>
      <c r="F1007" s="66">
        <v>1.0343000000005123</v>
      </c>
      <c r="G1007" s="65">
        <v>1.8617400000009221</v>
      </c>
      <c r="H1007" s="67" t="s">
        <v>3845</v>
      </c>
      <c r="I1007" s="65" t="s">
        <v>231</v>
      </c>
    </row>
    <row r="1008" spans="1:9" x14ac:dyDescent="0.25">
      <c r="A1008" s="57"/>
      <c r="B1008" s="58" t="s">
        <v>3846</v>
      </c>
      <c r="C1008" s="59" t="s">
        <v>3847</v>
      </c>
      <c r="D1008" s="60">
        <v>3.9819999999999709</v>
      </c>
      <c r="E1008" s="61">
        <v>206.86000000010245</v>
      </c>
      <c r="F1008" s="61">
        <v>1.0343000000005123</v>
      </c>
      <c r="G1008" s="60">
        <v>1.8617400000009221</v>
      </c>
      <c r="H1008" s="62" t="s">
        <v>3848</v>
      </c>
      <c r="I1008" s="60" t="s">
        <v>231</v>
      </c>
    </row>
    <row r="1009" spans="1:9" x14ac:dyDescent="0.25">
      <c r="A1009" s="57"/>
      <c r="B1009" s="63" t="s">
        <v>662</v>
      </c>
      <c r="C1009" s="64" t="s">
        <v>3849</v>
      </c>
      <c r="D1009" s="65">
        <v>1.9909999999999854</v>
      </c>
      <c r="E1009" s="66">
        <v>103.43000000005122</v>
      </c>
      <c r="F1009" s="66">
        <v>1.0343000000005123</v>
      </c>
      <c r="G1009" s="65">
        <v>1.8617400000009221</v>
      </c>
      <c r="H1009" s="67" t="s">
        <v>3850</v>
      </c>
      <c r="I1009" s="65" t="s">
        <v>231</v>
      </c>
    </row>
    <row r="1010" spans="1:9" x14ac:dyDescent="0.25">
      <c r="A1010" s="57"/>
      <c r="B1010" s="58" t="s">
        <v>664</v>
      </c>
      <c r="C1010" s="59" t="s">
        <v>3851</v>
      </c>
      <c r="D1010" s="60">
        <v>3.9819999999999709</v>
      </c>
      <c r="E1010" s="61">
        <v>206.86000000010245</v>
      </c>
      <c r="F1010" s="61">
        <v>1.0343000000005123</v>
      </c>
      <c r="G1010" s="60">
        <v>1.8617400000009221</v>
      </c>
      <c r="H1010" s="62" t="s">
        <v>3852</v>
      </c>
      <c r="I1010" s="60" t="s">
        <v>231</v>
      </c>
    </row>
    <row r="1011" spans="1:9" x14ac:dyDescent="0.25">
      <c r="A1011" s="57"/>
      <c r="B1011" s="63" t="s">
        <v>3853</v>
      </c>
      <c r="C1011" s="64" t="s">
        <v>3854</v>
      </c>
      <c r="D1011" s="65">
        <v>1.9909999999999854</v>
      </c>
      <c r="E1011" s="66">
        <v>103.43000000005122</v>
      </c>
      <c r="F1011" s="66">
        <v>1.0343000000005123</v>
      </c>
      <c r="G1011" s="65">
        <v>1.8617400000009221</v>
      </c>
      <c r="H1011" s="67" t="s">
        <v>3855</v>
      </c>
      <c r="I1011" s="65" t="s">
        <v>231</v>
      </c>
    </row>
    <row r="1012" spans="1:9" x14ac:dyDescent="0.25">
      <c r="A1012" s="57"/>
      <c r="B1012" s="58" t="s">
        <v>3856</v>
      </c>
      <c r="C1012" s="59" t="s">
        <v>3857</v>
      </c>
      <c r="D1012" s="60">
        <v>3.9819999999999709</v>
      </c>
      <c r="E1012" s="61">
        <v>206.86000000010245</v>
      </c>
      <c r="F1012" s="61">
        <v>1.0343000000005123</v>
      </c>
      <c r="G1012" s="60">
        <v>1.8617400000009221</v>
      </c>
      <c r="H1012" s="62" t="s">
        <v>3858</v>
      </c>
      <c r="I1012" s="60" t="s">
        <v>231</v>
      </c>
    </row>
    <row r="1013" spans="1:9" x14ac:dyDescent="0.25">
      <c r="A1013" s="57"/>
      <c r="B1013" s="63" t="s">
        <v>663</v>
      </c>
      <c r="C1013" s="64" t="s">
        <v>3859</v>
      </c>
      <c r="D1013" s="65">
        <v>1.9909999999999854</v>
      </c>
      <c r="E1013" s="66">
        <v>103.43000000005122</v>
      </c>
      <c r="F1013" s="66">
        <v>1.0343000000005123</v>
      </c>
      <c r="G1013" s="65">
        <v>1.8617400000009221</v>
      </c>
      <c r="H1013" s="67" t="s">
        <v>3860</v>
      </c>
      <c r="I1013" s="65" t="s">
        <v>231</v>
      </c>
    </row>
    <row r="1014" spans="1:9" x14ac:dyDescent="0.25">
      <c r="A1014" s="57"/>
      <c r="B1014" s="58" t="s">
        <v>665</v>
      </c>
      <c r="C1014" s="59" t="s">
        <v>3861</v>
      </c>
      <c r="D1014" s="60">
        <v>3.9819999999999709</v>
      </c>
      <c r="E1014" s="61">
        <v>206.86000000010245</v>
      </c>
      <c r="F1014" s="61">
        <v>1.0343000000005123</v>
      </c>
      <c r="G1014" s="60">
        <v>1.8617400000009221</v>
      </c>
      <c r="H1014" s="62" t="s">
        <v>3862</v>
      </c>
      <c r="I1014" s="60" t="s">
        <v>231</v>
      </c>
    </row>
    <row r="1015" spans="1:9" x14ac:dyDescent="0.25">
      <c r="A1015" s="57"/>
      <c r="B1015" s="63" t="s">
        <v>3863</v>
      </c>
      <c r="C1015" s="64" t="s">
        <v>3864</v>
      </c>
      <c r="D1015" s="65">
        <v>3.0190000000002328</v>
      </c>
      <c r="E1015" s="66">
        <v>122.39000000001397</v>
      </c>
      <c r="F1015" s="66">
        <v>1.2239000000001397</v>
      </c>
      <c r="G1015" s="65">
        <v>2.2030200000002513</v>
      </c>
      <c r="H1015" s="67" t="s">
        <v>3865</v>
      </c>
      <c r="I1015" s="65" t="s">
        <v>231</v>
      </c>
    </row>
    <row r="1016" spans="1:9" x14ac:dyDescent="0.25">
      <c r="A1016" s="57"/>
      <c r="B1016" s="58" t="s">
        <v>3866</v>
      </c>
      <c r="C1016" s="59" t="s">
        <v>3867</v>
      </c>
      <c r="D1016" s="60">
        <v>6.0380000000004657</v>
      </c>
      <c r="E1016" s="61">
        <v>244.83000000007451</v>
      </c>
      <c r="F1016" s="61">
        <v>1.2241500000003724</v>
      </c>
      <c r="G1016" s="60">
        <v>2.2034700000006704</v>
      </c>
      <c r="H1016" s="62" t="s">
        <v>3868</v>
      </c>
      <c r="I1016" s="60" t="s">
        <v>231</v>
      </c>
    </row>
    <row r="1017" spans="1:9" x14ac:dyDescent="0.25">
      <c r="A1017" s="57"/>
      <c r="B1017" s="63" t="s">
        <v>666</v>
      </c>
      <c r="C1017" s="64" t="s">
        <v>3869</v>
      </c>
      <c r="D1017" s="65">
        <v>3.0190000000002328</v>
      </c>
      <c r="E1017" s="66">
        <v>122.39000000001397</v>
      </c>
      <c r="F1017" s="66">
        <v>1.2239000000001397</v>
      </c>
      <c r="G1017" s="65">
        <v>2.2030200000002513</v>
      </c>
      <c r="H1017" s="67" t="s">
        <v>3870</v>
      </c>
      <c r="I1017" s="65" t="s">
        <v>231</v>
      </c>
    </row>
    <row r="1018" spans="1:9" x14ac:dyDescent="0.25">
      <c r="A1018" s="57"/>
      <c r="B1018" s="58" t="s">
        <v>667</v>
      </c>
      <c r="C1018" s="59" t="s">
        <v>3871</v>
      </c>
      <c r="D1018" s="60">
        <v>6.0380000000004657</v>
      </c>
      <c r="E1018" s="61">
        <v>244.83000000007451</v>
      </c>
      <c r="F1018" s="61">
        <v>1.2241500000003724</v>
      </c>
      <c r="G1018" s="60">
        <v>2.2034700000006704</v>
      </c>
      <c r="H1018" s="62" t="s">
        <v>3872</v>
      </c>
      <c r="I1018" s="60" t="s">
        <v>231</v>
      </c>
    </row>
    <row r="1019" spans="1:9" x14ac:dyDescent="0.25">
      <c r="A1019" s="57"/>
      <c r="B1019" s="63" t="s">
        <v>3873</v>
      </c>
      <c r="C1019" s="64" t="s">
        <v>3874</v>
      </c>
      <c r="D1019" s="65">
        <v>3.0190000000002328</v>
      </c>
      <c r="E1019" s="66">
        <v>122.39000000001397</v>
      </c>
      <c r="F1019" s="66">
        <v>1.2239000000001397</v>
      </c>
      <c r="G1019" s="65">
        <v>2.2030200000002513</v>
      </c>
      <c r="H1019" s="67" t="s">
        <v>3875</v>
      </c>
      <c r="I1019" s="65" t="s">
        <v>231</v>
      </c>
    </row>
    <row r="1020" spans="1:9" x14ac:dyDescent="0.25">
      <c r="A1020" s="57"/>
      <c r="B1020" s="58" t="s">
        <v>3876</v>
      </c>
      <c r="C1020" s="59" t="s">
        <v>3877</v>
      </c>
      <c r="D1020" s="60">
        <v>6.0380000000004657</v>
      </c>
      <c r="E1020" s="61">
        <v>244.83000000007451</v>
      </c>
      <c r="F1020" s="61">
        <v>1.2241500000003724</v>
      </c>
      <c r="G1020" s="60">
        <v>2.2034700000006704</v>
      </c>
      <c r="H1020" s="62" t="s">
        <v>3878</v>
      </c>
      <c r="I1020" s="60" t="s">
        <v>231</v>
      </c>
    </row>
    <row r="1021" spans="1:9" x14ac:dyDescent="0.25">
      <c r="A1021" s="57"/>
      <c r="B1021" s="63" t="s">
        <v>668</v>
      </c>
      <c r="C1021" s="64" t="s">
        <v>3879</v>
      </c>
      <c r="D1021" s="65">
        <v>6.0380000000004657</v>
      </c>
      <c r="E1021" s="66">
        <v>244.83000000007451</v>
      </c>
      <c r="F1021" s="66">
        <v>1.2241500000003724</v>
      </c>
      <c r="G1021" s="65">
        <v>2.2034700000006704</v>
      </c>
      <c r="H1021" s="67" t="s">
        <v>3880</v>
      </c>
      <c r="I1021" s="65" t="s">
        <v>231</v>
      </c>
    </row>
    <row r="1022" spans="1:9" x14ac:dyDescent="0.25">
      <c r="A1022" s="57"/>
      <c r="B1022" s="58" t="s">
        <v>931</v>
      </c>
      <c r="C1022" s="59" t="s">
        <v>3881</v>
      </c>
      <c r="D1022" s="60">
        <v>0.5</v>
      </c>
      <c r="E1022" s="61">
        <v>172.28000000002794</v>
      </c>
      <c r="F1022" s="61">
        <v>1.7228000000002794</v>
      </c>
      <c r="G1022" s="60">
        <v>3.1010400000005029</v>
      </c>
      <c r="H1022" s="62" t="s">
        <v>3882</v>
      </c>
      <c r="I1022" s="60" t="s">
        <v>3883</v>
      </c>
    </row>
    <row r="1023" spans="1:9" x14ac:dyDescent="0.25">
      <c r="A1023" s="57"/>
      <c r="B1023" s="63" t="s">
        <v>933</v>
      </c>
      <c r="C1023" s="64" t="s">
        <v>3884</v>
      </c>
      <c r="D1023" s="65">
        <v>1.6000000000003638</v>
      </c>
      <c r="E1023" s="66">
        <v>344.49000000022352</v>
      </c>
      <c r="F1023" s="66">
        <v>1.7224500000011176</v>
      </c>
      <c r="G1023" s="65">
        <v>3.1004100000020118</v>
      </c>
      <c r="H1023" s="67" t="s">
        <v>3885</v>
      </c>
      <c r="I1023" s="65" t="s">
        <v>3883</v>
      </c>
    </row>
    <row r="1024" spans="1:9" x14ac:dyDescent="0.25">
      <c r="A1024" s="57"/>
      <c r="B1024" s="58" t="s">
        <v>935</v>
      </c>
      <c r="C1024" s="59" t="s">
        <v>3886</v>
      </c>
      <c r="D1024" s="60">
        <v>0.8000000000001819</v>
      </c>
      <c r="E1024" s="61">
        <v>198.91999999992549</v>
      </c>
      <c r="F1024" s="61">
        <v>1.9891999999992549</v>
      </c>
      <c r="G1024" s="60">
        <v>3.580559999998659</v>
      </c>
      <c r="H1024" s="62" t="s">
        <v>3887</v>
      </c>
      <c r="I1024" s="60" t="s">
        <v>3888</v>
      </c>
    </row>
    <row r="1025" spans="1:9" x14ac:dyDescent="0.25">
      <c r="A1025" s="57"/>
      <c r="B1025" s="63" t="s">
        <v>937</v>
      </c>
      <c r="C1025" s="64" t="s">
        <v>3889</v>
      </c>
      <c r="D1025" s="65">
        <v>1.6000000000003638</v>
      </c>
      <c r="E1025" s="66">
        <v>397.87000000011176</v>
      </c>
      <c r="F1025" s="66">
        <v>1.9893500000005588</v>
      </c>
      <c r="G1025" s="65">
        <v>3.580830000001006</v>
      </c>
      <c r="H1025" s="67" t="s">
        <v>3890</v>
      </c>
      <c r="I1025" s="65" t="s">
        <v>3888</v>
      </c>
    </row>
    <row r="1026" spans="1:9" x14ac:dyDescent="0.25">
      <c r="A1026" s="57"/>
      <c r="B1026" s="58" t="s">
        <v>939</v>
      </c>
      <c r="C1026" s="59" t="s">
        <v>3891</v>
      </c>
      <c r="D1026" s="60">
        <v>0.8000000000001819</v>
      </c>
      <c r="E1026" s="61">
        <v>244.54000000003725</v>
      </c>
      <c r="F1026" s="61">
        <v>2.4454000000003724</v>
      </c>
      <c r="G1026" s="60">
        <v>4.4017200000006707</v>
      </c>
      <c r="H1026" s="62" t="s">
        <v>3892</v>
      </c>
      <c r="I1026" s="60" t="s">
        <v>3893</v>
      </c>
    </row>
    <row r="1027" spans="1:9" x14ac:dyDescent="0.25">
      <c r="A1027" s="57"/>
      <c r="B1027" s="63" t="s">
        <v>941</v>
      </c>
      <c r="C1027" s="64" t="s">
        <v>3894</v>
      </c>
      <c r="D1027" s="65">
        <v>1.6000000000003638</v>
      </c>
      <c r="E1027" s="66">
        <v>489.10999999986961</v>
      </c>
      <c r="F1027" s="66">
        <v>2.445549999999348</v>
      </c>
      <c r="G1027" s="65">
        <v>4.4019899999988272</v>
      </c>
      <c r="H1027" s="67" t="s">
        <v>3895</v>
      </c>
      <c r="I1027" s="65" t="s">
        <v>3893</v>
      </c>
    </row>
    <row r="1028" spans="1:9" x14ac:dyDescent="0.25">
      <c r="A1028" s="57"/>
      <c r="B1028" s="58" t="s">
        <v>943</v>
      </c>
      <c r="C1028" s="59" t="s">
        <v>3896</v>
      </c>
      <c r="D1028" s="60">
        <v>0.8999999999996362</v>
      </c>
      <c r="E1028" s="61">
        <v>391.60000000009313</v>
      </c>
      <c r="F1028" s="61">
        <v>3.9160000000009312</v>
      </c>
      <c r="G1028" s="60">
        <v>7.0488000000016768</v>
      </c>
      <c r="H1028" s="62" t="s">
        <v>3897</v>
      </c>
      <c r="I1028" s="60" t="s">
        <v>3898</v>
      </c>
    </row>
    <row r="1029" spans="1:9" x14ac:dyDescent="0.25">
      <c r="A1029" s="57"/>
      <c r="B1029" s="63" t="s">
        <v>945</v>
      </c>
      <c r="C1029" s="64" t="s">
        <v>3899</v>
      </c>
      <c r="D1029" s="65">
        <v>1.6000000000003638</v>
      </c>
      <c r="E1029" s="66">
        <v>783.20000000018626</v>
      </c>
      <c r="F1029" s="66">
        <v>3.9160000000009312</v>
      </c>
      <c r="G1029" s="65">
        <v>7.0488000000016768</v>
      </c>
      <c r="H1029" s="67" t="s">
        <v>3900</v>
      </c>
      <c r="I1029" s="65" t="s">
        <v>3898</v>
      </c>
    </row>
    <row r="1030" spans="1:9" x14ac:dyDescent="0.25">
      <c r="A1030" s="57"/>
      <c r="B1030" s="58" t="s">
        <v>947</v>
      </c>
      <c r="C1030" s="59" t="s">
        <v>3901</v>
      </c>
      <c r="D1030" s="60">
        <v>0.9750000000003638</v>
      </c>
      <c r="E1030" s="61">
        <v>470.83999999985099</v>
      </c>
      <c r="F1030" s="61">
        <v>4.7083999999985098</v>
      </c>
      <c r="G1030" s="60">
        <v>8.4751199999973181</v>
      </c>
      <c r="H1030" s="62" t="s">
        <v>3902</v>
      </c>
      <c r="I1030" s="60" t="s">
        <v>3903</v>
      </c>
    </row>
    <row r="1031" spans="1:9" x14ac:dyDescent="0.25">
      <c r="A1031" s="57"/>
      <c r="B1031" s="63" t="s">
        <v>949</v>
      </c>
      <c r="C1031" s="64" t="s">
        <v>3904</v>
      </c>
      <c r="D1031" s="65">
        <v>1.9200000000000728</v>
      </c>
      <c r="E1031" s="66">
        <v>941.66999999992549</v>
      </c>
      <c r="F1031" s="66">
        <v>4.7083499999996272</v>
      </c>
      <c r="G1031" s="65">
        <v>8.4750299999993288</v>
      </c>
      <c r="H1031" s="67" t="s">
        <v>3905</v>
      </c>
      <c r="I1031" s="65" t="s">
        <v>3903</v>
      </c>
    </row>
    <row r="1032" spans="1:9" x14ac:dyDescent="0.25">
      <c r="A1032" s="57"/>
      <c r="B1032" s="58" t="s">
        <v>932</v>
      </c>
      <c r="C1032" s="59" t="s">
        <v>3906</v>
      </c>
      <c r="D1032" s="60">
        <v>0.59000000000014552</v>
      </c>
      <c r="E1032" s="61">
        <v>172.28000000002794</v>
      </c>
      <c r="F1032" s="61">
        <v>1.7228000000002794</v>
      </c>
      <c r="G1032" s="60">
        <v>3.1010400000005029</v>
      </c>
      <c r="H1032" s="62" t="s">
        <v>3907</v>
      </c>
      <c r="I1032" s="60" t="s">
        <v>3883</v>
      </c>
    </row>
    <row r="1033" spans="1:9" x14ac:dyDescent="0.25">
      <c r="A1033" s="57"/>
      <c r="B1033" s="63" t="s">
        <v>934</v>
      </c>
      <c r="C1033" s="64" t="s">
        <v>3908</v>
      </c>
      <c r="D1033" s="65">
        <v>1.6000000000003638</v>
      </c>
      <c r="E1033" s="66">
        <v>344.49000000022352</v>
      </c>
      <c r="F1033" s="66">
        <v>1.7224500000011176</v>
      </c>
      <c r="G1033" s="65">
        <v>3.1004100000020118</v>
      </c>
      <c r="H1033" s="67" t="s">
        <v>3909</v>
      </c>
      <c r="I1033" s="65" t="s">
        <v>3883</v>
      </c>
    </row>
    <row r="1034" spans="1:9" x14ac:dyDescent="0.25">
      <c r="A1034" s="57"/>
      <c r="B1034" s="58" t="s">
        <v>936</v>
      </c>
      <c r="C1034" s="59" t="s">
        <v>3910</v>
      </c>
      <c r="D1034" s="60">
        <v>0.85999999999967258</v>
      </c>
      <c r="E1034" s="61">
        <v>198.91999999992549</v>
      </c>
      <c r="F1034" s="61">
        <v>1.9891999999992549</v>
      </c>
      <c r="G1034" s="60">
        <v>3.580559999998659</v>
      </c>
      <c r="H1034" s="62" t="s">
        <v>3911</v>
      </c>
      <c r="I1034" s="60" t="s">
        <v>3888</v>
      </c>
    </row>
    <row r="1035" spans="1:9" x14ac:dyDescent="0.25">
      <c r="A1035" s="57"/>
      <c r="B1035" s="63" t="s">
        <v>938</v>
      </c>
      <c r="C1035" s="64" t="s">
        <v>3912</v>
      </c>
      <c r="D1035" s="65">
        <v>1.6000000000003638</v>
      </c>
      <c r="E1035" s="66">
        <v>397.87000000011176</v>
      </c>
      <c r="F1035" s="66">
        <v>1.9893500000005588</v>
      </c>
      <c r="G1035" s="65">
        <v>3.580830000001006</v>
      </c>
      <c r="H1035" s="67" t="s">
        <v>3913</v>
      </c>
      <c r="I1035" s="65" t="s">
        <v>3888</v>
      </c>
    </row>
    <row r="1036" spans="1:9" x14ac:dyDescent="0.25">
      <c r="A1036" s="57"/>
      <c r="B1036" s="58" t="s">
        <v>940</v>
      </c>
      <c r="C1036" s="59" t="s">
        <v>3914</v>
      </c>
      <c r="D1036" s="60">
        <v>0.8000000000001819</v>
      </c>
      <c r="E1036" s="61">
        <v>244.54000000003725</v>
      </c>
      <c r="F1036" s="61">
        <v>2.4454000000003724</v>
      </c>
      <c r="G1036" s="60">
        <v>4.4017200000006707</v>
      </c>
      <c r="H1036" s="62" t="s">
        <v>3915</v>
      </c>
      <c r="I1036" s="60" t="s">
        <v>3893</v>
      </c>
    </row>
    <row r="1037" spans="1:9" x14ac:dyDescent="0.25">
      <c r="A1037" s="57"/>
      <c r="B1037" s="63" t="s">
        <v>942</v>
      </c>
      <c r="C1037" s="64" t="s">
        <v>3916</v>
      </c>
      <c r="D1037" s="65">
        <v>1.6000000000003638</v>
      </c>
      <c r="E1037" s="66">
        <v>489.10999999986961</v>
      </c>
      <c r="F1037" s="66">
        <v>2.445549999999348</v>
      </c>
      <c r="G1037" s="65">
        <v>4.4019899999988272</v>
      </c>
      <c r="H1037" s="67" t="s">
        <v>3917</v>
      </c>
      <c r="I1037" s="65" t="s">
        <v>3893</v>
      </c>
    </row>
    <row r="1038" spans="1:9" x14ac:dyDescent="0.25">
      <c r="A1038" s="57"/>
      <c r="B1038" s="58" t="s">
        <v>944</v>
      </c>
      <c r="C1038" s="59" t="s">
        <v>3918</v>
      </c>
      <c r="D1038" s="60">
        <v>0.8999999999996362</v>
      </c>
      <c r="E1038" s="61">
        <v>391.60000000009313</v>
      </c>
      <c r="F1038" s="61">
        <v>3.9160000000009312</v>
      </c>
      <c r="G1038" s="60">
        <v>7.0488000000016768</v>
      </c>
      <c r="H1038" s="62" t="s">
        <v>3919</v>
      </c>
      <c r="I1038" s="60" t="s">
        <v>3898</v>
      </c>
    </row>
    <row r="1039" spans="1:9" x14ac:dyDescent="0.25">
      <c r="A1039" s="57"/>
      <c r="B1039" s="63" t="s">
        <v>946</v>
      </c>
      <c r="C1039" s="64" t="s">
        <v>3920</v>
      </c>
      <c r="D1039" s="65">
        <v>1.6000000000003638</v>
      </c>
      <c r="E1039" s="66">
        <v>783.20000000018626</v>
      </c>
      <c r="F1039" s="66">
        <v>3.9160000000009312</v>
      </c>
      <c r="G1039" s="65">
        <v>7.0488000000016768</v>
      </c>
      <c r="H1039" s="67" t="s">
        <v>3921</v>
      </c>
      <c r="I1039" s="65" t="s">
        <v>3898</v>
      </c>
    </row>
    <row r="1040" spans="1:9" x14ac:dyDescent="0.25">
      <c r="A1040" s="57"/>
      <c r="B1040" s="58" t="s">
        <v>948</v>
      </c>
      <c r="C1040" s="59" t="s">
        <v>3922</v>
      </c>
      <c r="D1040" s="60">
        <v>0.9750000000003638</v>
      </c>
      <c r="E1040" s="61">
        <v>470.83999999985099</v>
      </c>
      <c r="F1040" s="61">
        <v>4.7083999999985098</v>
      </c>
      <c r="G1040" s="60">
        <v>8.4751199999973181</v>
      </c>
      <c r="H1040" s="62" t="s">
        <v>3923</v>
      </c>
      <c r="I1040" s="60" t="s">
        <v>3903</v>
      </c>
    </row>
    <row r="1041" spans="1:9" x14ac:dyDescent="0.25">
      <c r="A1041" s="57"/>
      <c r="B1041" s="63" t="s">
        <v>950</v>
      </c>
      <c r="C1041" s="64" t="s">
        <v>3924</v>
      </c>
      <c r="D1041" s="65">
        <v>0</v>
      </c>
      <c r="E1041" s="66">
        <v>941.66999999992549</v>
      </c>
      <c r="F1041" s="66">
        <v>4.7083499999996272</v>
      </c>
      <c r="G1041" s="65">
        <v>8.4750299999993288</v>
      </c>
      <c r="H1041" s="67" t="s">
        <v>3925</v>
      </c>
      <c r="I1041" s="65" t="s">
        <v>3903</v>
      </c>
    </row>
    <row r="1042" spans="1:9" x14ac:dyDescent="0.25">
      <c r="A1042" s="57"/>
      <c r="B1042" s="58" t="s">
        <v>1037</v>
      </c>
      <c r="C1042" s="59" t="s">
        <v>3926</v>
      </c>
      <c r="D1042" s="60">
        <v>0.12000000000000455</v>
      </c>
      <c r="E1042" s="61">
        <v>49.440000000002328</v>
      </c>
      <c r="F1042" s="61">
        <v>0.49440000000002327</v>
      </c>
      <c r="G1042" s="60">
        <v>0.88992000000004201</v>
      </c>
      <c r="H1042" s="62" t="s">
        <v>3927</v>
      </c>
      <c r="I1042" s="60" t="s">
        <v>231</v>
      </c>
    </row>
    <row r="1043" spans="1:9" x14ac:dyDescent="0.25">
      <c r="A1043" s="57"/>
      <c r="B1043" s="63" t="s">
        <v>1038</v>
      </c>
      <c r="C1043" s="64" t="s">
        <v>3928</v>
      </c>
      <c r="D1043" s="65">
        <v>0.24000000000000909</v>
      </c>
      <c r="E1043" s="66">
        <v>98.839999999967404</v>
      </c>
      <c r="F1043" s="66">
        <v>0.49419999999983699</v>
      </c>
      <c r="G1043" s="65">
        <v>0.8895599999997067</v>
      </c>
      <c r="H1043" s="67" t="s">
        <v>3929</v>
      </c>
      <c r="I1043" s="65" t="s">
        <v>231</v>
      </c>
    </row>
    <row r="1044" spans="1:9" x14ac:dyDescent="0.25">
      <c r="A1044" s="57"/>
      <c r="B1044" s="58" t="s">
        <v>1039</v>
      </c>
      <c r="C1044" s="59" t="s">
        <v>3930</v>
      </c>
      <c r="D1044" s="60">
        <v>0.3000000000001819</v>
      </c>
      <c r="E1044" s="61">
        <v>72.040000000037253</v>
      </c>
      <c r="F1044" s="61">
        <v>0.72040000000037252</v>
      </c>
      <c r="G1044" s="60">
        <v>1.2967200000006707</v>
      </c>
      <c r="H1044" s="62" t="s">
        <v>3931</v>
      </c>
      <c r="I1044" s="60" t="s">
        <v>231</v>
      </c>
    </row>
    <row r="1045" spans="1:9" x14ac:dyDescent="0.25">
      <c r="A1045" s="57"/>
      <c r="B1045" s="63" t="s">
        <v>1040</v>
      </c>
      <c r="C1045" s="64" t="s">
        <v>3932</v>
      </c>
      <c r="D1045" s="65">
        <v>0.6000000000003638</v>
      </c>
      <c r="E1045" s="66">
        <v>144.06000000005588</v>
      </c>
      <c r="F1045" s="66">
        <v>0.72030000000027938</v>
      </c>
      <c r="G1045" s="65">
        <v>1.296540000000503</v>
      </c>
      <c r="H1045" s="67" t="s">
        <v>3933</v>
      </c>
      <c r="I1045" s="65" t="s">
        <v>231</v>
      </c>
    </row>
    <row r="1046" spans="1:9" x14ac:dyDescent="0.25">
      <c r="A1046" s="57"/>
      <c r="B1046" s="58" t="s">
        <v>1041</v>
      </c>
      <c r="C1046" s="59" t="s">
        <v>3934</v>
      </c>
      <c r="D1046" s="60">
        <v>0.6000000000003638</v>
      </c>
      <c r="E1046" s="61">
        <v>94.650000000023283</v>
      </c>
      <c r="F1046" s="61">
        <v>0.94650000000023282</v>
      </c>
      <c r="G1046" s="60">
        <v>1.7037000000004192</v>
      </c>
      <c r="H1046" s="62" t="s">
        <v>3935</v>
      </c>
      <c r="I1046" s="60" t="s">
        <v>231</v>
      </c>
    </row>
    <row r="1047" spans="1:9" x14ac:dyDescent="0.25">
      <c r="A1047" s="57"/>
      <c r="B1047" s="63" t="s">
        <v>1042</v>
      </c>
      <c r="C1047" s="64" t="s">
        <v>3936</v>
      </c>
      <c r="D1047" s="65">
        <v>1.5</v>
      </c>
      <c r="E1047" s="66">
        <v>189.27000000001863</v>
      </c>
      <c r="F1047" s="66">
        <v>0.94635000000009317</v>
      </c>
      <c r="G1047" s="65">
        <v>1.7034300000001676</v>
      </c>
      <c r="H1047" s="67" t="s">
        <v>3937</v>
      </c>
      <c r="I1047" s="65" t="s">
        <v>231</v>
      </c>
    </row>
    <row r="1048" spans="1:9" x14ac:dyDescent="0.25">
      <c r="A1048" s="57"/>
      <c r="B1048" s="58" t="s">
        <v>1043</v>
      </c>
      <c r="C1048" s="59" t="s">
        <v>3938</v>
      </c>
      <c r="D1048" s="60">
        <v>0.75</v>
      </c>
      <c r="E1048" s="61">
        <v>177.59000000008382</v>
      </c>
      <c r="F1048" s="61">
        <v>1.7759000000008383</v>
      </c>
      <c r="G1048" s="60">
        <v>3.1966200000015088</v>
      </c>
      <c r="H1048" s="62" t="s">
        <v>3939</v>
      </c>
      <c r="I1048" s="60" t="s">
        <v>231</v>
      </c>
    </row>
    <row r="1049" spans="1:9" x14ac:dyDescent="0.25">
      <c r="A1049" s="57"/>
      <c r="B1049" s="63" t="s">
        <v>1044</v>
      </c>
      <c r="C1049" s="64" t="s">
        <v>3940</v>
      </c>
      <c r="D1049" s="65">
        <v>1.5</v>
      </c>
      <c r="E1049" s="66">
        <v>355.16000000014901</v>
      </c>
      <c r="F1049" s="66">
        <v>1.775800000000745</v>
      </c>
      <c r="G1049" s="65">
        <v>3.1964400000013411</v>
      </c>
      <c r="H1049" s="67" t="s">
        <v>3941</v>
      </c>
      <c r="I1049" s="65" t="s">
        <v>231</v>
      </c>
    </row>
    <row r="1050" spans="1:9" x14ac:dyDescent="0.25">
      <c r="A1050" s="57"/>
      <c r="B1050" s="58" t="s">
        <v>1045</v>
      </c>
      <c r="C1050" s="59" t="s">
        <v>3942</v>
      </c>
      <c r="D1050" s="60">
        <v>0.8000000000001819</v>
      </c>
      <c r="E1050" s="61">
        <v>216.11000000010245</v>
      </c>
      <c r="F1050" s="61">
        <v>21.611000000010243</v>
      </c>
      <c r="G1050" s="60">
        <v>38.899800000018438</v>
      </c>
      <c r="H1050" s="62" t="s">
        <v>3943</v>
      </c>
      <c r="I1050" s="60" t="s">
        <v>231</v>
      </c>
    </row>
    <row r="1051" spans="1:9" x14ac:dyDescent="0.25">
      <c r="A1051" s="57"/>
      <c r="B1051" s="63" t="s">
        <v>1047</v>
      </c>
      <c r="C1051" s="64" t="s">
        <v>3944</v>
      </c>
      <c r="D1051" s="65">
        <v>0.8000000000001819</v>
      </c>
      <c r="E1051" s="66">
        <v>216.11000000010245</v>
      </c>
      <c r="F1051" s="66">
        <v>21.611000000010243</v>
      </c>
      <c r="G1051" s="65">
        <v>38.899800000018438</v>
      </c>
      <c r="H1051" s="67" t="s">
        <v>3945</v>
      </c>
      <c r="I1051" s="65" t="s">
        <v>231</v>
      </c>
    </row>
    <row r="1052" spans="1:9" x14ac:dyDescent="0.25">
      <c r="A1052" s="57"/>
      <c r="B1052" s="58" t="s">
        <v>1048</v>
      </c>
      <c r="C1052" s="59" t="s">
        <v>3946</v>
      </c>
      <c r="D1052" s="60">
        <v>1</v>
      </c>
      <c r="E1052" s="61">
        <v>216.11000000010245</v>
      </c>
      <c r="F1052" s="61">
        <v>21.611000000010243</v>
      </c>
      <c r="G1052" s="60">
        <v>38.899800000018438</v>
      </c>
      <c r="H1052" s="62" t="s">
        <v>3947</v>
      </c>
      <c r="I1052" s="60" t="s">
        <v>231</v>
      </c>
    </row>
    <row r="1053" spans="1:9" x14ac:dyDescent="0.25">
      <c r="A1053" s="57"/>
      <c r="B1053" s="63" t="s">
        <v>955</v>
      </c>
      <c r="C1053" s="64" t="s">
        <v>3948</v>
      </c>
      <c r="D1053" s="65">
        <v>0.2820000000001528</v>
      </c>
      <c r="E1053" s="66">
        <v>30.190000000002328</v>
      </c>
      <c r="F1053" s="66">
        <v>0.30190000000002326</v>
      </c>
      <c r="G1053" s="65">
        <v>0.54342000000004187</v>
      </c>
      <c r="H1053" s="67" t="s">
        <v>3949</v>
      </c>
      <c r="I1053" s="65" t="s">
        <v>3334</v>
      </c>
    </row>
    <row r="1054" spans="1:9" x14ac:dyDescent="0.25">
      <c r="A1054" s="57"/>
      <c r="B1054" s="58" t="s">
        <v>961</v>
      </c>
      <c r="C1054" s="59" t="s">
        <v>3950</v>
      </c>
      <c r="D1054" s="60">
        <v>0.56400000000030559</v>
      </c>
      <c r="E1054" s="61">
        <v>60.400000000023283</v>
      </c>
      <c r="F1054" s="61">
        <v>0.3020000000001164</v>
      </c>
      <c r="G1054" s="60">
        <v>0.54360000000020958</v>
      </c>
      <c r="H1054" s="62" t="s">
        <v>3951</v>
      </c>
      <c r="I1054" s="60" t="s">
        <v>3334</v>
      </c>
    </row>
    <row r="1055" spans="1:9" x14ac:dyDescent="0.25">
      <c r="A1055" s="57"/>
      <c r="B1055" s="63" t="s">
        <v>952</v>
      </c>
      <c r="C1055" s="64" t="s">
        <v>3952</v>
      </c>
      <c r="D1055" s="65">
        <v>0.2820000000001528</v>
      </c>
      <c r="E1055" s="66">
        <v>30.190000000002328</v>
      </c>
      <c r="F1055" s="66">
        <v>0.30190000000002326</v>
      </c>
      <c r="G1055" s="65">
        <v>0.54342000000004187</v>
      </c>
      <c r="H1055" s="67" t="s">
        <v>3953</v>
      </c>
      <c r="I1055" s="65" t="s">
        <v>3334</v>
      </c>
    </row>
    <row r="1056" spans="1:9" x14ac:dyDescent="0.25">
      <c r="A1056" s="57"/>
      <c r="B1056" s="58" t="s">
        <v>958</v>
      </c>
      <c r="C1056" s="59" t="s">
        <v>3954</v>
      </c>
      <c r="D1056" s="60">
        <v>0.56400000000030559</v>
      </c>
      <c r="E1056" s="61">
        <v>60.400000000023283</v>
      </c>
      <c r="F1056" s="61">
        <v>0.3020000000001164</v>
      </c>
      <c r="G1056" s="60">
        <v>0.54360000000020958</v>
      </c>
      <c r="H1056" s="62" t="s">
        <v>3955</v>
      </c>
      <c r="I1056" s="60" t="s">
        <v>3334</v>
      </c>
    </row>
    <row r="1057" spans="1:9" x14ac:dyDescent="0.25">
      <c r="A1057" s="57"/>
      <c r="B1057" s="63" t="s">
        <v>954</v>
      </c>
      <c r="C1057" s="64" t="s">
        <v>3956</v>
      </c>
      <c r="D1057" s="65">
        <v>0.2820000000001528</v>
      </c>
      <c r="E1057" s="66">
        <v>30.190000000002328</v>
      </c>
      <c r="F1057" s="66">
        <v>0.30190000000002326</v>
      </c>
      <c r="G1057" s="65">
        <v>0.54342000000004187</v>
      </c>
      <c r="H1057" s="67" t="s">
        <v>3957</v>
      </c>
      <c r="I1057" s="65" t="s">
        <v>3334</v>
      </c>
    </row>
    <row r="1058" spans="1:9" x14ac:dyDescent="0.25">
      <c r="A1058" s="57"/>
      <c r="B1058" s="58" t="s">
        <v>960</v>
      </c>
      <c r="C1058" s="59" t="s">
        <v>3958</v>
      </c>
      <c r="D1058" s="60">
        <v>0.56400000000030559</v>
      </c>
      <c r="E1058" s="61">
        <v>60.400000000023283</v>
      </c>
      <c r="F1058" s="61">
        <v>0.3020000000001164</v>
      </c>
      <c r="G1058" s="60">
        <v>0.54360000000020958</v>
      </c>
      <c r="H1058" s="62" t="s">
        <v>3959</v>
      </c>
      <c r="I1058" s="60" t="s">
        <v>3334</v>
      </c>
    </row>
    <row r="1059" spans="1:9" x14ac:dyDescent="0.25">
      <c r="A1059" s="57"/>
      <c r="B1059" s="63" t="s">
        <v>957</v>
      </c>
      <c r="C1059" s="64" t="s">
        <v>3960</v>
      </c>
      <c r="D1059" s="65">
        <v>0.2820000000001528</v>
      </c>
      <c r="E1059" s="66">
        <v>30.190000000002328</v>
      </c>
      <c r="F1059" s="66">
        <v>0.30190000000002326</v>
      </c>
      <c r="G1059" s="65">
        <v>0.54342000000004187</v>
      </c>
      <c r="H1059" s="67" t="s">
        <v>3961</v>
      </c>
      <c r="I1059" s="65" t="s">
        <v>3334</v>
      </c>
    </row>
    <row r="1060" spans="1:9" x14ac:dyDescent="0.25">
      <c r="A1060" s="57"/>
      <c r="B1060" s="58" t="s">
        <v>963</v>
      </c>
      <c r="C1060" s="59" t="s">
        <v>3962</v>
      </c>
      <c r="D1060" s="60">
        <v>0.56400000000030559</v>
      </c>
      <c r="E1060" s="61">
        <v>60.400000000023283</v>
      </c>
      <c r="F1060" s="61">
        <v>0.3020000000001164</v>
      </c>
      <c r="G1060" s="60">
        <v>0.54360000000020958</v>
      </c>
      <c r="H1060" s="62" t="s">
        <v>3963</v>
      </c>
      <c r="I1060" s="60" t="s">
        <v>3334</v>
      </c>
    </row>
    <row r="1061" spans="1:9" x14ac:dyDescent="0.25">
      <c r="A1061" s="57"/>
      <c r="B1061" s="63" t="s">
        <v>956</v>
      </c>
      <c r="C1061" s="64" t="s">
        <v>3964</v>
      </c>
      <c r="D1061" s="65">
        <v>0.2820000000001528</v>
      </c>
      <c r="E1061" s="66">
        <v>30.190000000002328</v>
      </c>
      <c r="F1061" s="66">
        <v>0.30190000000002326</v>
      </c>
      <c r="G1061" s="65">
        <v>0.54342000000004187</v>
      </c>
      <c r="H1061" s="67" t="s">
        <v>3965</v>
      </c>
      <c r="I1061" s="65" t="s">
        <v>3334</v>
      </c>
    </row>
    <row r="1062" spans="1:9" x14ac:dyDescent="0.25">
      <c r="A1062" s="57"/>
      <c r="B1062" s="58" t="s">
        <v>962</v>
      </c>
      <c r="C1062" s="59" t="s">
        <v>3966</v>
      </c>
      <c r="D1062" s="60">
        <v>0.56400000000030559</v>
      </c>
      <c r="E1062" s="61">
        <v>60.400000000023283</v>
      </c>
      <c r="F1062" s="61">
        <v>0.3020000000001164</v>
      </c>
      <c r="G1062" s="60">
        <v>0.54360000000020958</v>
      </c>
      <c r="H1062" s="62" t="s">
        <v>3967</v>
      </c>
      <c r="I1062" s="60" t="s">
        <v>3334</v>
      </c>
    </row>
    <row r="1063" spans="1:9" x14ac:dyDescent="0.25">
      <c r="A1063" s="57"/>
      <c r="B1063" s="63" t="s">
        <v>953</v>
      </c>
      <c r="C1063" s="64" t="s">
        <v>3968</v>
      </c>
      <c r="D1063" s="65">
        <v>0.2820000000001528</v>
      </c>
      <c r="E1063" s="66">
        <v>30.190000000002328</v>
      </c>
      <c r="F1063" s="66">
        <v>0.30190000000002326</v>
      </c>
      <c r="G1063" s="65">
        <v>0.54342000000004187</v>
      </c>
      <c r="H1063" s="67" t="s">
        <v>3969</v>
      </c>
      <c r="I1063" s="65" t="s">
        <v>3334</v>
      </c>
    </row>
    <row r="1064" spans="1:9" x14ac:dyDescent="0.25">
      <c r="A1064" s="57"/>
      <c r="B1064" s="58" t="s">
        <v>959</v>
      </c>
      <c r="C1064" s="59" t="s">
        <v>3970</v>
      </c>
      <c r="D1064" s="60">
        <v>0.56400000000030559</v>
      </c>
      <c r="E1064" s="61">
        <v>60.400000000023283</v>
      </c>
      <c r="F1064" s="61">
        <v>0.3020000000001164</v>
      </c>
      <c r="G1064" s="60">
        <v>0.54360000000020958</v>
      </c>
      <c r="H1064" s="62" t="s">
        <v>3971</v>
      </c>
      <c r="I1064" s="60" t="s">
        <v>3334</v>
      </c>
    </row>
    <row r="1065" spans="1:9" x14ac:dyDescent="0.25">
      <c r="A1065" s="57"/>
      <c r="B1065" s="63" t="s">
        <v>967</v>
      </c>
      <c r="C1065" s="64" t="s">
        <v>3972</v>
      </c>
      <c r="D1065" s="65">
        <v>0.64800000000013824</v>
      </c>
      <c r="E1065" s="66">
        <v>43.340000000025611</v>
      </c>
      <c r="F1065" s="66">
        <v>0.43340000000025614</v>
      </c>
      <c r="G1065" s="65">
        <v>0.780120000000461</v>
      </c>
      <c r="H1065" s="67" t="s">
        <v>3973</v>
      </c>
      <c r="I1065" s="65" t="s">
        <v>3334</v>
      </c>
    </row>
    <row r="1066" spans="1:9" x14ac:dyDescent="0.25">
      <c r="A1066" s="57"/>
      <c r="B1066" s="58" t="s">
        <v>973</v>
      </c>
      <c r="C1066" s="59" t="s">
        <v>3974</v>
      </c>
      <c r="D1066" s="60">
        <v>1.2960000000002765</v>
      </c>
      <c r="E1066" s="61">
        <v>86.71999999997206</v>
      </c>
      <c r="F1066" s="61">
        <v>0.43359999999986032</v>
      </c>
      <c r="G1066" s="60">
        <v>0.7804799999997486</v>
      </c>
      <c r="H1066" s="62" t="s">
        <v>3975</v>
      </c>
      <c r="I1066" s="60" t="s">
        <v>3334</v>
      </c>
    </row>
    <row r="1067" spans="1:9" x14ac:dyDescent="0.25">
      <c r="A1067" s="57"/>
      <c r="B1067" s="63" t="s">
        <v>964</v>
      </c>
      <c r="C1067" s="64" t="s">
        <v>3976</v>
      </c>
      <c r="D1067" s="65">
        <v>0.64800000000013824</v>
      </c>
      <c r="E1067" s="66">
        <v>43.340000000025611</v>
      </c>
      <c r="F1067" s="66">
        <v>0.43340000000025614</v>
      </c>
      <c r="G1067" s="65">
        <v>0.780120000000461</v>
      </c>
      <c r="H1067" s="67" t="s">
        <v>3977</v>
      </c>
      <c r="I1067" s="65" t="s">
        <v>3334</v>
      </c>
    </row>
    <row r="1068" spans="1:9" x14ac:dyDescent="0.25">
      <c r="A1068" s="57"/>
      <c r="B1068" s="58" t="s">
        <v>970</v>
      </c>
      <c r="C1068" s="59" t="s">
        <v>3978</v>
      </c>
      <c r="D1068" s="60">
        <v>1.2960000000002765</v>
      </c>
      <c r="E1068" s="61">
        <v>86.71999999997206</v>
      </c>
      <c r="F1068" s="61">
        <v>0.43359999999986032</v>
      </c>
      <c r="G1068" s="60">
        <v>0.7804799999997486</v>
      </c>
      <c r="H1068" s="62" t="s">
        <v>3979</v>
      </c>
      <c r="I1068" s="60" t="s">
        <v>3334</v>
      </c>
    </row>
    <row r="1069" spans="1:9" x14ac:dyDescent="0.25">
      <c r="A1069" s="57"/>
      <c r="B1069" s="63" t="s">
        <v>966</v>
      </c>
      <c r="C1069" s="64" t="s">
        <v>3980</v>
      </c>
      <c r="D1069" s="65">
        <v>0.64800000000013824</v>
      </c>
      <c r="E1069" s="66">
        <v>43.340000000025611</v>
      </c>
      <c r="F1069" s="66">
        <v>0.43340000000025614</v>
      </c>
      <c r="G1069" s="65">
        <v>0.780120000000461</v>
      </c>
      <c r="H1069" s="67" t="s">
        <v>3981</v>
      </c>
      <c r="I1069" s="65" t="s">
        <v>3334</v>
      </c>
    </row>
    <row r="1070" spans="1:9" x14ac:dyDescent="0.25">
      <c r="A1070" s="57"/>
      <c r="B1070" s="58" t="s">
        <v>972</v>
      </c>
      <c r="C1070" s="59" t="s">
        <v>3982</v>
      </c>
      <c r="D1070" s="60">
        <v>1.2960000000002765</v>
      </c>
      <c r="E1070" s="61">
        <v>86.71999999997206</v>
      </c>
      <c r="F1070" s="61">
        <v>0.43359999999986032</v>
      </c>
      <c r="G1070" s="60">
        <v>0.7804799999997486</v>
      </c>
      <c r="H1070" s="62" t="s">
        <v>3983</v>
      </c>
      <c r="I1070" s="60" t="s">
        <v>3334</v>
      </c>
    </row>
    <row r="1071" spans="1:9" x14ac:dyDescent="0.25">
      <c r="A1071" s="57"/>
      <c r="B1071" s="63" t="s">
        <v>969</v>
      </c>
      <c r="C1071" s="64" t="s">
        <v>3984</v>
      </c>
      <c r="D1071" s="65">
        <v>0.64800000000013824</v>
      </c>
      <c r="E1071" s="66">
        <v>43.340000000025611</v>
      </c>
      <c r="F1071" s="66">
        <v>0.43340000000025614</v>
      </c>
      <c r="G1071" s="65">
        <v>0.780120000000461</v>
      </c>
      <c r="H1071" s="67" t="s">
        <v>3985</v>
      </c>
      <c r="I1071" s="65" t="s">
        <v>3334</v>
      </c>
    </row>
    <row r="1072" spans="1:9" x14ac:dyDescent="0.25">
      <c r="A1072" s="57"/>
      <c r="B1072" s="58" t="s">
        <v>975</v>
      </c>
      <c r="C1072" s="59" t="s">
        <v>3986</v>
      </c>
      <c r="D1072" s="60">
        <v>1.2960000000002765</v>
      </c>
      <c r="E1072" s="61">
        <v>86.71999999997206</v>
      </c>
      <c r="F1072" s="61">
        <v>0.43359999999986032</v>
      </c>
      <c r="G1072" s="60">
        <v>0.7804799999997486</v>
      </c>
      <c r="H1072" s="62" t="s">
        <v>3987</v>
      </c>
      <c r="I1072" s="60" t="s">
        <v>3334</v>
      </c>
    </row>
    <row r="1073" spans="1:9" x14ac:dyDescent="0.25">
      <c r="A1073" s="57"/>
      <c r="B1073" s="63" t="s">
        <v>968</v>
      </c>
      <c r="C1073" s="64" t="s">
        <v>3988</v>
      </c>
      <c r="D1073" s="65">
        <v>0.64800000000013824</v>
      </c>
      <c r="E1073" s="66">
        <v>43.340000000025611</v>
      </c>
      <c r="F1073" s="66">
        <v>0.43340000000025614</v>
      </c>
      <c r="G1073" s="65">
        <v>0.780120000000461</v>
      </c>
      <c r="H1073" s="67" t="s">
        <v>3989</v>
      </c>
      <c r="I1073" s="65" t="s">
        <v>3334</v>
      </c>
    </row>
    <row r="1074" spans="1:9" x14ac:dyDescent="0.25">
      <c r="A1074" s="57"/>
      <c r="B1074" s="58" t="s">
        <v>974</v>
      </c>
      <c r="C1074" s="59" t="s">
        <v>3990</v>
      </c>
      <c r="D1074" s="60">
        <v>1.2960000000002765</v>
      </c>
      <c r="E1074" s="61">
        <v>86.71999999997206</v>
      </c>
      <c r="F1074" s="61">
        <v>0.43359999999986032</v>
      </c>
      <c r="G1074" s="60">
        <v>0.7804799999997486</v>
      </c>
      <c r="H1074" s="62" t="s">
        <v>3991</v>
      </c>
      <c r="I1074" s="60" t="s">
        <v>3334</v>
      </c>
    </row>
    <row r="1075" spans="1:9" x14ac:dyDescent="0.25">
      <c r="A1075" s="57"/>
      <c r="B1075" s="63" t="s">
        <v>965</v>
      </c>
      <c r="C1075" s="64" t="s">
        <v>3992</v>
      </c>
      <c r="D1075" s="65">
        <v>0.64800000000013824</v>
      </c>
      <c r="E1075" s="66">
        <v>43.340000000025611</v>
      </c>
      <c r="F1075" s="66">
        <v>0.43340000000025614</v>
      </c>
      <c r="G1075" s="65">
        <v>0.780120000000461</v>
      </c>
      <c r="H1075" s="67" t="s">
        <v>3993</v>
      </c>
      <c r="I1075" s="65" t="s">
        <v>3334</v>
      </c>
    </row>
    <row r="1076" spans="1:9" x14ac:dyDescent="0.25">
      <c r="A1076" s="57"/>
      <c r="B1076" s="58" t="s">
        <v>971</v>
      </c>
      <c r="C1076" s="59" t="s">
        <v>3994</v>
      </c>
      <c r="D1076" s="60">
        <v>1.2960000000002765</v>
      </c>
      <c r="E1076" s="61">
        <v>86.71999999997206</v>
      </c>
      <c r="F1076" s="61">
        <v>0.43359999999986032</v>
      </c>
      <c r="G1076" s="60">
        <v>0.7804799999997486</v>
      </c>
      <c r="H1076" s="62" t="s">
        <v>3995</v>
      </c>
      <c r="I1076" s="60" t="s">
        <v>3334</v>
      </c>
    </row>
    <row r="1077" spans="1:9" x14ac:dyDescent="0.25">
      <c r="A1077" s="57"/>
      <c r="B1077" s="63" t="s">
        <v>979</v>
      </c>
      <c r="C1077" s="64" t="s">
        <v>3996</v>
      </c>
      <c r="D1077" s="65">
        <v>0.90200000000004366</v>
      </c>
      <c r="E1077" s="66">
        <v>61.53000000002794</v>
      </c>
      <c r="F1077" s="66">
        <v>0.6153000000002794</v>
      </c>
      <c r="G1077" s="65">
        <v>1.1075400000005029</v>
      </c>
      <c r="H1077" s="67" t="s">
        <v>3997</v>
      </c>
      <c r="I1077" s="65" t="s">
        <v>3334</v>
      </c>
    </row>
    <row r="1078" spans="1:9" x14ac:dyDescent="0.25">
      <c r="A1078" s="57"/>
      <c r="B1078" s="58" t="s">
        <v>985</v>
      </c>
      <c r="C1078" s="59" t="s">
        <v>3998</v>
      </c>
      <c r="D1078" s="60">
        <v>1.8040000000000873</v>
      </c>
      <c r="E1078" s="61">
        <v>123.06999999994878</v>
      </c>
      <c r="F1078" s="61">
        <v>0.61534999999974394</v>
      </c>
      <c r="G1078" s="60">
        <v>1.1076299999995391</v>
      </c>
      <c r="H1078" s="62" t="s">
        <v>3999</v>
      </c>
      <c r="I1078" s="60" t="s">
        <v>3334</v>
      </c>
    </row>
    <row r="1079" spans="1:9" x14ac:dyDescent="0.25">
      <c r="A1079" s="57"/>
      <c r="B1079" s="63" t="s">
        <v>976</v>
      </c>
      <c r="C1079" s="64" t="s">
        <v>4000</v>
      </c>
      <c r="D1079" s="65">
        <v>0.90200000000004366</v>
      </c>
      <c r="E1079" s="66">
        <v>61.53000000002794</v>
      </c>
      <c r="F1079" s="66">
        <v>0.6153000000002794</v>
      </c>
      <c r="G1079" s="65">
        <v>1.1075400000005029</v>
      </c>
      <c r="H1079" s="67" t="s">
        <v>4001</v>
      </c>
      <c r="I1079" s="65" t="s">
        <v>3334</v>
      </c>
    </row>
    <row r="1080" spans="1:9" x14ac:dyDescent="0.25">
      <c r="A1080" s="57"/>
      <c r="B1080" s="58" t="s">
        <v>982</v>
      </c>
      <c r="C1080" s="59" t="s">
        <v>4002</v>
      </c>
      <c r="D1080" s="60">
        <v>1.8040000000000873</v>
      </c>
      <c r="E1080" s="61">
        <v>123.06999999994878</v>
      </c>
      <c r="F1080" s="61">
        <v>0.61534999999974394</v>
      </c>
      <c r="G1080" s="60">
        <v>1.1076299999995391</v>
      </c>
      <c r="H1080" s="62" t="s">
        <v>4003</v>
      </c>
      <c r="I1080" s="60" t="s">
        <v>3334</v>
      </c>
    </row>
    <row r="1081" spans="1:9" x14ac:dyDescent="0.25">
      <c r="A1081" s="57"/>
      <c r="B1081" s="63" t="s">
        <v>978</v>
      </c>
      <c r="C1081" s="64" t="s">
        <v>4004</v>
      </c>
      <c r="D1081" s="65">
        <v>0.90200000000004366</v>
      </c>
      <c r="E1081" s="66">
        <v>61.53000000002794</v>
      </c>
      <c r="F1081" s="66">
        <v>0.6153000000002794</v>
      </c>
      <c r="G1081" s="65">
        <v>1.1075400000005029</v>
      </c>
      <c r="H1081" s="67" t="s">
        <v>4005</v>
      </c>
      <c r="I1081" s="65" t="s">
        <v>3334</v>
      </c>
    </row>
    <row r="1082" spans="1:9" x14ac:dyDescent="0.25">
      <c r="A1082" s="57"/>
      <c r="B1082" s="58" t="s">
        <v>984</v>
      </c>
      <c r="C1082" s="59" t="s">
        <v>4006</v>
      </c>
      <c r="D1082" s="60">
        <v>1.8040000000000873</v>
      </c>
      <c r="E1082" s="61">
        <v>123.06999999994878</v>
      </c>
      <c r="F1082" s="61">
        <v>0.61534999999974394</v>
      </c>
      <c r="G1082" s="60">
        <v>1.1076299999995391</v>
      </c>
      <c r="H1082" s="62" t="s">
        <v>4007</v>
      </c>
      <c r="I1082" s="60" t="s">
        <v>3334</v>
      </c>
    </row>
    <row r="1083" spans="1:9" x14ac:dyDescent="0.25">
      <c r="A1083" s="57"/>
      <c r="B1083" s="63" t="s">
        <v>981</v>
      </c>
      <c r="C1083" s="64" t="s">
        <v>4008</v>
      </c>
      <c r="D1083" s="65">
        <v>0.90200000000004366</v>
      </c>
      <c r="E1083" s="66">
        <v>61.53000000002794</v>
      </c>
      <c r="F1083" s="66">
        <v>0.6153000000002794</v>
      </c>
      <c r="G1083" s="65">
        <v>1.1075400000005029</v>
      </c>
      <c r="H1083" s="67" t="s">
        <v>4009</v>
      </c>
      <c r="I1083" s="65" t="s">
        <v>3334</v>
      </c>
    </row>
    <row r="1084" spans="1:9" x14ac:dyDescent="0.25">
      <c r="A1084" s="57"/>
      <c r="B1084" s="58" t="s">
        <v>987</v>
      </c>
      <c r="C1084" s="59" t="s">
        <v>4010</v>
      </c>
      <c r="D1084" s="60">
        <v>1.8040000000000873</v>
      </c>
      <c r="E1084" s="61">
        <v>123.06999999994878</v>
      </c>
      <c r="F1084" s="61">
        <v>0.61534999999974394</v>
      </c>
      <c r="G1084" s="60">
        <v>1.1076299999995391</v>
      </c>
      <c r="H1084" s="62" t="s">
        <v>4011</v>
      </c>
      <c r="I1084" s="60" t="s">
        <v>3334</v>
      </c>
    </row>
    <row r="1085" spans="1:9" x14ac:dyDescent="0.25">
      <c r="A1085" s="57"/>
      <c r="B1085" s="63" t="s">
        <v>980</v>
      </c>
      <c r="C1085" s="64" t="s">
        <v>4012</v>
      </c>
      <c r="D1085" s="65">
        <v>0.90200000000004366</v>
      </c>
      <c r="E1085" s="66">
        <v>61.53000000002794</v>
      </c>
      <c r="F1085" s="66">
        <v>0.6153000000002794</v>
      </c>
      <c r="G1085" s="65">
        <v>1.1075400000005029</v>
      </c>
      <c r="H1085" s="67" t="s">
        <v>4013</v>
      </c>
      <c r="I1085" s="65" t="s">
        <v>3334</v>
      </c>
    </row>
    <row r="1086" spans="1:9" x14ac:dyDescent="0.25">
      <c r="A1086" s="57"/>
      <c r="B1086" s="58" t="s">
        <v>986</v>
      </c>
      <c r="C1086" s="59" t="s">
        <v>4014</v>
      </c>
      <c r="D1086" s="60">
        <v>1.8040000000000873</v>
      </c>
      <c r="E1086" s="61">
        <v>123.06999999994878</v>
      </c>
      <c r="F1086" s="61">
        <v>0.61534999999974394</v>
      </c>
      <c r="G1086" s="60">
        <v>1.1076299999995391</v>
      </c>
      <c r="H1086" s="62" t="s">
        <v>4015</v>
      </c>
      <c r="I1086" s="60" t="s">
        <v>3334</v>
      </c>
    </row>
    <row r="1087" spans="1:9" x14ac:dyDescent="0.25">
      <c r="A1087" s="57"/>
      <c r="B1087" s="63" t="s">
        <v>977</v>
      </c>
      <c r="C1087" s="64" t="s">
        <v>4016</v>
      </c>
      <c r="D1087" s="65">
        <v>0.90200000000004366</v>
      </c>
      <c r="E1087" s="66">
        <v>61.53000000002794</v>
      </c>
      <c r="F1087" s="66">
        <v>0.6153000000002794</v>
      </c>
      <c r="G1087" s="65">
        <v>1.1075400000005029</v>
      </c>
      <c r="H1087" s="67" t="s">
        <v>4017</v>
      </c>
      <c r="I1087" s="65" t="s">
        <v>3334</v>
      </c>
    </row>
    <row r="1088" spans="1:9" x14ac:dyDescent="0.25">
      <c r="A1088" s="57"/>
      <c r="B1088" s="58" t="s">
        <v>983</v>
      </c>
      <c r="C1088" s="59" t="s">
        <v>4018</v>
      </c>
      <c r="D1088" s="60">
        <v>1.8040000000000873</v>
      </c>
      <c r="E1088" s="61">
        <v>123.06999999994878</v>
      </c>
      <c r="F1088" s="61">
        <v>0.61534999999974394</v>
      </c>
      <c r="G1088" s="60">
        <v>1.1076299999995391</v>
      </c>
      <c r="H1088" s="62" t="s">
        <v>4019</v>
      </c>
      <c r="I1088" s="60" t="s">
        <v>3334</v>
      </c>
    </row>
    <row r="1089" spans="1:9" x14ac:dyDescent="0.25">
      <c r="A1089" s="57"/>
      <c r="B1089" s="63" t="s">
        <v>991</v>
      </c>
      <c r="C1089" s="64" t="s">
        <v>4020</v>
      </c>
      <c r="D1089" s="65">
        <v>1.9909999999999854</v>
      </c>
      <c r="E1089" s="66">
        <v>82.589999999967404</v>
      </c>
      <c r="F1089" s="66">
        <v>0.82589999999967401</v>
      </c>
      <c r="G1089" s="65">
        <v>1.4866199999994134</v>
      </c>
      <c r="H1089" s="67" t="s">
        <v>4021</v>
      </c>
      <c r="I1089" s="65" t="s">
        <v>3334</v>
      </c>
    </row>
    <row r="1090" spans="1:9" x14ac:dyDescent="0.25">
      <c r="A1090" s="57"/>
      <c r="B1090" s="58" t="s">
        <v>997</v>
      </c>
      <c r="C1090" s="59" t="s">
        <v>4022</v>
      </c>
      <c r="D1090" s="60">
        <v>3.9819999999999709</v>
      </c>
      <c r="E1090" s="61">
        <v>165.17999999993481</v>
      </c>
      <c r="F1090" s="61">
        <v>0.82589999999967401</v>
      </c>
      <c r="G1090" s="60">
        <v>1.4866199999994134</v>
      </c>
      <c r="H1090" s="62" t="s">
        <v>4023</v>
      </c>
      <c r="I1090" s="60" t="s">
        <v>3334</v>
      </c>
    </row>
    <row r="1091" spans="1:9" x14ac:dyDescent="0.25">
      <c r="A1091" s="57"/>
      <c r="B1091" s="63" t="s">
        <v>988</v>
      </c>
      <c r="C1091" s="64" t="s">
        <v>4024</v>
      </c>
      <c r="D1091" s="65">
        <v>1.9909999999999854</v>
      </c>
      <c r="E1091" s="66">
        <v>82.589999999967404</v>
      </c>
      <c r="F1091" s="66">
        <v>0.82589999999967401</v>
      </c>
      <c r="G1091" s="65">
        <v>1.4866199999994134</v>
      </c>
      <c r="H1091" s="67" t="s">
        <v>4025</v>
      </c>
      <c r="I1091" s="65" t="s">
        <v>3334</v>
      </c>
    </row>
    <row r="1092" spans="1:9" x14ac:dyDescent="0.25">
      <c r="A1092" s="57"/>
      <c r="B1092" s="58" t="s">
        <v>994</v>
      </c>
      <c r="C1092" s="59" t="s">
        <v>4026</v>
      </c>
      <c r="D1092" s="60">
        <v>3.9819999999999709</v>
      </c>
      <c r="E1092" s="61">
        <v>165.17999999993481</v>
      </c>
      <c r="F1092" s="61">
        <v>0.82589999999967401</v>
      </c>
      <c r="G1092" s="60">
        <v>1.4866199999994134</v>
      </c>
      <c r="H1092" s="62" t="s">
        <v>4027</v>
      </c>
      <c r="I1092" s="60" t="s">
        <v>3334</v>
      </c>
    </row>
    <row r="1093" spans="1:9" x14ac:dyDescent="0.25">
      <c r="A1093" s="57"/>
      <c r="B1093" s="63" t="s">
        <v>990</v>
      </c>
      <c r="C1093" s="64" t="s">
        <v>4028</v>
      </c>
      <c r="D1093" s="65">
        <v>1.9909999999999854</v>
      </c>
      <c r="E1093" s="66">
        <v>82.589999999967404</v>
      </c>
      <c r="F1093" s="66">
        <v>0.82589999999967401</v>
      </c>
      <c r="G1093" s="65">
        <v>1.4866199999994134</v>
      </c>
      <c r="H1093" s="67" t="s">
        <v>4029</v>
      </c>
      <c r="I1093" s="65" t="s">
        <v>3334</v>
      </c>
    </row>
    <row r="1094" spans="1:9" x14ac:dyDescent="0.25">
      <c r="A1094" s="57"/>
      <c r="B1094" s="58" t="s">
        <v>996</v>
      </c>
      <c r="C1094" s="59" t="s">
        <v>4030</v>
      </c>
      <c r="D1094" s="60">
        <v>3.9819999999999709</v>
      </c>
      <c r="E1094" s="61">
        <v>165.17999999993481</v>
      </c>
      <c r="F1094" s="61">
        <v>0.82589999999967401</v>
      </c>
      <c r="G1094" s="60">
        <v>1.4866199999994134</v>
      </c>
      <c r="H1094" s="62" t="s">
        <v>4031</v>
      </c>
      <c r="I1094" s="60" t="s">
        <v>3334</v>
      </c>
    </row>
    <row r="1095" spans="1:9" x14ac:dyDescent="0.25">
      <c r="A1095" s="57"/>
      <c r="B1095" s="63" t="s">
        <v>993</v>
      </c>
      <c r="C1095" s="64" t="s">
        <v>4032</v>
      </c>
      <c r="D1095" s="65">
        <v>1.9909999999999854</v>
      </c>
      <c r="E1095" s="66">
        <v>82.589999999967404</v>
      </c>
      <c r="F1095" s="66">
        <v>0.82589999999967401</v>
      </c>
      <c r="G1095" s="65">
        <v>1.4866199999994134</v>
      </c>
      <c r="H1095" s="67" t="s">
        <v>4033</v>
      </c>
      <c r="I1095" s="65" t="s">
        <v>3334</v>
      </c>
    </row>
    <row r="1096" spans="1:9" x14ac:dyDescent="0.25">
      <c r="A1096" s="57"/>
      <c r="B1096" s="58" t="s">
        <v>999</v>
      </c>
      <c r="C1096" s="59" t="s">
        <v>4034</v>
      </c>
      <c r="D1096" s="60">
        <v>3.9819999999999709</v>
      </c>
      <c r="E1096" s="61">
        <v>165.17999999993481</v>
      </c>
      <c r="F1096" s="61">
        <v>0.82589999999967401</v>
      </c>
      <c r="G1096" s="60">
        <v>1.4866199999994134</v>
      </c>
      <c r="H1096" s="62" t="s">
        <v>4035</v>
      </c>
      <c r="I1096" s="60" t="s">
        <v>3334</v>
      </c>
    </row>
    <row r="1097" spans="1:9" x14ac:dyDescent="0.25">
      <c r="A1097" s="57"/>
      <c r="B1097" s="63" t="s">
        <v>992</v>
      </c>
      <c r="C1097" s="64" t="s">
        <v>4036</v>
      </c>
      <c r="D1097" s="65">
        <v>1.9909999999999854</v>
      </c>
      <c r="E1097" s="66">
        <v>82.589999999967404</v>
      </c>
      <c r="F1097" s="66">
        <v>0.82589999999967401</v>
      </c>
      <c r="G1097" s="65">
        <v>1.4866199999994134</v>
      </c>
      <c r="H1097" s="67" t="s">
        <v>4037</v>
      </c>
      <c r="I1097" s="65" t="s">
        <v>3334</v>
      </c>
    </row>
    <row r="1098" spans="1:9" x14ac:dyDescent="0.25">
      <c r="A1098" s="57"/>
      <c r="B1098" s="58" t="s">
        <v>998</v>
      </c>
      <c r="C1098" s="59" t="s">
        <v>4038</v>
      </c>
      <c r="D1098" s="60">
        <v>3.9819999999999709</v>
      </c>
      <c r="E1098" s="61">
        <v>165.17999999993481</v>
      </c>
      <c r="F1098" s="61">
        <v>0.82589999999967401</v>
      </c>
      <c r="G1098" s="60">
        <v>1.4866199999994134</v>
      </c>
      <c r="H1098" s="62" t="s">
        <v>4039</v>
      </c>
      <c r="I1098" s="60" t="s">
        <v>3334</v>
      </c>
    </row>
    <row r="1099" spans="1:9" x14ac:dyDescent="0.25">
      <c r="A1099" s="57"/>
      <c r="B1099" s="63" t="s">
        <v>989</v>
      </c>
      <c r="C1099" s="64" t="s">
        <v>4040</v>
      </c>
      <c r="D1099" s="65">
        <v>1.9909999999999854</v>
      </c>
      <c r="E1099" s="66">
        <v>82.589999999967404</v>
      </c>
      <c r="F1099" s="66">
        <v>0.82589999999967401</v>
      </c>
      <c r="G1099" s="65">
        <v>1.4866199999994134</v>
      </c>
      <c r="H1099" s="67" t="s">
        <v>4041</v>
      </c>
      <c r="I1099" s="65" t="s">
        <v>3334</v>
      </c>
    </row>
    <row r="1100" spans="1:9" x14ac:dyDescent="0.25">
      <c r="A1100" s="57"/>
      <c r="B1100" s="58" t="s">
        <v>995</v>
      </c>
      <c r="C1100" s="59" t="s">
        <v>4042</v>
      </c>
      <c r="D1100" s="60">
        <v>3.9819999999999709</v>
      </c>
      <c r="E1100" s="61">
        <v>165.17999999993481</v>
      </c>
      <c r="F1100" s="61">
        <v>0.82589999999967401</v>
      </c>
      <c r="G1100" s="60">
        <v>1.4866199999994134</v>
      </c>
      <c r="H1100" s="62" t="s">
        <v>4043</v>
      </c>
      <c r="I1100" s="60" t="s">
        <v>3334</v>
      </c>
    </row>
    <row r="1101" spans="1:9" x14ac:dyDescent="0.25">
      <c r="A1101" s="57"/>
      <c r="B1101" s="63" t="s">
        <v>1003</v>
      </c>
      <c r="C1101" s="64" t="s">
        <v>4044</v>
      </c>
      <c r="D1101" s="65">
        <v>3.0190000000002328</v>
      </c>
      <c r="E1101" s="66">
        <v>99.209999999962747</v>
      </c>
      <c r="F1101" s="66">
        <v>0.9920999999996275</v>
      </c>
      <c r="G1101" s="65">
        <v>1.7857799999993296</v>
      </c>
      <c r="H1101" s="67" t="s">
        <v>4045</v>
      </c>
      <c r="I1101" s="65" t="s">
        <v>3334</v>
      </c>
    </row>
    <row r="1102" spans="1:9" x14ac:dyDescent="0.25">
      <c r="A1102" s="57"/>
      <c r="B1102" s="58" t="s">
        <v>1009</v>
      </c>
      <c r="C1102" s="59" t="s">
        <v>4046</v>
      </c>
      <c r="D1102" s="60">
        <v>6.0380000000004657</v>
      </c>
      <c r="E1102" s="61">
        <v>198.41999999992549</v>
      </c>
      <c r="F1102" s="61">
        <v>0.9920999999996275</v>
      </c>
      <c r="G1102" s="60">
        <v>1.7857799999993296</v>
      </c>
      <c r="H1102" s="62" t="s">
        <v>4047</v>
      </c>
      <c r="I1102" s="60" t="s">
        <v>3334</v>
      </c>
    </row>
    <row r="1103" spans="1:9" x14ac:dyDescent="0.25">
      <c r="A1103" s="57"/>
      <c r="B1103" s="63" t="s">
        <v>1000</v>
      </c>
      <c r="C1103" s="64" t="s">
        <v>4048</v>
      </c>
      <c r="D1103" s="65">
        <v>3.0190000000002328</v>
      </c>
      <c r="E1103" s="66">
        <v>99.209999999962747</v>
      </c>
      <c r="F1103" s="66">
        <v>0.9920999999996275</v>
      </c>
      <c r="G1103" s="65">
        <v>1.7857799999993296</v>
      </c>
      <c r="H1103" s="67" t="s">
        <v>4049</v>
      </c>
      <c r="I1103" s="65" t="s">
        <v>3334</v>
      </c>
    </row>
    <row r="1104" spans="1:9" x14ac:dyDescent="0.25">
      <c r="A1104" s="57"/>
      <c r="B1104" s="58" t="s">
        <v>1006</v>
      </c>
      <c r="C1104" s="59" t="s">
        <v>4050</v>
      </c>
      <c r="D1104" s="60">
        <v>6.0380000000004657</v>
      </c>
      <c r="E1104" s="61">
        <v>198.41999999992549</v>
      </c>
      <c r="F1104" s="61">
        <v>0.9920999999996275</v>
      </c>
      <c r="G1104" s="60">
        <v>1.7857799999993296</v>
      </c>
      <c r="H1104" s="62" t="s">
        <v>4051</v>
      </c>
      <c r="I1104" s="60" t="s">
        <v>3334</v>
      </c>
    </row>
    <row r="1105" spans="1:9" x14ac:dyDescent="0.25">
      <c r="A1105" s="57"/>
      <c r="B1105" s="63" t="s">
        <v>1002</v>
      </c>
      <c r="C1105" s="64" t="s">
        <v>4052</v>
      </c>
      <c r="D1105" s="65">
        <v>3.0190000000002328</v>
      </c>
      <c r="E1105" s="66">
        <v>99.209999999962747</v>
      </c>
      <c r="F1105" s="66">
        <v>0.9920999999996275</v>
      </c>
      <c r="G1105" s="65">
        <v>1.7857799999993296</v>
      </c>
      <c r="H1105" s="67" t="s">
        <v>4053</v>
      </c>
      <c r="I1105" s="65" t="s">
        <v>3334</v>
      </c>
    </row>
    <row r="1106" spans="1:9" x14ac:dyDescent="0.25">
      <c r="A1106" s="57"/>
      <c r="B1106" s="58" t="s">
        <v>1008</v>
      </c>
      <c r="C1106" s="59" t="s">
        <v>4054</v>
      </c>
      <c r="D1106" s="60">
        <v>6.0380000000004657</v>
      </c>
      <c r="E1106" s="61">
        <v>198.41999999992549</v>
      </c>
      <c r="F1106" s="61">
        <v>0.9920999999996275</v>
      </c>
      <c r="G1106" s="60">
        <v>1.7857799999993296</v>
      </c>
      <c r="H1106" s="62" t="s">
        <v>4055</v>
      </c>
      <c r="I1106" s="60" t="s">
        <v>3334</v>
      </c>
    </row>
    <row r="1107" spans="1:9" x14ac:dyDescent="0.25">
      <c r="A1107" s="57"/>
      <c r="B1107" s="63" t="s">
        <v>1005</v>
      </c>
      <c r="C1107" s="64" t="s">
        <v>4056</v>
      </c>
      <c r="D1107" s="65">
        <v>3.0190000000002328</v>
      </c>
      <c r="E1107" s="66">
        <v>99.209999999962747</v>
      </c>
      <c r="F1107" s="66">
        <v>0.9920999999996275</v>
      </c>
      <c r="G1107" s="65">
        <v>1.7857799999993296</v>
      </c>
      <c r="H1107" s="67" t="s">
        <v>4057</v>
      </c>
      <c r="I1107" s="65" t="s">
        <v>3334</v>
      </c>
    </row>
    <row r="1108" spans="1:9" x14ac:dyDescent="0.25">
      <c r="A1108" s="57"/>
      <c r="B1108" s="58" t="s">
        <v>1011</v>
      </c>
      <c r="C1108" s="59" t="s">
        <v>4058</v>
      </c>
      <c r="D1108" s="60">
        <v>6.0380000000004657</v>
      </c>
      <c r="E1108" s="61">
        <v>198.41999999992549</v>
      </c>
      <c r="F1108" s="61">
        <v>0.9920999999996275</v>
      </c>
      <c r="G1108" s="60">
        <v>1.7857799999993296</v>
      </c>
      <c r="H1108" s="62" t="s">
        <v>4059</v>
      </c>
      <c r="I1108" s="60" t="s">
        <v>3334</v>
      </c>
    </row>
    <row r="1109" spans="1:9" x14ac:dyDescent="0.25">
      <c r="A1109" s="57"/>
      <c r="B1109" s="63" t="s">
        <v>1004</v>
      </c>
      <c r="C1109" s="64" t="s">
        <v>4060</v>
      </c>
      <c r="D1109" s="65">
        <v>3.0190000000002328</v>
      </c>
      <c r="E1109" s="66">
        <v>99.209999999962747</v>
      </c>
      <c r="F1109" s="66">
        <v>0.9920999999996275</v>
      </c>
      <c r="G1109" s="65">
        <v>1.7857799999993296</v>
      </c>
      <c r="H1109" s="67" t="s">
        <v>4061</v>
      </c>
      <c r="I1109" s="65" t="s">
        <v>3334</v>
      </c>
    </row>
    <row r="1110" spans="1:9" x14ac:dyDescent="0.25">
      <c r="A1110" s="57"/>
      <c r="B1110" s="58" t="s">
        <v>1010</v>
      </c>
      <c r="C1110" s="59" t="s">
        <v>4062</v>
      </c>
      <c r="D1110" s="60">
        <v>6.0380000000004657</v>
      </c>
      <c r="E1110" s="61">
        <v>198.41999999992549</v>
      </c>
      <c r="F1110" s="61">
        <v>0.9920999999996275</v>
      </c>
      <c r="G1110" s="60">
        <v>1.7857799999993296</v>
      </c>
      <c r="H1110" s="62" t="s">
        <v>4063</v>
      </c>
      <c r="I1110" s="60" t="s">
        <v>3334</v>
      </c>
    </row>
    <row r="1111" spans="1:9" x14ac:dyDescent="0.25">
      <c r="A1111" s="57"/>
      <c r="B1111" s="63" t="s">
        <v>1001</v>
      </c>
      <c r="C1111" s="64" t="s">
        <v>4064</v>
      </c>
      <c r="D1111" s="65">
        <v>3.0190000000002328</v>
      </c>
      <c r="E1111" s="66">
        <v>99.209999999962747</v>
      </c>
      <c r="F1111" s="66">
        <v>0.9920999999996275</v>
      </c>
      <c r="G1111" s="65">
        <v>1.7857799999993296</v>
      </c>
      <c r="H1111" s="67" t="s">
        <v>4065</v>
      </c>
      <c r="I1111" s="65" t="s">
        <v>3334</v>
      </c>
    </row>
    <row r="1112" spans="1:9" x14ac:dyDescent="0.25">
      <c r="A1112" s="57"/>
      <c r="B1112" s="58" t="s">
        <v>1007</v>
      </c>
      <c r="C1112" s="59" t="s">
        <v>4066</v>
      </c>
      <c r="D1112" s="60">
        <v>6.0380000000004657</v>
      </c>
      <c r="E1112" s="61">
        <v>198.41999999992549</v>
      </c>
      <c r="F1112" s="61">
        <v>0.9920999999996275</v>
      </c>
      <c r="G1112" s="60">
        <v>1.7857799999993296</v>
      </c>
      <c r="H1112" s="62" t="s">
        <v>4067</v>
      </c>
      <c r="I1112" s="60" t="s">
        <v>3334</v>
      </c>
    </row>
    <row r="1113" spans="1:9" x14ac:dyDescent="0.25">
      <c r="A1113" s="57"/>
      <c r="B1113" s="63" t="s">
        <v>1022</v>
      </c>
      <c r="C1113" s="64" t="s">
        <v>4068</v>
      </c>
      <c r="D1113" s="65">
        <v>0.84599999999954889</v>
      </c>
      <c r="E1113" s="66">
        <v>71.85999999998603</v>
      </c>
      <c r="F1113" s="66">
        <v>7.1859999999986028</v>
      </c>
      <c r="G1113" s="65">
        <v>12.934799999997486</v>
      </c>
      <c r="H1113" s="67" t="s">
        <v>4069</v>
      </c>
      <c r="I1113" s="65" t="s">
        <v>3334</v>
      </c>
    </row>
    <row r="1114" spans="1:9" x14ac:dyDescent="0.25">
      <c r="A1114" s="57"/>
      <c r="B1114" s="58" t="s">
        <v>1030</v>
      </c>
      <c r="C1114" s="59" t="s">
        <v>4070</v>
      </c>
      <c r="D1114" s="60">
        <v>1</v>
      </c>
      <c r="E1114" s="61">
        <v>71.85999999998603</v>
      </c>
      <c r="F1114" s="61">
        <v>7.1859999999986028</v>
      </c>
      <c r="G1114" s="60">
        <v>12.934799999997486</v>
      </c>
      <c r="H1114" s="62" t="s">
        <v>4071</v>
      </c>
      <c r="I1114" s="60" t="s">
        <v>3334</v>
      </c>
    </row>
    <row r="1115" spans="1:9" x14ac:dyDescent="0.25">
      <c r="A1115" s="57"/>
      <c r="B1115" s="63" t="s">
        <v>1016</v>
      </c>
      <c r="C1115" s="64" t="s">
        <v>4072</v>
      </c>
      <c r="D1115" s="65">
        <v>0.84599999999954889</v>
      </c>
      <c r="E1115" s="66">
        <v>71.85999999998603</v>
      </c>
      <c r="F1115" s="66">
        <v>7.1859999999986028</v>
      </c>
      <c r="G1115" s="65">
        <v>12.934799999997486</v>
      </c>
      <c r="H1115" s="67" t="s">
        <v>4073</v>
      </c>
      <c r="I1115" s="65" t="s">
        <v>3334</v>
      </c>
    </row>
    <row r="1116" spans="1:9" x14ac:dyDescent="0.25">
      <c r="A1116" s="57"/>
      <c r="B1116" s="58" t="s">
        <v>1024</v>
      </c>
      <c r="C1116" s="59" t="s">
        <v>4074</v>
      </c>
      <c r="D1116" s="60">
        <v>1</v>
      </c>
      <c r="E1116" s="61">
        <v>71.85999999998603</v>
      </c>
      <c r="F1116" s="61">
        <v>7.1859999999986028</v>
      </c>
      <c r="G1116" s="60">
        <v>12.934799999997486</v>
      </c>
      <c r="H1116" s="62" t="s">
        <v>4075</v>
      </c>
      <c r="I1116" s="60" t="s">
        <v>3334</v>
      </c>
    </row>
    <row r="1117" spans="1:9" x14ac:dyDescent="0.25">
      <c r="A1117" s="57"/>
      <c r="B1117" s="63" t="s">
        <v>1018</v>
      </c>
      <c r="C1117" s="64" t="s">
        <v>4076</v>
      </c>
      <c r="D1117" s="65">
        <v>0.84599999999954889</v>
      </c>
      <c r="E1117" s="66">
        <v>71.85999999998603</v>
      </c>
      <c r="F1117" s="66">
        <v>7.1859999999986028</v>
      </c>
      <c r="G1117" s="65">
        <v>12.934799999997486</v>
      </c>
      <c r="H1117" s="67" t="s">
        <v>4077</v>
      </c>
      <c r="I1117" s="65" t="s">
        <v>3334</v>
      </c>
    </row>
    <row r="1118" spans="1:9" x14ac:dyDescent="0.25">
      <c r="A1118" s="57"/>
      <c r="B1118" s="58" t="s">
        <v>1019</v>
      </c>
      <c r="C1118" s="59" t="s">
        <v>4078</v>
      </c>
      <c r="D1118" s="60">
        <v>0.84599999999954889</v>
      </c>
      <c r="E1118" s="61">
        <v>71.85999999998603</v>
      </c>
      <c r="F1118" s="61">
        <v>7.1859999999986028</v>
      </c>
      <c r="G1118" s="60">
        <v>12.934799999997486</v>
      </c>
      <c r="H1118" s="62" t="s">
        <v>4079</v>
      </c>
      <c r="I1118" s="60" t="s">
        <v>3334</v>
      </c>
    </row>
    <row r="1119" spans="1:9" x14ac:dyDescent="0.25">
      <c r="A1119" s="57"/>
      <c r="B1119" s="63" t="s">
        <v>1020</v>
      </c>
      <c r="C1119" s="64" t="s">
        <v>4080</v>
      </c>
      <c r="D1119" s="65">
        <v>0.84599999999954889</v>
      </c>
      <c r="E1119" s="66">
        <v>71.85999999998603</v>
      </c>
      <c r="F1119" s="66">
        <v>7.1859999999986028</v>
      </c>
      <c r="G1119" s="65">
        <v>12.934799999997486</v>
      </c>
      <c r="H1119" s="67" t="s">
        <v>4081</v>
      </c>
      <c r="I1119" s="65" t="s">
        <v>3334</v>
      </c>
    </row>
    <row r="1120" spans="1:9" x14ac:dyDescent="0.25">
      <c r="A1120" s="57"/>
      <c r="B1120" s="58" t="s">
        <v>1021</v>
      </c>
      <c r="C1120" s="59" t="s">
        <v>4082</v>
      </c>
      <c r="D1120" s="60">
        <v>0.84599999999954889</v>
      </c>
      <c r="E1120" s="61">
        <v>71.85999999998603</v>
      </c>
      <c r="F1120" s="61">
        <v>7.1859999999986028</v>
      </c>
      <c r="G1120" s="60">
        <v>12.934799999997486</v>
      </c>
      <c r="H1120" s="62" t="s">
        <v>4083</v>
      </c>
      <c r="I1120" s="60" t="s">
        <v>3334</v>
      </c>
    </row>
    <row r="1121" spans="1:9" x14ac:dyDescent="0.25">
      <c r="A1121" s="57"/>
      <c r="B1121" s="63" t="s">
        <v>1033</v>
      </c>
      <c r="C1121" s="64" t="s">
        <v>4084</v>
      </c>
      <c r="D1121" s="65">
        <v>2</v>
      </c>
      <c r="E1121" s="66">
        <v>148.47999999998137</v>
      </c>
      <c r="F1121" s="66">
        <v>9.8986666666654255</v>
      </c>
      <c r="G1121" s="65">
        <v>17.817599999997764</v>
      </c>
      <c r="H1121" s="67" t="s">
        <v>4085</v>
      </c>
      <c r="I1121" s="65" t="s">
        <v>3334</v>
      </c>
    </row>
    <row r="1122" spans="1:9" x14ac:dyDescent="0.25">
      <c r="A1122" s="57"/>
      <c r="B1122" s="58" t="s">
        <v>1025</v>
      </c>
      <c r="C1122" s="59" t="s">
        <v>4086</v>
      </c>
      <c r="D1122" s="60">
        <v>0</v>
      </c>
      <c r="E1122" s="61">
        <v>71.85999999998603</v>
      </c>
      <c r="F1122" s="61">
        <v>7.1859999999986028</v>
      </c>
      <c r="G1122" s="60">
        <v>12.934799999997486</v>
      </c>
      <c r="H1122" s="62" t="s">
        <v>2503</v>
      </c>
      <c r="I1122" s="60" t="s">
        <v>3334</v>
      </c>
    </row>
    <row r="1123" spans="1:9" x14ac:dyDescent="0.25">
      <c r="A1123" s="57"/>
      <c r="B1123" s="63" t="s">
        <v>1026</v>
      </c>
      <c r="C1123" s="64" t="s">
        <v>4087</v>
      </c>
      <c r="D1123" s="65">
        <v>0</v>
      </c>
      <c r="E1123" s="66">
        <v>71.85999999998603</v>
      </c>
      <c r="F1123" s="66">
        <v>7.1859999999986028</v>
      </c>
      <c r="G1123" s="65">
        <v>12.934799999997486</v>
      </c>
      <c r="H1123" s="67" t="s">
        <v>4088</v>
      </c>
      <c r="I1123" s="65" t="s">
        <v>3334</v>
      </c>
    </row>
    <row r="1124" spans="1:9" x14ac:dyDescent="0.25">
      <c r="A1124" s="57"/>
      <c r="B1124" s="58" t="s">
        <v>1027</v>
      </c>
      <c r="C1124" s="59" t="s">
        <v>4089</v>
      </c>
      <c r="D1124" s="60">
        <v>0</v>
      </c>
      <c r="E1124" s="61">
        <v>71.85999999998603</v>
      </c>
      <c r="F1124" s="61">
        <v>7.1859999999986028</v>
      </c>
      <c r="G1124" s="60">
        <v>12.934799999997486</v>
      </c>
      <c r="H1124" s="62" t="s">
        <v>4090</v>
      </c>
      <c r="I1124" s="60" t="s">
        <v>3334</v>
      </c>
    </row>
    <row r="1125" spans="1:9" x14ac:dyDescent="0.25">
      <c r="A1125" s="57"/>
      <c r="B1125" s="63" t="s">
        <v>1028</v>
      </c>
      <c r="C1125" s="64" t="s">
        <v>4091</v>
      </c>
      <c r="D1125" s="65">
        <v>1</v>
      </c>
      <c r="E1125" s="66">
        <v>71.85999999998603</v>
      </c>
      <c r="F1125" s="66">
        <v>7.1859999999986028</v>
      </c>
      <c r="G1125" s="65">
        <v>12.934799999997486</v>
      </c>
      <c r="H1125" s="67" t="s">
        <v>4092</v>
      </c>
      <c r="I1125" s="65" t="s">
        <v>3334</v>
      </c>
    </row>
    <row r="1126" spans="1:9" x14ac:dyDescent="0.25">
      <c r="A1126" s="57"/>
      <c r="B1126" s="58" t="s">
        <v>1029</v>
      </c>
      <c r="C1126" s="59" t="s">
        <v>4093</v>
      </c>
      <c r="D1126" s="60">
        <v>1</v>
      </c>
      <c r="E1126" s="61">
        <v>71.85999999998603</v>
      </c>
      <c r="F1126" s="61">
        <v>7.1859999999986028</v>
      </c>
      <c r="G1126" s="60">
        <v>12.934799999997486</v>
      </c>
      <c r="H1126" s="62" t="s">
        <v>4094</v>
      </c>
      <c r="I1126" s="60" t="s">
        <v>3334</v>
      </c>
    </row>
    <row r="1127" spans="1:9" x14ac:dyDescent="0.25">
      <c r="A1127" s="57"/>
      <c r="B1127" s="63" t="s">
        <v>1034</v>
      </c>
      <c r="C1127" s="64" t="s">
        <v>4095</v>
      </c>
      <c r="D1127" s="65">
        <v>2</v>
      </c>
      <c r="E1127" s="66">
        <v>148.47999999998137</v>
      </c>
      <c r="F1127" s="66">
        <v>9.8986666666654255</v>
      </c>
      <c r="G1127" s="65">
        <v>17.817599999997764</v>
      </c>
      <c r="H1127" s="67" t="s">
        <v>4096</v>
      </c>
      <c r="I1127" s="65" t="s">
        <v>3334</v>
      </c>
    </row>
    <row r="1128" spans="1:9" x14ac:dyDescent="0.25">
      <c r="A1128" s="57"/>
      <c r="B1128" s="58" t="s">
        <v>1051</v>
      </c>
      <c r="C1128" s="59" t="s">
        <v>4097</v>
      </c>
      <c r="D1128" s="60">
        <v>1.8700000000008004</v>
      </c>
      <c r="E1128" s="61">
        <v>89.430000000051223</v>
      </c>
      <c r="F1128" s="61">
        <v>0.89430000000051224</v>
      </c>
      <c r="G1128" s="60">
        <v>1.6097400000009221</v>
      </c>
      <c r="H1128" s="62" t="s">
        <v>4098</v>
      </c>
      <c r="I1128" s="60" t="s">
        <v>231</v>
      </c>
    </row>
    <row r="1129" spans="1:9" x14ac:dyDescent="0.25">
      <c r="A1129" s="57"/>
      <c r="B1129" s="63" t="s">
        <v>1055</v>
      </c>
      <c r="C1129" s="64" t="s">
        <v>4099</v>
      </c>
      <c r="D1129" s="65">
        <v>3.7400000000016007</v>
      </c>
      <c r="E1129" s="66">
        <v>178.86000000010245</v>
      </c>
      <c r="F1129" s="66">
        <v>0.89430000000051224</v>
      </c>
      <c r="G1129" s="65">
        <v>1.6097400000009221</v>
      </c>
      <c r="H1129" s="67" t="s">
        <v>4100</v>
      </c>
      <c r="I1129" s="65" t="s">
        <v>231</v>
      </c>
    </row>
    <row r="1130" spans="1:9" x14ac:dyDescent="0.25">
      <c r="A1130" s="57"/>
      <c r="B1130" s="58" t="s">
        <v>1053</v>
      </c>
      <c r="C1130" s="59" t="s">
        <v>4101</v>
      </c>
      <c r="D1130" s="60">
        <v>1.8700000000008004</v>
      </c>
      <c r="E1130" s="61">
        <v>89.430000000051223</v>
      </c>
      <c r="F1130" s="61">
        <v>0.89430000000051224</v>
      </c>
      <c r="G1130" s="60">
        <v>1.6097400000009221</v>
      </c>
      <c r="H1130" s="62" t="s">
        <v>4102</v>
      </c>
      <c r="I1130" s="60" t="s">
        <v>231</v>
      </c>
    </row>
    <row r="1131" spans="1:9" x14ac:dyDescent="0.25">
      <c r="A1131" s="57"/>
      <c r="B1131" s="63" t="s">
        <v>1057</v>
      </c>
      <c r="C1131" s="64" t="s">
        <v>4103</v>
      </c>
      <c r="D1131" s="65">
        <v>3.7400000000016007</v>
      </c>
      <c r="E1131" s="66">
        <v>178.86000000010245</v>
      </c>
      <c r="F1131" s="66">
        <v>0.89430000000051224</v>
      </c>
      <c r="G1131" s="65">
        <v>1.6097400000009221</v>
      </c>
      <c r="H1131" s="67" t="s">
        <v>4104</v>
      </c>
      <c r="I1131" s="65" t="s">
        <v>231</v>
      </c>
    </row>
    <row r="1132" spans="1:9" x14ac:dyDescent="0.25">
      <c r="A1132" s="57"/>
      <c r="B1132" s="58" t="s">
        <v>1052</v>
      </c>
      <c r="C1132" s="59" t="s">
        <v>4105</v>
      </c>
      <c r="D1132" s="60">
        <v>1.8700000000008004</v>
      </c>
      <c r="E1132" s="61">
        <v>89.430000000051223</v>
      </c>
      <c r="F1132" s="61">
        <v>0.89430000000051224</v>
      </c>
      <c r="G1132" s="60">
        <v>1.6097400000009221</v>
      </c>
      <c r="H1132" s="62" t="s">
        <v>4106</v>
      </c>
      <c r="I1132" s="60" t="s">
        <v>231</v>
      </c>
    </row>
    <row r="1133" spans="1:9" x14ac:dyDescent="0.25">
      <c r="A1133" s="57"/>
      <c r="B1133" s="63" t="s">
        <v>1056</v>
      </c>
      <c r="C1133" s="64" t="s">
        <v>4107</v>
      </c>
      <c r="D1133" s="65">
        <v>3.7400000000016007</v>
      </c>
      <c r="E1133" s="66">
        <v>178.86000000010245</v>
      </c>
      <c r="F1133" s="66">
        <v>0.89430000000051224</v>
      </c>
      <c r="G1133" s="65">
        <v>1.6097400000009221</v>
      </c>
      <c r="H1133" s="67" t="s">
        <v>4108</v>
      </c>
      <c r="I1133" s="65" t="s">
        <v>231</v>
      </c>
    </row>
    <row r="1134" spans="1:9" x14ac:dyDescent="0.25">
      <c r="A1134" s="57"/>
      <c r="B1134" s="58" t="s">
        <v>1050</v>
      </c>
      <c r="C1134" s="59" t="s">
        <v>4109</v>
      </c>
      <c r="D1134" s="60">
        <v>1.8700000000008004</v>
      </c>
      <c r="E1134" s="61">
        <v>89.430000000051223</v>
      </c>
      <c r="F1134" s="61">
        <v>0.89430000000051224</v>
      </c>
      <c r="G1134" s="60">
        <v>1.6097400000009221</v>
      </c>
      <c r="H1134" s="62" t="s">
        <v>4110</v>
      </c>
      <c r="I1134" s="60" t="s">
        <v>231</v>
      </c>
    </row>
    <row r="1135" spans="1:9" x14ac:dyDescent="0.25">
      <c r="A1135" s="57"/>
      <c r="B1135" s="63" t="s">
        <v>1054</v>
      </c>
      <c r="C1135" s="64" t="s">
        <v>4111</v>
      </c>
      <c r="D1135" s="65">
        <v>3.7400000000016007</v>
      </c>
      <c r="E1135" s="66">
        <v>178.86000000010245</v>
      </c>
      <c r="F1135" s="66">
        <v>0.89430000000051224</v>
      </c>
      <c r="G1135" s="65">
        <v>1.6097400000009221</v>
      </c>
      <c r="H1135" s="67" t="s">
        <v>4112</v>
      </c>
      <c r="I1135" s="65" t="s">
        <v>231</v>
      </c>
    </row>
    <row r="1136" spans="1:9" x14ac:dyDescent="0.25">
      <c r="A1136" s="57"/>
      <c r="B1136" s="58" t="s">
        <v>4113</v>
      </c>
      <c r="C1136" s="59" t="s">
        <v>4114</v>
      </c>
      <c r="D1136" s="60">
        <v>1.8700000000008004</v>
      </c>
      <c r="E1136" s="61">
        <v>89.430000000051223</v>
      </c>
      <c r="F1136" s="61">
        <v>0.89430000000051224</v>
      </c>
      <c r="G1136" s="60">
        <v>1.6097400000009221</v>
      </c>
      <c r="H1136" s="62" t="s">
        <v>4115</v>
      </c>
      <c r="I1136" s="60" t="s">
        <v>231</v>
      </c>
    </row>
    <row r="1137" spans="1:9" x14ac:dyDescent="0.25">
      <c r="A1137" s="57"/>
      <c r="B1137" s="63" t="s">
        <v>4116</v>
      </c>
      <c r="C1137" s="64" t="s">
        <v>4117</v>
      </c>
      <c r="D1137" s="65">
        <v>3.7400000000016007</v>
      </c>
      <c r="E1137" s="66">
        <v>178.86000000010245</v>
      </c>
      <c r="F1137" s="66">
        <v>0.89430000000051224</v>
      </c>
      <c r="G1137" s="65">
        <v>1.6097400000009221</v>
      </c>
      <c r="H1137" s="67" t="s">
        <v>4118</v>
      </c>
      <c r="I1137" s="65" t="s">
        <v>231</v>
      </c>
    </row>
    <row r="1138" spans="1:9" x14ac:dyDescent="0.25">
      <c r="A1138" s="57"/>
      <c r="B1138" s="58" t="s">
        <v>1060</v>
      </c>
      <c r="C1138" s="59" t="s">
        <v>4119</v>
      </c>
      <c r="D1138" s="60">
        <v>2.2999999999992724</v>
      </c>
      <c r="E1138" s="61">
        <v>141.68999999994412</v>
      </c>
      <c r="F1138" s="61">
        <v>1.4168999999994412</v>
      </c>
      <c r="G1138" s="60">
        <v>2.550419999998994</v>
      </c>
      <c r="H1138" s="62" t="s">
        <v>4120</v>
      </c>
      <c r="I1138" s="60" t="s">
        <v>231</v>
      </c>
    </row>
    <row r="1139" spans="1:9" x14ac:dyDescent="0.25">
      <c r="A1139" s="57"/>
      <c r="B1139" s="63" t="s">
        <v>1063</v>
      </c>
      <c r="C1139" s="64" t="s">
        <v>4121</v>
      </c>
      <c r="D1139" s="65">
        <v>4.5999999999985448</v>
      </c>
      <c r="E1139" s="66">
        <v>283.37999999988824</v>
      </c>
      <c r="F1139" s="66">
        <v>1.4168999999994412</v>
      </c>
      <c r="G1139" s="65">
        <v>2.550419999998994</v>
      </c>
      <c r="H1139" s="67" t="s">
        <v>4122</v>
      </c>
      <c r="I1139" s="65" t="s">
        <v>231</v>
      </c>
    </row>
    <row r="1140" spans="1:9" x14ac:dyDescent="0.25">
      <c r="A1140" s="57"/>
      <c r="B1140" s="58" t="s">
        <v>1059</v>
      </c>
      <c r="C1140" s="59" t="s">
        <v>4123</v>
      </c>
      <c r="D1140" s="60">
        <v>2.2999999999992724</v>
      </c>
      <c r="E1140" s="61">
        <v>141.68999999994412</v>
      </c>
      <c r="F1140" s="61">
        <v>1.4168999999994412</v>
      </c>
      <c r="G1140" s="60">
        <v>2.550419999998994</v>
      </c>
      <c r="H1140" s="62" t="s">
        <v>4124</v>
      </c>
      <c r="I1140" s="60" t="s">
        <v>231</v>
      </c>
    </row>
    <row r="1141" spans="1:9" x14ac:dyDescent="0.25">
      <c r="A1141" s="57"/>
      <c r="B1141" s="63" t="s">
        <v>1062</v>
      </c>
      <c r="C1141" s="64" t="s">
        <v>4125</v>
      </c>
      <c r="D1141" s="65">
        <v>4.5999999999985448</v>
      </c>
      <c r="E1141" s="66">
        <v>283.37999999988824</v>
      </c>
      <c r="F1141" s="66">
        <v>1.4168999999994412</v>
      </c>
      <c r="G1141" s="65">
        <v>2.550419999998994</v>
      </c>
      <c r="H1141" s="67" t="s">
        <v>4126</v>
      </c>
      <c r="I1141" s="65" t="s">
        <v>231</v>
      </c>
    </row>
    <row r="1142" spans="1:9" x14ac:dyDescent="0.25">
      <c r="A1142" s="57"/>
      <c r="B1142" s="58" t="s">
        <v>1058</v>
      </c>
      <c r="C1142" s="59" t="s">
        <v>4127</v>
      </c>
      <c r="D1142" s="60">
        <v>2.2999999999992724</v>
      </c>
      <c r="E1142" s="61">
        <v>141.68999999994412</v>
      </c>
      <c r="F1142" s="61">
        <v>1.4168999999994412</v>
      </c>
      <c r="G1142" s="60">
        <v>2.550419999998994</v>
      </c>
      <c r="H1142" s="62" t="s">
        <v>4128</v>
      </c>
      <c r="I1142" s="60" t="s">
        <v>231</v>
      </c>
    </row>
    <row r="1143" spans="1:9" x14ac:dyDescent="0.25">
      <c r="A1143" s="57"/>
      <c r="B1143" s="63" t="s">
        <v>1061</v>
      </c>
      <c r="C1143" s="64" t="s">
        <v>4129</v>
      </c>
      <c r="D1143" s="65">
        <v>4.5999999999985448</v>
      </c>
      <c r="E1143" s="66">
        <v>283.37999999988824</v>
      </c>
      <c r="F1143" s="66">
        <v>1.4168999999994412</v>
      </c>
      <c r="G1143" s="65">
        <v>2.550419999998994</v>
      </c>
      <c r="H1143" s="67" t="s">
        <v>4130</v>
      </c>
      <c r="I1143" s="65" t="s">
        <v>231</v>
      </c>
    </row>
    <row r="1144" spans="1:9" x14ac:dyDescent="0.25">
      <c r="A1144" s="57"/>
      <c r="B1144" s="58" t="s">
        <v>4131</v>
      </c>
      <c r="C1144" s="59" t="s">
        <v>4132</v>
      </c>
      <c r="D1144" s="60">
        <v>2.2999999999992724</v>
      </c>
      <c r="E1144" s="61">
        <v>141.68999999994412</v>
      </c>
      <c r="F1144" s="61">
        <v>1.4168999999994412</v>
      </c>
      <c r="G1144" s="60">
        <v>2.550419999998994</v>
      </c>
      <c r="H1144" s="62" t="s">
        <v>4133</v>
      </c>
      <c r="I1144" s="60" t="s">
        <v>231</v>
      </c>
    </row>
    <row r="1145" spans="1:9" x14ac:dyDescent="0.25">
      <c r="A1145" s="57"/>
      <c r="B1145" s="63" t="s">
        <v>4134</v>
      </c>
      <c r="C1145" s="64" t="s">
        <v>4135</v>
      </c>
      <c r="D1145" s="65">
        <v>4.5999999999985448</v>
      </c>
      <c r="E1145" s="66">
        <v>283.37999999988824</v>
      </c>
      <c r="F1145" s="66">
        <v>1.4168999999994412</v>
      </c>
      <c r="G1145" s="65">
        <v>2.550419999998994</v>
      </c>
      <c r="H1145" s="67" t="s">
        <v>4136</v>
      </c>
      <c r="I1145" s="65" t="s">
        <v>231</v>
      </c>
    </row>
    <row r="1146" spans="1:9" x14ac:dyDescent="0.25">
      <c r="A1146" s="57"/>
      <c r="B1146" s="58" t="s">
        <v>1065</v>
      </c>
      <c r="C1146" s="59" t="s">
        <v>4137</v>
      </c>
      <c r="D1146" s="60">
        <v>2.930000000000291</v>
      </c>
      <c r="E1146" s="61">
        <v>172.95999999996275</v>
      </c>
      <c r="F1146" s="61">
        <v>1.7295999999996274</v>
      </c>
      <c r="G1146" s="60">
        <v>3.1132799999993295</v>
      </c>
      <c r="H1146" s="62" t="s">
        <v>4138</v>
      </c>
      <c r="I1146" s="60" t="s">
        <v>231</v>
      </c>
    </row>
    <row r="1147" spans="1:9" x14ac:dyDescent="0.25">
      <c r="A1147" s="57"/>
      <c r="B1147" s="63" t="s">
        <v>1069</v>
      </c>
      <c r="C1147" s="64" t="s">
        <v>4139</v>
      </c>
      <c r="D1147" s="65">
        <v>5.8600000000005821</v>
      </c>
      <c r="E1147" s="66">
        <v>345.89999999990687</v>
      </c>
      <c r="F1147" s="66">
        <v>1.7294999999995344</v>
      </c>
      <c r="G1147" s="65">
        <v>3.1130999999991622</v>
      </c>
      <c r="H1147" s="67" t="s">
        <v>4140</v>
      </c>
      <c r="I1147" s="65" t="s">
        <v>231</v>
      </c>
    </row>
    <row r="1148" spans="1:9" x14ac:dyDescent="0.25">
      <c r="A1148" s="57"/>
      <c r="B1148" s="58" t="s">
        <v>1067</v>
      </c>
      <c r="C1148" s="59" t="s">
        <v>4141</v>
      </c>
      <c r="D1148" s="60">
        <v>2.930000000000291</v>
      </c>
      <c r="E1148" s="61">
        <v>172.95999999996275</v>
      </c>
      <c r="F1148" s="61">
        <v>1.7295999999996274</v>
      </c>
      <c r="G1148" s="60">
        <v>3.1132799999993295</v>
      </c>
      <c r="H1148" s="62" t="s">
        <v>4142</v>
      </c>
      <c r="I1148" s="60" t="s">
        <v>231</v>
      </c>
    </row>
    <row r="1149" spans="1:9" x14ac:dyDescent="0.25">
      <c r="A1149" s="57"/>
      <c r="B1149" s="63" t="s">
        <v>1071</v>
      </c>
      <c r="C1149" s="64" t="s">
        <v>4143</v>
      </c>
      <c r="D1149" s="65">
        <v>5.8600000000005821</v>
      </c>
      <c r="E1149" s="66">
        <v>345.89999999990687</v>
      </c>
      <c r="F1149" s="66">
        <v>1.7294999999995344</v>
      </c>
      <c r="G1149" s="65">
        <v>3.1130999999991622</v>
      </c>
      <c r="H1149" s="67" t="s">
        <v>4144</v>
      </c>
      <c r="I1149" s="65" t="s">
        <v>231</v>
      </c>
    </row>
    <row r="1150" spans="1:9" x14ac:dyDescent="0.25">
      <c r="A1150" s="57"/>
      <c r="B1150" s="58" t="s">
        <v>1066</v>
      </c>
      <c r="C1150" s="59" t="s">
        <v>4145</v>
      </c>
      <c r="D1150" s="60">
        <v>2.930000000000291</v>
      </c>
      <c r="E1150" s="61">
        <v>172.95999999996275</v>
      </c>
      <c r="F1150" s="61">
        <v>1.7295999999996274</v>
      </c>
      <c r="G1150" s="60">
        <v>3.1132799999993295</v>
      </c>
      <c r="H1150" s="62" t="s">
        <v>4146</v>
      </c>
      <c r="I1150" s="60" t="s">
        <v>231</v>
      </c>
    </row>
    <row r="1151" spans="1:9" x14ac:dyDescent="0.25">
      <c r="A1151" s="57"/>
      <c r="B1151" s="63" t="s">
        <v>1070</v>
      </c>
      <c r="C1151" s="64" t="s">
        <v>4147</v>
      </c>
      <c r="D1151" s="65">
        <v>5.8600000000005821</v>
      </c>
      <c r="E1151" s="66">
        <v>345.89999999990687</v>
      </c>
      <c r="F1151" s="66">
        <v>1.7294999999995344</v>
      </c>
      <c r="G1151" s="65">
        <v>3.1130999999991622</v>
      </c>
      <c r="H1151" s="67" t="s">
        <v>4148</v>
      </c>
      <c r="I1151" s="65" t="s">
        <v>231</v>
      </c>
    </row>
    <row r="1152" spans="1:9" x14ac:dyDescent="0.25">
      <c r="A1152" s="57"/>
      <c r="B1152" s="58" t="s">
        <v>1064</v>
      </c>
      <c r="C1152" s="59" t="s">
        <v>4149</v>
      </c>
      <c r="D1152" s="60">
        <v>2.930000000000291</v>
      </c>
      <c r="E1152" s="61">
        <v>172.95999999996275</v>
      </c>
      <c r="F1152" s="61">
        <v>1.7295999999996274</v>
      </c>
      <c r="G1152" s="60">
        <v>3.1132799999993295</v>
      </c>
      <c r="H1152" s="62" t="s">
        <v>4150</v>
      </c>
      <c r="I1152" s="60" t="s">
        <v>231</v>
      </c>
    </row>
    <row r="1153" spans="1:9" x14ac:dyDescent="0.25">
      <c r="A1153" s="57"/>
      <c r="B1153" s="63" t="s">
        <v>1068</v>
      </c>
      <c r="C1153" s="64" t="s">
        <v>4151</v>
      </c>
      <c r="D1153" s="65">
        <v>5.8600000000005821</v>
      </c>
      <c r="E1153" s="66">
        <v>345.89999999990687</v>
      </c>
      <c r="F1153" s="66">
        <v>1.7294999999995344</v>
      </c>
      <c r="G1153" s="65">
        <v>3.1130999999991622</v>
      </c>
      <c r="H1153" s="67" t="s">
        <v>4152</v>
      </c>
      <c r="I1153" s="65" t="s">
        <v>231</v>
      </c>
    </row>
    <row r="1154" spans="1:9" x14ac:dyDescent="0.25">
      <c r="A1154" s="57"/>
      <c r="B1154" s="58" t="s">
        <v>4153</v>
      </c>
      <c r="C1154" s="59" t="s">
        <v>4154</v>
      </c>
      <c r="D1154" s="60">
        <v>2.930000000000291</v>
      </c>
      <c r="E1154" s="61">
        <v>172.95999999996275</v>
      </c>
      <c r="F1154" s="61">
        <v>1.7295999999996274</v>
      </c>
      <c r="G1154" s="60">
        <v>3.1132799999993295</v>
      </c>
      <c r="H1154" s="62" t="s">
        <v>4155</v>
      </c>
      <c r="I1154" s="60" t="s">
        <v>231</v>
      </c>
    </row>
    <row r="1155" spans="1:9" x14ac:dyDescent="0.25">
      <c r="A1155" s="57"/>
      <c r="B1155" s="63" t="s">
        <v>4156</v>
      </c>
      <c r="C1155" s="64" t="s">
        <v>4157</v>
      </c>
      <c r="D1155" s="65">
        <v>5.8600000000005821</v>
      </c>
      <c r="E1155" s="66">
        <v>345.89999999990687</v>
      </c>
      <c r="F1155" s="66">
        <v>1.7294999999995344</v>
      </c>
      <c r="G1155" s="65">
        <v>3.1130999999991622</v>
      </c>
      <c r="H1155" s="67" t="s">
        <v>4158</v>
      </c>
      <c r="I1155" s="65" t="s">
        <v>231</v>
      </c>
    </row>
    <row r="1156" spans="1:9" x14ac:dyDescent="0.25">
      <c r="A1156" s="57"/>
      <c r="B1156" s="58" t="s">
        <v>1073</v>
      </c>
      <c r="C1156" s="59" t="s">
        <v>4159</v>
      </c>
      <c r="D1156" s="60">
        <v>1.7600000000002183</v>
      </c>
      <c r="E1156" s="61">
        <v>63.950000000011642</v>
      </c>
      <c r="F1156" s="61">
        <v>0.63950000000011642</v>
      </c>
      <c r="G1156" s="60">
        <v>1.1511000000002096</v>
      </c>
      <c r="H1156" s="62" t="s">
        <v>4160</v>
      </c>
      <c r="I1156" s="60" t="s">
        <v>3641</v>
      </c>
    </row>
    <row r="1157" spans="1:9" x14ac:dyDescent="0.25">
      <c r="A1157" s="57"/>
      <c r="B1157" s="63" t="s">
        <v>1074</v>
      </c>
      <c r="C1157" s="64" t="s">
        <v>4161</v>
      </c>
      <c r="D1157" s="65">
        <v>3.5200000000004366</v>
      </c>
      <c r="E1157" s="66">
        <v>127.88000000000466</v>
      </c>
      <c r="F1157" s="66">
        <v>0.63940000000002328</v>
      </c>
      <c r="G1157" s="65">
        <v>1.1509200000000419</v>
      </c>
      <c r="H1157" s="67" t="s">
        <v>4162</v>
      </c>
      <c r="I1157" s="65" t="s">
        <v>3641</v>
      </c>
    </row>
    <row r="1158" spans="1:9" x14ac:dyDescent="0.25">
      <c r="A1158" s="57"/>
      <c r="B1158" s="58" t="s">
        <v>4163</v>
      </c>
      <c r="C1158" s="59" t="s">
        <v>4164</v>
      </c>
      <c r="D1158" s="60">
        <v>1.7600000000002183</v>
      </c>
      <c r="E1158" s="61">
        <v>63.950000000011642</v>
      </c>
      <c r="F1158" s="61">
        <v>0.63950000000011642</v>
      </c>
      <c r="G1158" s="60">
        <v>1.1511000000002096</v>
      </c>
      <c r="H1158" s="62" t="s">
        <v>4165</v>
      </c>
      <c r="I1158" s="60" t="s">
        <v>3641</v>
      </c>
    </row>
    <row r="1159" spans="1:9" x14ac:dyDescent="0.25">
      <c r="A1159" s="57"/>
      <c r="B1159" s="63" t="s">
        <v>4166</v>
      </c>
      <c r="C1159" s="64" t="s">
        <v>4167</v>
      </c>
      <c r="D1159" s="65">
        <v>3.5200000000004366</v>
      </c>
      <c r="E1159" s="66">
        <v>127.88000000000466</v>
      </c>
      <c r="F1159" s="66">
        <v>0.63940000000002328</v>
      </c>
      <c r="G1159" s="65">
        <v>1.1509200000000419</v>
      </c>
      <c r="H1159" s="67" t="s">
        <v>4168</v>
      </c>
      <c r="I1159" s="65" t="s">
        <v>3641</v>
      </c>
    </row>
    <row r="1160" spans="1:9" x14ac:dyDescent="0.25">
      <c r="A1160" s="57"/>
      <c r="B1160" s="58" t="s">
        <v>1075</v>
      </c>
      <c r="C1160" s="59" t="s">
        <v>4169</v>
      </c>
      <c r="D1160" s="60">
        <v>2.7000000000007276</v>
      </c>
      <c r="E1160" s="61">
        <v>102.55000000004657</v>
      </c>
      <c r="F1160" s="61">
        <v>1.0255000000004657</v>
      </c>
      <c r="G1160" s="60">
        <v>1.8459000000008381</v>
      </c>
      <c r="H1160" s="62" t="s">
        <v>4170</v>
      </c>
      <c r="I1160" s="60" t="s">
        <v>3641</v>
      </c>
    </row>
    <row r="1161" spans="1:9" x14ac:dyDescent="0.25">
      <c r="A1161" s="57"/>
      <c r="B1161" s="63" t="s">
        <v>1076</v>
      </c>
      <c r="C1161" s="64" t="s">
        <v>4171</v>
      </c>
      <c r="D1161" s="65">
        <v>5.4000000000014552</v>
      </c>
      <c r="E1161" s="66">
        <v>205.11000000010245</v>
      </c>
      <c r="F1161" s="66">
        <v>1.0255500000005122</v>
      </c>
      <c r="G1161" s="65">
        <v>1.8459900000009222</v>
      </c>
      <c r="H1161" s="67" t="s">
        <v>4172</v>
      </c>
      <c r="I1161" s="65" t="s">
        <v>3641</v>
      </c>
    </row>
    <row r="1162" spans="1:9" x14ac:dyDescent="0.25">
      <c r="A1162" s="57"/>
      <c r="B1162" s="58" t="s">
        <v>4173</v>
      </c>
      <c r="C1162" s="59" t="s">
        <v>4174</v>
      </c>
      <c r="D1162" s="60">
        <v>2.7000000000007276</v>
      </c>
      <c r="E1162" s="61">
        <v>102.55000000004657</v>
      </c>
      <c r="F1162" s="61">
        <v>1.0255000000004657</v>
      </c>
      <c r="G1162" s="60">
        <v>1.8459000000008381</v>
      </c>
      <c r="H1162" s="62" t="s">
        <v>4175</v>
      </c>
      <c r="I1162" s="60" t="s">
        <v>3641</v>
      </c>
    </row>
    <row r="1163" spans="1:9" x14ac:dyDescent="0.25">
      <c r="A1163" s="57"/>
      <c r="B1163" s="63" t="s">
        <v>4176</v>
      </c>
      <c r="C1163" s="64" t="s">
        <v>4177</v>
      </c>
      <c r="D1163" s="65">
        <v>5.4000000000014552</v>
      </c>
      <c r="E1163" s="66">
        <v>205.11000000010245</v>
      </c>
      <c r="F1163" s="66">
        <v>1.0255500000005122</v>
      </c>
      <c r="G1163" s="65">
        <v>1.8459900000009222</v>
      </c>
      <c r="H1163" s="67" t="s">
        <v>4178</v>
      </c>
      <c r="I1163" s="65" t="s">
        <v>3641</v>
      </c>
    </row>
    <row r="1164" spans="1:9" x14ac:dyDescent="0.25">
      <c r="A1164" s="57"/>
      <c r="B1164" s="58" t="s">
        <v>1088</v>
      </c>
      <c r="C1164" s="59" t="s">
        <v>4179</v>
      </c>
      <c r="D1164" s="60">
        <v>1.2999999999992724</v>
      </c>
      <c r="E1164" s="61">
        <v>68.400000000023283</v>
      </c>
      <c r="F1164" s="61">
        <v>0.68400000000023287</v>
      </c>
      <c r="G1164" s="60">
        <v>1.2312000000004191</v>
      </c>
      <c r="H1164" s="62" t="s">
        <v>4180</v>
      </c>
      <c r="I1164" s="60" t="s">
        <v>4181</v>
      </c>
    </row>
    <row r="1165" spans="1:9" x14ac:dyDescent="0.25">
      <c r="A1165" s="57"/>
      <c r="B1165" s="63" t="s">
        <v>1087</v>
      </c>
      <c r="C1165" s="64" t="s">
        <v>4182</v>
      </c>
      <c r="D1165" s="65">
        <v>1.2999999999992724</v>
      </c>
      <c r="E1165" s="66">
        <v>68.400000000023283</v>
      </c>
      <c r="F1165" s="66">
        <v>0.68400000000023287</v>
      </c>
      <c r="G1165" s="65">
        <v>1.2312000000004191</v>
      </c>
      <c r="H1165" s="67" t="s">
        <v>4183</v>
      </c>
      <c r="I1165" s="65" t="s">
        <v>4181</v>
      </c>
    </row>
    <row r="1166" spans="1:9" x14ac:dyDescent="0.25">
      <c r="A1166" s="57"/>
      <c r="B1166" s="58" t="s">
        <v>1089</v>
      </c>
      <c r="C1166" s="59" t="s">
        <v>4184</v>
      </c>
      <c r="D1166" s="60">
        <v>1.2999999999992724</v>
      </c>
      <c r="E1166" s="61">
        <v>68.400000000023283</v>
      </c>
      <c r="F1166" s="61">
        <v>0.68400000000023287</v>
      </c>
      <c r="G1166" s="60">
        <v>1.2312000000004191</v>
      </c>
      <c r="H1166" s="62" t="s">
        <v>4185</v>
      </c>
      <c r="I1166" s="60" t="s">
        <v>4181</v>
      </c>
    </row>
    <row r="1167" spans="1:9" x14ac:dyDescent="0.25">
      <c r="A1167" s="57"/>
      <c r="B1167" s="63" t="s">
        <v>1086</v>
      </c>
      <c r="C1167" s="64" t="s">
        <v>4186</v>
      </c>
      <c r="D1167" s="65">
        <v>1.2999999999992724</v>
      </c>
      <c r="E1167" s="66">
        <v>68.400000000023283</v>
      </c>
      <c r="F1167" s="66">
        <v>0.68400000000023287</v>
      </c>
      <c r="G1167" s="65">
        <v>1.2312000000004191</v>
      </c>
      <c r="H1167" s="67" t="s">
        <v>4187</v>
      </c>
      <c r="I1167" s="65" t="s">
        <v>4181</v>
      </c>
    </row>
    <row r="1168" spans="1:9" x14ac:dyDescent="0.25">
      <c r="A1168" s="57"/>
      <c r="B1168" s="58" t="s">
        <v>1078</v>
      </c>
      <c r="C1168" s="59" t="s">
        <v>4188</v>
      </c>
      <c r="D1168" s="60">
        <v>1.2999999999992724</v>
      </c>
      <c r="E1168" s="61">
        <v>54.830000000016298</v>
      </c>
      <c r="F1168" s="61">
        <v>0.54830000000016299</v>
      </c>
      <c r="G1168" s="60">
        <v>0.98694000000029336</v>
      </c>
      <c r="H1168" s="62" t="s">
        <v>4189</v>
      </c>
      <c r="I1168" s="60" t="s">
        <v>4181</v>
      </c>
    </row>
    <row r="1169" spans="1:9" x14ac:dyDescent="0.25">
      <c r="A1169" s="57"/>
      <c r="B1169" s="63" t="s">
        <v>1092</v>
      </c>
      <c r="C1169" s="64" t="s">
        <v>4190</v>
      </c>
      <c r="D1169" s="65">
        <v>2.5999999999985448</v>
      </c>
      <c r="E1169" s="66">
        <v>136.77000000001863</v>
      </c>
      <c r="F1169" s="66">
        <v>0.68385000000009311</v>
      </c>
      <c r="G1169" s="65">
        <v>1.2309300000001677</v>
      </c>
      <c r="H1169" s="67" t="s">
        <v>4191</v>
      </c>
      <c r="I1169" s="65" t="s">
        <v>4181</v>
      </c>
    </row>
    <row r="1170" spans="1:9" x14ac:dyDescent="0.25">
      <c r="A1170" s="57"/>
      <c r="B1170" s="58" t="s">
        <v>1091</v>
      </c>
      <c r="C1170" s="59" t="s">
        <v>4192</v>
      </c>
      <c r="D1170" s="60">
        <v>2.5999999999985448</v>
      </c>
      <c r="E1170" s="61">
        <v>136.77000000001863</v>
      </c>
      <c r="F1170" s="61">
        <v>0.68385000000009311</v>
      </c>
      <c r="G1170" s="60">
        <v>1.2309300000001677</v>
      </c>
      <c r="H1170" s="62" t="s">
        <v>4193</v>
      </c>
      <c r="I1170" s="60" t="s">
        <v>4181</v>
      </c>
    </row>
    <row r="1171" spans="1:9" x14ac:dyDescent="0.25">
      <c r="A1171" s="57"/>
      <c r="B1171" s="63" t="s">
        <v>1093</v>
      </c>
      <c r="C1171" s="64" t="s">
        <v>4194</v>
      </c>
      <c r="D1171" s="65">
        <v>2.5999999999985448</v>
      </c>
      <c r="E1171" s="66">
        <v>136.77000000001863</v>
      </c>
      <c r="F1171" s="66">
        <v>0.68385000000009311</v>
      </c>
      <c r="G1171" s="65">
        <v>1.2309300000001677</v>
      </c>
      <c r="H1171" s="67" t="s">
        <v>4195</v>
      </c>
      <c r="I1171" s="65" t="s">
        <v>4181</v>
      </c>
    </row>
    <row r="1172" spans="1:9" x14ac:dyDescent="0.25">
      <c r="A1172" s="57"/>
      <c r="B1172" s="58" t="s">
        <v>1090</v>
      </c>
      <c r="C1172" s="59" t="s">
        <v>4196</v>
      </c>
      <c r="D1172" s="60">
        <v>2.5999999999985448</v>
      </c>
      <c r="E1172" s="61">
        <v>136.77000000001863</v>
      </c>
      <c r="F1172" s="61">
        <v>0.68385000000009311</v>
      </c>
      <c r="G1172" s="60">
        <v>1.2309300000001677</v>
      </c>
      <c r="H1172" s="62" t="s">
        <v>4197</v>
      </c>
      <c r="I1172" s="60" t="s">
        <v>4181</v>
      </c>
    </row>
    <row r="1173" spans="1:9" x14ac:dyDescent="0.25">
      <c r="A1173" s="57"/>
      <c r="B1173" s="63" t="s">
        <v>1079</v>
      </c>
      <c r="C1173" s="64" t="s">
        <v>4198</v>
      </c>
      <c r="D1173" s="65">
        <v>2.5999999999985448</v>
      </c>
      <c r="E1173" s="66">
        <v>109.68999999994412</v>
      </c>
      <c r="F1173" s="66">
        <v>0.54844999999972055</v>
      </c>
      <c r="G1173" s="65">
        <v>0.9872099999994971</v>
      </c>
      <c r="H1173" s="67" t="s">
        <v>4199</v>
      </c>
      <c r="I1173" s="65" t="s">
        <v>4181</v>
      </c>
    </row>
    <row r="1174" spans="1:9" x14ac:dyDescent="0.25">
      <c r="A1174" s="57"/>
      <c r="B1174" s="58" t="s">
        <v>1096</v>
      </c>
      <c r="C1174" s="59" t="s">
        <v>4200</v>
      </c>
      <c r="D1174" s="60">
        <v>2.0999999999985448</v>
      </c>
      <c r="E1174" s="61">
        <v>91.92000000004191</v>
      </c>
      <c r="F1174" s="61">
        <v>0.91920000000041913</v>
      </c>
      <c r="G1174" s="60">
        <v>1.6545600000007545</v>
      </c>
      <c r="H1174" s="62" t="s">
        <v>4201</v>
      </c>
      <c r="I1174" s="60" t="s">
        <v>4181</v>
      </c>
    </row>
    <row r="1175" spans="1:9" x14ac:dyDescent="0.25">
      <c r="A1175" s="57"/>
      <c r="B1175" s="63" t="s">
        <v>1095</v>
      </c>
      <c r="C1175" s="64" t="s">
        <v>4202</v>
      </c>
      <c r="D1175" s="65">
        <v>2.0999999999985448</v>
      </c>
      <c r="E1175" s="66">
        <v>91.92000000004191</v>
      </c>
      <c r="F1175" s="66">
        <v>0.91920000000041913</v>
      </c>
      <c r="G1175" s="65">
        <v>1.6545600000007545</v>
      </c>
      <c r="H1175" s="67" t="s">
        <v>4203</v>
      </c>
      <c r="I1175" s="65" t="s">
        <v>4181</v>
      </c>
    </row>
    <row r="1176" spans="1:9" x14ac:dyDescent="0.25">
      <c r="A1176" s="57"/>
      <c r="B1176" s="58" t="s">
        <v>1097</v>
      </c>
      <c r="C1176" s="59" t="s">
        <v>4204</v>
      </c>
      <c r="D1176" s="60">
        <v>2.0999999999985448</v>
      </c>
      <c r="E1176" s="61">
        <v>91.92000000004191</v>
      </c>
      <c r="F1176" s="61">
        <v>0.91920000000041913</v>
      </c>
      <c r="G1176" s="60">
        <v>1.6545600000007545</v>
      </c>
      <c r="H1176" s="62" t="s">
        <v>4205</v>
      </c>
      <c r="I1176" s="60" t="s">
        <v>4181</v>
      </c>
    </row>
    <row r="1177" spans="1:9" x14ac:dyDescent="0.25">
      <c r="A1177" s="57"/>
      <c r="B1177" s="63" t="s">
        <v>1094</v>
      </c>
      <c r="C1177" s="64" t="s">
        <v>4206</v>
      </c>
      <c r="D1177" s="65">
        <v>2.0999999999985448</v>
      </c>
      <c r="E1177" s="66">
        <v>91.92000000004191</v>
      </c>
      <c r="F1177" s="66">
        <v>0.91920000000041913</v>
      </c>
      <c r="G1177" s="65">
        <v>1.6545600000007545</v>
      </c>
      <c r="H1177" s="67" t="s">
        <v>4207</v>
      </c>
      <c r="I1177" s="65" t="s">
        <v>4181</v>
      </c>
    </row>
    <row r="1178" spans="1:9" x14ac:dyDescent="0.25">
      <c r="A1178" s="57"/>
      <c r="B1178" s="58" t="s">
        <v>1080</v>
      </c>
      <c r="C1178" s="59" t="s">
        <v>4208</v>
      </c>
      <c r="D1178" s="60">
        <v>2.0999999999985448</v>
      </c>
      <c r="E1178" s="61">
        <v>74.92000000004191</v>
      </c>
      <c r="F1178" s="61">
        <v>0.74920000000041909</v>
      </c>
      <c r="G1178" s="60">
        <v>1.3485600000007545</v>
      </c>
      <c r="H1178" s="62" t="s">
        <v>4209</v>
      </c>
      <c r="I1178" s="60" t="s">
        <v>4181</v>
      </c>
    </row>
    <row r="1179" spans="1:9" x14ac:dyDescent="0.25">
      <c r="A1179" s="57"/>
      <c r="B1179" s="63" t="s">
        <v>1100</v>
      </c>
      <c r="C1179" s="64" t="s">
        <v>4210</v>
      </c>
      <c r="D1179" s="65">
        <v>4.1999999999970896</v>
      </c>
      <c r="E1179" s="66">
        <v>183.87999999988824</v>
      </c>
      <c r="F1179" s="66">
        <v>0.91939999999944122</v>
      </c>
      <c r="G1179" s="65">
        <v>1.6549199999989943</v>
      </c>
      <c r="H1179" s="67" t="s">
        <v>4211</v>
      </c>
      <c r="I1179" s="65" t="s">
        <v>4181</v>
      </c>
    </row>
    <row r="1180" spans="1:9" x14ac:dyDescent="0.25">
      <c r="A1180" s="57"/>
      <c r="B1180" s="58" t="s">
        <v>1099</v>
      </c>
      <c r="C1180" s="59" t="s">
        <v>4212</v>
      </c>
      <c r="D1180" s="60">
        <v>4.1999999999970896</v>
      </c>
      <c r="E1180" s="61">
        <v>183.87999999988824</v>
      </c>
      <c r="F1180" s="61">
        <v>0.91939999999944122</v>
      </c>
      <c r="G1180" s="60">
        <v>1.6549199999989943</v>
      </c>
      <c r="H1180" s="62" t="s">
        <v>4213</v>
      </c>
      <c r="I1180" s="60" t="s">
        <v>4181</v>
      </c>
    </row>
    <row r="1181" spans="1:9" x14ac:dyDescent="0.25">
      <c r="A1181" s="57"/>
      <c r="B1181" s="63" t="s">
        <v>1101</v>
      </c>
      <c r="C1181" s="64" t="s">
        <v>4214</v>
      </c>
      <c r="D1181" s="65">
        <v>4.1999999999970896</v>
      </c>
      <c r="E1181" s="66">
        <v>183.87999999988824</v>
      </c>
      <c r="F1181" s="66">
        <v>0.91939999999944122</v>
      </c>
      <c r="G1181" s="65">
        <v>1.6549199999989943</v>
      </c>
      <c r="H1181" s="67" t="s">
        <v>4215</v>
      </c>
      <c r="I1181" s="65" t="s">
        <v>4181</v>
      </c>
    </row>
    <row r="1182" spans="1:9" x14ac:dyDescent="0.25">
      <c r="A1182" s="57"/>
      <c r="B1182" s="58" t="s">
        <v>1098</v>
      </c>
      <c r="C1182" s="59" t="s">
        <v>4216</v>
      </c>
      <c r="D1182" s="60">
        <v>4.1999999999970896</v>
      </c>
      <c r="E1182" s="61">
        <v>183.87999999988824</v>
      </c>
      <c r="F1182" s="61">
        <v>0.91939999999944122</v>
      </c>
      <c r="G1182" s="60">
        <v>1.6549199999989943</v>
      </c>
      <c r="H1182" s="62" t="s">
        <v>4217</v>
      </c>
      <c r="I1182" s="60" t="s">
        <v>4181</v>
      </c>
    </row>
    <row r="1183" spans="1:9" x14ac:dyDescent="0.25">
      <c r="A1183" s="57"/>
      <c r="B1183" s="63" t="s">
        <v>1081</v>
      </c>
      <c r="C1183" s="64" t="s">
        <v>4218</v>
      </c>
      <c r="D1183" s="65">
        <v>4.1999999999970896</v>
      </c>
      <c r="E1183" s="66">
        <v>149.85000000009313</v>
      </c>
      <c r="F1183" s="66">
        <v>0.74925000000046571</v>
      </c>
      <c r="G1183" s="65">
        <v>1.3486500000008383</v>
      </c>
      <c r="H1183" s="67" t="s">
        <v>4219</v>
      </c>
      <c r="I1183" s="65" t="s">
        <v>4181</v>
      </c>
    </row>
    <row r="1184" spans="1:9" x14ac:dyDescent="0.25">
      <c r="A1184" s="57"/>
      <c r="B1184" s="58" t="s">
        <v>1104</v>
      </c>
      <c r="C1184" s="59" t="s">
        <v>4220</v>
      </c>
      <c r="D1184" s="60">
        <v>2.9000000000014552</v>
      </c>
      <c r="E1184" s="61">
        <v>110.22999999998137</v>
      </c>
      <c r="F1184" s="61">
        <v>1.1022999999998138</v>
      </c>
      <c r="G1184" s="60">
        <v>1.9841399999996647</v>
      </c>
      <c r="H1184" s="62" t="s">
        <v>4221</v>
      </c>
      <c r="I1184" s="60" t="s">
        <v>4181</v>
      </c>
    </row>
    <row r="1185" spans="1:9" x14ac:dyDescent="0.25">
      <c r="A1185" s="57"/>
      <c r="B1185" s="63" t="s">
        <v>1103</v>
      </c>
      <c r="C1185" s="64" t="s">
        <v>4222</v>
      </c>
      <c r="D1185" s="65">
        <v>2.9000000000014552</v>
      </c>
      <c r="E1185" s="66">
        <v>110.22999999998137</v>
      </c>
      <c r="F1185" s="66">
        <v>1.1022999999998138</v>
      </c>
      <c r="G1185" s="65">
        <v>1.9841399999996647</v>
      </c>
      <c r="H1185" s="67" t="s">
        <v>4223</v>
      </c>
      <c r="I1185" s="65" t="s">
        <v>4181</v>
      </c>
    </row>
    <row r="1186" spans="1:9" x14ac:dyDescent="0.25">
      <c r="A1186" s="57"/>
      <c r="B1186" s="58" t="s">
        <v>1105</v>
      </c>
      <c r="C1186" s="59" t="s">
        <v>4224</v>
      </c>
      <c r="D1186" s="60">
        <v>2.9000000000014552</v>
      </c>
      <c r="E1186" s="61">
        <v>110.22999999998137</v>
      </c>
      <c r="F1186" s="61">
        <v>1.1022999999998138</v>
      </c>
      <c r="G1186" s="60">
        <v>1.9841399999996647</v>
      </c>
      <c r="H1186" s="62" t="s">
        <v>4225</v>
      </c>
      <c r="I1186" s="60" t="s">
        <v>4181</v>
      </c>
    </row>
    <row r="1187" spans="1:9" x14ac:dyDescent="0.25">
      <c r="A1187" s="57"/>
      <c r="B1187" s="63" t="s">
        <v>1102</v>
      </c>
      <c r="C1187" s="64" t="s">
        <v>4226</v>
      </c>
      <c r="D1187" s="65">
        <v>2.9000000000014552</v>
      </c>
      <c r="E1187" s="66">
        <v>110.22999999998137</v>
      </c>
      <c r="F1187" s="66">
        <v>1.1022999999998138</v>
      </c>
      <c r="G1187" s="65">
        <v>1.9841399999996647</v>
      </c>
      <c r="H1187" s="67" t="s">
        <v>4227</v>
      </c>
      <c r="I1187" s="65" t="s">
        <v>4181</v>
      </c>
    </row>
    <row r="1188" spans="1:9" x14ac:dyDescent="0.25">
      <c r="A1188" s="57"/>
      <c r="B1188" s="58" t="s">
        <v>1082</v>
      </c>
      <c r="C1188" s="59" t="s">
        <v>4228</v>
      </c>
      <c r="D1188" s="60">
        <v>2.9000000000014552</v>
      </c>
      <c r="E1188" s="61">
        <v>89.369999999995343</v>
      </c>
      <c r="F1188" s="61">
        <v>0.89369999999995342</v>
      </c>
      <c r="G1188" s="60">
        <v>1.6086599999999163</v>
      </c>
      <c r="H1188" s="62" t="s">
        <v>4229</v>
      </c>
      <c r="I1188" s="60" t="s">
        <v>4181</v>
      </c>
    </row>
    <row r="1189" spans="1:9" x14ac:dyDescent="0.25">
      <c r="A1189" s="57"/>
      <c r="B1189" s="63" t="s">
        <v>1108</v>
      </c>
      <c r="C1189" s="64" t="s">
        <v>4230</v>
      </c>
      <c r="D1189" s="65">
        <v>5.8000000000029104</v>
      </c>
      <c r="E1189" s="66">
        <v>220.44999999995343</v>
      </c>
      <c r="F1189" s="66">
        <v>1.1022499999997672</v>
      </c>
      <c r="G1189" s="65">
        <v>1.9840499999995811</v>
      </c>
      <c r="H1189" s="67" t="s">
        <v>4231</v>
      </c>
      <c r="I1189" s="65" t="s">
        <v>4181</v>
      </c>
    </row>
    <row r="1190" spans="1:9" x14ac:dyDescent="0.25">
      <c r="A1190" s="57"/>
      <c r="B1190" s="58" t="s">
        <v>1107</v>
      </c>
      <c r="C1190" s="59" t="s">
        <v>4232</v>
      </c>
      <c r="D1190" s="60">
        <v>5.8000000000029104</v>
      </c>
      <c r="E1190" s="61">
        <v>220.44999999995343</v>
      </c>
      <c r="F1190" s="61">
        <v>1.1022499999997672</v>
      </c>
      <c r="G1190" s="60">
        <v>1.9840499999995811</v>
      </c>
      <c r="H1190" s="62" t="s">
        <v>4233</v>
      </c>
      <c r="I1190" s="60" t="s">
        <v>4181</v>
      </c>
    </row>
    <row r="1191" spans="1:9" x14ac:dyDescent="0.25">
      <c r="A1191" s="57"/>
      <c r="B1191" s="63" t="s">
        <v>1109</v>
      </c>
      <c r="C1191" s="64" t="s">
        <v>4234</v>
      </c>
      <c r="D1191" s="65">
        <v>5.8000000000029104</v>
      </c>
      <c r="E1191" s="66">
        <v>220.44999999995343</v>
      </c>
      <c r="F1191" s="66">
        <v>1.1022499999997672</v>
      </c>
      <c r="G1191" s="65">
        <v>1.9840499999995811</v>
      </c>
      <c r="H1191" s="67" t="s">
        <v>4235</v>
      </c>
      <c r="I1191" s="65" t="s">
        <v>4181</v>
      </c>
    </row>
    <row r="1192" spans="1:9" x14ac:dyDescent="0.25">
      <c r="A1192" s="57"/>
      <c r="B1192" s="58" t="s">
        <v>1106</v>
      </c>
      <c r="C1192" s="59" t="s">
        <v>4236</v>
      </c>
      <c r="D1192" s="60">
        <v>5.8000000000029104</v>
      </c>
      <c r="E1192" s="61">
        <v>220.44999999995343</v>
      </c>
      <c r="F1192" s="61">
        <v>1.1022499999997672</v>
      </c>
      <c r="G1192" s="60">
        <v>1.9840499999995811</v>
      </c>
      <c r="H1192" s="62" t="s">
        <v>4237</v>
      </c>
      <c r="I1192" s="60" t="s">
        <v>4181</v>
      </c>
    </row>
    <row r="1193" spans="1:9" x14ac:dyDescent="0.25">
      <c r="A1193" s="57"/>
      <c r="B1193" s="63" t="s">
        <v>1083</v>
      </c>
      <c r="C1193" s="64" t="s">
        <v>4238</v>
      </c>
      <c r="D1193" s="65">
        <v>5.8000000000029104</v>
      </c>
      <c r="E1193" s="66">
        <v>178.69999999995343</v>
      </c>
      <c r="F1193" s="66">
        <v>0.89349999999976715</v>
      </c>
      <c r="G1193" s="65">
        <v>1.6082999999995808</v>
      </c>
      <c r="H1193" s="67" t="s">
        <v>4239</v>
      </c>
      <c r="I1193" s="65" t="s">
        <v>4181</v>
      </c>
    </row>
    <row r="1194" spans="1:9" x14ac:dyDescent="0.25">
      <c r="A1194" s="57"/>
      <c r="B1194" s="58" t="s">
        <v>1084</v>
      </c>
      <c r="C1194" s="59" t="s">
        <v>4240</v>
      </c>
      <c r="D1194" s="60">
        <v>5.5</v>
      </c>
      <c r="E1194" s="61">
        <v>139.43999999994412</v>
      </c>
      <c r="F1194" s="61">
        <v>1.3943999999994412</v>
      </c>
      <c r="G1194" s="60">
        <v>2.5099199999989943</v>
      </c>
      <c r="H1194" s="62" t="s">
        <v>4241</v>
      </c>
      <c r="I1194" s="60" t="s">
        <v>4181</v>
      </c>
    </row>
    <row r="1195" spans="1:9" x14ac:dyDescent="0.25">
      <c r="A1195" s="57"/>
      <c r="B1195" s="63" t="s">
        <v>1085</v>
      </c>
      <c r="C1195" s="64" t="s">
        <v>4242</v>
      </c>
      <c r="D1195" s="65">
        <v>11</v>
      </c>
      <c r="E1195" s="66">
        <v>278.81000000005588</v>
      </c>
      <c r="F1195" s="66">
        <v>1.3940500000002793</v>
      </c>
      <c r="G1195" s="65">
        <v>2.5092900000005032</v>
      </c>
      <c r="H1195" s="67" t="s">
        <v>4243</v>
      </c>
      <c r="I1195" s="65" t="s">
        <v>4181</v>
      </c>
    </row>
    <row r="1196" spans="1:9" x14ac:dyDescent="0.25">
      <c r="A1196" s="57"/>
      <c r="B1196" s="58" t="s">
        <v>1121</v>
      </c>
      <c r="C1196" s="59" t="s">
        <v>4244</v>
      </c>
      <c r="D1196" s="60">
        <v>1.2999999999992724</v>
      </c>
      <c r="E1196" s="61">
        <v>69.760000000009313</v>
      </c>
      <c r="F1196" s="61">
        <v>0.69760000000009315</v>
      </c>
      <c r="G1196" s="60">
        <v>1.2556800000001678</v>
      </c>
      <c r="H1196" s="62" t="s">
        <v>4245</v>
      </c>
      <c r="I1196" s="60" t="s">
        <v>4246</v>
      </c>
    </row>
    <row r="1197" spans="1:9" x14ac:dyDescent="0.25">
      <c r="A1197" s="57"/>
      <c r="B1197" s="63" t="s">
        <v>1124</v>
      </c>
      <c r="C1197" s="64" t="s">
        <v>4247</v>
      </c>
      <c r="D1197" s="65">
        <v>2.5999999999985448</v>
      </c>
      <c r="E1197" s="66">
        <v>139.51000000000931</v>
      </c>
      <c r="F1197" s="66">
        <v>0.69755000000004652</v>
      </c>
      <c r="G1197" s="65">
        <v>1.2555900000000839</v>
      </c>
      <c r="H1197" s="67" t="s">
        <v>4248</v>
      </c>
      <c r="I1197" s="65" t="s">
        <v>4246</v>
      </c>
    </row>
    <row r="1198" spans="1:9" x14ac:dyDescent="0.25">
      <c r="A1198" s="57"/>
      <c r="B1198" s="58" t="s">
        <v>1119</v>
      </c>
      <c r="C1198" s="59" t="s">
        <v>4249</v>
      </c>
      <c r="D1198" s="60">
        <v>1.2999999999992724</v>
      </c>
      <c r="E1198" s="61">
        <v>69.760000000009313</v>
      </c>
      <c r="F1198" s="61">
        <v>0.69760000000009315</v>
      </c>
      <c r="G1198" s="60">
        <v>1.2556800000001678</v>
      </c>
      <c r="H1198" s="62" t="s">
        <v>4250</v>
      </c>
      <c r="I1198" s="60" t="s">
        <v>4246</v>
      </c>
    </row>
    <row r="1199" spans="1:9" x14ac:dyDescent="0.25">
      <c r="A1199" s="57"/>
      <c r="B1199" s="63" t="s">
        <v>1122</v>
      </c>
      <c r="C1199" s="64" t="s">
        <v>4251</v>
      </c>
      <c r="D1199" s="65">
        <v>2.5999999999985448</v>
      </c>
      <c r="E1199" s="66">
        <v>139.51000000000931</v>
      </c>
      <c r="F1199" s="66">
        <v>0.69755000000004652</v>
      </c>
      <c r="G1199" s="65">
        <v>1.2555900000000839</v>
      </c>
      <c r="H1199" s="67" t="s">
        <v>4252</v>
      </c>
      <c r="I1199" s="65" t="s">
        <v>4246</v>
      </c>
    </row>
    <row r="1200" spans="1:9" x14ac:dyDescent="0.25">
      <c r="A1200" s="57"/>
      <c r="B1200" s="58" t="s">
        <v>1120</v>
      </c>
      <c r="C1200" s="59" t="s">
        <v>4253</v>
      </c>
      <c r="D1200" s="60">
        <v>1.2999999999992724</v>
      </c>
      <c r="E1200" s="61">
        <v>69.760000000009313</v>
      </c>
      <c r="F1200" s="61">
        <v>0.69760000000009315</v>
      </c>
      <c r="G1200" s="60">
        <v>1.2556800000001678</v>
      </c>
      <c r="H1200" s="62" t="s">
        <v>4254</v>
      </c>
      <c r="I1200" s="60" t="s">
        <v>4246</v>
      </c>
    </row>
    <row r="1201" spans="1:9" x14ac:dyDescent="0.25">
      <c r="A1201" s="57"/>
      <c r="B1201" s="63" t="s">
        <v>1123</v>
      </c>
      <c r="C1201" s="64" t="s">
        <v>4255</v>
      </c>
      <c r="D1201" s="65">
        <v>2.5999999999985448</v>
      </c>
      <c r="E1201" s="66">
        <v>139.51000000000931</v>
      </c>
      <c r="F1201" s="66">
        <v>0.69755000000004652</v>
      </c>
      <c r="G1201" s="65">
        <v>1.2555900000000839</v>
      </c>
      <c r="H1201" s="67" t="s">
        <v>4256</v>
      </c>
      <c r="I1201" s="65" t="s">
        <v>4246</v>
      </c>
    </row>
    <row r="1202" spans="1:9" x14ac:dyDescent="0.25">
      <c r="A1202" s="57"/>
      <c r="B1202" s="58" t="s">
        <v>1111</v>
      </c>
      <c r="C1202" s="59" t="s">
        <v>4257</v>
      </c>
      <c r="D1202" s="60">
        <v>1.2999999999992724</v>
      </c>
      <c r="E1202" s="61">
        <v>57.950000000011642</v>
      </c>
      <c r="F1202" s="61">
        <v>0.57950000000011637</v>
      </c>
      <c r="G1202" s="60">
        <v>1.0431000000002095</v>
      </c>
      <c r="H1202" s="62" t="s">
        <v>4258</v>
      </c>
      <c r="I1202" s="60" t="s">
        <v>4246</v>
      </c>
    </row>
    <row r="1203" spans="1:9" x14ac:dyDescent="0.25">
      <c r="A1203" s="57"/>
      <c r="B1203" s="63" t="s">
        <v>1112</v>
      </c>
      <c r="C1203" s="64" t="s">
        <v>4259</v>
      </c>
      <c r="D1203" s="65">
        <v>2.5999999999985448</v>
      </c>
      <c r="E1203" s="66">
        <v>115.88000000000466</v>
      </c>
      <c r="F1203" s="66">
        <v>0.57940000000002323</v>
      </c>
      <c r="G1203" s="65">
        <v>1.042920000000042</v>
      </c>
      <c r="H1203" s="67" t="s">
        <v>4260</v>
      </c>
      <c r="I1203" s="65" t="s">
        <v>4246</v>
      </c>
    </row>
    <row r="1204" spans="1:9" x14ac:dyDescent="0.25">
      <c r="A1204" s="57"/>
      <c r="B1204" s="58" t="s">
        <v>1127</v>
      </c>
      <c r="C1204" s="59" t="s">
        <v>4261</v>
      </c>
      <c r="D1204" s="60">
        <v>2</v>
      </c>
      <c r="E1204" s="61">
        <v>72.839999999967404</v>
      </c>
      <c r="F1204" s="61">
        <v>0.72839999999967409</v>
      </c>
      <c r="G1204" s="60">
        <v>1.3111199999994134</v>
      </c>
      <c r="H1204" s="62" t="s">
        <v>4262</v>
      </c>
      <c r="I1204" s="60" t="s">
        <v>4246</v>
      </c>
    </row>
    <row r="1205" spans="1:9" x14ac:dyDescent="0.25">
      <c r="A1205" s="57"/>
      <c r="B1205" s="63" t="s">
        <v>1130</v>
      </c>
      <c r="C1205" s="64" t="s">
        <v>4263</v>
      </c>
      <c r="D1205" s="65">
        <v>4</v>
      </c>
      <c r="E1205" s="66">
        <v>145.62000000011176</v>
      </c>
      <c r="F1205" s="66">
        <v>0.72810000000055874</v>
      </c>
      <c r="G1205" s="65">
        <v>1.3105800000010057</v>
      </c>
      <c r="H1205" s="67" t="s">
        <v>4264</v>
      </c>
      <c r="I1205" s="65" t="s">
        <v>4246</v>
      </c>
    </row>
    <row r="1206" spans="1:9" x14ac:dyDescent="0.25">
      <c r="A1206" s="57"/>
      <c r="B1206" s="58" t="s">
        <v>1125</v>
      </c>
      <c r="C1206" s="59" t="s">
        <v>4265</v>
      </c>
      <c r="D1206" s="60">
        <v>2</v>
      </c>
      <c r="E1206" s="61">
        <v>72.839999999967404</v>
      </c>
      <c r="F1206" s="61">
        <v>0.72839999999967409</v>
      </c>
      <c r="G1206" s="60">
        <v>1.3111199999994134</v>
      </c>
      <c r="H1206" s="62" t="s">
        <v>4266</v>
      </c>
      <c r="I1206" s="60" t="s">
        <v>4246</v>
      </c>
    </row>
    <row r="1207" spans="1:9" x14ac:dyDescent="0.25">
      <c r="A1207" s="57"/>
      <c r="B1207" s="63" t="s">
        <v>1128</v>
      </c>
      <c r="C1207" s="64" t="s">
        <v>4267</v>
      </c>
      <c r="D1207" s="65">
        <v>4</v>
      </c>
      <c r="E1207" s="66">
        <v>145.62000000011176</v>
      </c>
      <c r="F1207" s="66">
        <v>0.72810000000055874</v>
      </c>
      <c r="G1207" s="65">
        <v>1.3105800000010057</v>
      </c>
      <c r="H1207" s="67" t="s">
        <v>4268</v>
      </c>
      <c r="I1207" s="65" t="s">
        <v>4246</v>
      </c>
    </row>
    <row r="1208" spans="1:9" x14ac:dyDescent="0.25">
      <c r="A1208" s="57"/>
      <c r="B1208" s="58" t="s">
        <v>1126</v>
      </c>
      <c r="C1208" s="59" t="s">
        <v>4269</v>
      </c>
      <c r="D1208" s="60">
        <v>2</v>
      </c>
      <c r="E1208" s="61">
        <v>72.839999999967404</v>
      </c>
      <c r="F1208" s="61">
        <v>0.72839999999967409</v>
      </c>
      <c r="G1208" s="60">
        <v>1.3111199999994134</v>
      </c>
      <c r="H1208" s="62" t="s">
        <v>4270</v>
      </c>
      <c r="I1208" s="60" t="s">
        <v>4246</v>
      </c>
    </row>
    <row r="1209" spans="1:9" x14ac:dyDescent="0.25">
      <c r="A1209" s="57"/>
      <c r="B1209" s="63" t="s">
        <v>1129</v>
      </c>
      <c r="C1209" s="64" t="s">
        <v>4271</v>
      </c>
      <c r="D1209" s="65">
        <v>4</v>
      </c>
      <c r="E1209" s="66">
        <v>145.62000000011176</v>
      </c>
      <c r="F1209" s="66">
        <v>0.72810000000055874</v>
      </c>
      <c r="G1209" s="65">
        <v>1.3105800000010057</v>
      </c>
      <c r="H1209" s="67" t="s">
        <v>4272</v>
      </c>
      <c r="I1209" s="65" t="s">
        <v>4246</v>
      </c>
    </row>
    <row r="1210" spans="1:9" x14ac:dyDescent="0.25">
      <c r="A1210" s="57"/>
      <c r="B1210" s="58" t="s">
        <v>1113</v>
      </c>
      <c r="C1210" s="59" t="s">
        <v>4273</v>
      </c>
      <c r="D1210" s="60">
        <v>2</v>
      </c>
      <c r="E1210" s="61">
        <v>68.869999999995343</v>
      </c>
      <c r="F1210" s="61">
        <v>0.68869999999995346</v>
      </c>
      <c r="G1210" s="60">
        <v>1.2396599999999163</v>
      </c>
      <c r="H1210" s="62" t="s">
        <v>4274</v>
      </c>
      <c r="I1210" s="60" t="s">
        <v>4246</v>
      </c>
    </row>
    <row r="1211" spans="1:9" x14ac:dyDescent="0.25">
      <c r="A1211" s="57"/>
      <c r="B1211" s="63" t="s">
        <v>1114</v>
      </c>
      <c r="C1211" s="64" t="s">
        <v>4275</v>
      </c>
      <c r="D1211" s="65">
        <v>4</v>
      </c>
      <c r="E1211" s="66">
        <v>137.71999999997206</v>
      </c>
      <c r="F1211" s="66">
        <v>0.68859999999986032</v>
      </c>
      <c r="G1211" s="65">
        <v>1.2394799999997486</v>
      </c>
      <c r="H1211" s="67" t="s">
        <v>4276</v>
      </c>
      <c r="I1211" s="65" t="s">
        <v>4246</v>
      </c>
    </row>
    <row r="1212" spans="1:9" x14ac:dyDescent="0.25">
      <c r="A1212" s="57"/>
      <c r="B1212" s="58" t="s">
        <v>1133</v>
      </c>
      <c r="C1212" s="59" t="s">
        <v>4277</v>
      </c>
      <c r="D1212" s="60">
        <v>2.5</v>
      </c>
      <c r="E1212" s="61">
        <v>92.310000000055879</v>
      </c>
      <c r="F1212" s="61">
        <v>0.92310000000055881</v>
      </c>
      <c r="G1212" s="60">
        <v>1.6615800000010059</v>
      </c>
      <c r="H1212" s="62" t="s">
        <v>4278</v>
      </c>
      <c r="I1212" s="60" t="s">
        <v>4246</v>
      </c>
    </row>
    <row r="1213" spans="1:9" x14ac:dyDescent="0.25">
      <c r="A1213" s="57"/>
      <c r="B1213" s="63" t="s">
        <v>1136</v>
      </c>
      <c r="C1213" s="64" t="s">
        <v>4279</v>
      </c>
      <c r="D1213" s="65">
        <v>5</v>
      </c>
      <c r="E1213" s="66">
        <v>184.62000000011176</v>
      </c>
      <c r="F1213" s="66">
        <v>0.92310000000055881</v>
      </c>
      <c r="G1213" s="65">
        <v>1.6615800000010059</v>
      </c>
      <c r="H1213" s="67" t="s">
        <v>4280</v>
      </c>
      <c r="I1213" s="65" t="s">
        <v>4246</v>
      </c>
    </row>
    <row r="1214" spans="1:9" x14ac:dyDescent="0.25">
      <c r="A1214" s="57"/>
      <c r="B1214" s="58" t="s">
        <v>1131</v>
      </c>
      <c r="C1214" s="59" t="s">
        <v>4281</v>
      </c>
      <c r="D1214" s="60">
        <v>2.5</v>
      </c>
      <c r="E1214" s="61">
        <v>92.310000000055879</v>
      </c>
      <c r="F1214" s="61">
        <v>0.92310000000055881</v>
      </c>
      <c r="G1214" s="60">
        <v>1.6615800000010059</v>
      </c>
      <c r="H1214" s="62" t="s">
        <v>4282</v>
      </c>
      <c r="I1214" s="60" t="s">
        <v>4246</v>
      </c>
    </row>
    <row r="1215" spans="1:9" x14ac:dyDescent="0.25">
      <c r="A1215" s="57"/>
      <c r="B1215" s="63" t="s">
        <v>1134</v>
      </c>
      <c r="C1215" s="64" t="s">
        <v>4283</v>
      </c>
      <c r="D1215" s="65">
        <v>5</v>
      </c>
      <c r="E1215" s="66">
        <v>184.62000000011176</v>
      </c>
      <c r="F1215" s="66">
        <v>0.92310000000055881</v>
      </c>
      <c r="G1215" s="65">
        <v>1.6615800000010059</v>
      </c>
      <c r="H1215" s="67" t="s">
        <v>4284</v>
      </c>
      <c r="I1215" s="65" t="s">
        <v>4246</v>
      </c>
    </row>
    <row r="1216" spans="1:9" x14ac:dyDescent="0.25">
      <c r="A1216" s="57"/>
      <c r="B1216" s="58" t="s">
        <v>1132</v>
      </c>
      <c r="C1216" s="59" t="s">
        <v>4285</v>
      </c>
      <c r="D1216" s="60">
        <v>2.5</v>
      </c>
      <c r="E1216" s="61">
        <v>92.310000000055879</v>
      </c>
      <c r="F1216" s="61">
        <v>0.92310000000055881</v>
      </c>
      <c r="G1216" s="60">
        <v>1.6615800000010059</v>
      </c>
      <c r="H1216" s="62" t="s">
        <v>4286</v>
      </c>
      <c r="I1216" s="60" t="s">
        <v>4246</v>
      </c>
    </row>
    <row r="1217" spans="1:9" x14ac:dyDescent="0.25">
      <c r="A1217" s="57"/>
      <c r="B1217" s="63" t="s">
        <v>1135</v>
      </c>
      <c r="C1217" s="64" t="s">
        <v>4287</v>
      </c>
      <c r="D1217" s="65">
        <v>5</v>
      </c>
      <c r="E1217" s="66">
        <v>184.62000000011176</v>
      </c>
      <c r="F1217" s="66">
        <v>0.92310000000055881</v>
      </c>
      <c r="G1217" s="65">
        <v>1.6615800000010059</v>
      </c>
      <c r="H1217" s="67" t="s">
        <v>4288</v>
      </c>
      <c r="I1217" s="65" t="s">
        <v>4246</v>
      </c>
    </row>
    <row r="1218" spans="1:9" x14ac:dyDescent="0.25">
      <c r="A1218" s="57"/>
      <c r="B1218" s="58" t="s">
        <v>1115</v>
      </c>
      <c r="C1218" s="59" t="s">
        <v>4289</v>
      </c>
      <c r="D1218" s="60">
        <v>2.5</v>
      </c>
      <c r="E1218" s="61">
        <v>78.42000000004191</v>
      </c>
      <c r="F1218" s="61">
        <v>0.78420000000041912</v>
      </c>
      <c r="G1218" s="60">
        <v>1.4115600000007544</v>
      </c>
      <c r="H1218" s="62" t="s">
        <v>4290</v>
      </c>
      <c r="I1218" s="60" t="s">
        <v>4246</v>
      </c>
    </row>
    <row r="1219" spans="1:9" x14ac:dyDescent="0.25">
      <c r="A1219" s="57"/>
      <c r="B1219" s="63" t="s">
        <v>1116</v>
      </c>
      <c r="C1219" s="64" t="s">
        <v>4291</v>
      </c>
      <c r="D1219" s="65">
        <v>5</v>
      </c>
      <c r="E1219" s="66">
        <v>156.85000000009313</v>
      </c>
      <c r="F1219" s="66">
        <v>0.78425000000046563</v>
      </c>
      <c r="G1219" s="65">
        <v>1.4116500000008383</v>
      </c>
      <c r="H1219" s="67" t="s">
        <v>4292</v>
      </c>
      <c r="I1219" s="65" t="s">
        <v>4246</v>
      </c>
    </row>
    <row r="1220" spans="1:9" x14ac:dyDescent="0.25">
      <c r="A1220" s="57"/>
      <c r="B1220" s="58" t="s">
        <v>1117</v>
      </c>
      <c r="C1220" s="59" t="s">
        <v>4293</v>
      </c>
      <c r="D1220" s="60">
        <v>4</v>
      </c>
      <c r="E1220" s="61">
        <v>118.5</v>
      </c>
      <c r="F1220" s="61">
        <v>1.1850000000000001</v>
      </c>
      <c r="G1220" s="60">
        <v>2.133</v>
      </c>
      <c r="H1220" s="62" t="s">
        <v>4294</v>
      </c>
      <c r="I1220" s="60" t="s">
        <v>4246</v>
      </c>
    </row>
    <row r="1221" spans="1:9" x14ac:dyDescent="0.25">
      <c r="A1221" s="57"/>
      <c r="B1221" s="63" t="s">
        <v>1118</v>
      </c>
      <c r="C1221" s="64" t="s">
        <v>4295</v>
      </c>
      <c r="D1221" s="65">
        <v>8</v>
      </c>
      <c r="E1221" s="66">
        <v>237.01000000000931</v>
      </c>
      <c r="F1221" s="66">
        <v>1.1850500000000466</v>
      </c>
      <c r="G1221" s="65">
        <v>2.1330900000000836</v>
      </c>
      <c r="H1221" s="67" t="s">
        <v>4296</v>
      </c>
      <c r="I1221" s="65" t="s">
        <v>4246</v>
      </c>
    </row>
    <row r="1222" spans="1:9" x14ac:dyDescent="0.25">
      <c r="A1222" s="57"/>
      <c r="B1222" s="58" t="s">
        <v>1142</v>
      </c>
      <c r="C1222" s="59" t="s">
        <v>4297</v>
      </c>
      <c r="D1222" s="60">
        <v>1.7800000000006548</v>
      </c>
      <c r="E1222" s="61">
        <v>404.93999999994412</v>
      </c>
      <c r="F1222" s="61">
        <v>2.0246999999997204</v>
      </c>
      <c r="G1222" s="60">
        <v>3.6444599999994973</v>
      </c>
      <c r="H1222" s="62" t="s">
        <v>4298</v>
      </c>
      <c r="I1222" s="60" t="s">
        <v>231</v>
      </c>
    </row>
    <row r="1223" spans="1:9" x14ac:dyDescent="0.25">
      <c r="A1223" s="57"/>
      <c r="B1223" s="63" t="s">
        <v>1140</v>
      </c>
      <c r="C1223" s="64" t="s">
        <v>4299</v>
      </c>
      <c r="D1223" s="65">
        <v>0.89000000000032742</v>
      </c>
      <c r="E1223" s="66">
        <v>202.47999999998137</v>
      </c>
      <c r="F1223" s="66">
        <v>2.0247999999998139</v>
      </c>
      <c r="G1223" s="65">
        <v>3.6446399999996646</v>
      </c>
      <c r="H1223" s="67" t="s">
        <v>4300</v>
      </c>
      <c r="I1223" s="65" t="s">
        <v>231</v>
      </c>
    </row>
    <row r="1224" spans="1:9" x14ac:dyDescent="0.25">
      <c r="A1224" s="57"/>
      <c r="B1224" s="58" t="s">
        <v>1146</v>
      </c>
      <c r="C1224" s="59" t="s">
        <v>4301</v>
      </c>
      <c r="D1224" s="60">
        <v>1.7800000000006548</v>
      </c>
      <c r="E1224" s="61">
        <v>404.93999999994412</v>
      </c>
      <c r="F1224" s="61">
        <v>2.0246999999997204</v>
      </c>
      <c r="G1224" s="60">
        <v>3.6444599999994973</v>
      </c>
      <c r="H1224" s="62" t="s">
        <v>4302</v>
      </c>
      <c r="I1224" s="60" t="s">
        <v>231</v>
      </c>
    </row>
    <row r="1225" spans="1:9" x14ac:dyDescent="0.25">
      <c r="A1225" s="57"/>
      <c r="B1225" s="63" t="s">
        <v>1145</v>
      </c>
      <c r="C1225" s="64" t="s">
        <v>4303</v>
      </c>
      <c r="D1225" s="65">
        <v>0.89000000000032742</v>
      </c>
      <c r="E1225" s="66">
        <v>202.47999999998137</v>
      </c>
      <c r="F1225" s="66">
        <v>2.0247999999998139</v>
      </c>
      <c r="G1225" s="65">
        <v>3.6446399999996646</v>
      </c>
      <c r="H1225" s="67" t="s">
        <v>4304</v>
      </c>
      <c r="I1225" s="65" t="s">
        <v>231</v>
      </c>
    </row>
    <row r="1226" spans="1:9" x14ac:dyDescent="0.25">
      <c r="A1226" s="57"/>
      <c r="B1226" s="58" t="s">
        <v>1149</v>
      </c>
      <c r="C1226" s="59" t="s">
        <v>4305</v>
      </c>
      <c r="D1226" s="60">
        <v>0.20000000000004547</v>
      </c>
      <c r="E1226" s="61">
        <v>44.150000000023283</v>
      </c>
      <c r="F1226" s="61">
        <v>0.44150000000023282</v>
      </c>
      <c r="G1226" s="60">
        <v>0.79470000000041907</v>
      </c>
      <c r="H1226" s="62" t="s">
        <v>4306</v>
      </c>
      <c r="I1226" s="60" t="s">
        <v>231</v>
      </c>
    </row>
    <row r="1227" spans="1:9" x14ac:dyDescent="0.25">
      <c r="A1227" s="57"/>
      <c r="B1227" s="63" t="s">
        <v>1157</v>
      </c>
      <c r="C1227" s="64" t="s">
        <v>4307</v>
      </c>
      <c r="D1227" s="65">
        <v>0</v>
      </c>
      <c r="E1227" s="66">
        <v>441.64999999990687</v>
      </c>
      <c r="F1227" s="66">
        <v>0.44164999999990689</v>
      </c>
      <c r="G1227" s="65">
        <v>0.79496999999983231</v>
      </c>
      <c r="H1227" s="67" t="s">
        <v>4308</v>
      </c>
      <c r="I1227" s="65" t="s">
        <v>231</v>
      </c>
    </row>
    <row r="1228" spans="1:9" x14ac:dyDescent="0.25">
      <c r="A1228" s="57"/>
      <c r="B1228" s="58" t="s">
        <v>4309</v>
      </c>
      <c r="C1228" s="59" t="s">
        <v>4310</v>
      </c>
      <c r="D1228" s="60">
        <v>0.10000000000002274</v>
      </c>
      <c r="E1228" s="61">
        <v>26.899999999994179</v>
      </c>
      <c r="F1228" s="61">
        <v>0.53799999999988357</v>
      </c>
      <c r="G1228" s="60">
        <v>0.96839999999979043</v>
      </c>
      <c r="H1228" s="62" t="s">
        <v>4311</v>
      </c>
      <c r="I1228" s="60" t="s">
        <v>231</v>
      </c>
    </row>
    <row r="1229" spans="1:9" x14ac:dyDescent="0.25">
      <c r="A1229" s="57"/>
      <c r="B1229" s="63" t="s">
        <v>1153</v>
      </c>
      <c r="C1229" s="64" t="s">
        <v>4312</v>
      </c>
      <c r="D1229" s="65">
        <v>0</v>
      </c>
      <c r="E1229" s="66">
        <v>220.83000000007451</v>
      </c>
      <c r="F1229" s="66">
        <v>0.44166000000014899</v>
      </c>
      <c r="G1229" s="65">
        <v>0.79498800000026826</v>
      </c>
      <c r="H1229" s="67" t="s">
        <v>4313</v>
      </c>
      <c r="I1229" s="65" t="s">
        <v>231</v>
      </c>
    </row>
    <row r="1230" spans="1:9" x14ac:dyDescent="0.25">
      <c r="A1230" s="57"/>
      <c r="B1230" s="58" t="s">
        <v>1150</v>
      </c>
      <c r="C1230" s="59" t="s">
        <v>4314</v>
      </c>
      <c r="D1230" s="60">
        <v>0.20000000000004547</v>
      </c>
      <c r="E1230" s="61">
        <v>44.150000000023283</v>
      </c>
      <c r="F1230" s="61">
        <v>0.44150000000023282</v>
      </c>
      <c r="G1230" s="60">
        <v>0.79470000000041907</v>
      </c>
      <c r="H1230" s="62" t="s">
        <v>4315</v>
      </c>
      <c r="I1230" s="60" t="s">
        <v>231</v>
      </c>
    </row>
    <row r="1231" spans="1:9" x14ac:dyDescent="0.25">
      <c r="A1231" s="57"/>
      <c r="B1231" s="63" t="s">
        <v>1158</v>
      </c>
      <c r="C1231" s="64" t="s">
        <v>4316</v>
      </c>
      <c r="D1231" s="65">
        <v>0</v>
      </c>
      <c r="E1231" s="66">
        <v>441.64999999990687</v>
      </c>
      <c r="F1231" s="66">
        <v>0.44164999999990689</v>
      </c>
      <c r="G1231" s="65">
        <v>0.79496999999983231</v>
      </c>
      <c r="H1231" s="67" t="s">
        <v>4317</v>
      </c>
      <c r="I1231" s="65" t="s">
        <v>231</v>
      </c>
    </row>
    <row r="1232" spans="1:9" x14ac:dyDescent="0.25">
      <c r="A1232" s="57"/>
      <c r="B1232" s="58" t="s">
        <v>1154</v>
      </c>
      <c r="C1232" s="59" t="s">
        <v>4318</v>
      </c>
      <c r="D1232" s="60">
        <v>0</v>
      </c>
      <c r="E1232" s="61">
        <v>220.83000000007451</v>
      </c>
      <c r="F1232" s="61">
        <v>0.44166000000014899</v>
      </c>
      <c r="G1232" s="60">
        <v>0.79498800000026826</v>
      </c>
      <c r="H1232" s="62" t="s">
        <v>4319</v>
      </c>
      <c r="I1232" s="60" t="s">
        <v>231</v>
      </c>
    </row>
    <row r="1233" spans="1:9" x14ac:dyDescent="0.25">
      <c r="A1233" s="57"/>
      <c r="B1233" s="63" t="s">
        <v>1151</v>
      </c>
      <c r="C1233" s="64" t="s">
        <v>4320</v>
      </c>
      <c r="D1233" s="65">
        <v>0.20000000000004547</v>
      </c>
      <c r="E1233" s="66">
        <v>44.150000000023283</v>
      </c>
      <c r="F1233" s="66">
        <v>0.44150000000023282</v>
      </c>
      <c r="G1233" s="65">
        <v>0.79470000000041907</v>
      </c>
      <c r="H1233" s="67" t="s">
        <v>4321</v>
      </c>
      <c r="I1233" s="65" t="s">
        <v>231</v>
      </c>
    </row>
    <row r="1234" spans="1:9" x14ac:dyDescent="0.25">
      <c r="A1234" s="57"/>
      <c r="B1234" s="58" t="s">
        <v>1159</v>
      </c>
      <c r="C1234" s="59" t="s">
        <v>4322</v>
      </c>
      <c r="D1234" s="60">
        <v>0</v>
      </c>
      <c r="E1234" s="61">
        <v>441.64999999990687</v>
      </c>
      <c r="F1234" s="61">
        <v>0.44164999999990689</v>
      </c>
      <c r="G1234" s="60">
        <v>0.79496999999983231</v>
      </c>
      <c r="H1234" s="62" t="s">
        <v>4323</v>
      </c>
      <c r="I1234" s="60" t="s">
        <v>231</v>
      </c>
    </row>
    <row r="1235" spans="1:9" x14ac:dyDescent="0.25">
      <c r="A1235" s="57"/>
      <c r="B1235" s="63" t="s">
        <v>1155</v>
      </c>
      <c r="C1235" s="64" t="s">
        <v>4324</v>
      </c>
      <c r="D1235" s="65">
        <v>0</v>
      </c>
      <c r="E1235" s="66">
        <v>220.83000000007451</v>
      </c>
      <c r="F1235" s="66">
        <v>0.44166000000014899</v>
      </c>
      <c r="G1235" s="65">
        <v>0.79498800000026826</v>
      </c>
      <c r="H1235" s="67" t="s">
        <v>4325</v>
      </c>
      <c r="I1235" s="65" t="s">
        <v>231</v>
      </c>
    </row>
    <row r="1236" spans="1:9" x14ac:dyDescent="0.25">
      <c r="A1236" s="57"/>
      <c r="B1236" s="58" t="s">
        <v>1152</v>
      </c>
      <c r="C1236" s="59" t="s">
        <v>4326</v>
      </c>
      <c r="D1236" s="60">
        <v>0.20000000000004547</v>
      </c>
      <c r="E1236" s="61">
        <v>44.150000000023283</v>
      </c>
      <c r="F1236" s="61">
        <v>0.44150000000023282</v>
      </c>
      <c r="G1236" s="60">
        <v>0.79470000000041907</v>
      </c>
      <c r="H1236" s="62" t="s">
        <v>4327</v>
      </c>
      <c r="I1236" s="60" t="s">
        <v>231</v>
      </c>
    </row>
    <row r="1237" spans="1:9" x14ac:dyDescent="0.25">
      <c r="A1237" s="57"/>
      <c r="B1237" s="63" t="s">
        <v>1160</v>
      </c>
      <c r="C1237" s="64" t="s">
        <v>4328</v>
      </c>
      <c r="D1237" s="65">
        <v>0</v>
      </c>
      <c r="E1237" s="66">
        <v>441.64999999990687</v>
      </c>
      <c r="F1237" s="66">
        <v>0.44164999999990689</v>
      </c>
      <c r="G1237" s="65">
        <v>0.79496999999983231</v>
      </c>
      <c r="H1237" s="67" t="s">
        <v>4329</v>
      </c>
      <c r="I1237" s="65" t="s">
        <v>231</v>
      </c>
    </row>
    <row r="1238" spans="1:9" x14ac:dyDescent="0.25">
      <c r="A1238" s="57"/>
      <c r="B1238" s="58" t="s">
        <v>1156</v>
      </c>
      <c r="C1238" s="59" t="s">
        <v>4330</v>
      </c>
      <c r="D1238" s="60">
        <v>0</v>
      </c>
      <c r="E1238" s="61">
        <v>220.83000000007451</v>
      </c>
      <c r="F1238" s="61">
        <v>0.44166000000014899</v>
      </c>
      <c r="G1238" s="60">
        <v>0.79498800000026826</v>
      </c>
      <c r="H1238" s="62" t="s">
        <v>4331</v>
      </c>
      <c r="I1238" s="60" t="s">
        <v>231</v>
      </c>
    </row>
    <row r="1239" spans="1:9" x14ac:dyDescent="0.25">
      <c r="A1239" s="57"/>
      <c r="B1239" s="63" t="s">
        <v>1161</v>
      </c>
      <c r="C1239" s="64" t="s">
        <v>4332</v>
      </c>
      <c r="D1239" s="65">
        <v>0.20000000000004547</v>
      </c>
      <c r="E1239" s="66">
        <v>53.760000000009313</v>
      </c>
      <c r="F1239" s="66">
        <v>0.53760000000009311</v>
      </c>
      <c r="G1239" s="65">
        <v>0.96768000000016774</v>
      </c>
      <c r="H1239" s="67" t="s">
        <v>4333</v>
      </c>
      <c r="I1239" s="65" t="s">
        <v>231</v>
      </c>
    </row>
    <row r="1240" spans="1:9" x14ac:dyDescent="0.25">
      <c r="A1240" s="57"/>
      <c r="B1240" s="58" t="s">
        <v>1169</v>
      </c>
      <c r="C1240" s="59" t="s">
        <v>4334</v>
      </c>
      <c r="D1240" s="60">
        <v>0</v>
      </c>
      <c r="E1240" s="61">
        <v>0</v>
      </c>
      <c r="F1240" s="61">
        <v>0</v>
      </c>
      <c r="G1240" s="60">
        <v>0</v>
      </c>
      <c r="H1240" s="62" t="s">
        <v>4335</v>
      </c>
      <c r="I1240" s="60" t="s">
        <v>231</v>
      </c>
    </row>
    <row r="1241" spans="1:9" x14ac:dyDescent="0.25">
      <c r="A1241" s="57"/>
      <c r="B1241" s="63" t="s">
        <v>1165</v>
      </c>
      <c r="C1241" s="64" t="s">
        <v>4336</v>
      </c>
      <c r="D1241" s="65">
        <v>0</v>
      </c>
      <c r="E1241" s="66">
        <v>268.89000000013039</v>
      </c>
      <c r="F1241" s="66">
        <v>0.53778000000026072</v>
      </c>
      <c r="G1241" s="65">
        <v>0.96800400000046938</v>
      </c>
      <c r="H1241" s="67" t="s">
        <v>4337</v>
      </c>
      <c r="I1241" s="65" t="s">
        <v>231</v>
      </c>
    </row>
    <row r="1242" spans="1:9" x14ac:dyDescent="0.25">
      <c r="A1242" s="57"/>
      <c r="B1242" s="58" t="s">
        <v>1162</v>
      </c>
      <c r="C1242" s="59" t="s">
        <v>4338</v>
      </c>
      <c r="D1242" s="60">
        <v>0.20000000000004547</v>
      </c>
      <c r="E1242" s="61">
        <v>53.760000000009313</v>
      </c>
      <c r="F1242" s="61">
        <v>0.53760000000009311</v>
      </c>
      <c r="G1242" s="60">
        <v>0.96768000000016774</v>
      </c>
      <c r="H1242" s="62" t="s">
        <v>4339</v>
      </c>
      <c r="I1242" s="60" t="s">
        <v>231</v>
      </c>
    </row>
    <row r="1243" spans="1:9" x14ac:dyDescent="0.25">
      <c r="A1243" s="57"/>
      <c r="B1243" s="63" t="s">
        <v>1170</v>
      </c>
      <c r="C1243" s="64" t="s">
        <v>4334</v>
      </c>
      <c r="D1243" s="65">
        <v>0</v>
      </c>
      <c r="E1243" s="66">
        <v>0</v>
      </c>
      <c r="F1243" s="66">
        <v>0</v>
      </c>
      <c r="G1243" s="65">
        <v>0</v>
      </c>
      <c r="H1243" s="67" t="s">
        <v>4340</v>
      </c>
      <c r="I1243" s="65" t="s">
        <v>231</v>
      </c>
    </row>
    <row r="1244" spans="1:9" x14ac:dyDescent="0.25">
      <c r="A1244" s="57"/>
      <c r="B1244" s="58" t="s">
        <v>1166</v>
      </c>
      <c r="C1244" s="59" t="s">
        <v>4341</v>
      </c>
      <c r="D1244" s="60">
        <v>0</v>
      </c>
      <c r="E1244" s="61">
        <v>268.89000000013039</v>
      </c>
      <c r="F1244" s="61">
        <v>0.53778000000026072</v>
      </c>
      <c r="G1244" s="60">
        <v>0.96800400000046938</v>
      </c>
      <c r="H1244" s="62" t="s">
        <v>4342</v>
      </c>
      <c r="I1244" s="60" t="s">
        <v>231</v>
      </c>
    </row>
    <row r="1245" spans="1:9" x14ac:dyDescent="0.25">
      <c r="A1245" s="57"/>
      <c r="B1245" s="63" t="s">
        <v>1163</v>
      </c>
      <c r="C1245" s="64" t="s">
        <v>4343</v>
      </c>
      <c r="D1245" s="65">
        <v>0.20000000000004547</v>
      </c>
      <c r="E1245" s="66">
        <v>53.760000000009313</v>
      </c>
      <c r="F1245" s="66">
        <v>0.53760000000009311</v>
      </c>
      <c r="G1245" s="65">
        <v>0.96768000000016774</v>
      </c>
      <c r="H1245" s="67" t="s">
        <v>4344</v>
      </c>
      <c r="I1245" s="65" t="s">
        <v>231</v>
      </c>
    </row>
    <row r="1246" spans="1:9" x14ac:dyDescent="0.25">
      <c r="A1246" s="57"/>
      <c r="B1246" s="58" t="s">
        <v>1171</v>
      </c>
      <c r="C1246" s="59" t="s">
        <v>4334</v>
      </c>
      <c r="D1246" s="60">
        <v>0</v>
      </c>
      <c r="E1246" s="61">
        <v>0</v>
      </c>
      <c r="F1246" s="61">
        <v>0</v>
      </c>
      <c r="G1246" s="60">
        <v>0</v>
      </c>
      <c r="H1246" s="62" t="s">
        <v>4345</v>
      </c>
      <c r="I1246" s="60" t="s">
        <v>231</v>
      </c>
    </row>
    <row r="1247" spans="1:9" x14ac:dyDescent="0.25">
      <c r="A1247" s="57"/>
      <c r="B1247" s="63" t="s">
        <v>1167</v>
      </c>
      <c r="C1247" s="64" t="s">
        <v>4346</v>
      </c>
      <c r="D1247" s="65">
        <v>0</v>
      </c>
      <c r="E1247" s="66">
        <v>268.89000000013039</v>
      </c>
      <c r="F1247" s="66">
        <v>0.53778000000026072</v>
      </c>
      <c r="G1247" s="65">
        <v>0.96800400000046938</v>
      </c>
      <c r="H1247" s="67" t="s">
        <v>4347</v>
      </c>
      <c r="I1247" s="65" t="s">
        <v>231</v>
      </c>
    </row>
    <row r="1248" spans="1:9" x14ac:dyDescent="0.25">
      <c r="A1248" s="57"/>
      <c r="B1248" s="58" t="s">
        <v>1164</v>
      </c>
      <c r="C1248" s="59" t="s">
        <v>4348</v>
      </c>
      <c r="D1248" s="60">
        <v>0.20000000000004547</v>
      </c>
      <c r="E1248" s="61">
        <v>53.760000000009313</v>
      </c>
      <c r="F1248" s="61">
        <v>0.53760000000009311</v>
      </c>
      <c r="G1248" s="60">
        <v>0.96768000000016774</v>
      </c>
      <c r="H1248" s="62" t="s">
        <v>4349</v>
      </c>
      <c r="I1248" s="60" t="s">
        <v>231</v>
      </c>
    </row>
    <row r="1249" spans="1:9" x14ac:dyDescent="0.25">
      <c r="A1249" s="57"/>
      <c r="B1249" s="63" t="s">
        <v>1172</v>
      </c>
      <c r="C1249" s="64" t="s">
        <v>4334</v>
      </c>
      <c r="D1249" s="65">
        <v>0</v>
      </c>
      <c r="E1249" s="66">
        <v>0</v>
      </c>
      <c r="F1249" s="66">
        <v>0</v>
      </c>
      <c r="G1249" s="65">
        <v>0</v>
      </c>
      <c r="H1249" s="67" t="s">
        <v>4350</v>
      </c>
      <c r="I1249" s="65" t="s">
        <v>231</v>
      </c>
    </row>
    <row r="1250" spans="1:9" x14ac:dyDescent="0.25">
      <c r="A1250" s="57"/>
      <c r="B1250" s="58" t="s">
        <v>1168</v>
      </c>
      <c r="C1250" s="59" t="s">
        <v>4351</v>
      </c>
      <c r="D1250" s="60">
        <v>0</v>
      </c>
      <c r="E1250" s="61">
        <v>268.89000000013039</v>
      </c>
      <c r="F1250" s="61">
        <v>0.53778000000026072</v>
      </c>
      <c r="G1250" s="60">
        <v>0.96800400000046938</v>
      </c>
      <c r="H1250" s="62" t="s">
        <v>4352</v>
      </c>
      <c r="I1250" s="60" t="s">
        <v>231</v>
      </c>
    </row>
    <row r="1251" spans="1:9" x14ac:dyDescent="0.25">
      <c r="A1251" s="57"/>
      <c r="B1251" s="63" t="s">
        <v>1174</v>
      </c>
      <c r="C1251" s="64" t="s">
        <v>4353</v>
      </c>
      <c r="D1251" s="65">
        <v>0</v>
      </c>
      <c r="E1251" s="66">
        <v>51.570000000006985</v>
      </c>
      <c r="F1251" s="66">
        <v>0.51570000000006988</v>
      </c>
      <c r="G1251" s="65">
        <v>0.92826000000012565</v>
      </c>
      <c r="H1251" s="67" t="s">
        <v>4354</v>
      </c>
      <c r="I1251" s="65" t="s">
        <v>231</v>
      </c>
    </row>
    <row r="1252" spans="1:9" x14ac:dyDescent="0.25">
      <c r="A1252" s="57"/>
      <c r="B1252" s="58" t="s">
        <v>1179</v>
      </c>
      <c r="C1252" s="59" t="s">
        <v>4355</v>
      </c>
      <c r="D1252" s="60">
        <v>0</v>
      </c>
      <c r="E1252" s="61">
        <v>515.75</v>
      </c>
      <c r="F1252" s="61">
        <v>0.51575000000000004</v>
      </c>
      <c r="G1252" s="60">
        <v>0.92835000000000001</v>
      </c>
      <c r="H1252" s="62" t="s">
        <v>4356</v>
      </c>
      <c r="I1252" s="60" t="s">
        <v>231</v>
      </c>
    </row>
    <row r="1253" spans="1:9" x14ac:dyDescent="0.25">
      <c r="A1253" s="57"/>
      <c r="B1253" s="63" t="s">
        <v>1178</v>
      </c>
      <c r="C1253" s="64" t="s">
        <v>4357</v>
      </c>
      <c r="D1253" s="65">
        <v>0</v>
      </c>
      <c r="E1253" s="66">
        <v>257.85999999986961</v>
      </c>
      <c r="F1253" s="66">
        <v>0.51571999999973928</v>
      </c>
      <c r="G1253" s="65">
        <v>0.92829599999953061</v>
      </c>
      <c r="H1253" s="67" t="s">
        <v>4358</v>
      </c>
      <c r="I1253" s="65" t="s">
        <v>231</v>
      </c>
    </row>
    <row r="1254" spans="1:9" x14ac:dyDescent="0.25">
      <c r="A1254" s="57"/>
      <c r="B1254" s="58" t="s">
        <v>1175</v>
      </c>
      <c r="C1254" s="59" t="s">
        <v>4359</v>
      </c>
      <c r="D1254" s="60">
        <v>0</v>
      </c>
      <c r="E1254" s="61">
        <v>51.570000000006985</v>
      </c>
      <c r="F1254" s="61">
        <v>0.51570000000006988</v>
      </c>
      <c r="G1254" s="60">
        <v>0.92826000000012565</v>
      </c>
      <c r="H1254" s="62" t="s">
        <v>4360</v>
      </c>
      <c r="I1254" s="60" t="s">
        <v>231</v>
      </c>
    </row>
    <row r="1255" spans="1:9" x14ac:dyDescent="0.25">
      <c r="A1255" s="57"/>
      <c r="B1255" s="63" t="s">
        <v>1180</v>
      </c>
      <c r="C1255" s="64" t="s">
        <v>4361</v>
      </c>
      <c r="D1255" s="65">
        <v>0</v>
      </c>
      <c r="E1255" s="66">
        <v>515.75</v>
      </c>
      <c r="F1255" s="66">
        <v>0.51575000000000004</v>
      </c>
      <c r="G1255" s="65">
        <v>0.92835000000000001</v>
      </c>
      <c r="H1255" s="67" t="s">
        <v>4362</v>
      </c>
      <c r="I1255" s="65" t="s">
        <v>231</v>
      </c>
    </row>
    <row r="1256" spans="1:9" x14ac:dyDescent="0.25">
      <c r="A1256" s="57"/>
      <c r="B1256" s="58" t="s">
        <v>1176</v>
      </c>
      <c r="C1256" s="59" t="s">
        <v>4363</v>
      </c>
      <c r="D1256" s="60">
        <v>0</v>
      </c>
      <c r="E1256" s="61">
        <v>51.570000000006985</v>
      </c>
      <c r="F1256" s="61">
        <v>0.51570000000006988</v>
      </c>
      <c r="G1256" s="60">
        <v>0.92826000000012565</v>
      </c>
      <c r="H1256" s="62" t="s">
        <v>4364</v>
      </c>
      <c r="I1256" s="60" t="s">
        <v>231</v>
      </c>
    </row>
    <row r="1257" spans="1:9" x14ac:dyDescent="0.25">
      <c r="A1257" s="57"/>
      <c r="B1257" s="63" t="s">
        <v>1181</v>
      </c>
      <c r="C1257" s="64" t="s">
        <v>4365</v>
      </c>
      <c r="D1257" s="65">
        <v>0</v>
      </c>
      <c r="E1257" s="66">
        <v>515.75</v>
      </c>
      <c r="F1257" s="66">
        <v>0.51575000000000004</v>
      </c>
      <c r="G1257" s="65">
        <v>0.92835000000000001</v>
      </c>
      <c r="H1257" s="67" t="s">
        <v>4366</v>
      </c>
      <c r="I1257" s="65" t="s">
        <v>231</v>
      </c>
    </row>
    <row r="1258" spans="1:9" x14ac:dyDescent="0.25">
      <c r="A1258" s="57"/>
      <c r="B1258" s="58" t="s">
        <v>1177</v>
      </c>
      <c r="C1258" s="59" t="s">
        <v>4367</v>
      </c>
      <c r="D1258" s="60">
        <v>0</v>
      </c>
      <c r="E1258" s="61">
        <v>51.570000000006985</v>
      </c>
      <c r="F1258" s="61">
        <v>0.51570000000006988</v>
      </c>
      <c r="G1258" s="60">
        <v>0.92826000000012565</v>
      </c>
      <c r="H1258" s="62" t="s">
        <v>4368</v>
      </c>
      <c r="I1258" s="60" t="s">
        <v>231</v>
      </c>
    </row>
    <row r="1259" spans="1:9" x14ac:dyDescent="0.25">
      <c r="A1259" s="57"/>
      <c r="B1259" s="64" t="s">
        <v>1184</v>
      </c>
      <c r="C1259" s="64" t="s">
        <v>4369</v>
      </c>
      <c r="D1259" s="65">
        <v>9.3600000000005821</v>
      </c>
      <c r="E1259" s="66">
        <v>234.79000000003725</v>
      </c>
      <c r="F1259" s="66">
        <v>2.3479000000003727</v>
      </c>
      <c r="G1259" s="65">
        <v>4.2262200000006711</v>
      </c>
      <c r="H1259" s="65" t="s">
        <v>4370</v>
      </c>
      <c r="I1259" s="77">
        <v>3610</v>
      </c>
    </row>
    <row r="1260" spans="1:9" x14ac:dyDescent="0.25">
      <c r="A1260" s="57"/>
      <c r="B1260" s="59" t="s">
        <v>1186</v>
      </c>
      <c r="C1260" s="59" t="s">
        <v>4371</v>
      </c>
      <c r="D1260" s="60">
        <v>18.720000000001164</v>
      </c>
      <c r="E1260" s="61">
        <v>469.58999999985099</v>
      </c>
      <c r="F1260" s="61">
        <v>2.3479499999992548</v>
      </c>
      <c r="G1260" s="60">
        <v>4.2263099999986586</v>
      </c>
      <c r="H1260" s="60" t="s">
        <v>4372</v>
      </c>
      <c r="I1260" s="78">
        <v>3610</v>
      </c>
    </row>
    <row r="1261" spans="1:9" x14ac:dyDescent="0.25">
      <c r="A1261" s="57"/>
      <c r="B1261" s="64" t="s">
        <v>1188</v>
      </c>
      <c r="C1261" s="64" t="s">
        <v>4373</v>
      </c>
      <c r="D1261" s="65">
        <v>9.3600000000005821</v>
      </c>
      <c r="E1261" s="66">
        <v>316.83000000007451</v>
      </c>
      <c r="F1261" s="66">
        <v>3.1683000000007451</v>
      </c>
      <c r="G1261" s="65">
        <v>5.702940000001341</v>
      </c>
      <c r="H1261" s="65" t="s">
        <v>4374</v>
      </c>
      <c r="I1261" s="77">
        <v>4510</v>
      </c>
    </row>
    <row r="1262" spans="1:9" x14ac:dyDescent="0.25">
      <c r="A1262" s="57"/>
      <c r="B1262" s="59" t="s">
        <v>1190</v>
      </c>
      <c r="C1262" s="59" t="s">
        <v>4375</v>
      </c>
      <c r="D1262" s="60">
        <v>18.720000000001164</v>
      </c>
      <c r="E1262" s="61">
        <v>633.67999999970198</v>
      </c>
      <c r="F1262" s="61">
        <v>3.1683999999985097</v>
      </c>
      <c r="G1262" s="60">
        <v>5.7031199999973179</v>
      </c>
      <c r="H1262" s="60" t="s">
        <v>4376</v>
      </c>
      <c r="I1262" s="78">
        <v>4510</v>
      </c>
    </row>
    <row r="1263" spans="1:9" x14ac:dyDescent="0.25">
      <c r="A1263" s="57"/>
      <c r="B1263" s="64" t="s">
        <v>1192</v>
      </c>
      <c r="C1263" s="64" t="s">
        <v>4377</v>
      </c>
      <c r="D1263" s="65">
        <v>9.3600000000005821</v>
      </c>
      <c r="E1263" s="66">
        <v>411.72999999998137</v>
      </c>
      <c r="F1263" s="66">
        <v>4.1172999999998137</v>
      </c>
      <c r="G1263" s="65">
        <v>7.4111399999996648</v>
      </c>
      <c r="H1263" s="65" t="s">
        <v>4378</v>
      </c>
      <c r="I1263" s="77">
        <v>5860</v>
      </c>
    </row>
    <row r="1264" spans="1:9" x14ac:dyDescent="0.25">
      <c r="A1264" s="57"/>
      <c r="B1264" s="59" t="s">
        <v>1194</v>
      </c>
      <c r="C1264" s="59" t="s">
        <v>4379</v>
      </c>
      <c r="D1264" s="60">
        <v>18.720000000001164</v>
      </c>
      <c r="E1264" s="61">
        <v>823.45000000018626</v>
      </c>
      <c r="F1264" s="61">
        <v>4.1172500000009311</v>
      </c>
      <c r="G1264" s="60">
        <v>7.4110500000016772</v>
      </c>
      <c r="H1264" s="60" t="s">
        <v>4380</v>
      </c>
      <c r="I1264" s="78">
        <v>5860</v>
      </c>
    </row>
    <row r="1265" spans="1:9" x14ac:dyDescent="0.25">
      <c r="A1265" s="57"/>
      <c r="B1265" s="64" t="s">
        <v>1185</v>
      </c>
      <c r="C1265" s="64" t="s">
        <v>4381</v>
      </c>
      <c r="D1265" s="65">
        <v>9.3600000000005821</v>
      </c>
      <c r="E1265" s="66">
        <v>234.79000000003725</v>
      </c>
      <c r="F1265" s="66">
        <v>2.3479000000003727</v>
      </c>
      <c r="G1265" s="65">
        <v>4.2262200000006711</v>
      </c>
      <c r="H1265" s="65" t="s">
        <v>4382</v>
      </c>
      <c r="I1265" s="77">
        <v>3610</v>
      </c>
    </row>
    <row r="1266" spans="1:9" x14ac:dyDescent="0.25">
      <c r="A1266" s="57"/>
      <c r="B1266" s="59" t="s">
        <v>1187</v>
      </c>
      <c r="C1266" s="59" t="s">
        <v>4383</v>
      </c>
      <c r="D1266" s="60">
        <v>18.720000000001164</v>
      </c>
      <c r="E1266" s="61">
        <v>469.58999999985099</v>
      </c>
      <c r="F1266" s="61">
        <v>2.3479499999992548</v>
      </c>
      <c r="G1266" s="60">
        <v>4.2263099999986586</v>
      </c>
      <c r="H1266" s="60" t="s">
        <v>4384</v>
      </c>
      <c r="I1266" s="78">
        <v>3610</v>
      </c>
    </row>
    <row r="1267" spans="1:9" x14ac:dyDescent="0.25">
      <c r="A1267" s="57"/>
      <c r="B1267" s="64" t="s">
        <v>1189</v>
      </c>
      <c r="C1267" s="64" t="s">
        <v>4385</v>
      </c>
      <c r="D1267" s="65">
        <v>9.3600000000005821</v>
      </c>
      <c r="E1267" s="66">
        <v>316.83000000007451</v>
      </c>
      <c r="F1267" s="66">
        <v>3.1683000000007451</v>
      </c>
      <c r="G1267" s="65">
        <v>5.702940000001341</v>
      </c>
      <c r="H1267" s="65" t="s">
        <v>4386</v>
      </c>
      <c r="I1267" s="77">
        <v>4510</v>
      </c>
    </row>
    <row r="1268" spans="1:9" x14ac:dyDescent="0.25">
      <c r="A1268" s="57"/>
      <c r="B1268" s="59" t="s">
        <v>1191</v>
      </c>
      <c r="C1268" s="59" t="s">
        <v>4387</v>
      </c>
      <c r="D1268" s="60">
        <v>18.720000000001164</v>
      </c>
      <c r="E1268" s="61">
        <v>633.67999999970198</v>
      </c>
      <c r="F1268" s="61">
        <v>3.1683999999985097</v>
      </c>
      <c r="G1268" s="60">
        <v>5.7031199999973179</v>
      </c>
      <c r="H1268" s="60" t="s">
        <v>4388</v>
      </c>
      <c r="I1268" s="78">
        <v>4510</v>
      </c>
    </row>
    <row r="1269" spans="1:9" x14ac:dyDescent="0.25">
      <c r="A1269" s="57"/>
      <c r="B1269" s="64" t="s">
        <v>1193</v>
      </c>
      <c r="C1269" s="64" t="s">
        <v>4389</v>
      </c>
      <c r="D1269" s="65">
        <v>12.740000000005239</v>
      </c>
      <c r="E1269" s="66">
        <v>411.72999999998137</v>
      </c>
      <c r="F1269" s="66">
        <v>4.1172999999998137</v>
      </c>
      <c r="G1269" s="65">
        <v>7.4111399999996648</v>
      </c>
      <c r="H1269" s="65" t="s">
        <v>4390</v>
      </c>
      <c r="I1269" s="77">
        <v>5860</v>
      </c>
    </row>
    <row r="1270" spans="1:9" x14ac:dyDescent="0.25">
      <c r="A1270" s="57"/>
      <c r="B1270" s="59" t="s">
        <v>1195</v>
      </c>
      <c r="C1270" s="59" t="s">
        <v>4391</v>
      </c>
      <c r="D1270" s="60">
        <v>24.480000000010477</v>
      </c>
      <c r="E1270" s="61">
        <v>823.45000000018626</v>
      </c>
      <c r="F1270" s="61">
        <v>4.1172500000009311</v>
      </c>
      <c r="G1270" s="60">
        <v>7.4110500000016772</v>
      </c>
      <c r="H1270" s="60" t="s">
        <v>4392</v>
      </c>
      <c r="I1270" s="78">
        <v>5860</v>
      </c>
    </row>
    <row r="1271" spans="1:9" x14ac:dyDescent="0.25">
      <c r="A1271" s="57"/>
      <c r="B1271" s="64" t="s">
        <v>1197</v>
      </c>
      <c r="C1271" s="64" t="s">
        <v>4393</v>
      </c>
      <c r="D1271" s="65">
        <v>12.740000000005239</v>
      </c>
      <c r="E1271" s="66">
        <v>22.989999999990687</v>
      </c>
      <c r="F1271" s="66">
        <v>22.989999999990687</v>
      </c>
      <c r="G1271" s="66">
        <v>41.381999999983236</v>
      </c>
      <c r="H1271" s="65" t="s">
        <v>4394</v>
      </c>
      <c r="I1271" s="77">
        <v>3610</v>
      </c>
    </row>
    <row r="1272" spans="1:9" x14ac:dyDescent="0.25">
      <c r="A1272" s="57"/>
      <c r="B1272" s="59" t="s">
        <v>1199</v>
      </c>
      <c r="C1272" s="59" t="s">
        <v>4395</v>
      </c>
      <c r="D1272" s="60">
        <v>24.480000000010477</v>
      </c>
      <c r="E1272" s="61">
        <v>29.799999999988358</v>
      </c>
      <c r="F1272" s="61">
        <v>29.799999999988358</v>
      </c>
      <c r="G1272" s="61">
        <v>53.639999999979047</v>
      </c>
      <c r="H1272" s="60" t="s">
        <v>4396</v>
      </c>
      <c r="I1272" s="78">
        <v>3610</v>
      </c>
    </row>
    <row r="1273" spans="1:9" x14ac:dyDescent="0.25">
      <c r="A1273" s="57"/>
      <c r="B1273" s="64" t="s">
        <v>1201</v>
      </c>
      <c r="C1273" s="64" t="s">
        <v>4397</v>
      </c>
      <c r="D1273" s="65">
        <v>12.740000000005239</v>
      </c>
      <c r="E1273" s="66">
        <v>35.489999999990687</v>
      </c>
      <c r="F1273" s="66">
        <v>35.489999999990687</v>
      </c>
      <c r="G1273" s="66">
        <v>63.881999999983236</v>
      </c>
      <c r="H1273" s="65" t="s">
        <v>4398</v>
      </c>
      <c r="I1273" s="77">
        <v>4510</v>
      </c>
    </row>
    <row r="1274" spans="1:9" x14ac:dyDescent="0.25">
      <c r="A1274" s="57"/>
      <c r="B1274" s="59" t="s">
        <v>1203</v>
      </c>
      <c r="C1274" s="59" t="s">
        <v>4399</v>
      </c>
      <c r="D1274" s="60">
        <v>24.480000000010477</v>
      </c>
      <c r="E1274" s="61">
        <v>44</v>
      </c>
      <c r="F1274" s="61">
        <v>44</v>
      </c>
      <c r="G1274" s="61">
        <v>79.2</v>
      </c>
      <c r="H1274" s="60" t="s">
        <v>4400</v>
      </c>
      <c r="I1274" s="78">
        <v>4510</v>
      </c>
    </row>
    <row r="1275" spans="1:9" x14ac:dyDescent="0.25">
      <c r="A1275" s="57"/>
      <c r="B1275" s="64" t="s">
        <v>1205</v>
      </c>
      <c r="C1275" s="64" t="s">
        <v>4401</v>
      </c>
      <c r="D1275" s="65">
        <v>12.740000000005239</v>
      </c>
      <c r="E1275" s="66">
        <v>44</v>
      </c>
      <c r="F1275" s="66">
        <v>44</v>
      </c>
      <c r="G1275" s="66">
        <v>79.2</v>
      </c>
      <c r="H1275" s="65" t="s">
        <v>4402</v>
      </c>
      <c r="I1275" s="77">
        <v>5860</v>
      </c>
    </row>
    <row r="1276" spans="1:9" x14ac:dyDescent="0.25">
      <c r="A1276" s="57"/>
      <c r="B1276" s="59" t="s">
        <v>1207</v>
      </c>
      <c r="C1276" s="59" t="s">
        <v>4403</v>
      </c>
      <c r="D1276" s="60">
        <v>24.480000000010477</v>
      </c>
      <c r="E1276" s="61">
        <v>55.070000000006985</v>
      </c>
      <c r="F1276" s="61">
        <v>55.070000000006985</v>
      </c>
      <c r="G1276" s="61">
        <v>99.126000000012581</v>
      </c>
      <c r="H1276" s="60" t="s">
        <v>4404</v>
      </c>
      <c r="I1276" s="78">
        <v>5860</v>
      </c>
    </row>
    <row r="1277" spans="1:9" x14ac:dyDescent="0.25">
      <c r="A1277" s="57"/>
      <c r="B1277" s="64" t="s">
        <v>1198</v>
      </c>
      <c r="C1277" s="64" t="s">
        <v>4405</v>
      </c>
      <c r="D1277" s="65">
        <v>12.740000000005239</v>
      </c>
      <c r="E1277" s="66">
        <v>22.989999999990687</v>
      </c>
      <c r="F1277" s="66">
        <v>22.989999999990687</v>
      </c>
      <c r="G1277" s="66">
        <v>41.381999999983236</v>
      </c>
      <c r="H1277" s="65" t="s">
        <v>4406</v>
      </c>
      <c r="I1277" s="77">
        <v>3610</v>
      </c>
    </row>
    <row r="1278" spans="1:9" x14ac:dyDescent="0.25">
      <c r="A1278" s="57"/>
      <c r="B1278" s="59" t="s">
        <v>1200</v>
      </c>
      <c r="C1278" s="59" t="s">
        <v>4407</v>
      </c>
      <c r="D1278" s="60">
        <v>24.480000000010477</v>
      </c>
      <c r="E1278" s="61">
        <v>29.799999999988358</v>
      </c>
      <c r="F1278" s="61">
        <v>29.799999999988358</v>
      </c>
      <c r="G1278" s="61">
        <v>53.639999999979047</v>
      </c>
      <c r="H1278" s="60" t="s">
        <v>4408</v>
      </c>
      <c r="I1278" s="78">
        <v>3610</v>
      </c>
    </row>
    <row r="1279" spans="1:9" x14ac:dyDescent="0.25">
      <c r="A1279" s="57"/>
      <c r="B1279" s="64" t="s">
        <v>1202</v>
      </c>
      <c r="C1279" s="64" t="s">
        <v>4409</v>
      </c>
      <c r="D1279" s="65">
        <v>16.64000000001397</v>
      </c>
      <c r="E1279" s="66">
        <v>35.489999999990687</v>
      </c>
      <c r="F1279" s="66">
        <v>35.489999999990687</v>
      </c>
      <c r="G1279" s="66">
        <v>63.881999999983236</v>
      </c>
      <c r="H1279" s="65" t="s">
        <v>4410</v>
      </c>
      <c r="I1279" s="77">
        <v>4510</v>
      </c>
    </row>
    <row r="1280" spans="1:9" x14ac:dyDescent="0.25">
      <c r="A1280" s="57"/>
      <c r="B1280" s="59" t="s">
        <v>1204</v>
      </c>
      <c r="C1280" s="59" t="s">
        <v>4411</v>
      </c>
      <c r="D1280" s="60">
        <v>33.28000000002794</v>
      </c>
      <c r="E1280" s="61">
        <v>44</v>
      </c>
      <c r="F1280" s="61">
        <v>44</v>
      </c>
      <c r="G1280" s="61">
        <v>79.2</v>
      </c>
      <c r="H1280" s="60" t="s">
        <v>4412</v>
      </c>
      <c r="I1280" s="78">
        <v>4510</v>
      </c>
    </row>
    <row r="1281" spans="1:9" x14ac:dyDescent="0.25">
      <c r="A1281" s="57"/>
      <c r="B1281" s="64" t="s">
        <v>1206</v>
      </c>
      <c r="C1281" s="64" t="s">
        <v>4413</v>
      </c>
      <c r="D1281" s="65">
        <v>16.64000000001397</v>
      </c>
      <c r="E1281" s="66">
        <v>44</v>
      </c>
      <c r="F1281" s="66">
        <v>44</v>
      </c>
      <c r="G1281" s="66">
        <v>79.2</v>
      </c>
      <c r="H1281" s="65" t="s">
        <v>4414</v>
      </c>
      <c r="I1281" s="77">
        <v>5860</v>
      </c>
    </row>
    <row r="1282" spans="1:9" x14ac:dyDescent="0.25">
      <c r="A1282" s="57"/>
      <c r="B1282" s="59" t="s">
        <v>1208</v>
      </c>
      <c r="C1282" s="59" t="s">
        <v>4415</v>
      </c>
      <c r="D1282" s="60">
        <v>33.28000000002794</v>
      </c>
      <c r="E1282" s="61">
        <v>55.070000000006985</v>
      </c>
      <c r="F1282" s="61">
        <v>55.070000000006985</v>
      </c>
      <c r="G1282" s="61">
        <v>99.126000000012581</v>
      </c>
      <c r="H1282" s="60" t="s">
        <v>4416</v>
      </c>
      <c r="I1282" s="78">
        <v>5860</v>
      </c>
    </row>
    <row r="1283" spans="1:9" x14ac:dyDescent="0.25">
      <c r="A1283" s="57"/>
      <c r="B1283" s="63" t="s">
        <v>4417</v>
      </c>
      <c r="C1283" s="64" t="s">
        <v>4418</v>
      </c>
      <c r="D1283" s="65">
        <v>9.3600000000005821</v>
      </c>
      <c r="E1283" s="66">
        <v>223.92999999993481</v>
      </c>
      <c r="F1283" s="66">
        <v>2.2392999999993481</v>
      </c>
      <c r="G1283" s="65">
        <v>4.0307399999988265</v>
      </c>
      <c r="H1283" s="67" t="s">
        <v>4419</v>
      </c>
      <c r="I1283" s="65" t="s">
        <v>231</v>
      </c>
    </row>
    <row r="1284" spans="1:9" x14ac:dyDescent="0.25">
      <c r="A1284" s="57"/>
      <c r="B1284" s="58" t="s">
        <v>4420</v>
      </c>
      <c r="C1284" s="59" t="s">
        <v>4421</v>
      </c>
      <c r="D1284" s="60">
        <v>18.720000000001164</v>
      </c>
      <c r="E1284" s="61">
        <v>434.83000000007451</v>
      </c>
      <c r="F1284" s="61">
        <v>2.1741500000003726</v>
      </c>
      <c r="G1284" s="60">
        <v>3.9134700000006704</v>
      </c>
      <c r="H1284" s="62" t="s">
        <v>4422</v>
      </c>
      <c r="I1284" s="60" t="s">
        <v>231</v>
      </c>
    </row>
    <row r="1285" spans="1:9" x14ac:dyDescent="0.25">
      <c r="A1285" s="57"/>
      <c r="B1285" s="63" t="s">
        <v>4423</v>
      </c>
      <c r="C1285" s="64" t="s">
        <v>4424</v>
      </c>
      <c r="D1285" s="65">
        <v>9.3600000000005821</v>
      </c>
      <c r="E1285" s="66">
        <v>223.92999999993481</v>
      </c>
      <c r="F1285" s="66">
        <v>2.2392999999993481</v>
      </c>
      <c r="G1285" s="65">
        <v>4.0307399999988265</v>
      </c>
      <c r="H1285" s="67" t="s">
        <v>4425</v>
      </c>
      <c r="I1285" s="65" t="s">
        <v>231</v>
      </c>
    </row>
    <row r="1286" spans="1:9" x14ac:dyDescent="0.25">
      <c r="A1286" s="57"/>
      <c r="B1286" s="58" t="s">
        <v>4426</v>
      </c>
      <c r="C1286" s="59" t="s">
        <v>4427</v>
      </c>
      <c r="D1286" s="60">
        <v>18.720000000001164</v>
      </c>
      <c r="E1286" s="61">
        <v>434.83000000007451</v>
      </c>
      <c r="F1286" s="61">
        <v>2.1741500000003726</v>
      </c>
      <c r="G1286" s="60">
        <v>3.9134700000006704</v>
      </c>
      <c r="H1286" s="62" t="s">
        <v>4428</v>
      </c>
      <c r="I1286" s="60" t="s">
        <v>231</v>
      </c>
    </row>
    <row r="1287" spans="1:9" x14ac:dyDescent="0.25">
      <c r="A1287" s="57"/>
      <c r="B1287" s="63" t="s">
        <v>4429</v>
      </c>
      <c r="C1287" s="64" t="s">
        <v>4430</v>
      </c>
      <c r="D1287" s="65">
        <v>9.3600000000005821</v>
      </c>
      <c r="E1287" s="66">
        <v>223.92999999993481</v>
      </c>
      <c r="F1287" s="66">
        <v>2.2392999999993481</v>
      </c>
      <c r="G1287" s="65">
        <v>4.0307399999988265</v>
      </c>
      <c r="H1287" s="67" t="s">
        <v>4431</v>
      </c>
      <c r="I1287" s="65" t="s">
        <v>231</v>
      </c>
    </row>
    <row r="1288" spans="1:9" x14ac:dyDescent="0.25">
      <c r="A1288" s="57"/>
      <c r="B1288" s="58" t="s">
        <v>4432</v>
      </c>
      <c r="C1288" s="59" t="s">
        <v>4433</v>
      </c>
      <c r="D1288" s="60">
        <v>18.720000000001164</v>
      </c>
      <c r="E1288" s="61">
        <v>434.83000000007451</v>
      </c>
      <c r="F1288" s="61">
        <v>2.1741500000003726</v>
      </c>
      <c r="G1288" s="60">
        <v>3.9134700000006704</v>
      </c>
      <c r="H1288" s="62" t="s">
        <v>4434</v>
      </c>
      <c r="I1288" s="60" t="s">
        <v>231</v>
      </c>
    </row>
    <row r="1289" spans="1:9" x14ac:dyDescent="0.25">
      <c r="A1289" s="57"/>
      <c r="B1289" s="63" t="s">
        <v>4435</v>
      </c>
      <c r="C1289" s="64" t="s">
        <v>4436</v>
      </c>
      <c r="D1289" s="65">
        <v>9.3600000000005821</v>
      </c>
      <c r="E1289" s="66">
        <v>223.92999999993481</v>
      </c>
      <c r="F1289" s="66">
        <v>2.2392999999993481</v>
      </c>
      <c r="G1289" s="65">
        <v>4.0307399999988265</v>
      </c>
      <c r="H1289" s="67" t="s">
        <v>4437</v>
      </c>
      <c r="I1289" s="65" t="s">
        <v>231</v>
      </c>
    </row>
    <row r="1290" spans="1:9" x14ac:dyDescent="0.25">
      <c r="A1290" s="57"/>
      <c r="B1290" s="58" t="s">
        <v>4438</v>
      </c>
      <c r="C1290" s="59" t="s">
        <v>4439</v>
      </c>
      <c r="D1290" s="60">
        <v>18.720000000001164</v>
      </c>
      <c r="E1290" s="61">
        <v>434.83000000007451</v>
      </c>
      <c r="F1290" s="61">
        <v>2.1741500000003726</v>
      </c>
      <c r="G1290" s="60">
        <v>3.9134700000006704</v>
      </c>
      <c r="H1290" s="62" t="s">
        <v>4440</v>
      </c>
      <c r="I1290" s="60" t="s">
        <v>231</v>
      </c>
    </row>
    <row r="1291" spans="1:9" x14ac:dyDescent="0.25">
      <c r="A1291" s="57"/>
      <c r="B1291" s="63" t="s">
        <v>4441</v>
      </c>
      <c r="C1291" s="64" t="s">
        <v>4442</v>
      </c>
      <c r="D1291" s="65">
        <v>9.3600000000005821</v>
      </c>
      <c r="E1291" s="66">
        <v>223.92999999993481</v>
      </c>
      <c r="F1291" s="66">
        <v>2.2392999999993481</v>
      </c>
      <c r="G1291" s="65">
        <v>4.0307399999988265</v>
      </c>
      <c r="H1291" s="67" t="s">
        <v>4443</v>
      </c>
      <c r="I1291" s="65" t="s">
        <v>231</v>
      </c>
    </row>
    <row r="1292" spans="1:9" x14ac:dyDescent="0.25">
      <c r="A1292" s="57"/>
      <c r="B1292" s="58" t="s">
        <v>4444</v>
      </c>
      <c r="C1292" s="59" t="s">
        <v>4445</v>
      </c>
      <c r="D1292" s="60">
        <v>18.720000000001164</v>
      </c>
      <c r="E1292" s="61">
        <v>434.83000000007451</v>
      </c>
      <c r="F1292" s="61">
        <v>2.1741500000003726</v>
      </c>
      <c r="G1292" s="60">
        <v>3.9134700000006704</v>
      </c>
      <c r="H1292" s="62" t="s">
        <v>4446</v>
      </c>
      <c r="I1292" s="60" t="s">
        <v>231</v>
      </c>
    </row>
    <row r="1293" spans="1:9" x14ac:dyDescent="0.25">
      <c r="A1293" s="57"/>
      <c r="B1293" s="63" t="s">
        <v>4447</v>
      </c>
      <c r="C1293" s="64" t="s">
        <v>4448</v>
      </c>
      <c r="D1293" s="65">
        <v>12.740000000005239</v>
      </c>
      <c r="E1293" s="66">
        <v>304.16999999992549</v>
      </c>
      <c r="F1293" s="66">
        <v>3.0416999999992549</v>
      </c>
      <c r="G1293" s="65">
        <v>5.4750599999986598</v>
      </c>
      <c r="H1293" s="67" t="s">
        <v>4449</v>
      </c>
      <c r="I1293" s="65" t="s">
        <v>231</v>
      </c>
    </row>
    <row r="1294" spans="1:9" x14ac:dyDescent="0.25">
      <c r="A1294" s="57"/>
      <c r="B1294" s="58" t="s">
        <v>4450</v>
      </c>
      <c r="C1294" s="59" t="s">
        <v>4451</v>
      </c>
      <c r="D1294" s="60">
        <v>24.480000000010477</v>
      </c>
      <c r="E1294" s="61">
        <v>608.41999999992549</v>
      </c>
      <c r="F1294" s="61">
        <v>3.0420999999996274</v>
      </c>
      <c r="G1294" s="60">
        <v>5.4757799999993297</v>
      </c>
      <c r="H1294" s="62" t="s">
        <v>4452</v>
      </c>
      <c r="I1294" s="60" t="s">
        <v>231</v>
      </c>
    </row>
    <row r="1295" spans="1:9" x14ac:dyDescent="0.25">
      <c r="A1295" s="57"/>
      <c r="B1295" s="63" t="s">
        <v>4453</v>
      </c>
      <c r="C1295" s="64" t="s">
        <v>4454</v>
      </c>
      <c r="D1295" s="65">
        <v>12.740000000005239</v>
      </c>
      <c r="E1295" s="66">
        <v>304.16999999992549</v>
      </c>
      <c r="F1295" s="66">
        <v>3.0416999999992549</v>
      </c>
      <c r="G1295" s="65">
        <v>5.4750599999986598</v>
      </c>
      <c r="H1295" s="67" t="s">
        <v>4455</v>
      </c>
      <c r="I1295" s="65" t="s">
        <v>231</v>
      </c>
    </row>
    <row r="1296" spans="1:9" x14ac:dyDescent="0.25">
      <c r="A1296" s="57"/>
      <c r="B1296" s="58" t="s">
        <v>4456</v>
      </c>
      <c r="C1296" s="59" t="s">
        <v>4457</v>
      </c>
      <c r="D1296" s="60">
        <v>24.480000000010477</v>
      </c>
      <c r="E1296" s="61">
        <v>608.41999999992549</v>
      </c>
      <c r="F1296" s="61">
        <v>3.0420999999996274</v>
      </c>
      <c r="G1296" s="60">
        <v>5.4757799999993297</v>
      </c>
      <c r="H1296" s="62" t="s">
        <v>4458</v>
      </c>
      <c r="I1296" s="60" t="s">
        <v>231</v>
      </c>
    </row>
    <row r="1297" spans="1:9" x14ac:dyDescent="0.25">
      <c r="A1297" s="57"/>
      <c r="B1297" s="63" t="s">
        <v>4459</v>
      </c>
      <c r="C1297" s="64" t="s">
        <v>4460</v>
      </c>
      <c r="D1297" s="65">
        <v>12.740000000005239</v>
      </c>
      <c r="E1297" s="66">
        <v>304.16999999992549</v>
      </c>
      <c r="F1297" s="66">
        <v>3.0416999999992549</v>
      </c>
      <c r="G1297" s="65">
        <v>5.4750599999986598</v>
      </c>
      <c r="H1297" s="67" t="s">
        <v>4461</v>
      </c>
      <c r="I1297" s="65" t="s">
        <v>231</v>
      </c>
    </row>
    <row r="1298" spans="1:9" x14ac:dyDescent="0.25">
      <c r="A1298" s="57"/>
      <c r="B1298" s="58" t="s">
        <v>4462</v>
      </c>
      <c r="C1298" s="59" t="s">
        <v>4463</v>
      </c>
      <c r="D1298" s="60">
        <v>24.480000000010477</v>
      </c>
      <c r="E1298" s="61">
        <v>608.41999999992549</v>
      </c>
      <c r="F1298" s="61">
        <v>3.0420999999996274</v>
      </c>
      <c r="G1298" s="60">
        <v>5.4757799999993297</v>
      </c>
      <c r="H1298" s="62" t="s">
        <v>4464</v>
      </c>
      <c r="I1298" s="60" t="s">
        <v>231</v>
      </c>
    </row>
    <row r="1299" spans="1:9" x14ac:dyDescent="0.25">
      <c r="A1299" s="57"/>
      <c r="B1299" s="63" t="s">
        <v>4465</v>
      </c>
      <c r="C1299" s="64" t="s">
        <v>4466</v>
      </c>
      <c r="D1299" s="65">
        <v>12.740000000005239</v>
      </c>
      <c r="E1299" s="66">
        <v>304.16999999992549</v>
      </c>
      <c r="F1299" s="66">
        <v>3.0416999999992549</v>
      </c>
      <c r="G1299" s="65">
        <v>5.4750599999986598</v>
      </c>
      <c r="H1299" s="67" t="s">
        <v>4467</v>
      </c>
      <c r="I1299" s="65" t="s">
        <v>231</v>
      </c>
    </row>
    <row r="1300" spans="1:9" x14ac:dyDescent="0.25">
      <c r="A1300" s="57"/>
      <c r="B1300" s="58" t="s">
        <v>4468</v>
      </c>
      <c r="C1300" s="59" t="s">
        <v>4469</v>
      </c>
      <c r="D1300" s="60">
        <v>24.480000000010477</v>
      </c>
      <c r="E1300" s="61">
        <v>608.41999999992549</v>
      </c>
      <c r="F1300" s="61">
        <v>3.0420999999996274</v>
      </c>
      <c r="G1300" s="60">
        <v>5.4757799999993297</v>
      </c>
      <c r="H1300" s="62" t="s">
        <v>4470</v>
      </c>
      <c r="I1300" s="60" t="s">
        <v>231</v>
      </c>
    </row>
    <row r="1301" spans="1:9" x14ac:dyDescent="0.25">
      <c r="A1301" s="57"/>
      <c r="B1301" s="63" t="s">
        <v>4471</v>
      </c>
      <c r="C1301" s="64" t="s">
        <v>4472</v>
      </c>
      <c r="D1301" s="65">
        <v>12.740000000005239</v>
      </c>
      <c r="E1301" s="66">
        <v>304.16999999992549</v>
      </c>
      <c r="F1301" s="66">
        <v>3.0416999999992549</v>
      </c>
      <c r="G1301" s="65">
        <v>5.4750599999986598</v>
      </c>
      <c r="H1301" s="67" t="s">
        <v>4473</v>
      </c>
      <c r="I1301" s="65" t="s">
        <v>231</v>
      </c>
    </row>
    <row r="1302" spans="1:9" x14ac:dyDescent="0.25">
      <c r="A1302" s="57"/>
      <c r="B1302" s="58" t="s">
        <v>4474</v>
      </c>
      <c r="C1302" s="59" t="s">
        <v>4475</v>
      </c>
      <c r="D1302" s="60">
        <v>24.480000000010477</v>
      </c>
      <c r="E1302" s="61">
        <v>608.41999999992549</v>
      </c>
      <c r="F1302" s="61">
        <v>3.0420999999996274</v>
      </c>
      <c r="G1302" s="60">
        <v>5.4757799999993297</v>
      </c>
      <c r="H1302" s="62" t="s">
        <v>4476</v>
      </c>
      <c r="I1302" s="60" t="s">
        <v>231</v>
      </c>
    </row>
    <row r="1303" spans="1:9" x14ac:dyDescent="0.25">
      <c r="A1303" s="57"/>
      <c r="B1303" s="63" t="s">
        <v>4477</v>
      </c>
      <c r="C1303" s="64" t="s">
        <v>4478</v>
      </c>
      <c r="D1303" s="65">
        <v>16.64000000001397</v>
      </c>
      <c r="E1303" s="66">
        <v>394.87999999988824</v>
      </c>
      <c r="F1303" s="66">
        <v>3.9487999999988825</v>
      </c>
      <c r="G1303" s="65">
        <v>7.1078399999979887</v>
      </c>
      <c r="H1303" s="67" t="s">
        <v>4479</v>
      </c>
      <c r="I1303" s="65" t="s">
        <v>231</v>
      </c>
    </row>
    <row r="1304" spans="1:9" x14ac:dyDescent="0.25">
      <c r="A1304" s="57"/>
      <c r="B1304" s="58" t="s">
        <v>4480</v>
      </c>
      <c r="C1304" s="59" t="s">
        <v>4481</v>
      </c>
      <c r="D1304" s="60">
        <v>33.28000000002794</v>
      </c>
      <c r="E1304" s="61">
        <v>789.78000000026077</v>
      </c>
      <c r="F1304" s="61">
        <v>3.9489000000013039</v>
      </c>
      <c r="G1304" s="60">
        <v>7.1080200000023464</v>
      </c>
      <c r="H1304" s="62" t="s">
        <v>4482</v>
      </c>
      <c r="I1304" s="60" t="s">
        <v>231</v>
      </c>
    </row>
    <row r="1305" spans="1:9" x14ac:dyDescent="0.25">
      <c r="A1305" s="57"/>
      <c r="B1305" s="63" t="s">
        <v>4483</v>
      </c>
      <c r="C1305" s="64" t="s">
        <v>4484</v>
      </c>
      <c r="D1305" s="65">
        <v>16.64000000001397</v>
      </c>
      <c r="E1305" s="66">
        <v>394.87999999988824</v>
      </c>
      <c r="F1305" s="66">
        <v>3.9487999999988825</v>
      </c>
      <c r="G1305" s="65">
        <v>7.1078399999979887</v>
      </c>
      <c r="H1305" s="67" t="s">
        <v>4485</v>
      </c>
      <c r="I1305" s="65" t="s">
        <v>231</v>
      </c>
    </row>
    <row r="1306" spans="1:9" x14ac:dyDescent="0.25">
      <c r="A1306" s="57"/>
      <c r="B1306" s="58" t="s">
        <v>4486</v>
      </c>
      <c r="C1306" s="59" t="s">
        <v>4487</v>
      </c>
      <c r="D1306" s="60">
        <v>33.28000000002794</v>
      </c>
      <c r="E1306" s="61">
        <v>789.78000000026077</v>
      </c>
      <c r="F1306" s="61">
        <v>3.9489000000013039</v>
      </c>
      <c r="G1306" s="60">
        <v>7.1080200000023464</v>
      </c>
      <c r="H1306" s="62" t="s">
        <v>4488</v>
      </c>
      <c r="I1306" s="60" t="s">
        <v>231</v>
      </c>
    </row>
    <row r="1307" spans="1:9" x14ac:dyDescent="0.25">
      <c r="A1307" s="57"/>
      <c r="B1307" s="63" t="s">
        <v>4489</v>
      </c>
      <c r="C1307" s="64" t="s">
        <v>4490</v>
      </c>
      <c r="D1307" s="65">
        <v>16.64000000001397</v>
      </c>
      <c r="E1307" s="66">
        <v>394.87999999988824</v>
      </c>
      <c r="F1307" s="66">
        <v>3.9487999999988825</v>
      </c>
      <c r="G1307" s="65">
        <v>7.1078399999979887</v>
      </c>
      <c r="H1307" s="67" t="s">
        <v>4491</v>
      </c>
      <c r="I1307" s="65" t="s">
        <v>231</v>
      </c>
    </row>
    <row r="1308" spans="1:9" x14ac:dyDescent="0.25">
      <c r="A1308" s="57"/>
      <c r="B1308" s="58" t="s">
        <v>4492</v>
      </c>
      <c r="C1308" s="59" t="s">
        <v>4493</v>
      </c>
      <c r="D1308" s="60">
        <v>33.28000000002794</v>
      </c>
      <c r="E1308" s="61">
        <v>789.78000000026077</v>
      </c>
      <c r="F1308" s="61">
        <v>3.9489000000013039</v>
      </c>
      <c r="G1308" s="60">
        <v>7.1080200000023464</v>
      </c>
      <c r="H1308" s="62" t="s">
        <v>4494</v>
      </c>
      <c r="I1308" s="60" t="s">
        <v>231</v>
      </c>
    </row>
    <row r="1309" spans="1:9" x14ac:dyDescent="0.25">
      <c r="A1309" s="57"/>
      <c r="B1309" s="63" t="s">
        <v>4495</v>
      </c>
      <c r="C1309" s="64" t="s">
        <v>4496</v>
      </c>
      <c r="D1309" s="65">
        <v>16.64000000001397</v>
      </c>
      <c r="E1309" s="66">
        <v>394.87999999988824</v>
      </c>
      <c r="F1309" s="66">
        <v>3.9487999999988825</v>
      </c>
      <c r="G1309" s="65">
        <v>7.1078399999979887</v>
      </c>
      <c r="H1309" s="67" t="s">
        <v>4497</v>
      </c>
      <c r="I1309" s="65" t="s">
        <v>231</v>
      </c>
    </row>
    <row r="1310" spans="1:9" x14ac:dyDescent="0.25">
      <c r="A1310" s="57"/>
      <c r="B1310" s="58" t="s">
        <v>4498</v>
      </c>
      <c r="C1310" s="59" t="s">
        <v>4499</v>
      </c>
      <c r="D1310" s="60">
        <v>33.28000000002794</v>
      </c>
      <c r="E1310" s="61">
        <v>789.78000000026077</v>
      </c>
      <c r="F1310" s="61">
        <v>3.9489000000013039</v>
      </c>
      <c r="G1310" s="60">
        <v>7.1080200000023464</v>
      </c>
      <c r="H1310" s="62" t="s">
        <v>4500</v>
      </c>
      <c r="I1310" s="60" t="s">
        <v>231</v>
      </c>
    </row>
    <row r="1311" spans="1:9" x14ac:dyDescent="0.25">
      <c r="A1311" s="57"/>
      <c r="B1311" s="63" t="s">
        <v>4501</v>
      </c>
      <c r="C1311" s="64" t="s">
        <v>4502</v>
      </c>
      <c r="D1311" s="65">
        <v>16.64000000001397</v>
      </c>
      <c r="E1311" s="66">
        <v>394.87999999988824</v>
      </c>
      <c r="F1311" s="66">
        <v>3.9487999999988825</v>
      </c>
      <c r="G1311" s="65">
        <v>7.1078399999979887</v>
      </c>
      <c r="H1311" s="67" t="s">
        <v>4503</v>
      </c>
      <c r="I1311" s="65" t="s">
        <v>231</v>
      </c>
    </row>
    <row r="1312" spans="1:9" x14ac:dyDescent="0.25">
      <c r="A1312" s="57"/>
      <c r="B1312" s="58" t="s">
        <v>4504</v>
      </c>
      <c r="C1312" s="59" t="s">
        <v>4505</v>
      </c>
      <c r="D1312" s="60">
        <v>33.28000000002794</v>
      </c>
      <c r="E1312" s="61">
        <v>789.78000000026077</v>
      </c>
      <c r="F1312" s="61">
        <v>3.9489000000013039</v>
      </c>
      <c r="G1312" s="60">
        <v>7.1080200000023464</v>
      </c>
      <c r="H1312" s="62" t="s">
        <v>4506</v>
      </c>
      <c r="I1312" s="60" t="s">
        <v>231</v>
      </c>
    </row>
    <row r="1313" spans="1:9" x14ac:dyDescent="0.25">
      <c r="A1313" s="57"/>
      <c r="B1313" s="63" t="s">
        <v>4507</v>
      </c>
      <c r="C1313" s="64" t="s">
        <v>4508</v>
      </c>
      <c r="D1313" s="65">
        <v>20.970000000001164</v>
      </c>
      <c r="E1313" s="66">
        <v>497.35999999986961</v>
      </c>
      <c r="F1313" s="66">
        <v>4.9735999999986964</v>
      </c>
      <c r="G1313" s="65">
        <v>8.952479999997653</v>
      </c>
      <c r="H1313" s="67" t="s">
        <v>4509</v>
      </c>
      <c r="I1313" s="65" t="s">
        <v>231</v>
      </c>
    </row>
    <row r="1314" spans="1:9" x14ac:dyDescent="0.25">
      <c r="A1314" s="57"/>
      <c r="B1314" s="58" t="s">
        <v>4510</v>
      </c>
      <c r="C1314" s="59" t="s">
        <v>4511</v>
      </c>
      <c r="D1314" s="60">
        <v>41.940000000002328</v>
      </c>
      <c r="E1314" s="61">
        <v>994.61000000033528</v>
      </c>
      <c r="F1314" s="61">
        <v>4.9730500000016766</v>
      </c>
      <c r="G1314" s="60">
        <v>8.9514900000030178</v>
      </c>
      <c r="H1314" s="62" t="s">
        <v>4512</v>
      </c>
      <c r="I1314" s="60" t="s">
        <v>231</v>
      </c>
    </row>
    <row r="1315" spans="1:9" x14ac:dyDescent="0.25">
      <c r="A1315" s="57"/>
      <c r="B1315" s="63" t="s">
        <v>4513</v>
      </c>
      <c r="C1315" s="64" t="s">
        <v>4514</v>
      </c>
      <c r="D1315" s="65">
        <v>20.970000000001164</v>
      </c>
      <c r="E1315" s="66">
        <v>497.35999999986961</v>
      </c>
      <c r="F1315" s="66">
        <v>4.9735999999986964</v>
      </c>
      <c r="G1315" s="65">
        <v>8.952479999997653</v>
      </c>
      <c r="H1315" s="67" t="s">
        <v>4515</v>
      </c>
      <c r="I1315" s="65" t="s">
        <v>231</v>
      </c>
    </row>
    <row r="1316" spans="1:9" x14ac:dyDescent="0.25">
      <c r="A1316" s="57"/>
      <c r="B1316" s="58" t="s">
        <v>4516</v>
      </c>
      <c r="C1316" s="59" t="s">
        <v>4517</v>
      </c>
      <c r="D1316" s="60">
        <v>41.940000000002328</v>
      </c>
      <c r="E1316" s="61">
        <v>994.61000000033528</v>
      </c>
      <c r="F1316" s="61">
        <v>4.9730500000016766</v>
      </c>
      <c r="G1316" s="60">
        <v>8.9514900000030178</v>
      </c>
      <c r="H1316" s="62" t="s">
        <v>4518</v>
      </c>
      <c r="I1316" s="60" t="s">
        <v>231</v>
      </c>
    </row>
    <row r="1317" spans="1:9" x14ac:dyDescent="0.25">
      <c r="A1317" s="57"/>
      <c r="B1317" s="63" t="s">
        <v>4519</v>
      </c>
      <c r="C1317" s="64" t="s">
        <v>4520</v>
      </c>
      <c r="D1317" s="65">
        <v>20.970000000001164</v>
      </c>
      <c r="E1317" s="66">
        <v>497.35999999986961</v>
      </c>
      <c r="F1317" s="66">
        <v>4.9735999999986964</v>
      </c>
      <c r="G1317" s="65">
        <v>8.952479999997653</v>
      </c>
      <c r="H1317" s="67" t="s">
        <v>4521</v>
      </c>
      <c r="I1317" s="65" t="s">
        <v>231</v>
      </c>
    </row>
    <row r="1318" spans="1:9" x14ac:dyDescent="0.25">
      <c r="A1318" s="57"/>
      <c r="B1318" s="58" t="s">
        <v>4522</v>
      </c>
      <c r="C1318" s="59" t="s">
        <v>4523</v>
      </c>
      <c r="D1318" s="60">
        <v>41.940000000002328</v>
      </c>
      <c r="E1318" s="61">
        <v>994.61000000033528</v>
      </c>
      <c r="F1318" s="61">
        <v>4.9730500000016766</v>
      </c>
      <c r="G1318" s="60">
        <v>8.9514900000030178</v>
      </c>
      <c r="H1318" s="62" t="s">
        <v>4524</v>
      </c>
      <c r="I1318" s="60" t="s">
        <v>231</v>
      </c>
    </row>
    <row r="1319" spans="1:9" x14ac:dyDescent="0.25">
      <c r="A1319" s="57"/>
      <c r="B1319" s="63" t="s">
        <v>4525</v>
      </c>
      <c r="C1319" s="64" t="s">
        <v>4526</v>
      </c>
      <c r="D1319" s="65">
        <v>20.970000000001164</v>
      </c>
      <c r="E1319" s="66">
        <v>497.35999999986961</v>
      </c>
      <c r="F1319" s="66">
        <v>4.9735999999986964</v>
      </c>
      <c r="G1319" s="65">
        <v>8.952479999997653</v>
      </c>
      <c r="H1319" s="67" t="s">
        <v>4527</v>
      </c>
      <c r="I1319" s="65" t="s">
        <v>231</v>
      </c>
    </row>
    <row r="1320" spans="1:9" x14ac:dyDescent="0.25">
      <c r="A1320" s="57"/>
      <c r="B1320" s="58" t="s">
        <v>4528</v>
      </c>
      <c r="C1320" s="59" t="s">
        <v>4529</v>
      </c>
      <c r="D1320" s="60">
        <v>41.940000000002328</v>
      </c>
      <c r="E1320" s="61">
        <v>994.61000000033528</v>
      </c>
      <c r="F1320" s="61">
        <v>4.9730500000016766</v>
      </c>
      <c r="G1320" s="60">
        <v>8.9514900000030178</v>
      </c>
      <c r="H1320" s="62" t="s">
        <v>4530</v>
      </c>
      <c r="I1320" s="60" t="s">
        <v>231</v>
      </c>
    </row>
    <row r="1321" spans="1:9" x14ac:dyDescent="0.25">
      <c r="A1321" s="57"/>
      <c r="B1321" s="63" t="s">
        <v>4531</v>
      </c>
      <c r="C1321" s="64" t="s">
        <v>4532</v>
      </c>
      <c r="D1321" s="65">
        <v>20.970000000001164</v>
      </c>
      <c r="E1321" s="66">
        <v>497.35999999986961</v>
      </c>
      <c r="F1321" s="66">
        <v>4.9735999999986964</v>
      </c>
      <c r="G1321" s="65">
        <v>8.952479999997653</v>
      </c>
      <c r="H1321" s="67" t="s">
        <v>4533</v>
      </c>
      <c r="I1321" s="65" t="s">
        <v>231</v>
      </c>
    </row>
    <row r="1322" spans="1:9" x14ac:dyDescent="0.25">
      <c r="A1322" s="57"/>
      <c r="B1322" s="58" t="s">
        <v>4534</v>
      </c>
      <c r="C1322" s="59" t="s">
        <v>4535</v>
      </c>
      <c r="D1322" s="60">
        <v>41.940000000002328</v>
      </c>
      <c r="E1322" s="61">
        <v>994.61000000033528</v>
      </c>
      <c r="F1322" s="61">
        <v>4.9730500000016766</v>
      </c>
      <c r="G1322" s="60">
        <v>8.9514900000030178</v>
      </c>
      <c r="H1322" s="62" t="s">
        <v>4536</v>
      </c>
      <c r="I1322" s="60" t="s">
        <v>231</v>
      </c>
    </row>
    <row r="1323" spans="1:9" x14ac:dyDescent="0.25">
      <c r="A1323" s="57"/>
      <c r="B1323" s="63" t="s">
        <v>4537</v>
      </c>
      <c r="C1323" s="64" t="s">
        <v>4538</v>
      </c>
      <c r="D1323" s="65">
        <v>24.75</v>
      </c>
      <c r="E1323" s="66">
        <v>615.21999999973923</v>
      </c>
      <c r="F1323" s="66">
        <v>6.152199999997392</v>
      </c>
      <c r="G1323" s="65">
        <v>11.073959999995306</v>
      </c>
      <c r="H1323" s="67" t="s">
        <v>4539</v>
      </c>
      <c r="I1323" s="65" t="s">
        <v>231</v>
      </c>
    </row>
    <row r="1324" spans="1:9" x14ac:dyDescent="0.25">
      <c r="A1324" s="57"/>
      <c r="B1324" s="58" t="s">
        <v>4540</v>
      </c>
      <c r="C1324" s="59" t="s">
        <v>4541</v>
      </c>
      <c r="D1324" s="60">
        <v>49.5</v>
      </c>
      <c r="E1324" s="61">
        <v>1230.4399999994785</v>
      </c>
      <c r="F1324" s="61">
        <v>6.152199999997392</v>
      </c>
      <c r="G1324" s="60">
        <v>11.073959999995306</v>
      </c>
      <c r="H1324" s="62" t="s">
        <v>4542</v>
      </c>
      <c r="I1324" s="60" t="s">
        <v>231</v>
      </c>
    </row>
    <row r="1325" spans="1:9" x14ac:dyDescent="0.25">
      <c r="A1325" s="57"/>
      <c r="B1325" s="63" t="s">
        <v>4543</v>
      </c>
      <c r="C1325" s="64" t="s">
        <v>4544</v>
      </c>
      <c r="D1325" s="65">
        <v>24.75</v>
      </c>
      <c r="E1325" s="66">
        <v>615.21999999973923</v>
      </c>
      <c r="F1325" s="66">
        <v>6.152199999997392</v>
      </c>
      <c r="G1325" s="65">
        <v>11.073959999995306</v>
      </c>
      <c r="H1325" s="67" t="s">
        <v>4545</v>
      </c>
      <c r="I1325" s="65" t="s">
        <v>231</v>
      </c>
    </row>
    <row r="1326" spans="1:9" x14ac:dyDescent="0.25">
      <c r="A1326" s="57"/>
      <c r="B1326" s="58" t="s">
        <v>4546</v>
      </c>
      <c r="C1326" s="59" t="s">
        <v>4547</v>
      </c>
      <c r="D1326" s="60">
        <v>49.5</v>
      </c>
      <c r="E1326" s="61">
        <v>1230.4399999994785</v>
      </c>
      <c r="F1326" s="61">
        <v>6.152199999997392</v>
      </c>
      <c r="G1326" s="60">
        <v>11.073959999995306</v>
      </c>
      <c r="H1326" s="62" t="s">
        <v>4548</v>
      </c>
      <c r="I1326" s="60" t="s">
        <v>231</v>
      </c>
    </row>
    <row r="1327" spans="1:9" x14ac:dyDescent="0.25">
      <c r="A1327" s="57"/>
      <c r="B1327" s="63" t="s">
        <v>4549</v>
      </c>
      <c r="C1327" s="64" t="s">
        <v>4550</v>
      </c>
      <c r="D1327" s="65">
        <v>24.75</v>
      </c>
      <c r="E1327" s="66">
        <v>615.21999999973923</v>
      </c>
      <c r="F1327" s="66">
        <v>6.152199999997392</v>
      </c>
      <c r="G1327" s="65">
        <v>11.073959999995306</v>
      </c>
      <c r="H1327" s="67" t="s">
        <v>4551</v>
      </c>
      <c r="I1327" s="65" t="s">
        <v>231</v>
      </c>
    </row>
    <row r="1328" spans="1:9" x14ac:dyDescent="0.25">
      <c r="A1328" s="57"/>
      <c r="B1328" s="58" t="s">
        <v>4552</v>
      </c>
      <c r="C1328" s="59" t="s">
        <v>4553</v>
      </c>
      <c r="D1328" s="60">
        <v>49.5</v>
      </c>
      <c r="E1328" s="61">
        <v>1230.4399999994785</v>
      </c>
      <c r="F1328" s="61">
        <v>6.152199999997392</v>
      </c>
      <c r="G1328" s="60">
        <v>11.073959999995306</v>
      </c>
      <c r="H1328" s="62" t="s">
        <v>4554</v>
      </c>
      <c r="I1328" s="60" t="s">
        <v>231</v>
      </c>
    </row>
    <row r="1329" spans="1:9" x14ac:dyDescent="0.25">
      <c r="A1329" s="57"/>
      <c r="B1329" s="63" t="s">
        <v>4555</v>
      </c>
      <c r="C1329" s="64" t="s">
        <v>4556</v>
      </c>
      <c r="D1329" s="65">
        <v>24.75</v>
      </c>
      <c r="E1329" s="66">
        <v>615.21999999973923</v>
      </c>
      <c r="F1329" s="66">
        <v>6.152199999997392</v>
      </c>
      <c r="G1329" s="65">
        <v>11.073959999995306</v>
      </c>
      <c r="H1329" s="67" t="s">
        <v>4557</v>
      </c>
      <c r="I1329" s="65" t="s">
        <v>231</v>
      </c>
    </row>
    <row r="1330" spans="1:9" x14ac:dyDescent="0.25">
      <c r="A1330" s="57"/>
      <c r="B1330" s="58" t="s">
        <v>4558</v>
      </c>
      <c r="C1330" s="59" t="s">
        <v>4559</v>
      </c>
      <c r="D1330" s="60">
        <v>49.5</v>
      </c>
      <c r="E1330" s="61">
        <v>1230.4399999994785</v>
      </c>
      <c r="F1330" s="61">
        <v>6.152199999997392</v>
      </c>
      <c r="G1330" s="60">
        <v>11.073959999995306</v>
      </c>
      <c r="H1330" s="62" t="s">
        <v>4560</v>
      </c>
      <c r="I1330" s="60" t="s">
        <v>231</v>
      </c>
    </row>
    <row r="1331" spans="1:9" x14ac:dyDescent="0.25">
      <c r="A1331" s="57"/>
      <c r="B1331" s="63" t="s">
        <v>4561</v>
      </c>
      <c r="C1331" s="64" t="s">
        <v>4562</v>
      </c>
      <c r="D1331" s="65">
        <v>0.6999999999998181</v>
      </c>
      <c r="E1331" s="66">
        <v>25.739999999990687</v>
      </c>
      <c r="F1331" s="66">
        <v>25.739999999990687</v>
      </c>
      <c r="G1331" s="65">
        <v>46.331999999983239</v>
      </c>
      <c r="H1331" s="67" t="s">
        <v>4563</v>
      </c>
      <c r="I1331" s="65" t="s">
        <v>231</v>
      </c>
    </row>
    <row r="1332" spans="1:9" x14ac:dyDescent="0.25">
      <c r="A1332" s="57"/>
      <c r="B1332" s="58" t="s">
        <v>4564</v>
      </c>
      <c r="C1332" s="59" t="s">
        <v>4565</v>
      </c>
      <c r="D1332" s="60">
        <v>0.6999999999998181</v>
      </c>
      <c r="E1332" s="61">
        <v>25.739999999990687</v>
      </c>
      <c r="F1332" s="61">
        <v>25.739999999990687</v>
      </c>
      <c r="G1332" s="60">
        <v>46.331999999983239</v>
      </c>
      <c r="H1332" s="62" t="s">
        <v>4566</v>
      </c>
      <c r="I1332" s="60" t="s">
        <v>231</v>
      </c>
    </row>
    <row r="1333" spans="1:9" x14ac:dyDescent="0.25">
      <c r="A1333" s="57"/>
      <c r="B1333" s="63" t="s">
        <v>4567</v>
      </c>
      <c r="C1333" s="64" t="s">
        <v>4568</v>
      </c>
      <c r="D1333" s="65">
        <v>0.6999999999998181</v>
      </c>
      <c r="E1333" s="66">
        <v>25.739999999990687</v>
      </c>
      <c r="F1333" s="66">
        <v>25.739999999990687</v>
      </c>
      <c r="G1333" s="65">
        <v>46.331999999983239</v>
      </c>
      <c r="H1333" s="67" t="s">
        <v>4569</v>
      </c>
      <c r="I1333" s="65" t="s">
        <v>231</v>
      </c>
    </row>
    <row r="1334" spans="1:9" x14ac:dyDescent="0.25">
      <c r="A1334" s="57"/>
      <c r="B1334" s="58" t="s">
        <v>4570</v>
      </c>
      <c r="C1334" s="59" t="s">
        <v>4571</v>
      </c>
      <c r="D1334" s="60">
        <v>0.6999999999998181</v>
      </c>
      <c r="E1334" s="61">
        <v>25.739999999990687</v>
      </c>
      <c r="F1334" s="61">
        <v>25.739999999990687</v>
      </c>
      <c r="G1334" s="60">
        <v>46.331999999983239</v>
      </c>
      <c r="H1334" s="62" t="s">
        <v>4572</v>
      </c>
      <c r="I1334" s="60" t="s">
        <v>231</v>
      </c>
    </row>
    <row r="1335" spans="1:9" x14ac:dyDescent="0.25">
      <c r="A1335" s="57"/>
      <c r="B1335" s="63" t="s">
        <v>4573</v>
      </c>
      <c r="C1335" s="64" t="s">
        <v>4574</v>
      </c>
      <c r="D1335" s="65">
        <v>0.8000000000001819</v>
      </c>
      <c r="E1335" s="66">
        <v>30.089999999996508</v>
      </c>
      <c r="F1335" s="66">
        <v>30.089999999996508</v>
      </c>
      <c r="G1335" s="65">
        <v>54.161999999993718</v>
      </c>
      <c r="H1335" s="67" t="s">
        <v>4575</v>
      </c>
      <c r="I1335" s="65" t="s">
        <v>231</v>
      </c>
    </row>
    <row r="1336" spans="1:9" x14ac:dyDescent="0.25">
      <c r="A1336" s="57"/>
      <c r="B1336" s="58" t="s">
        <v>4576</v>
      </c>
      <c r="C1336" s="59" t="s">
        <v>4577</v>
      </c>
      <c r="D1336" s="60">
        <v>0.8000000000001819</v>
      </c>
      <c r="E1336" s="61">
        <v>30.089999999996508</v>
      </c>
      <c r="F1336" s="61">
        <v>30.089999999996508</v>
      </c>
      <c r="G1336" s="60">
        <v>54.161999999993718</v>
      </c>
      <c r="H1336" s="62" t="s">
        <v>4578</v>
      </c>
      <c r="I1336" s="60" t="s">
        <v>231</v>
      </c>
    </row>
    <row r="1337" spans="1:9" x14ac:dyDescent="0.25">
      <c r="A1337" s="57"/>
      <c r="B1337" s="63" t="s">
        <v>4579</v>
      </c>
      <c r="C1337" s="64" t="s">
        <v>4580</v>
      </c>
      <c r="D1337" s="65">
        <v>0.8000000000001819</v>
      </c>
      <c r="E1337" s="66">
        <v>30.089999999996508</v>
      </c>
      <c r="F1337" s="66">
        <v>30.089999999996508</v>
      </c>
      <c r="G1337" s="65">
        <v>54.161999999993718</v>
      </c>
      <c r="H1337" s="67" t="s">
        <v>4581</v>
      </c>
      <c r="I1337" s="65" t="s">
        <v>231</v>
      </c>
    </row>
    <row r="1338" spans="1:9" x14ac:dyDescent="0.25">
      <c r="A1338" s="57"/>
      <c r="B1338" s="58" t="s">
        <v>4582</v>
      </c>
      <c r="C1338" s="59" t="s">
        <v>4583</v>
      </c>
      <c r="D1338" s="60">
        <v>0.8000000000001819</v>
      </c>
      <c r="E1338" s="61">
        <v>30.089999999996508</v>
      </c>
      <c r="F1338" s="61">
        <v>30.089999999996508</v>
      </c>
      <c r="G1338" s="60">
        <v>54.161999999993718</v>
      </c>
      <c r="H1338" s="62" t="s">
        <v>4584</v>
      </c>
      <c r="I1338" s="60" t="s">
        <v>231</v>
      </c>
    </row>
    <row r="1339" spans="1:9" x14ac:dyDescent="0.25">
      <c r="A1339" s="57"/>
      <c r="B1339" s="63" t="s">
        <v>4585</v>
      </c>
      <c r="C1339" s="64" t="s">
        <v>4586</v>
      </c>
      <c r="D1339" s="65">
        <v>1.5</v>
      </c>
      <c r="E1339" s="66">
        <v>42.239999999990687</v>
      </c>
      <c r="F1339" s="66">
        <v>42.239999999990687</v>
      </c>
      <c r="G1339" s="65">
        <v>76.031999999983242</v>
      </c>
      <c r="H1339" s="67" t="s">
        <v>4587</v>
      </c>
      <c r="I1339" s="65" t="s">
        <v>231</v>
      </c>
    </row>
    <row r="1340" spans="1:9" x14ac:dyDescent="0.25">
      <c r="A1340" s="57"/>
      <c r="B1340" s="58" t="s">
        <v>4588</v>
      </c>
      <c r="C1340" s="59" t="s">
        <v>4589</v>
      </c>
      <c r="D1340" s="60">
        <v>1.5</v>
      </c>
      <c r="E1340" s="61">
        <v>42.239999999990687</v>
      </c>
      <c r="F1340" s="61">
        <v>42.239999999990687</v>
      </c>
      <c r="G1340" s="60">
        <v>76.031999999983242</v>
      </c>
      <c r="H1340" s="62" t="s">
        <v>4590</v>
      </c>
      <c r="I1340" s="60" t="s">
        <v>231</v>
      </c>
    </row>
    <row r="1341" spans="1:9" x14ac:dyDescent="0.25">
      <c r="A1341" s="57"/>
      <c r="B1341" s="63" t="s">
        <v>4591</v>
      </c>
      <c r="C1341" s="64" t="s">
        <v>4592</v>
      </c>
      <c r="D1341" s="65">
        <v>1.5</v>
      </c>
      <c r="E1341" s="66">
        <v>42.239999999990687</v>
      </c>
      <c r="F1341" s="66">
        <v>42.239999999990687</v>
      </c>
      <c r="G1341" s="65">
        <v>76.031999999983242</v>
      </c>
      <c r="H1341" s="67" t="s">
        <v>4593</v>
      </c>
      <c r="I1341" s="65" t="s">
        <v>231</v>
      </c>
    </row>
    <row r="1342" spans="1:9" x14ac:dyDescent="0.25">
      <c r="A1342" s="57"/>
      <c r="B1342" s="58" t="s">
        <v>4594</v>
      </c>
      <c r="C1342" s="59" t="s">
        <v>4595</v>
      </c>
      <c r="D1342" s="60">
        <v>1.5</v>
      </c>
      <c r="E1342" s="61">
        <v>42.239999999990687</v>
      </c>
      <c r="F1342" s="61">
        <v>42.239999999990687</v>
      </c>
      <c r="G1342" s="60">
        <v>76.031999999983242</v>
      </c>
      <c r="H1342" s="62" t="s">
        <v>4596</v>
      </c>
      <c r="I1342" s="60" t="s">
        <v>231</v>
      </c>
    </row>
    <row r="1343" spans="1:9" x14ac:dyDescent="0.25">
      <c r="A1343" s="57"/>
      <c r="B1343" s="63" t="s">
        <v>4597</v>
      </c>
      <c r="C1343" s="64" t="s">
        <v>4598</v>
      </c>
      <c r="D1343" s="65">
        <v>1.2000000000007276</v>
      </c>
      <c r="E1343" s="66">
        <v>36.340000000025611</v>
      </c>
      <c r="F1343" s="66">
        <v>36.340000000025611</v>
      </c>
      <c r="G1343" s="65">
        <v>65.412000000046106</v>
      </c>
      <c r="H1343" s="67" t="s">
        <v>4599</v>
      </c>
      <c r="I1343" s="65" t="s">
        <v>231</v>
      </c>
    </row>
    <row r="1344" spans="1:9" x14ac:dyDescent="0.25">
      <c r="A1344" s="57"/>
      <c r="B1344" s="58" t="s">
        <v>4600</v>
      </c>
      <c r="C1344" s="59" t="s">
        <v>4601</v>
      </c>
      <c r="D1344" s="60">
        <v>1.2000000000007276</v>
      </c>
      <c r="E1344" s="61">
        <v>36.340000000025611</v>
      </c>
      <c r="F1344" s="61">
        <v>36.340000000025611</v>
      </c>
      <c r="G1344" s="60">
        <v>65.412000000046106</v>
      </c>
      <c r="H1344" s="62" t="s">
        <v>4602</v>
      </c>
      <c r="I1344" s="60" t="s">
        <v>231</v>
      </c>
    </row>
    <row r="1345" spans="1:9" x14ac:dyDescent="0.25">
      <c r="A1345" s="57"/>
      <c r="B1345" s="63" t="s">
        <v>4603</v>
      </c>
      <c r="C1345" s="64" t="s">
        <v>4604</v>
      </c>
      <c r="D1345" s="65">
        <v>1.2000000000007276</v>
      </c>
      <c r="E1345" s="66">
        <v>36.340000000025611</v>
      </c>
      <c r="F1345" s="66">
        <v>36.340000000025611</v>
      </c>
      <c r="G1345" s="65">
        <v>65.412000000046106</v>
      </c>
      <c r="H1345" s="67" t="s">
        <v>4605</v>
      </c>
      <c r="I1345" s="65" t="s">
        <v>231</v>
      </c>
    </row>
    <row r="1346" spans="1:9" x14ac:dyDescent="0.25">
      <c r="A1346" s="57"/>
      <c r="B1346" s="58" t="s">
        <v>4606</v>
      </c>
      <c r="C1346" s="59" t="s">
        <v>4607</v>
      </c>
      <c r="D1346" s="60">
        <v>1.2000000000007276</v>
      </c>
      <c r="E1346" s="61">
        <v>36.340000000025611</v>
      </c>
      <c r="F1346" s="61">
        <v>36.340000000025611</v>
      </c>
      <c r="G1346" s="60">
        <v>65.412000000046106</v>
      </c>
      <c r="H1346" s="62" t="s">
        <v>4608</v>
      </c>
      <c r="I1346" s="60" t="s">
        <v>231</v>
      </c>
    </row>
    <row r="1347" spans="1:9" x14ac:dyDescent="0.25">
      <c r="A1347" s="57"/>
      <c r="B1347" s="63" t="s">
        <v>4609</v>
      </c>
      <c r="C1347" s="64" t="s">
        <v>4610</v>
      </c>
      <c r="D1347" s="65">
        <v>2</v>
      </c>
      <c r="E1347" s="66">
        <v>51.10999999998603</v>
      </c>
      <c r="F1347" s="66">
        <v>51.10999999998603</v>
      </c>
      <c r="G1347" s="65">
        <v>91.997999999974851</v>
      </c>
      <c r="H1347" s="67" t="s">
        <v>4611</v>
      </c>
      <c r="I1347" s="65" t="s">
        <v>231</v>
      </c>
    </row>
    <row r="1348" spans="1:9" x14ac:dyDescent="0.25">
      <c r="A1348" s="57"/>
      <c r="B1348" s="58" t="s">
        <v>4612</v>
      </c>
      <c r="C1348" s="59" t="s">
        <v>4613</v>
      </c>
      <c r="D1348" s="60">
        <v>2</v>
      </c>
      <c r="E1348" s="61">
        <v>51.10999999998603</v>
      </c>
      <c r="F1348" s="61">
        <v>51.10999999998603</v>
      </c>
      <c r="G1348" s="60">
        <v>91.997999999974851</v>
      </c>
      <c r="H1348" s="62" t="s">
        <v>4614</v>
      </c>
      <c r="I1348" s="60" t="s">
        <v>231</v>
      </c>
    </row>
    <row r="1349" spans="1:9" x14ac:dyDescent="0.25">
      <c r="A1349" s="57"/>
      <c r="B1349" s="63" t="s">
        <v>4615</v>
      </c>
      <c r="C1349" s="64" t="s">
        <v>4616</v>
      </c>
      <c r="D1349" s="65">
        <v>2</v>
      </c>
      <c r="E1349" s="66">
        <v>51.10999999998603</v>
      </c>
      <c r="F1349" s="66">
        <v>51.10999999998603</v>
      </c>
      <c r="G1349" s="65">
        <v>91.997999999974851</v>
      </c>
      <c r="H1349" s="67" t="s">
        <v>4617</v>
      </c>
      <c r="I1349" s="65" t="s">
        <v>231</v>
      </c>
    </row>
    <row r="1350" spans="1:9" x14ac:dyDescent="0.25">
      <c r="A1350" s="57"/>
      <c r="B1350" s="58" t="s">
        <v>4618</v>
      </c>
      <c r="C1350" s="59" t="s">
        <v>4619</v>
      </c>
      <c r="D1350" s="60">
        <v>2</v>
      </c>
      <c r="E1350" s="61">
        <v>51.10999999998603</v>
      </c>
      <c r="F1350" s="61">
        <v>51.10999999998603</v>
      </c>
      <c r="G1350" s="60">
        <v>91.997999999974851</v>
      </c>
      <c r="H1350" s="62" t="s">
        <v>4620</v>
      </c>
      <c r="I1350" s="60" t="s">
        <v>231</v>
      </c>
    </row>
    <row r="1351" spans="1:9" x14ac:dyDescent="0.25">
      <c r="A1351" s="57"/>
      <c r="B1351" s="63" t="s">
        <v>4621</v>
      </c>
      <c r="C1351" s="64" t="s">
        <v>4622</v>
      </c>
      <c r="D1351" s="65">
        <v>2.2000000000007276</v>
      </c>
      <c r="E1351" s="66">
        <v>58.789999999979045</v>
      </c>
      <c r="F1351" s="66">
        <v>58.789999999979045</v>
      </c>
      <c r="G1351" s="65">
        <v>105.82199999996229</v>
      </c>
      <c r="H1351" s="67" t="s">
        <v>4623</v>
      </c>
      <c r="I1351" s="65" t="s">
        <v>231</v>
      </c>
    </row>
    <row r="1352" spans="1:9" x14ac:dyDescent="0.25">
      <c r="A1352" s="57"/>
      <c r="B1352" s="58" t="s">
        <v>4624</v>
      </c>
      <c r="C1352" s="59" t="s">
        <v>4625</v>
      </c>
      <c r="D1352" s="60">
        <v>2.2000000000007276</v>
      </c>
      <c r="E1352" s="61">
        <v>58.789999999979045</v>
      </c>
      <c r="F1352" s="61">
        <v>58.789999999979045</v>
      </c>
      <c r="G1352" s="60">
        <v>105.82199999996229</v>
      </c>
      <c r="H1352" s="62" t="s">
        <v>4626</v>
      </c>
      <c r="I1352" s="60" t="s">
        <v>231</v>
      </c>
    </row>
    <row r="1353" spans="1:9" x14ac:dyDescent="0.25">
      <c r="A1353" s="57"/>
      <c r="B1353" s="63" t="s">
        <v>4627</v>
      </c>
      <c r="C1353" s="64" t="s">
        <v>4628</v>
      </c>
      <c r="D1353" s="65">
        <v>2.2000000000007276</v>
      </c>
      <c r="E1353" s="66">
        <v>58.789999999979045</v>
      </c>
      <c r="F1353" s="66">
        <v>58.789999999979045</v>
      </c>
      <c r="G1353" s="65">
        <v>105.82199999996229</v>
      </c>
      <c r="H1353" s="67" t="s">
        <v>4629</v>
      </c>
      <c r="I1353" s="65" t="s">
        <v>231</v>
      </c>
    </row>
    <row r="1354" spans="1:9" x14ac:dyDescent="0.25">
      <c r="A1354" s="57"/>
      <c r="B1354" s="58" t="s">
        <v>4630</v>
      </c>
      <c r="C1354" s="59" t="s">
        <v>4631</v>
      </c>
      <c r="D1354" s="60">
        <v>2.2000000000007276</v>
      </c>
      <c r="E1354" s="61">
        <v>58.789999999979045</v>
      </c>
      <c r="F1354" s="61">
        <v>58.789999999979045</v>
      </c>
      <c r="G1354" s="60">
        <v>105.82199999996229</v>
      </c>
      <c r="H1354" s="62" t="s">
        <v>4632</v>
      </c>
      <c r="I1354" s="60" t="s">
        <v>231</v>
      </c>
    </row>
    <row r="1355" spans="1:9" x14ac:dyDescent="0.25">
      <c r="A1355" s="57"/>
      <c r="B1355" s="63" t="s">
        <v>1210</v>
      </c>
      <c r="C1355" s="64" t="s">
        <v>4633</v>
      </c>
      <c r="D1355" s="65">
        <v>16.64000000001397</v>
      </c>
      <c r="E1355" s="66">
        <v>517.04999999981374</v>
      </c>
      <c r="F1355" s="66">
        <v>5.1704999999981371</v>
      </c>
      <c r="G1355" s="65">
        <v>9.3068999999966486</v>
      </c>
      <c r="H1355" s="67" t="s">
        <v>4634</v>
      </c>
      <c r="I1355" s="65" t="s">
        <v>231</v>
      </c>
    </row>
    <row r="1356" spans="1:9" x14ac:dyDescent="0.25">
      <c r="A1356" s="57"/>
      <c r="B1356" s="58" t="s">
        <v>1215</v>
      </c>
      <c r="C1356" s="59" t="s">
        <v>4635</v>
      </c>
      <c r="D1356" s="60">
        <v>16.64000000001397</v>
      </c>
      <c r="E1356" s="61">
        <v>1034.089999999851</v>
      </c>
      <c r="F1356" s="61">
        <v>5.1704499999992546</v>
      </c>
      <c r="G1356" s="60">
        <v>9.3068099999986593</v>
      </c>
      <c r="H1356" s="62" t="s">
        <v>4636</v>
      </c>
      <c r="I1356" s="60" t="s">
        <v>231</v>
      </c>
    </row>
    <row r="1357" spans="1:9" x14ac:dyDescent="0.25">
      <c r="A1357" s="57"/>
      <c r="B1357" s="63" t="s">
        <v>1211</v>
      </c>
      <c r="C1357" s="64" t="s">
        <v>4637</v>
      </c>
      <c r="D1357" s="65">
        <v>16.64000000001397</v>
      </c>
      <c r="E1357" s="66">
        <v>517.04999999981374</v>
      </c>
      <c r="F1357" s="66">
        <v>5.1704999999981371</v>
      </c>
      <c r="G1357" s="65">
        <v>9.3068999999966486</v>
      </c>
      <c r="H1357" s="67" t="s">
        <v>4638</v>
      </c>
      <c r="I1357" s="65" t="s">
        <v>231</v>
      </c>
    </row>
    <row r="1358" spans="1:9" x14ac:dyDescent="0.25">
      <c r="A1358" s="57"/>
      <c r="B1358" s="58" t="s">
        <v>1216</v>
      </c>
      <c r="C1358" s="59" t="s">
        <v>4639</v>
      </c>
      <c r="D1358" s="60">
        <v>16.64000000001397</v>
      </c>
      <c r="E1358" s="61">
        <v>1034.089999999851</v>
      </c>
      <c r="F1358" s="61">
        <v>5.1704499999992546</v>
      </c>
      <c r="G1358" s="60">
        <v>9.3068099999986593</v>
      </c>
      <c r="H1358" s="62" t="s">
        <v>4640</v>
      </c>
      <c r="I1358" s="60" t="s">
        <v>231</v>
      </c>
    </row>
    <row r="1359" spans="1:9" x14ac:dyDescent="0.25">
      <c r="A1359" s="57"/>
      <c r="B1359" s="63" t="s">
        <v>1214</v>
      </c>
      <c r="C1359" s="64" t="s">
        <v>4641</v>
      </c>
      <c r="D1359" s="65">
        <v>16.64000000001397</v>
      </c>
      <c r="E1359" s="66">
        <v>517.04999999981374</v>
      </c>
      <c r="F1359" s="66">
        <v>5.1704999999981371</v>
      </c>
      <c r="G1359" s="65">
        <v>9.3068999999966486</v>
      </c>
      <c r="H1359" s="67" t="s">
        <v>4642</v>
      </c>
      <c r="I1359" s="65" t="s">
        <v>231</v>
      </c>
    </row>
    <row r="1360" spans="1:9" x14ac:dyDescent="0.25">
      <c r="A1360" s="57"/>
      <c r="B1360" s="58" t="s">
        <v>1219</v>
      </c>
      <c r="C1360" s="59" t="s">
        <v>4643</v>
      </c>
      <c r="D1360" s="60">
        <v>16.64000000001397</v>
      </c>
      <c r="E1360" s="61">
        <v>1034.089999999851</v>
      </c>
      <c r="F1360" s="61">
        <v>5.1704499999992546</v>
      </c>
      <c r="G1360" s="60">
        <v>9.3068099999986593</v>
      </c>
      <c r="H1360" s="62" t="s">
        <v>4644</v>
      </c>
      <c r="I1360" s="60" t="s">
        <v>231</v>
      </c>
    </row>
    <row r="1361" spans="1:9" x14ac:dyDescent="0.25">
      <c r="A1361" s="57"/>
      <c r="B1361" s="63" t="s">
        <v>1212</v>
      </c>
      <c r="C1361" s="64" t="s">
        <v>4645</v>
      </c>
      <c r="D1361" s="65">
        <v>16.64000000001397</v>
      </c>
      <c r="E1361" s="66">
        <v>517.04999999981374</v>
      </c>
      <c r="F1361" s="66">
        <v>5.1704999999981371</v>
      </c>
      <c r="G1361" s="65">
        <v>9.3068999999966486</v>
      </c>
      <c r="H1361" s="67" t="s">
        <v>4646</v>
      </c>
      <c r="I1361" s="65" t="s">
        <v>231</v>
      </c>
    </row>
    <row r="1362" spans="1:9" x14ac:dyDescent="0.25">
      <c r="A1362" s="57"/>
      <c r="B1362" s="58" t="s">
        <v>1217</v>
      </c>
      <c r="C1362" s="59" t="s">
        <v>4647</v>
      </c>
      <c r="D1362" s="60">
        <v>16.64000000001397</v>
      </c>
      <c r="E1362" s="61">
        <v>1034.089999999851</v>
      </c>
      <c r="F1362" s="61">
        <v>5.1704499999992546</v>
      </c>
      <c r="G1362" s="60">
        <v>9.3068099999986593</v>
      </c>
      <c r="H1362" s="62" t="s">
        <v>4648</v>
      </c>
      <c r="I1362" s="60" t="s">
        <v>231</v>
      </c>
    </row>
    <row r="1363" spans="1:9" x14ac:dyDescent="0.25">
      <c r="A1363" s="57"/>
      <c r="B1363" s="63" t="s">
        <v>1213</v>
      </c>
      <c r="C1363" s="64" t="s">
        <v>4649</v>
      </c>
      <c r="D1363" s="65">
        <v>16.64000000001397</v>
      </c>
      <c r="E1363" s="66">
        <v>517.04999999981374</v>
      </c>
      <c r="F1363" s="66">
        <v>5.1704999999981371</v>
      </c>
      <c r="G1363" s="65">
        <v>9.3068999999966486</v>
      </c>
      <c r="H1363" s="67" t="s">
        <v>4650</v>
      </c>
      <c r="I1363" s="65" t="s">
        <v>231</v>
      </c>
    </row>
    <row r="1364" spans="1:9" x14ac:dyDescent="0.25">
      <c r="A1364" s="57"/>
      <c r="B1364" s="58" t="s">
        <v>1218</v>
      </c>
      <c r="C1364" s="59" t="s">
        <v>4651</v>
      </c>
      <c r="D1364" s="60">
        <v>16.64000000001397</v>
      </c>
      <c r="E1364" s="61">
        <v>1034.089999999851</v>
      </c>
      <c r="F1364" s="61">
        <v>5.1704499999992546</v>
      </c>
      <c r="G1364" s="60">
        <v>9.3068099999986593</v>
      </c>
      <c r="H1364" s="62" t="s">
        <v>4652</v>
      </c>
      <c r="I1364" s="60" t="s">
        <v>231</v>
      </c>
    </row>
    <row r="1365" spans="1:9" x14ac:dyDescent="0.25">
      <c r="A1365" s="57"/>
      <c r="B1365" s="63" t="s">
        <v>1220</v>
      </c>
      <c r="C1365" s="64" t="s">
        <v>4653</v>
      </c>
      <c r="D1365" s="65">
        <v>16.64000000001397</v>
      </c>
      <c r="E1365" s="66">
        <v>654.11000000033528</v>
      </c>
      <c r="F1365" s="66">
        <v>6.541100000003353</v>
      </c>
      <c r="G1365" s="65">
        <v>11.773980000006036</v>
      </c>
      <c r="H1365" s="67" t="s">
        <v>4654</v>
      </c>
      <c r="I1365" s="65" t="s">
        <v>231</v>
      </c>
    </row>
    <row r="1366" spans="1:9" x14ac:dyDescent="0.25">
      <c r="A1366" s="57"/>
      <c r="B1366" s="58" t="s">
        <v>1225</v>
      </c>
      <c r="C1366" s="59" t="s">
        <v>4655</v>
      </c>
      <c r="D1366" s="60">
        <v>16.64000000001397</v>
      </c>
      <c r="E1366" s="61">
        <v>1308.2400000002235</v>
      </c>
      <c r="F1366" s="61">
        <v>6.5412000000011172</v>
      </c>
      <c r="G1366" s="60">
        <v>11.774160000002011</v>
      </c>
      <c r="H1366" s="62" t="s">
        <v>4656</v>
      </c>
      <c r="I1366" s="60" t="s">
        <v>231</v>
      </c>
    </row>
    <row r="1367" spans="1:9" x14ac:dyDescent="0.25">
      <c r="A1367" s="57"/>
      <c r="B1367" s="63" t="s">
        <v>1221</v>
      </c>
      <c r="C1367" s="64" t="s">
        <v>4657</v>
      </c>
      <c r="D1367" s="65">
        <v>16.64000000001397</v>
      </c>
      <c r="E1367" s="66">
        <v>654.11000000033528</v>
      </c>
      <c r="F1367" s="66">
        <v>6.541100000003353</v>
      </c>
      <c r="G1367" s="65">
        <v>11.773980000006036</v>
      </c>
      <c r="H1367" s="67" t="s">
        <v>4658</v>
      </c>
      <c r="I1367" s="65" t="s">
        <v>231</v>
      </c>
    </row>
    <row r="1368" spans="1:9" x14ac:dyDescent="0.25">
      <c r="A1368" s="57"/>
      <c r="B1368" s="58" t="s">
        <v>1226</v>
      </c>
      <c r="C1368" s="59" t="s">
        <v>4659</v>
      </c>
      <c r="D1368" s="60">
        <v>16.64000000001397</v>
      </c>
      <c r="E1368" s="61">
        <v>1308.2400000002235</v>
      </c>
      <c r="F1368" s="61">
        <v>6.5412000000011172</v>
      </c>
      <c r="G1368" s="60">
        <v>11.774160000002011</v>
      </c>
      <c r="H1368" s="62" t="s">
        <v>4660</v>
      </c>
      <c r="I1368" s="60" t="s">
        <v>231</v>
      </c>
    </row>
    <row r="1369" spans="1:9" x14ac:dyDescent="0.25">
      <c r="A1369" s="57"/>
      <c r="B1369" s="63" t="s">
        <v>1224</v>
      </c>
      <c r="C1369" s="64" t="s">
        <v>4661</v>
      </c>
      <c r="D1369" s="65">
        <v>16.64000000001397</v>
      </c>
      <c r="E1369" s="66">
        <v>654.11000000033528</v>
      </c>
      <c r="F1369" s="66">
        <v>6.541100000003353</v>
      </c>
      <c r="G1369" s="65">
        <v>11.773980000006036</v>
      </c>
      <c r="H1369" s="67" t="s">
        <v>4662</v>
      </c>
      <c r="I1369" s="65" t="s">
        <v>231</v>
      </c>
    </row>
    <row r="1370" spans="1:9" x14ac:dyDescent="0.25">
      <c r="A1370" s="57"/>
      <c r="B1370" s="58" t="s">
        <v>1229</v>
      </c>
      <c r="C1370" s="59" t="s">
        <v>4663</v>
      </c>
      <c r="D1370" s="60">
        <v>16.64000000001397</v>
      </c>
      <c r="E1370" s="61">
        <v>1308.2400000002235</v>
      </c>
      <c r="F1370" s="61">
        <v>6.5412000000011172</v>
      </c>
      <c r="G1370" s="60">
        <v>11.774160000002011</v>
      </c>
      <c r="H1370" s="62" t="s">
        <v>4664</v>
      </c>
      <c r="I1370" s="60" t="s">
        <v>231</v>
      </c>
    </row>
    <row r="1371" spans="1:9" x14ac:dyDescent="0.25">
      <c r="A1371" s="57"/>
      <c r="B1371" s="63" t="s">
        <v>1222</v>
      </c>
      <c r="C1371" s="64" t="s">
        <v>4665</v>
      </c>
      <c r="D1371" s="65">
        <v>16.64000000001397</v>
      </c>
      <c r="E1371" s="66">
        <v>654.11000000033528</v>
      </c>
      <c r="F1371" s="66">
        <v>6.541100000003353</v>
      </c>
      <c r="G1371" s="65">
        <v>11.773980000006036</v>
      </c>
      <c r="H1371" s="67" t="s">
        <v>4666</v>
      </c>
      <c r="I1371" s="65" t="s">
        <v>231</v>
      </c>
    </row>
    <row r="1372" spans="1:9" x14ac:dyDescent="0.25">
      <c r="A1372" s="57"/>
      <c r="B1372" s="58" t="s">
        <v>1227</v>
      </c>
      <c r="C1372" s="59" t="s">
        <v>4667</v>
      </c>
      <c r="D1372" s="60">
        <v>16.64000000001397</v>
      </c>
      <c r="E1372" s="61">
        <v>1308.2400000002235</v>
      </c>
      <c r="F1372" s="61">
        <v>6.5412000000011172</v>
      </c>
      <c r="G1372" s="60">
        <v>11.774160000002011</v>
      </c>
      <c r="H1372" s="62" t="s">
        <v>4668</v>
      </c>
      <c r="I1372" s="60" t="s">
        <v>231</v>
      </c>
    </row>
    <row r="1373" spans="1:9" x14ac:dyDescent="0.25">
      <c r="A1373" s="57"/>
      <c r="B1373" s="63" t="s">
        <v>1223</v>
      </c>
      <c r="C1373" s="64" t="s">
        <v>4669</v>
      </c>
      <c r="D1373" s="65">
        <v>16.64000000001397</v>
      </c>
      <c r="E1373" s="66">
        <v>654.11000000033528</v>
      </c>
      <c r="F1373" s="66">
        <v>6.541100000003353</v>
      </c>
      <c r="G1373" s="65">
        <v>11.773980000006036</v>
      </c>
      <c r="H1373" s="67" t="s">
        <v>4670</v>
      </c>
      <c r="I1373" s="65" t="s">
        <v>231</v>
      </c>
    </row>
    <row r="1374" spans="1:9" x14ac:dyDescent="0.25">
      <c r="A1374" s="57"/>
      <c r="B1374" s="58" t="s">
        <v>1228</v>
      </c>
      <c r="C1374" s="59" t="s">
        <v>4671</v>
      </c>
      <c r="D1374" s="60">
        <v>16.64000000001397</v>
      </c>
      <c r="E1374" s="61">
        <v>1308.2400000002235</v>
      </c>
      <c r="F1374" s="61">
        <v>6.5412000000011172</v>
      </c>
      <c r="G1374" s="60">
        <v>11.774160000002011</v>
      </c>
      <c r="H1374" s="62" t="s">
        <v>4672</v>
      </c>
      <c r="I1374" s="60" t="s">
        <v>231</v>
      </c>
    </row>
    <row r="1375" spans="1:9" x14ac:dyDescent="0.25">
      <c r="A1375" s="57"/>
      <c r="B1375" s="63" t="s">
        <v>1232</v>
      </c>
      <c r="C1375" s="64" t="s">
        <v>4673</v>
      </c>
      <c r="D1375" s="65">
        <v>0.97999999999956344</v>
      </c>
      <c r="E1375" s="66">
        <v>36.020000000018626</v>
      </c>
      <c r="F1375" s="66">
        <v>0.36020000000018626</v>
      </c>
      <c r="G1375" s="65">
        <v>0.64836000000033533</v>
      </c>
      <c r="H1375" s="67" t="s">
        <v>4674</v>
      </c>
      <c r="I1375" s="65" t="s">
        <v>4675</v>
      </c>
    </row>
    <row r="1376" spans="1:9" x14ac:dyDescent="0.25">
      <c r="A1376" s="57"/>
      <c r="B1376" s="58" t="s">
        <v>1233</v>
      </c>
      <c r="C1376" s="59" t="s">
        <v>4676</v>
      </c>
      <c r="D1376" s="60">
        <v>1.9599999999991269</v>
      </c>
      <c r="E1376" s="61">
        <v>72.03000000002794</v>
      </c>
      <c r="F1376" s="61">
        <v>0.36015000000013969</v>
      </c>
      <c r="G1376" s="60">
        <v>0.64827000000025148</v>
      </c>
      <c r="H1376" s="62" t="s">
        <v>4677</v>
      </c>
      <c r="I1376" s="60" t="s">
        <v>4675</v>
      </c>
    </row>
    <row r="1377" spans="1:9" x14ac:dyDescent="0.25">
      <c r="A1377" s="57"/>
      <c r="B1377" s="63" t="s">
        <v>1234</v>
      </c>
      <c r="C1377" s="64" t="s">
        <v>4678</v>
      </c>
      <c r="D1377" s="65">
        <v>1.6100000000005821</v>
      </c>
      <c r="E1377" s="66">
        <v>49.900000000023283</v>
      </c>
      <c r="F1377" s="66">
        <v>0.49900000000023281</v>
      </c>
      <c r="G1377" s="65">
        <v>0.89820000000041911</v>
      </c>
      <c r="H1377" s="67" t="s">
        <v>4679</v>
      </c>
      <c r="I1377" s="65" t="s">
        <v>4675</v>
      </c>
    </row>
    <row r="1378" spans="1:9" x14ac:dyDescent="0.25">
      <c r="A1378" s="57"/>
      <c r="B1378" s="58" t="s">
        <v>1235</v>
      </c>
      <c r="C1378" s="59" t="s">
        <v>4680</v>
      </c>
      <c r="D1378" s="60">
        <v>3.2200000000011642</v>
      </c>
      <c r="E1378" s="61">
        <v>99.800000000046566</v>
      </c>
      <c r="F1378" s="61">
        <v>0.49900000000023281</v>
      </c>
      <c r="G1378" s="60">
        <v>0.89820000000041911</v>
      </c>
      <c r="H1378" s="62" t="s">
        <v>4681</v>
      </c>
      <c r="I1378" s="60" t="s">
        <v>4675</v>
      </c>
    </row>
    <row r="1379" spans="1:9" x14ac:dyDescent="0.25">
      <c r="A1379" s="57"/>
      <c r="B1379" s="63" t="s">
        <v>1236</v>
      </c>
      <c r="C1379" s="64" t="s">
        <v>4682</v>
      </c>
      <c r="D1379" s="65">
        <v>2.069999999999709</v>
      </c>
      <c r="E1379" s="66">
        <v>65.57999999995809</v>
      </c>
      <c r="F1379" s="66">
        <v>0.65579999999958094</v>
      </c>
      <c r="G1379" s="65">
        <v>1.1804399999992456</v>
      </c>
      <c r="H1379" s="67" t="s">
        <v>4683</v>
      </c>
      <c r="I1379" s="65" t="s">
        <v>4675</v>
      </c>
    </row>
    <row r="1380" spans="1:9" x14ac:dyDescent="0.25">
      <c r="A1380" s="57"/>
      <c r="B1380" s="58" t="s">
        <v>1237</v>
      </c>
      <c r="C1380" s="59" t="s">
        <v>4684</v>
      </c>
      <c r="D1380" s="60">
        <v>4.1399999999994179</v>
      </c>
      <c r="E1380" s="61">
        <v>131.18999999994412</v>
      </c>
      <c r="F1380" s="61">
        <v>0.65594999999972059</v>
      </c>
      <c r="G1380" s="60">
        <v>1.180709999999497</v>
      </c>
      <c r="H1380" s="62" t="s">
        <v>4685</v>
      </c>
      <c r="I1380" s="60" t="s">
        <v>4675</v>
      </c>
    </row>
    <row r="1381" spans="1:9" x14ac:dyDescent="0.25">
      <c r="A1381" s="57"/>
      <c r="B1381" s="63" t="s">
        <v>1238</v>
      </c>
      <c r="C1381" s="64" t="s">
        <v>4686</v>
      </c>
      <c r="D1381" s="65">
        <v>3.0600000000013097</v>
      </c>
      <c r="E1381" s="66">
        <v>75.729999999981374</v>
      </c>
      <c r="F1381" s="66">
        <v>0.75729999999981379</v>
      </c>
      <c r="G1381" s="65">
        <v>1.3631399999996647</v>
      </c>
      <c r="H1381" s="67" t="s">
        <v>4687</v>
      </c>
      <c r="I1381" s="65" t="s">
        <v>4675</v>
      </c>
    </row>
    <row r="1382" spans="1:9" x14ac:dyDescent="0.25">
      <c r="A1382" s="57"/>
      <c r="B1382" s="58" t="s">
        <v>1239</v>
      </c>
      <c r="C1382" s="59" t="s">
        <v>4688</v>
      </c>
      <c r="D1382" s="60">
        <v>6.1200000000026193</v>
      </c>
      <c r="E1382" s="61">
        <v>151.42999999993481</v>
      </c>
      <c r="F1382" s="61">
        <v>0.75714999999967403</v>
      </c>
      <c r="G1382" s="60">
        <v>1.3628699999994134</v>
      </c>
      <c r="H1382" s="62" t="s">
        <v>4689</v>
      </c>
      <c r="I1382" s="60" t="s">
        <v>4675</v>
      </c>
    </row>
    <row r="1383" spans="1:9" x14ac:dyDescent="0.25">
      <c r="A1383" s="57"/>
      <c r="B1383" s="63" t="s">
        <v>1240</v>
      </c>
      <c r="C1383" s="64" t="s">
        <v>4690</v>
      </c>
      <c r="D1383" s="65">
        <v>4.8099999999976717</v>
      </c>
      <c r="E1383" s="66">
        <v>114.65000000002328</v>
      </c>
      <c r="F1383" s="66">
        <v>1.1465000000002328</v>
      </c>
      <c r="G1383" s="65">
        <v>2.0637000000004191</v>
      </c>
      <c r="H1383" s="67" t="s">
        <v>4691</v>
      </c>
      <c r="I1383" s="65" t="s">
        <v>4675</v>
      </c>
    </row>
    <row r="1384" spans="1:9" x14ac:dyDescent="0.25">
      <c r="A1384" s="57"/>
      <c r="B1384" s="58" t="s">
        <v>1241</v>
      </c>
      <c r="C1384" s="59" t="s">
        <v>4692</v>
      </c>
      <c r="D1384" s="60">
        <v>9.6199999999953434</v>
      </c>
      <c r="E1384" s="61">
        <v>229.27000000001863</v>
      </c>
      <c r="F1384" s="61">
        <v>1.1463500000000932</v>
      </c>
      <c r="G1384" s="60">
        <v>2.0634300000001677</v>
      </c>
      <c r="H1384" s="62" t="s">
        <v>4693</v>
      </c>
      <c r="I1384" s="60" t="s">
        <v>4675</v>
      </c>
    </row>
    <row r="1385" spans="1:9" x14ac:dyDescent="0.25">
      <c r="A1385" s="57"/>
      <c r="B1385" s="63" t="s">
        <v>4694</v>
      </c>
      <c r="C1385" s="64" t="s">
        <v>4695</v>
      </c>
      <c r="D1385" s="65">
        <v>8.2299999999959255</v>
      </c>
      <c r="E1385" s="66">
        <v>178.90999999991618</v>
      </c>
      <c r="F1385" s="66">
        <v>1.7890999999991619</v>
      </c>
      <c r="G1385" s="65">
        <v>3.2203799999984914</v>
      </c>
      <c r="H1385" s="67" t="s">
        <v>4696</v>
      </c>
      <c r="I1385" s="65" t="s">
        <v>4675</v>
      </c>
    </row>
    <row r="1386" spans="1:9" x14ac:dyDescent="0.25">
      <c r="A1386" s="57"/>
      <c r="B1386" s="58" t="s">
        <v>4697</v>
      </c>
      <c r="C1386" s="59" t="s">
        <v>4698</v>
      </c>
      <c r="D1386" s="60">
        <v>16.459999999991851</v>
      </c>
      <c r="E1386" s="61">
        <v>357.79999999981374</v>
      </c>
      <c r="F1386" s="61">
        <v>1.7889999999990687</v>
      </c>
      <c r="G1386" s="60">
        <v>3.2201999999983233</v>
      </c>
      <c r="H1386" s="62" t="s">
        <v>4699</v>
      </c>
      <c r="I1386" s="60" t="s">
        <v>4675</v>
      </c>
    </row>
    <row r="1387" spans="1:9" x14ac:dyDescent="0.25">
      <c r="A1387" s="57"/>
      <c r="B1387" s="63" t="s">
        <v>1243</v>
      </c>
      <c r="C1387" s="64" t="s">
        <v>4700</v>
      </c>
      <c r="D1387" s="65">
        <v>10.660000000003492</v>
      </c>
      <c r="E1387" s="66">
        <v>266.10000000009313</v>
      </c>
      <c r="F1387" s="66">
        <v>2.6610000000009313</v>
      </c>
      <c r="G1387" s="65">
        <v>4.7898000000016765</v>
      </c>
      <c r="H1387" s="67" t="s">
        <v>4701</v>
      </c>
      <c r="I1387" s="65" t="s">
        <v>4675</v>
      </c>
    </row>
    <row r="1388" spans="1:9" x14ac:dyDescent="0.25">
      <c r="A1388" s="57"/>
      <c r="B1388" s="58" t="s">
        <v>1244</v>
      </c>
      <c r="C1388" s="59" t="s">
        <v>4702</v>
      </c>
      <c r="D1388" s="60">
        <v>21.320000000006985</v>
      </c>
      <c r="E1388" s="61">
        <v>532.16999999992549</v>
      </c>
      <c r="F1388" s="61">
        <v>2.6608499999996273</v>
      </c>
      <c r="G1388" s="60">
        <v>4.7895299999993295</v>
      </c>
      <c r="H1388" s="62" t="s">
        <v>4703</v>
      </c>
      <c r="I1388" s="60" t="s">
        <v>4675</v>
      </c>
    </row>
    <row r="1389" spans="1:9" x14ac:dyDescent="0.25">
      <c r="A1389" s="57"/>
      <c r="B1389" s="63" t="s">
        <v>4704</v>
      </c>
      <c r="C1389" s="64" t="s">
        <v>4705</v>
      </c>
      <c r="D1389" s="65">
        <v>9.8300000000017462</v>
      </c>
      <c r="E1389" s="66">
        <v>263.66999999992549</v>
      </c>
      <c r="F1389" s="66">
        <v>1.3183499999996275</v>
      </c>
      <c r="G1389" s="65">
        <v>2.3730299999993294</v>
      </c>
      <c r="H1389" s="67" t="s">
        <v>4706</v>
      </c>
      <c r="I1389" s="65" t="s">
        <v>231</v>
      </c>
    </row>
    <row r="1390" spans="1:9" x14ac:dyDescent="0.25">
      <c r="A1390" s="57"/>
      <c r="B1390" s="58" t="s">
        <v>4707</v>
      </c>
      <c r="C1390" s="59" t="s">
        <v>4708</v>
      </c>
      <c r="D1390" s="60">
        <v>17</v>
      </c>
      <c r="E1390" s="61">
        <v>357.81999999983236</v>
      </c>
      <c r="F1390" s="61">
        <v>1.7890999999991619</v>
      </c>
      <c r="G1390" s="60">
        <v>3.2203799999984914</v>
      </c>
      <c r="H1390" s="62" t="s">
        <v>2503</v>
      </c>
      <c r="I1390" s="60" t="s">
        <v>4675</v>
      </c>
    </row>
    <row r="1391" spans="1:9" x14ac:dyDescent="0.25">
      <c r="A1391" s="57"/>
      <c r="B1391" s="63" t="s">
        <v>4709</v>
      </c>
      <c r="C1391" s="64" t="s">
        <v>4710</v>
      </c>
      <c r="D1391" s="65">
        <v>0</v>
      </c>
      <c r="E1391" s="66">
        <v>612.01999999955297</v>
      </c>
      <c r="F1391" s="66">
        <v>3.0600999999977647</v>
      </c>
      <c r="G1391" s="65">
        <v>5.5081799999959768</v>
      </c>
      <c r="H1391" s="67" t="s">
        <v>4711</v>
      </c>
      <c r="I1391" s="65" t="s">
        <v>4675</v>
      </c>
    </row>
    <row r="1392" spans="1:9" x14ac:dyDescent="0.25">
      <c r="A1392" s="57"/>
      <c r="B1392" s="58" t="s">
        <v>4712</v>
      </c>
      <c r="C1392" s="59" t="s">
        <v>4713</v>
      </c>
      <c r="D1392" s="60">
        <v>0</v>
      </c>
      <c r="E1392" s="61">
        <v>788.91999999992549</v>
      </c>
      <c r="F1392" s="61">
        <v>3.9445999999996273</v>
      </c>
      <c r="G1392" s="60">
        <v>7.1002799999993291</v>
      </c>
      <c r="H1392" s="62" t="s">
        <v>4714</v>
      </c>
      <c r="I1392" s="60" t="s">
        <v>4675</v>
      </c>
    </row>
    <row r="1393" spans="1:9" x14ac:dyDescent="0.25">
      <c r="A1393" s="57"/>
      <c r="B1393" s="63" t="s">
        <v>4715</v>
      </c>
      <c r="C1393" s="64" t="s">
        <v>4716</v>
      </c>
      <c r="D1393" s="65">
        <v>0</v>
      </c>
      <c r="E1393" s="66">
        <v>997.05999999959022</v>
      </c>
      <c r="F1393" s="66">
        <v>4.9852999999979515</v>
      </c>
      <c r="G1393" s="65">
        <v>8.9735399999963121</v>
      </c>
      <c r="H1393" s="67" t="s">
        <v>4717</v>
      </c>
      <c r="I1393" s="65" t="s">
        <v>4675</v>
      </c>
    </row>
    <row r="1394" spans="1:9" s="79" customFormat="1" x14ac:dyDescent="0.25">
      <c r="A1394" s="57"/>
      <c r="B1394" s="58" t="s">
        <v>1271</v>
      </c>
      <c r="C1394" s="59" t="s">
        <v>4718</v>
      </c>
      <c r="D1394" s="60">
        <v>1.180000000000291</v>
      </c>
      <c r="E1394" s="61">
        <v>42.229999999981374</v>
      </c>
      <c r="F1394" s="61">
        <v>0.42229999999981371</v>
      </c>
      <c r="G1394" s="60">
        <v>0.76013999999966475</v>
      </c>
      <c r="H1394" s="62" t="s">
        <v>4719</v>
      </c>
      <c r="I1394" s="60" t="s">
        <v>4720</v>
      </c>
    </row>
    <row r="1395" spans="1:9" s="79" customFormat="1" x14ac:dyDescent="0.25">
      <c r="A1395" s="57"/>
      <c r="B1395" s="63" t="s">
        <v>1273</v>
      </c>
      <c r="C1395" s="64" t="s">
        <v>4721</v>
      </c>
      <c r="D1395" s="65">
        <v>2.3600000000005821</v>
      </c>
      <c r="E1395" s="66">
        <v>84.459999999962747</v>
      </c>
      <c r="F1395" s="66">
        <v>0.42229999999981371</v>
      </c>
      <c r="G1395" s="65">
        <v>0.76013999999966475</v>
      </c>
      <c r="H1395" s="67" t="s">
        <v>4722</v>
      </c>
      <c r="I1395" s="65" t="s">
        <v>4720</v>
      </c>
    </row>
    <row r="1396" spans="1:9" s="79" customFormat="1" x14ac:dyDescent="0.25">
      <c r="A1396" s="57"/>
      <c r="B1396" s="58" t="s">
        <v>1270</v>
      </c>
      <c r="C1396" s="59" t="s">
        <v>4723</v>
      </c>
      <c r="D1396" s="60">
        <v>1.2399999999997817</v>
      </c>
      <c r="E1396" s="61">
        <v>42.229999999981374</v>
      </c>
      <c r="F1396" s="61">
        <v>0.42229999999981371</v>
      </c>
      <c r="G1396" s="60">
        <v>0.76013999999966475</v>
      </c>
      <c r="H1396" s="62" t="s">
        <v>4724</v>
      </c>
      <c r="I1396" s="60" t="s">
        <v>4720</v>
      </c>
    </row>
    <row r="1397" spans="1:9" s="79" customFormat="1" x14ac:dyDescent="0.25">
      <c r="A1397" s="57"/>
      <c r="B1397" s="63" t="s">
        <v>1272</v>
      </c>
      <c r="C1397" s="64" t="s">
        <v>4725</v>
      </c>
      <c r="D1397" s="65">
        <v>2.4799999999995634</v>
      </c>
      <c r="E1397" s="66">
        <v>84.459999999962747</v>
      </c>
      <c r="F1397" s="66">
        <v>0.42229999999981371</v>
      </c>
      <c r="G1397" s="65">
        <v>0.76013999999966475</v>
      </c>
      <c r="H1397" s="67" t="s">
        <v>4726</v>
      </c>
      <c r="I1397" s="65" t="s">
        <v>4720</v>
      </c>
    </row>
    <row r="1398" spans="1:9" s="79" customFormat="1" x14ac:dyDescent="0.25">
      <c r="A1398" s="57"/>
      <c r="B1398" s="58" t="s">
        <v>1246</v>
      </c>
      <c r="C1398" s="59" t="s">
        <v>4727</v>
      </c>
      <c r="D1398" s="60">
        <v>1.1180000000003929</v>
      </c>
      <c r="E1398" s="61">
        <v>31.679999999993015</v>
      </c>
      <c r="F1398" s="61">
        <v>0.31679999999993014</v>
      </c>
      <c r="G1398" s="60">
        <v>0.57023999999987429</v>
      </c>
      <c r="H1398" s="62" t="s">
        <v>4728</v>
      </c>
      <c r="I1398" s="60" t="s">
        <v>4720</v>
      </c>
    </row>
    <row r="1399" spans="1:9" s="79" customFormat="1" x14ac:dyDescent="0.25">
      <c r="A1399" s="57"/>
      <c r="B1399" s="63" t="s">
        <v>1247</v>
      </c>
      <c r="C1399" s="64" t="s">
        <v>4729</v>
      </c>
      <c r="D1399" s="65">
        <v>2.3600000000005821</v>
      </c>
      <c r="E1399" s="66">
        <v>63.369999999995343</v>
      </c>
      <c r="F1399" s="66">
        <v>0.31684999999997671</v>
      </c>
      <c r="G1399" s="65">
        <v>0.57032999999995804</v>
      </c>
      <c r="H1399" s="67" t="s">
        <v>4730</v>
      </c>
      <c r="I1399" s="65" t="s">
        <v>4720</v>
      </c>
    </row>
    <row r="1400" spans="1:9" x14ac:dyDescent="0.25">
      <c r="A1400" s="57"/>
      <c r="B1400" s="58" t="s">
        <v>1275</v>
      </c>
      <c r="C1400" s="59" t="s">
        <v>4731</v>
      </c>
      <c r="D1400" s="60">
        <v>2.7000000000007276</v>
      </c>
      <c r="E1400" s="61">
        <v>53.049999999988358</v>
      </c>
      <c r="F1400" s="61">
        <v>0.53049999999988362</v>
      </c>
      <c r="G1400" s="60">
        <v>0.95489999999979047</v>
      </c>
      <c r="H1400" s="62" t="s">
        <v>4732</v>
      </c>
      <c r="I1400" s="60" t="s">
        <v>4720</v>
      </c>
    </row>
    <row r="1401" spans="1:9" x14ac:dyDescent="0.25">
      <c r="A1401" s="57"/>
      <c r="B1401" s="63" t="s">
        <v>1277</v>
      </c>
      <c r="C1401" s="64" t="s">
        <v>4733</v>
      </c>
      <c r="D1401" s="65">
        <v>5.4000000000014552</v>
      </c>
      <c r="E1401" s="66">
        <v>106.0899999999674</v>
      </c>
      <c r="F1401" s="66">
        <v>0.530449999999837</v>
      </c>
      <c r="G1401" s="65">
        <v>0.95480999999970662</v>
      </c>
      <c r="H1401" s="67" t="s">
        <v>4734</v>
      </c>
      <c r="I1401" s="65" t="s">
        <v>4720</v>
      </c>
    </row>
    <row r="1402" spans="1:9" x14ac:dyDescent="0.25">
      <c r="A1402" s="57"/>
      <c r="B1402" s="58" t="s">
        <v>1274</v>
      </c>
      <c r="C1402" s="59" t="s">
        <v>4735</v>
      </c>
      <c r="D1402" s="60">
        <v>2.9099999999998545</v>
      </c>
      <c r="E1402" s="61">
        <v>53.049999999988358</v>
      </c>
      <c r="F1402" s="61">
        <v>0.53049999999988362</v>
      </c>
      <c r="G1402" s="60">
        <v>0.95489999999979047</v>
      </c>
      <c r="H1402" s="62" t="s">
        <v>4736</v>
      </c>
      <c r="I1402" s="60" t="s">
        <v>4720</v>
      </c>
    </row>
    <row r="1403" spans="1:9" x14ac:dyDescent="0.25">
      <c r="A1403" s="57"/>
      <c r="B1403" s="63" t="s">
        <v>1276</v>
      </c>
      <c r="C1403" s="64" t="s">
        <v>4737</v>
      </c>
      <c r="D1403" s="65">
        <v>5.819999999999709</v>
      </c>
      <c r="E1403" s="66">
        <v>106.0899999999674</v>
      </c>
      <c r="F1403" s="66">
        <v>0.530449999999837</v>
      </c>
      <c r="G1403" s="65">
        <v>0.95480999999970662</v>
      </c>
      <c r="H1403" s="67" t="s">
        <v>4738</v>
      </c>
      <c r="I1403" s="65" t="s">
        <v>4720</v>
      </c>
    </row>
    <row r="1404" spans="1:9" x14ac:dyDescent="0.25">
      <c r="A1404" s="57"/>
      <c r="B1404" s="58" t="s">
        <v>1248</v>
      </c>
      <c r="C1404" s="59" t="s">
        <v>4739</v>
      </c>
      <c r="D1404" s="60">
        <v>2.9099999999998545</v>
      </c>
      <c r="E1404" s="61">
        <v>39.78000000002794</v>
      </c>
      <c r="F1404" s="61">
        <v>0.39780000000027937</v>
      </c>
      <c r="G1404" s="60">
        <v>0.71604000000050294</v>
      </c>
      <c r="H1404" s="62" t="s">
        <v>4740</v>
      </c>
      <c r="I1404" s="60" t="s">
        <v>4720</v>
      </c>
    </row>
    <row r="1405" spans="1:9" x14ac:dyDescent="0.25">
      <c r="A1405" s="57"/>
      <c r="B1405" s="63" t="s">
        <v>1249</v>
      </c>
      <c r="C1405" s="64" t="s">
        <v>4741</v>
      </c>
      <c r="D1405" s="65">
        <v>5.819999999999709</v>
      </c>
      <c r="E1405" s="66">
        <v>79.60999999998603</v>
      </c>
      <c r="F1405" s="66">
        <v>0.39804999999993013</v>
      </c>
      <c r="G1405" s="65">
        <v>0.71648999999987428</v>
      </c>
      <c r="H1405" s="67" t="s">
        <v>4742</v>
      </c>
      <c r="I1405" s="65" t="s">
        <v>4720</v>
      </c>
    </row>
    <row r="1406" spans="1:9" s="79" customFormat="1" x14ac:dyDescent="0.25">
      <c r="A1406" s="57"/>
      <c r="B1406" s="58" t="s">
        <v>1279</v>
      </c>
      <c r="C1406" s="59" t="s">
        <v>4743</v>
      </c>
      <c r="D1406" s="60">
        <v>4.8000000000029104</v>
      </c>
      <c r="E1406" s="61">
        <v>90.160000000032596</v>
      </c>
      <c r="F1406" s="61">
        <v>0.90160000000032592</v>
      </c>
      <c r="G1406" s="60">
        <v>1.6228800000005867</v>
      </c>
      <c r="H1406" s="62" t="s">
        <v>4744</v>
      </c>
      <c r="I1406" s="60" t="s">
        <v>4720</v>
      </c>
    </row>
    <row r="1407" spans="1:9" s="79" customFormat="1" x14ac:dyDescent="0.25">
      <c r="A1407" s="57"/>
      <c r="B1407" s="63" t="s">
        <v>1281</v>
      </c>
      <c r="C1407" s="64" t="s">
        <v>4745</v>
      </c>
      <c r="D1407" s="65">
        <v>9.6000000000058208</v>
      </c>
      <c r="E1407" s="66">
        <v>180.27000000001863</v>
      </c>
      <c r="F1407" s="66">
        <v>0.90135000000009313</v>
      </c>
      <c r="G1407" s="65">
        <v>1.6224300000001677</v>
      </c>
      <c r="H1407" s="67" t="s">
        <v>4746</v>
      </c>
      <c r="I1407" s="65" t="s">
        <v>4720</v>
      </c>
    </row>
    <row r="1408" spans="1:9" s="79" customFormat="1" x14ac:dyDescent="0.25">
      <c r="A1408" s="57"/>
      <c r="B1408" s="58" t="s">
        <v>1278</v>
      </c>
      <c r="C1408" s="59" t="s">
        <v>4747</v>
      </c>
      <c r="D1408" s="60">
        <v>5.0999999999985448</v>
      </c>
      <c r="E1408" s="61">
        <v>90.160000000032596</v>
      </c>
      <c r="F1408" s="61">
        <v>0.90160000000032592</v>
      </c>
      <c r="G1408" s="60">
        <v>1.6228800000005867</v>
      </c>
      <c r="H1408" s="62" t="s">
        <v>4748</v>
      </c>
      <c r="I1408" s="60" t="s">
        <v>4720</v>
      </c>
    </row>
    <row r="1409" spans="1:9" s="79" customFormat="1" x14ac:dyDescent="0.25">
      <c r="A1409" s="57"/>
      <c r="B1409" s="63" t="s">
        <v>1280</v>
      </c>
      <c r="C1409" s="64" t="s">
        <v>4749</v>
      </c>
      <c r="D1409" s="65">
        <v>10.19999999999709</v>
      </c>
      <c r="E1409" s="66">
        <v>180.27000000001863</v>
      </c>
      <c r="F1409" s="66">
        <v>0.90135000000009313</v>
      </c>
      <c r="G1409" s="65">
        <v>1.6224300000001677</v>
      </c>
      <c r="H1409" s="67" t="s">
        <v>4750</v>
      </c>
      <c r="I1409" s="65" t="s">
        <v>4720</v>
      </c>
    </row>
    <row r="1410" spans="1:9" s="79" customFormat="1" x14ac:dyDescent="0.25">
      <c r="A1410" s="57"/>
      <c r="B1410" s="58" t="s">
        <v>1250</v>
      </c>
      <c r="C1410" s="59" t="s">
        <v>4751</v>
      </c>
      <c r="D1410" s="60">
        <v>5.0999999999985448</v>
      </c>
      <c r="E1410" s="61">
        <v>67.589999999967404</v>
      </c>
      <c r="F1410" s="61">
        <v>0.67589999999967398</v>
      </c>
      <c r="G1410" s="60">
        <v>1.2166199999994134</v>
      </c>
      <c r="H1410" s="62" t="s">
        <v>4752</v>
      </c>
      <c r="I1410" s="60" t="s">
        <v>4720</v>
      </c>
    </row>
    <row r="1411" spans="1:9" s="79" customFormat="1" x14ac:dyDescent="0.25">
      <c r="A1411" s="57"/>
      <c r="B1411" s="63" t="s">
        <v>1251</v>
      </c>
      <c r="C1411" s="64" t="s">
        <v>4753</v>
      </c>
      <c r="D1411" s="65">
        <v>10.19999999999709</v>
      </c>
      <c r="E1411" s="66">
        <v>135.18999999994412</v>
      </c>
      <c r="F1411" s="66">
        <v>0.67594999999972061</v>
      </c>
      <c r="G1411" s="65">
        <v>1.2167099999994972</v>
      </c>
      <c r="H1411" s="67" t="s">
        <v>4754</v>
      </c>
      <c r="I1411" s="65" t="s">
        <v>4720</v>
      </c>
    </row>
    <row r="1412" spans="1:9" x14ac:dyDescent="0.25">
      <c r="A1412" s="57"/>
      <c r="B1412" s="58" t="s">
        <v>1284</v>
      </c>
      <c r="C1412" s="59" t="s">
        <v>4755</v>
      </c>
      <c r="D1412" s="60">
        <v>7.5999999999985448</v>
      </c>
      <c r="E1412" s="61">
        <v>143.25</v>
      </c>
      <c r="F1412" s="61">
        <v>1.4325000000000001</v>
      </c>
      <c r="G1412" s="60">
        <v>2.5785</v>
      </c>
      <c r="H1412" s="62" t="s">
        <v>4756</v>
      </c>
      <c r="I1412" s="60" t="s">
        <v>4720</v>
      </c>
    </row>
    <row r="1413" spans="1:9" x14ac:dyDescent="0.25">
      <c r="A1413" s="57"/>
      <c r="B1413" s="63" t="s">
        <v>1286</v>
      </c>
      <c r="C1413" s="64" t="s">
        <v>4757</v>
      </c>
      <c r="D1413" s="65">
        <v>15.19999999999709</v>
      </c>
      <c r="E1413" s="66">
        <v>286.49000000022352</v>
      </c>
      <c r="F1413" s="66">
        <v>1.4324500000011176</v>
      </c>
      <c r="G1413" s="65">
        <v>2.5784100000020116</v>
      </c>
      <c r="H1413" s="67" t="s">
        <v>4758</v>
      </c>
      <c r="I1413" s="65" t="s">
        <v>4720</v>
      </c>
    </row>
    <row r="1414" spans="1:9" x14ac:dyDescent="0.25">
      <c r="A1414" s="57"/>
      <c r="B1414" s="58" t="s">
        <v>1283</v>
      </c>
      <c r="C1414" s="59" t="s">
        <v>4759</v>
      </c>
      <c r="D1414" s="60">
        <v>8.0500000000029104</v>
      </c>
      <c r="E1414" s="61">
        <v>143.25</v>
      </c>
      <c r="F1414" s="61">
        <v>1.4325000000000001</v>
      </c>
      <c r="G1414" s="60">
        <v>2.5785</v>
      </c>
      <c r="H1414" s="62" t="s">
        <v>4760</v>
      </c>
      <c r="I1414" s="60" t="s">
        <v>4720</v>
      </c>
    </row>
    <row r="1415" spans="1:9" x14ac:dyDescent="0.25">
      <c r="A1415" s="57"/>
      <c r="B1415" s="63" t="s">
        <v>1285</v>
      </c>
      <c r="C1415" s="64" t="s">
        <v>4761</v>
      </c>
      <c r="D1415" s="65">
        <v>16.100000000005821</v>
      </c>
      <c r="E1415" s="66">
        <v>286.49000000022352</v>
      </c>
      <c r="F1415" s="66">
        <v>1.4324500000011176</v>
      </c>
      <c r="G1415" s="65">
        <v>2.5784100000020116</v>
      </c>
      <c r="H1415" s="67" t="s">
        <v>4762</v>
      </c>
      <c r="I1415" s="65" t="s">
        <v>4720</v>
      </c>
    </row>
    <row r="1416" spans="1:9" x14ac:dyDescent="0.25">
      <c r="A1416" s="57"/>
      <c r="B1416" s="58" t="s">
        <v>1252</v>
      </c>
      <c r="C1416" s="59" t="s">
        <v>4763</v>
      </c>
      <c r="D1416" s="60">
        <v>8.0500000000029104</v>
      </c>
      <c r="E1416" s="61">
        <v>105.05000000004657</v>
      </c>
      <c r="F1416" s="61">
        <v>1.0505000000004656</v>
      </c>
      <c r="G1416" s="60">
        <v>1.8909000000008382</v>
      </c>
      <c r="H1416" s="62" t="s">
        <v>4764</v>
      </c>
      <c r="I1416" s="60" t="s">
        <v>4720</v>
      </c>
    </row>
    <row r="1417" spans="1:9" x14ac:dyDescent="0.25">
      <c r="A1417" s="57"/>
      <c r="B1417" s="63" t="s">
        <v>1253</v>
      </c>
      <c r="C1417" s="64" t="s">
        <v>4765</v>
      </c>
      <c r="D1417" s="65">
        <v>16.100000000005821</v>
      </c>
      <c r="E1417" s="66">
        <v>210.09000000008382</v>
      </c>
      <c r="F1417" s="66">
        <v>1.0504500000004191</v>
      </c>
      <c r="G1417" s="65">
        <v>1.8908100000007544</v>
      </c>
      <c r="H1417" s="67" t="s">
        <v>4766</v>
      </c>
      <c r="I1417" s="65" t="s">
        <v>4720</v>
      </c>
    </row>
    <row r="1418" spans="1:9" s="79" customFormat="1" x14ac:dyDescent="0.25">
      <c r="A1418" s="57"/>
      <c r="B1418" s="58" t="s">
        <v>1288</v>
      </c>
      <c r="C1418" s="59" t="s">
        <v>4767</v>
      </c>
      <c r="D1418" s="60">
        <v>11</v>
      </c>
      <c r="E1418" s="61">
        <v>205.10000000009313</v>
      </c>
      <c r="F1418" s="61">
        <v>2.0510000000009314</v>
      </c>
      <c r="G1418" s="60">
        <v>3.6918000000016762</v>
      </c>
      <c r="H1418" s="62" t="s">
        <v>4768</v>
      </c>
      <c r="I1418" s="60" t="s">
        <v>4720</v>
      </c>
    </row>
    <row r="1419" spans="1:9" s="79" customFormat="1" x14ac:dyDescent="0.25">
      <c r="A1419" s="57"/>
      <c r="B1419" s="63" t="s">
        <v>1290</v>
      </c>
      <c r="C1419" s="64" t="s">
        <v>4769</v>
      </c>
      <c r="D1419" s="65">
        <v>22</v>
      </c>
      <c r="E1419" s="66">
        <v>410.18000000016764</v>
      </c>
      <c r="F1419" s="66">
        <v>2.0509000000008384</v>
      </c>
      <c r="G1419" s="65">
        <v>3.6916200000015089</v>
      </c>
      <c r="H1419" s="67" t="s">
        <v>4770</v>
      </c>
      <c r="I1419" s="65" t="s">
        <v>4720</v>
      </c>
    </row>
    <row r="1420" spans="1:9" s="79" customFormat="1" x14ac:dyDescent="0.25">
      <c r="A1420" s="57"/>
      <c r="B1420" s="58" t="s">
        <v>1287</v>
      </c>
      <c r="C1420" s="59" t="s">
        <v>4771</v>
      </c>
      <c r="D1420" s="60">
        <v>11.600000000005821</v>
      </c>
      <c r="E1420" s="61">
        <v>205.10000000009313</v>
      </c>
      <c r="F1420" s="61">
        <v>2.0510000000009314</v>
      </c>
      <c r="G1420" s="60">
        <v>3.6918000000016762</v>
      </c>
      <c r="H1420" s="62" t="s">
        <v>4772</v>
      </c>
      <c r="I1420" s="60" t="s">
        <v>4720</v>
      </c>
    </row>
    <row r="1421" spans="1:9" s="79" customFormat="1" x14ac:dyDescent="0.25">
      <c r="A1421" s="57"/>
      <c r="B1421" s="63" t="s">
        <v>1289</v>
      </c>
      <c r="C1421" s="64" t="s">
        <v>4773</v>
      </c>
      <c r="D1421" s="65">
        <v>23.200000000011642</v>
      </c>
      <c r="E1421" s="66">
        <v>410.14999999990687</v>
      </c>
      <c r="F1421" s="66">
        <v>2.0507499999995344</v>
      </c>
      <c r="G1421" s="65">
        <v>3.6913499999991619</v>
      </c>
      <c r="H1421" s="67" t="s">
        <v>4774</v>
      </c>
      <c r="I1421" s="65" t="s">
        <v>4720</v>
      </c>
    </row>
    <row r="1422" spans="1:9" s="79" customFormat="1" x14ac:dyDescent="0.25">
      <c r="A1422" s="57"/>
      <c r="B1422" s="58" t="s">
        <v>1254</v>
      </c>
      <c r="C1422" s="59" t="s">
        <v>4775</v>
      </c>
      <c r="D1422" s="60">
        <v>11.600000000005821</v>
      </c>
      <c r="E1422" s="61">
        <v>145.25</v>
      </c>
      <c r="F1422" s="61">
        <v>1.4524999999999999</v>
      </c>
      <c r="G1422" s="60">
        <v>2.6145</v>
      </c>
      <c r="H1422" s="62" t="s">
        <v>4776</v>
      </c>
      <c r="I1422" s="60" t="s">
        <v>4720</v>
      </c>
    </row>
    <row r="1423" spans="1:9" s="79" customFormat="1" x14ac:dyDescent="0.25">
      <c r="A1423" s="57"/>
      <c r="B1423" s="63" t="s">
        <v>1255</v>
      </c>
      <c r="C1423" s="64" t="s">
        <v>4777</v>
      </c>
      <c r="D1423" s="65">
        <v>23.200000000011642</v>
      </c>
      <c r="E1423" s="66">
        <v>290.52000000001863</v>
      </c>
      <c r="F1423" s="66">
        <v>1.4526000000000932</v>
      </c>
      <c r="G1423" s="65">
        <v>2.6146800000001678</v>
      </c>
      <c r="H1423" s="67" t="s">
        <v>4778</v>
      </c>
      <c r="I1423" s="65" t="s">
        <v>4720</v>
      </c>
    </row>
    <row r="1424" spans="1:9" x14ac:dyDescent="0.25">
      <c r="A1424" s="57"/>
      <c r="B1424" s="58" t="s">
        <v>1292</v>
      </c>
      <c r="C1424" s="59" t="s">
        <v>4779</v>
      </c>
      <c r="D1424" s="60">
        <v>14.80000000000291</v>
      </c>
      <c r="E1424" s="61">
        <v>277.66000000014901</v>
      </c>
      <c r="F1424" s="61">
        <v>2.7766000000014901</v>
      </c>
      <c r="G1424" s="60">
        <v>4.9978800000026826</v>
      </c>
      <c r="H1424" s="62" t="s">
        <v>4780</v>
      </c>
      <c r="I1424" s="60" t="s">
        <v>4720</v>
      </c>
    </row>
    <row r="1425" spans="1:9" x14ac:dyDescent="0.25">
      <c r="A1425" s="57"/>
      <c r="B1425" s="63" t="s">
        <v>1294</v>
      </c>
      <c r="C1425" s="64" t="s">
        <v>4781</v>
      </c>
      <c r="D1425" s="65">
        <v>29.600000000005821</v>
      </c>
      <c r="E1425" s="66">
        <v>555.34999999962747</v>
      </c>
      <c r="F1425" s="66">
        <v>2.7767499999981373</v>
      </c>
      <c r="G1425" s="65">
        <v>4.998149999996647</v>
      </c>
      <c r="H1425" s="67" t="s">
        <v>4782</v>
      </c>
      <c r="I1425" s="65" t="s">
        <v>4720</v>
      </c>
    </row>
    <row r="1426" spans="1:9" x14ac:dyDescent="0.25">
      <c r="A1426" s="57"/>
      <c r="B1426" s="58" t="s">
        <v>1291</v>
      </c>
      <c r="C1426" s="59" t="s">
        <v>4783</v>
      </c>
      <c r="D1426" s="60">
        <v>15.69999999999709</v>
      </c>
      <c r="E1426" s="61">
        <v>277.66000000014901</v>
      </c>
      <c r="F1426" s="61">
        <v>2.7766000000014901</v>
      </c>
      <c r="G1426" s="60">
        <v>4.9978800000026826</v>
      </c>
      <c r="H1426" s="62" t="s">
        <v>4784</v>
      </c>
      <c r="I1426" s="60" t="s">
        <v>4720</v>
      </c>
    </row>
    <row r="1427" spans="1:9" x14ac:dyDescent="0.25">
      <c r="A1427" s="57"/>
      <c r="B1427" s="63" t="s">
        <v>1293</v>
      </c>
      <c r="C1427" s="64" t="s">
        <v>4785</v>
      </c>
      <c r="D1427" s="65">
        <v>31.399999999994179</v>
      </c>
      <c r="E1427" s="66">
        <v>555.33999999985099</v>
      </c>
      <c r="F1427" s="66">
        <v>2.7766999999992548</v>
      </c>
      <c r="G1427" s="65">
        <v>4.9980599999986586</v>
      </c>
      <c r="H1427" s="67" t="s">
        <v>4786</v>
      </c>
      <c r="I1427" s="65" t="s">
        <v>4720</v>
      </c>
    </row>
    <row r="1428" spans="1:9" x14ac:dyDescent="0.25">
      <c r="A1428" s="57"/>
      <c r="B1428" s="58" t="s">
        <v>1256</v>
      </c>
      <c r="C1428" s="59" t="s">
        <v>4787</v>
      </c>
      <c r="D1428" s="60">
        <v>15.69999999999709</v>
      </c>
      <c r="E1428" s="61">
        <v>196.70999999996275</v>
      </c>
      <c r="F1428" s="61">
        <v>1.9670999999996275</v>
      </c>
      <c r="G1428" s="60">
        <v>3.5407799999993297</v>
      </c>
      <c r="H1428" s="62" t="s">
        <v>4788</v>
      </c>
      <c r="I1428" s="60" t="s">
        <v>4720</v>
      </c>
    </row>
    <row r="1429" spans="1:9" x14ac:dyDescent="0.25">
      <c r="A1429" s="57"/>
      <c r="B1429" s="63" t="s">
        <v>1257</v>
      </c>
      <c r="C1429" s="64" t="s">
        <v>4789</v>
      </c>
      <c r="D1429" s="65">
        <v>31.399999999994179</v>
      </c>
      <c r="E1429" s="66">
        <v>393.41000000014901</v>
      </c>
      <c r="F1429" s="66">
        <v>1.9670500000007451</v>
      </c>
      <c r="G1429" s="65">
        <v>3.5406900000013413</v>
      </c>
      <c r="H1429" s="67" t="s">
        <v>4790</v>
      </c>
      <c r="I1429" s="65" t="s">
        <v>4720</v>
      </c>
    </row>
    <row r="1430" spans="1:9" s="79" customFormat="1" x14ac:dyDescent="0.25">
      <c r="A1430" s="57"/>
      <c r="B1430" s="58" t="s">
        <v>1296</v>
      </c>
      <c r="C1430" s="59" t="s">
        <v>4791</v>
      </c>
      <c r="D1430" s="60">
        <v>19.5</v>
      </c>
      <c r="E1430" s="61">
        <v>362.47999999998137</v>
      </c>
      <c r="F1430" s="61">
        <v>3.6247999999998139</v>
      </c>
      <c r="G1430" s="60">
        <v>6.5246399999996649</v>
      </c>
      <c r="H1430" s="62" t="s">
        <v>4792</v>
      </c>
      <c r="I1430" s="60" t="s">
        <v>4720</v>
      </c>
    </row>
    <row r="1431" spans="1:9" s="79" customFormat="1" x14ac:dyDescent="0.25">
      <c r="A1431" s="57"/>
      <c r="B1431" s="63" t="s">
        <v>1298</v>
      </c>
      <c r="C1431" s="64" t="s">
        <v>4793</v>
      </c>
      <c r="D1431" s="65">
        <v>39</v>
      </c>
      <c r="E1431" s="66">
        <v>725</v>
      </c>
      <c r="F1431" s="66">
        <v>3.625</v>
      </c>
      <c r="G1431" s="65">
        <v>6.5250000000000004</v>
      </c>
      <c r="H1431" s="67" t="s">
        <v>4794</v>
      </c>
      <c r="I1431" s="65" t="s">
        <v>4720</v>
      </c>
    </row>
    <row r="1432" spans="1:9" s="79" customFormat="1" x14ac:dyDescent="0.25">
      <c r="A1432" s="57"/>
      <c r="B1432" s="58" t="s">
        <v>1295</v>
      </c>
      <c r="C1432" s="59" t="s">
        <v>4795</v>
      </c>
      <c r="D1432" s="60">
        <v>19.5</v>
      </c>
      <c r="E1432" s="61">
        <v>362.47999999998137</v>
      </c>
      <c r="F1432" s="61">
        <v>3.6247999999998139</v>
      </c>
      <c r="G1432" s="60">
        <v>6.5246399999996649</v>
      </c>
      <c r="H1432" s="62" t="s">
        <v>4796</v>
      </c>
      <c r="I1432" s="60" t="s">
        <v>4720</v>
      </c>
    </row>
    <row r="1433" spans="1:9" s="79" customFormat="1" x14ac:dyDescent="0.25">
      <c r="A1433" s="57"/>
      <c r="B1433" s="63" t="s">
        <v>1297</v>
      </c>
      <c r="C1433" s="64" t="s">
        <v>4797</v>
      </c>
      <c r="D1433" s="65">
        <v>39</v>
      </c>
      <c r="E1433" s="66">
        <v>725.00999999977648</v>
      </c>
      <c r="F1433" s="66">
        <v>3.6250499999988826</v>
      </c>
      <c r="G1433" s="65">
        <v>6.5250899999979888</v>
      </c>
      <c r="H1433" s="67" t="s">
        <v>4798</v>
      </c>
      <c r="I1433" s="65" t="s">
        <v>4720</v>
      </c>
    </row>
    <row r="1434" spans="1:9" s="79" customFormat="1" x14ac:dyDescent="0.25">
      <c r="A1434" s="57"/>
      <c r="B1434" s="58" t="s">
        <v>1258</v>
      </c>
      <c r="C1434" s="59" t="s">
        <v>4799</v>
      </c>
      <c r="D1434" s="60">
        <v>20.5</v>
      </c>
      <c r="E1434" s="61">
        <v>256.75999999977648</v>
      </c>
      <c r="F1434" s="61">
        <v>2.567599999997765</v>
      </c>
      <c r="G1434" s="60">
        <v>4.621679999995977</v>
      </c>
      <c r="H1434" s="62" t="s">
        <v>4800</v>
      </c>
      <c r="I1434" s="60" t="s">
        <v>4720</v>
      </c>
    </row>
    <row r="1435" spans="1:9" s="79" customFormat="1" x14ac:dyDescent="0.25">
      <c r="A1435" s="57"/>
      <c r="B1435" s="63" t="s">
        <v>1259</v>
      </c>
      <c r="C1435" s="64" t="s">
        <v>4801</v>
      </c>
      <c r="D1435" s="65">
        <v>41</v>
      </c>
      <c r="E1435" s="66">
        <v>513.49000000022352</v>
      </c>
      <c r="F1435" s="66">
        <v>2.5674500000011178</v>
      </c>
      <c r="G1435" s="65">
        <v>4.6214100000020117</v>
      </c>
      <c r="H1435" s="67" t="s">
        <v>4802</v>
      </c>
      <c r="I1435" s="65" t="s">
        <v>4720</v>
      </c>
    </row>
    <row r="1436" spans="1:9" x14ac:dyDescent="0.25">
      <c r="A1436" s="57"/>
      <c r="B1436" s="58" t="s">
        <v>1300</v>
      </c>
      <c r="C1436" s="59" t="s">
        <v>4803</v>
      </c>
      <c r="D1436" s="60">
        <v>24.5</v>
      </c>
      <c r="E1436" s="61">
        <v>459.72999999998137</v>
      </c>
      <c r="F1436" s="61">
        <v>4.5972999999998141</v>
      </c>
      <c r="G1436" s="60">
        <v>8.2751399999996647</v>
      </c>
      <c r="H1436" s="62" t="s">
        <v>4804</v>
      </c>
      <c r="I1436" s="60" t="s">
        <v>4720</v>
      </c>
    </row>
    <row r="1437" spans="1:9" x14ac:dyDescent="0.25">
      <c r="A1437" s="57"/>
      <c r="B1437" s="63" t="s">
        <v>1302</v>
      </c>
      <c r="C1437" s="64" t="s">
        <v>4805</v>
      </c>
      <c r="D1437" s="65">
        <v>49</v>
      </c>
      <c r="E1437" s="66">
        <v>919.44000000040978</v>
      </c>
      <c r="F1437" s="66">
        <v>4.597200000002049</v>
      </c>
      <c r="G1437" s="65">
        <v>8.2749600000036878</v>
      </c>
      <c r="H1437" s="67" t="s">
        <v>4806</v>
      </c>
      <c r="I1437" s="65" t="s">
        <v>4720</v>
      </c>
    </row>
    <row r="1438" spans="1:9" x14ac:dyDescent="0.25">
      <c r="A1438" s="57"/>
      <c r="B1438" s="58" t="s">
        <v>1299</v>
      </c>
      <c r="C1438" s="59" t="s">
        <v>4807</v>
      </c>
      <c r="D1438" s="60">
        <v>26</v>
      </c>
      <c r="E1438" s="61">
        <v>459.72999999998137</v>
      </c>
      <c r="F1438" s="61">
        <v>4.5972999999998141</v>
      </c>
      <c r="G1438" s="60">
        <v>8.2751399999996647</v>
      </c>
      <c r="H1438" s="62" t="s">
        <v>4808</v>
      </c>
      <c r="I1438" s="60" t="s">
        <v>4720</v>
      </c>
    </row>
    <row r="1439" spans="1:9" x14ac:dyDescent="0.25">
      <c r="A1439" s="57"/>
      <c r="B1439" s="63" t="s">
        <v>1301</v>
      </c>
      <c r="C1439" s="64" t="s">
        <v>4809</v>
      </c>
      <c r="D1439" s="65">
        <v>26</v>
      </c>
      <c r="E1439" s="66">
        <v>919.42999999970198</v>
      </c>
      <c r="F1439" s="66">
        <v>4.5971499999985097</v>
      </c>
      <c r="G1439" s="65">
        <v>8.2748699999973176</v>
      </c>
      <c r="H1439" s="67" t="s">
        <v>4810</v>
      </c>
      <c r="I1439" s="65" t="s">
        <v>4720</v>
      </c>
    </row>
    <row r="1440" spans="1:9" x14ac:dyDescent="0.25">
      <c r="A1440" s="57"/>
      <c r="B1440" s="58" t="s">
        <v>1260</v>
      </c>
      <c r="C1440" s="59" t="s">
        <v>4811</v>
      </c>
      <c r="D1440" s="60">
        <v>26</v>
      </c>
      <c r="E1440" s="61">
        <v>325.62000000011176</v>
      </c>
      <c r="F1440" s="61">
        <v>3.2562000000011175</v>
      </c>
      <c r="G1440" s="60">
        <v>5.8611600000020125</v>
      </c>
      <c r="H1440" s="62" t="s">
        <v>4812</v>
      </c>
      <c r="I1440" s="60" t="s">
        <v>4720</v>
      </c>
    </row>
    <row r="1441" spans="1:9" x14ac:dyDescent="0.25">
      <c r="A1441" s="57"/>
      <c r="B1441" s="63" t="s">
        <v>1261</v>
      </c>
      <c r="C1441" s="64" t="s">
        <v>4813</v>
      </c>
      <c r="D1441" s="65">
        <v>52</v>
      </c>
      <c r="E1441" s="66">
        <v>651.29000000003725</v>
      </c>
      <c r="F1441" s="66">
        <v>3.2564500000001861</v>
      </c>
      <c r="G1441" s="65">
        <v>5.8616100000003364</v>
      </c>
      <c r="H1441" s="67" t="s">
        <v>4814</v>
      </c>
      <c r="I1441" s="65" t="s">
        <v>4720</v>
      </c>
    </row>
    <row r="1442" spans="1:9" s="79" customFormat="1" x14ac:dyDescent="0.25">
      <c r="A1442" s="57"/>
      <c r="B1442" s="58" t="s">
        <v>1304</v>
      </c>
      <c r="C1442" s="59" t="s">
        <v>4815</v>
      </c>
      <c r="D1442" s="60">
        <v>30.299999999988358</v>
      </c>
      <c r="E1442" s="61">
        <v>565.82000000029802</v>
      </c>
      <c r="F1442" s="61">
        <v>5.6582000000029806</v>
      </c>
      <c r="G1442" s="60">
        <v>10.184760000005365</v>
      </c>
      <c r="H1442" s="62" t="s">
        <v>4816</v>
      </c>
      <c r="I1442" s="60" t="s">
        <v>4720</v>
      </c>
    </row>
    <row r="1443" spans="1:9" s="79" customFormat="1" x14ac:dyDescent="0.25">
      <c r="A1443" s="57"/>
      <c r="B1443" s="63" t="s">
        <v>1306</v>
      </c>
      <c r="C1443" s="64" t="s">
        <v>4817</v>
      </c>
      <c r="D1443" s="65">
        <v>60.599999999976717</v>
      </c>
      <c r="E1443" s="66">
        <v>1131.640000000596</v>
      </c>
      <c r="F1443" s="66">
        <v>5.6582000000029806</v>
      </c>
      <c r="G1443" s="65">
        <v>10.184760000005365</v>
      </c>
      <c r="H1443" s="67" t="s">
        <v>4818</v>
      </c>
      <c r="I1443" s="65" t="s">
        <v>4720</v>
      </c>
    </row>
    <row r="1444" spans="1:9" s="79" customFormat="1" x14ac:dyDescent="0.25">
      <c r="A1444" s="57"/>
      <c r="B1444" s="58" t="s">
        <v>1303</v>
      </c>
      <c r="C1444" s="59" t="s">
        <v>4819</v>
      </c>
      <c r="D1444" s="60">
        <v>31.899999999994179</v>
      </c>
      <c r="E1444" s="61">
        <v>565.83000000007451</v>
      </c>
      <c r="F1444" s="61">
        <v>5.6583000000007448</v>
      </c>
      <c r="G1444" s="60">
        <v>10.184940000001342</v>
      </c>
      <c r="H1444" s="62" t="s">
        <v>4820</v>
      </c>
      <c r="I1444" s="60" t="s">
        <v>4720</v>
      </c>
    </row>
    <row r="1445" spans="1:9" s="79" customFormat="1" x14ac:dyDescent="0.25">
      <c r="A1445" s="57"/>
      <c r="B1445" s="63" t="s">
        <v>1305</v>
      </c>
      <c r="C1445" s="64" t="s">
        <v>4821</v>
      </c>
      <c r="D1445" s="65">
        <v>31.899999999994179</v>
      </c>
      <c r="E1445" s="66">
        <v>1131.6500000003725</v>
      </c>
      <c r="F1445" s="66">
        <v>5.6582500000018623</v>
      </c>
      <c r="G1445" s="65">
        <v>10.184850000003353</v>
      </c>
      <c r="H1445" s="67" t="s">
        <v>4822</v>
      </c>
      <c r="I1445" s="65" t="s">
        <v>231</v>
      </c>
    </row>
    <row r="1446" spans="1:9" s="79" customFormat="1" x14ac:dyDescent="0.25">
      <c r="A1446" s="57"/>
      <c r="B1446" s="58" t="s">
        <v>1262</v>
      </c>
      <c r="C1446" s="59" t="s">
        <v>4823</v>
      </c>
      <c r="D1446" s="60">
        <v>31.899999999994179</v>
      </c>
      <c r="E1446" s="61">
        <v>396.06999999983236</v>
      </c>
      <c r="F1446" s="61">
        <v>3.9606999999983237</v>
      </c>
      <c r="G1446" s="60">
        <v>7.1292599999969832</v>
      </c>
      <c r="H1446" s="62" t="s">
        <v>4824</v>
      </c>
      <c r="I1446" s="60" t="s">
        <v>4720</v>
      </c>
    </row>
    <row r="1447" spans="1:9" s="79" customFormat="1" x14ac:dyDescent="0.25">
      <c r="A1447" s="57"/>
      <c r="B1447" s="63" t="s">
        <v>1263</v>
      </c>
      <c r="C1447" s="64" t="s">
        <v>4825</v>
      </c>
      <c r="D1447" s="65">
        <v>63.799999999988358</v>
      </c>
      <c r="E1447" s="66">
        <v>792.16999999992549</v>
      </c>
      <c r="F1447" s="66">
        <v>3.9608499999996276</v>
      </c>
      <c r="G1447" s="65">
        <v>7.1295299999993302</v>
      </c>
      <c r="H1447" s="67" t="s">
        <v>4826</v>
      </c>
      <c r="I1447" s="65" t="s">
        <v>4720</v>
      </c>
    </row>
    <row r="1448" spans="1:9" x14ac:dyDescent="0.25">
      <c r="A1448" s="57"/>
      <c r="B1448" s="58" t="s">
        <v>1308</v>
      </c>
      <c r="C1448" s="59" t="s">
        <v>4827</v>
      </c>
      <c r="D1448" s="60">
        <v>43.700000000011642</v>
      </c>
      <c r="E1448" s="61">
        <v>813.41000000014901</v>
      </c>
      <c r="F1448" s="61">
        <v>8.1341000000014905</v>
      </c>
      <c r="G1448" s="60">
        <v>14.641380000002682</v>
      </c>
      <c r="H1448" s="62" t="s">
        <v>4828</v>
      </c>
      <c r="I1448" s="60" t="s">
        <v>4720</v>
      </c>
    </row>
    <row r="1449" spans="1:9" x14ac:dyDescent="0.25">
      <c r="A1449" s="57"/>
      <c r="B1449" s="63" t="s">
        <v>1310</v>
      </c>
      <c r="C1449" s="64" t="s">
        <v>4829</v>
      </c>
      <c r="D1449" s="65">
        <v>92</v>
      </c>
      <c r="E1449" s="66">
        <v>1626.8499999996275</v>
      </c>
      <c r="F1449" s="66">
        <v>8.1342499999981381</v>
      </c>
      <c r="G1449" s="65">
        <v>14.641649999996648</v>
      </c>
      <c r="H1449" s="67" t="s">
        <v>4830</v>
      </c>
      <c r="I1449" s="65" t="s">
        <v>4720</v>
      </c>
    </row>
    <row r="1450" spans="1:9" x14ac:dyDescent="0.25">
      <c r="A1450" s="57"/>
      <c r="B1450" s="58" t="s">
        <v>1307</v>
      </c>
      <c r="C1450" s="59" t="s">
        <v>4831</v>
      </c>
      <c r="D1450" s="60">
        <v>46</v>
      </c>
      <c r="E1450" s="61">
        <v>813.40000000037253</v>
      </c>
      <c r="F1450" s="61">
        <v>8.1340000000037254</v>
      </c>
      <c r="G1450" s="60">
        <v>14.641200000006707</v>
      </c>
      <c r="H1450" s="62" t="s">
        <v>4832</v>
      </c>
      <c r="I1450" s="60" t="s">
        <v>4720</v>
      </c>
    </row>
    <row r="1451" spans="1:9" x14ac:dyDescent="0.25">
      <c r="A1451" s="57"/>
      <c r="B1451" s="63" t="s">
        <v>1309</v>
      </c>
      <c r="C1451" s="64" t="s">
        <v>4833</v>
      </c>
      <c r="D1451" s="65">
        <v>92</v>
      </c>
      <c r="E1451" s="66">
        <v>1626.8300000000745</v>
      </c>
      <c r="F1451" s="66">
        <v>8.134150000000373</v>
      </c>
      <c r="G1451" s="65">
        <v>14.64147000000067</v>
      </c>
      <c r="H1451" s="67" t="s">
        <v>4834</v>
      </c>
      <c r="I1451" s="65" t="s">
        <v>4720</v>
      </c>
    </row>
    <row r="1452" spans="1:9" x14ac:dyDescent="0.25">
      <c r="A1452" s="57"/>
      <c r="B1452" s="58" t="s">
        <v>1264</v>
      </c>
      <c r="C1452" s="59" t="s">
        <v>4835</v>
      </c>
      <c r="D1452" s="60">
        <v>46</v>
      </c>
      <c r="E1452" s="61">
        <v>542.29999999981374</v>
      </c>
      <c r="F1452" s="61">
        <v>5.4229999999981375</v>
      </c>
      <c r="G1452" s="60">
        <v>9.7613999999966481</v>
      </c>
      <c r="H1452" s="62" t="s">
        <v>4836</v>
      </c>
      <c r="I1452" s="60" t="s">
        <v>4720</v>
      </c>
    </row>
    <row r="1453" spans="1:9" x14ac:dyDescent="0.25">
      <c r="A1453" s="57"/>
      <c r="B1453" s="63" t="s">
        <v>1265</v>
      </c>
      <c r="C1453" s="64" t="s">
        <v>4837</v>
      </c>
      <c r="D1453" s="65">
        <v>92</v>
      </c>
      <c r="E1453" s="66">
        <v>1084.5399999991059</v>
      </c>
      <c r="F1453" s="66">
        <v>5.4226999999955297</v>
      </c>
      <c r="G1453" s="65">
        <v>9.7608599999919541</v>
      </c>
      <c r="H1453" s="67" t="s">
        <v>4838</v>
      </c>
      <c r="I1453" s="65" t="s">
        <v>231</v>
      </c>
    </row>
    <row r="1454" spans="1:9" s="79" customFormat="1" x14ac:dyDescent="0.25">
      <c r="A1454" s="57"/>
      <c r="B1454" s="58" t="s">
        <v>1312</v>
      </c>
      <c r="C1454" s="59" t="s">
        <v>4839</v>
      </c>
      <c r="D1454" s="60">
        <v>59</v>
      </c>
      <c r="E1454" s="61">
        <v>1114.0999999996275</v>
      </c>
      <c r="F1454" s="61">
        <v>11.140999999996275</v>
      </c>
      <c r="G1454" s="60">
        <v>20.053799999993295</v>
      </c>
      <c r="H1454" s="62" t="s">
        <v>4840</v>
      </c>
      <c r="I1454" s="60" t="s">
        <v>4720</v>
      </c>
    </row>
    <row r="1455" spans="1:9" s="79" customFormat="1" x14ac:dyDescent="0.25">
      <c r="A1455" s="57"/>
      <c r="B1455" s="63" t="s">
        <v>1311</v>
      </c>
      <c r="C1455" s="64" t="s">
        <v>4841</v>
      </c>
      <c r="D1455" s="65">
        <v>62.799999999988358</v>
      </c>
      <c r="E1455" s="66">
        <v>1114.109999999404</v>
      </c>
      <c r="F1455" s="66">
        <v>11.14109999999404</v>
      </c>
      <c r="G1455" s="65">
        <v>20.05397999998927</v>
      </c>
      <c r="H1455" s="67" t="s">
        <v>4842</v>
      </c>
      <c r="I1455" s="65" t="s">
        <v>4720</v>
      </c>
    </row>
    <row r="1456" spans="1:9" s="79" customFormat="1" x14ac:dyDescent="0.25">
      <c r="A1456" s="57"/>
      <c r="B1456" s="58" t="s">
        <v>1266</v>
      </c>
      <c r="C1456" s="59" t="s">
        <v>4843</v>
      </c>
      <c r="D1456" s="60">
        <v>62.799999999988358</v>
      </c>
      <c r="E1456" s="61">
        <v>742.71999999973923</v>
      </c>
      <c r="F1456" s="61">
        <v>7.4271999999973923</v>
      </c>
      <c r="G1456" s="60">
        <v>13.368959999995306</v>
      </c>
      <c r="H1456" s="62" t="s">
        <v>4844</v>
      </c>
      <c r="I1456" s="60" t="s">
        <v>231</v>
      </c>
    </row>
    <row r="1457" spans="1:9" s="79" customFormat="1" x14ac:dyDescent="0.25">
      <c r="A1457" s="57"/>
      <c r="B1457" s="63" t="s">
        <v>1267</v>
      </c>
      <c r="C1457" s="64" t="s">
        <v>4845</v>
      </c>
      <c r="D1457" s="65">
        <v>125.59999999997672</v>
      </c>
      <c r="E1457" s="66">
        <v>1485.4600000008941</v>
      </c>
      <c r="F1457" s="66">
        <v>7.42730000000447</v>
      </c>
      <c r="G1457" s="65">
        <v>13.369140000008047</v>
      </c>
      <c r="H1457" s="67" t="s">
        <v>4846</v>
      </c>
      <c r="I1457" s="65" t="s">
        <v>231</v>
      </c>
    </row>
    <row r="1458" spans="1:9" x14ac:dyDescent="0.25">
      <c r="A1458" s="57"/>
      <c r="B1458" s="58" t="s">
        <v>4847</v>
      </c>
      <c r="C1458" s="59" t="s">
        <v>4848</v>
      </c>
      <c r="D1458" s="60">
        <v>82</v>
      </c>
      <c r="E1458" s="61">
        <v>1450.0600000005215</v>
      </c>
      <c r="F1458" s="61">
        <v>14.500600000005216</v>
      </c>
      <c r="G1458" s="60">
        <v>26.101080000009389</v>
      </c>
      <c r="H1458" s="62" t="s">
        <v>4849</v>
      </c>
      <c r="I1458" s="60" t="s">
        <v>4720</v>
      </c>
    </row>
    <row r="1459" spans="1:9" x14ac:dyDescent="0.25">
      <c r="A1459" s="57"/>
      <c r="B1459" s="63" t="s">
        <v>4850</v>
      </c>
      <c r="C1459" s="64" t="s">
        <v>4851</v>
      </c>
      <c r="D1459" s="65">
        <v>82</v>
      </c>
      <c r="E1459" s="66">
        <v>1450.0600000005215</v>
      </c>
      <c r="F1459" s="66">
        <v>14.500600000005216</v>
      </c>
      <c r="G1459" s="65">
        <v>26.101080000009389</v>
      </c>
      <c r="H1459" s="67" t="s">
        <v>4852</v>
      </c>
      <c r="I1459" s="65" t="s">
        <v>4720</v>
      </c>
    </row>
    <row r="1460" spans="1:9" x14ac:dyDescent="0.25">
      <c r="A1460" s="57"/>
      <c r="B1460" s="58" t="s">
        <v>1268</v>
      </c>
      <c r="C1460" s="59" t="s">
        <v>4853</v>
      </c>
      <c r="D1460" s="60">
        <v>82</v>
      </c>
      <c r="E1460" s="61">
        <v>966.70999999996275</v>
      </c>
      <c r="F1460" s="61">
        <v>9.6670999999996283</v>
      </c>
      <c r="G1460" s="60">
        <v>17.40077999999933</v>
      </c>
      <c r="H1460" s="62" t="s">
        <v>4854</v>
      </c>
      <c r="I1460" s="60" t="s">
        <v>231</v>
      </c>
    </row>
    <row r="1461" spans="1:9" x14ac:dyDescent="0.25">
      <c r="A1461" s="57"/>
      <c r="B1461" s="63" t="s">
        <v>1269</v>
      </c>
      <c r="C1461" s="64" t="s">
        <v>4855</v>
      </c>
      <c r="D1461" s="65">
        <v>164</v>
      </c>
      <c r="E1461" s="66">
        <v>1933.410000000149</v>
      </c>
      <c r="F1461" s="66">
        <v>9.6670500000007458</v>
      </c>
      <c r="G1461" s="65">
        <v>17.40069000000134</v>
      </c>
      <c r="H1461" s="67" t="s">
        <v>4856</v>
      </c>
      <c r="I1461" s="65" t="s">
        <v>231</v>
      </c>
    </row>
    <row r="1462" spans="1:9" s="79" customFormat="1" x14ac:dyDescent="0.25">
      <c r="A1462" s="57"/>
      <c r="B1462" s="58" t="s">
        <v>4857</v>
      </c>
      <c r="C1462" s="59" t="s">
        <v>4858</v>
      </c>
      <c r="D1462" s="60">
        <v>17.269999999989523</v>
      </c>
      <c r="E1462" s="61">
        <v>286.5</v>
      </c>
      <c r="F1462" s="61">
        <v>1.4325000000000001</v>
      </c>
      <c r="G1462" s="60">
        <v>2.5785</v>
      </c>
      <c r="H1462" s="62" t="s">
        <v>4859</v>
      </c>
      <c r="I1462" s="60" t="s">
        <v>4720</v>
      </c>
    </row>
    <row r="1463" spans="1:9" x14ac:dyDescent="0.25">
      <c r="A1463" s="57"/>
      <c r="B1463" s="63" t="s">
        <v>4860</v>
      </c>
      <c r="C1463" s="64" t="s">
        <v>4861</v>
      </c>
      <c r="D1463" s="65">
        <v>12</v>
      </c>
      <c r="E1463" s="66">
        <v>410.18000000016764</v>
      </c>
      <c r="F1463" s="66">
        <v>2.0509000000008384</v>
      </c>
      <c r="G1463" s="65">
        <v>3.6916200000015089</v>
      </c>
      <c r="H1463" s="67" t="s">
        <v>4862</v>
      </c>
      <c r="I1463" s="65" t="s">
        <v>4720</v>
      </c>
    </row>
    <row r="1464" spans="1:9" s="79" customFormat="1" x14ac:dyDescent="0.25">
      <c r="A1464" s="57"/>
      <c r="B1464" s="58" t="s">
        <v>4863</v>
      </c>
      <c r="C1464" s="59" t="s">
        <v>4864</v>
      </c>
      <c r="D1464" s="60">
        <v>16.399999999994179</v>
      </c>
      <c r="E1464" s="61">
        <v>555.29000000003725</v>
      </c>
      <c r="F1464" s="61">
        <v>2.7764500000001862</v>
      </c>
      <c r="G1464" s="60">
        <v>4.9976100000003356</v>
      </c>
      <c r="H1464" s="62" t="s">
        <v>4865</v>
      </c>
      <c r="I1464" s="60" t="s">
        <v>4720</v>
      </c>
    </row>
    <row r="1465" spans="1:9" x14ac:dyDescent="0.25">
      <c r="A1465" s="57"/>
      <c r="B1465" s="63" t="s">
        <v>4866</v>
      </c>
      <c r="C1465" s="64" t="s">
        <v>4867</v>
      </c>
      <c r="D1465" s="65">
        <v>19.399999999994179</v>
      </c>
      <c r="E1465" s="66">
        <v>361.77000000001863</v>
      </c>
      <c r="F1465" s="66">
        <v>3.6177000000001862</v>
      </c>
      <c r="G1465" s="65">
        <v>6.5118600000003362</v>
      </c>
      <c r="H1465" s="67" t="s">
        <v>4868</v>
      </c>
      <c r="I1465" s="65" t="s">
        <v>4720</v>
      </c>
    </row>
    <row r="1466" spans="1:9" s="79" customFormat="1" x14ac:dyDescent="0.25">
      <c r="A1466" s="57"/>
      <c r="B1466" s="58" t="s">
        <v>4869</v>
      </c>
      <c r="C1466" s="59" t="s">
        <v>4870</v>
      </c>
      <c r="D1466" s="60">
        <v>27.059999999997672</v>
      </c>
      <c r="E1466" s="61">
        <v>505.68000000016764</v>
      </c>
      <c r="F1466" s="61">
        <v>5.056800000001676</v>
      </c>
      <c r="G1466" s="60">
        <v>9.1022400000030181</v>
      </c>
      <c r="H1466" s="62" t="s">
        <v>2503</v>
      </c>
      <c r="I1466" s="60" t="s">
        <v>4720</v>
      </c>
    </row>
    <row r="1467" spans="1:9" x14ac:dyDescent="0.25">
      <c r="A1467" s="57"/>
      <c r="B1467" s="63" t="s">
        <v>1314</v>
      </c>
      <c r="C1467" s="64" t="s">
        <v>4871</v>
      </c>
      <c r="D1467" s="65">
        <v>2.2249999999985448</v>
      </c>
      <c r="E1467" s="66">
        <v>38.659999999974389</v>
      </c>
      <c r="F1467" s="66">
        <v>0.38659999999974387</v>
      </c>
      <c r="G1467" s="65">
        <v>0.69587999999953909</v>
      </c>
      <c r="H1467" s="67" t="s">
        <v>4872</v>
      </c>
      <c r="I1467" s="65" t="s">
        <v>4873</v>
      </c>
    </row>
    <row r="1468" spans="1:9" x14ac:dyDescent="0.25">
      <c r="A1468" s="57"/>
      <c r="B1468" s="58" t="s">
        <v>1315</v>
      </c>
      <c r="C1468" s="59" t="s">
        <v>4874</v>
      </c>
      <c r="D1468" s="60">
        <v>4.5</v>
      </c>
      <c r="E1468" s="61">
        <v>77.369999999995343</v>
      </c>
      <c r="F1468" s="61">
        <v>0.38684999999997671</v>
      </c>
      <c r="G1468" s="60">
        <v>0.69632999999995815</v>
      </c>
      <c r="H1468" s="62" t="s">
        <v>4875</v>
      </c>
      <c r="I1468" s="60" t="s">
        <v>4873</v>
      </c>
    </row>
    <row r="1469" spans="1:9" s="79" customFormat="1" x14ac:dyDescent="0.25">
      <c r="A1469" s="57"/>
      <c r="B1469" s="63" t="s">
        <v>1316</v>
      </c>
      <c r="C1469" s="64" t="s">
        <v>4876</v>
      </c>
      <c r="D1469" s="65">
        <v>4</v>
      </c>
      <c r="E1469" s="66">
        <v>52.849999999976717</v>
      </c>
      <c r="F1469" s="66">
        <v>0.52849999999976716</v>
      </c>
      <c r="G1469" s="65">
        <v>0.95129999999958093</v>
      </c>
      <c r="H1469" s="67" t="s">
        <v>4877</v>
      </c>
      <c r="I1469" s="65" t="s">
        <v>4873</v>
      </c>
    </row>
    <row r="1470" spans="1:9" s="79" customFormat="1" x14ac:dyDescent="0.25">
      <c r="A1470" s="57"/>
      <c r="B1470" s="58" t="s">
        <v>1317</v>
      </c>
      <c r="C1470" s="59" t="s">
        <v>4878</v>
      </c>
      <c r="D1470" s="60">
        <v>8</v>
      </c>
      <c r="E1470" s="61">
        <v>105.70999999996275</v>
      </c>
      <c r="F1470" s="61">
        <v>0.52854999999981378</v>
      </c>
      <c r="G1470" s="60">
        <v>0.95138999999966467</v>
      </c>
      <c r="H1470" s="62" t="s">
        <v>4879</v>
      </c>
      <c r="I1470" s="60" t="s">
        <v>4873</v>
      </c>
    </row>
    <row r="1471" spans="1:9" x14ac:dyDescent="0.25">
      <c r="A1471" s="57"/>
      <c r="B1471" s="63" t="s">
        <v>1318</v>
      </c>
      <c r="C1471" s="64" t="s">
        <v>4880</v>
      </c>
      <c r="D1471" s="65">
        <v>6.1999999999970896</v>
      </c>
      <c r="E1471" s="66">
        <v>81.800000000046566</v>
      </c>
      <c r="F1471" s="66">
        <v>0.81800000000046569</v>
      </c>
      <c r="G1471" s="65">
        <v>1.4724000000008381</v>
      </c>
      <c r="H1471" s="67" t="s">
        <v>4881</v>
      </c>
      <c r="I1471" s="65" t="s">
        <v>4873</v>
      </c>
    </row>
    <row r="1472" spans="1:9" x14ac:dyDescent="0.25">
      <c r="A1472" s="57"/>
      <c r="B1472" s="58" t="s">
        <v>1319</v>
      </c>
      <c r="C1472" s="59" t="s">
        <v>4882</v>
      </c>
      <c r="D1472" s="60">
        <v>11.160000000003492</v>
      </c>
      <c r="E1472" s="61">
        <v>163.56000000005588</v>
      </c>
      <c r="F1472" s="61">
        <v>0.81780000000027941</v>
      </c>
      <c r="G1472" s="60">
        <v>1.4720400000005029</v>
      </c>
      <c r="H1472" s="62" t="s">
        <v>4883</v>
      </c>
      <c r="I1472" s="60" t="s">
        <v>4873</v>
      </c>
    </row>
    <row r="1473" spans="1:9" s="79" customFormat="1" x14ac:dyDescent="0.25">
      <c r="A1473" s="57"/>
      <c r="B1473" s="63" t="s">
        <v>1320</v>
      </c>
      <c r="C1473" s="64" t="s">
        <v>4884</v>
      </c>
      <c r="D1473" s="65">
        <v>8.8999999999941792</v>
      </c>
      <c r="E1473" s="66">
        <v>118.3399999999674</v>
      </c>
      <c r="F1473" s="66">
        <v>1.183399999999674</v>
      </c>
      <c r="G1473" s="65">
        <v>2.1301199999994136</v>
      </c>
      <c r="H1473" s="67" t="s">
        <v>4885</v>
      </c>
      <c r="I1473" s="65" t="s">
        <v>4873</v>
      </c>
    </row>
    <row r="1474" spans="1:9" s="79" customFormat="1" x14ac:dyDescent="0.25">
      <c r="A1474" s="57"/>
      <c r="B1474" s="58" t="s">
        <v>1321</v>
      </c>
      <c r="C1474" s="59" t="s">
        <v>4886</v>
      </c>
      <c r="D1474" s="60">
        <v>17.799999999988358</v>
      </c>
      <c r="E1474" s="61">
        <v>236.67999999993481</v>
      </c>
      <c r="F1474" s="61">
        <v>1.183399999999674</v>
      </c>
      <c r="G1474" s="60">
        <v>2.1301199999994136</v>
      </c>
      <c r="H1474" s="62" t="s">
        <v>4887</v>
      </c>
      <c r="I1474" s="60" t="s">
        <v>4873</v>
      </c>
    </row>
    <row r="1475" spans="1:9" x14ac:dyDescent="0.25">
      <c r="A1475" s="57"/>
      <c r="B1475" s="63" t="s">
        <v>1322</v>
      </c>
      <c r="C1475" s="64" t="s">
        <v>4888</v>
      </c>
      <c r="D1475" s="65">
        <v>12.19999999999709</v>
      </c>
      <c r="E1475" s="66">
        <v>161.09000000008382</v>
      </c>
      <c r="F1475" s="66">
        <v>1.6109000000008382</v>
      </c>
      <c r="G1475" s="65">
        <v>2.8996200000015091</v>
      </c>
      <c r="H1475" s="67" t="s">
        <v>4889</v>
      </c>
      <c r="I1475" s="65" t="s">
        <v>4873</v>
      </c>
    </row>
    <row r="1476" spans="1:9" x14ac:dyDescent="0.25">
      <c r="A1476" s="57"/>
      <c r="B1476" s="58" t="s">
        <v>1323</v>
      </c>
      <c r="C1476" s="59" t="s">
        <v>4890</v>
      </c>
      <c r="D1476" s="60">
        <v>24.399999999994179</v>
      </c>
      <c r="E1476" s="61">
        <v>322.16999999992549</v>
      </c>
      <c r="F1476" s="61">
        <v>1.6108499999996275</v>
      </c>
      <c r="G1476" s="60">
        <v>2.8995299999993294</v>
      </c>
      <c r="H1476" s="62" t="s">
        <v>4891</v>
      </c>
      <c r="I1476" s="60" t="s">
        <v>4873</v>
      </c>
    </row>
    <row r="1477" spans="1:9" s="79" customFormat="1" x14ac:dyDescent="0.25">
      <c r="A1477" s="57"/>
      <c r="B1477" s="63" t="s">
        <v>1324</v>
      </c>
      <c r="C1477" s="64" t="s">
        <v>4892</v>
      </c>
      <c r="D1477" s="65">
        <v>15.80000000000291</v>
      </c>
      <c r="E1477" s="66">
        <v>210.32000000006519</v>
      </c>
      <c r="F1477" s="66">
        <v>2.1032000000006521</v>
      </c>
      <c r="G1477" s="65">
        <v>3.7857600000011735</v>
      </c>
      <c r="H1477" s="67" t="s">
        <v>4893</v>
      </c>
      <c r="I1477" s="65" t="s">
        <v>4873</v>
      </c>
    </row>
    <row r="1478" spans="1:9" s="79" customFormat="1" x14ac:dyDescent="0.25">
      <c r="A1478" s="57"/>
      <c r="B1478" s="58" t="s">
        <v>1325</v>
      </c>
      <c r="C1478" s="59" t="s">
        <v>4894</v>
      </c>
      <c r="D1478" s="60">
        <v>31.600000000005821</v>
      </c>
      <c r="E1478" s="61">
        <v>420.62999999988824</v>
      </c>
      <c r="F1478" s="61">
        <v>2.1031499999994412</v>
      </c>
      <c r="G1478" s="60">
        <v>3.7856699999989947</v>
      </c>
      <c r="H1478" s="62" t="s">
        <v>4895</v>
      </c>
      <c r="I1478" s="60" t="s">
        <v>4873</v>
      </c>
    </row>
    <row r="1479" spans="1:9" x14ac:dyDescent="0.25">
      <c r="A1479" s="57"/>
      <c r="B1479" s="63" t="s">
        <v>1380</v>
      </c>
      <c r="C1479" s="64" t="s">
        <v>4896</v>
      </c>
      <c r="D1479" s="65">
        <v>1.7000000000007276</v>
      </c>
      <c r="E1479" s="66">
        <v>34.46999999997206</v>
      </c>
      <c r="F1479" s="66">
        <v>0.34469999999972062</v>
      </c>
      <c r="G1479" s="65">
        <v>0.62045999999949708</v>
      </c>
      <c r="H1479" s="67" t="s">
        <v>4897</v>
      </c>
      <c r="I1479" s="65" t="s">
        <v>231</v>
      </c>
    </row>
    <row r="1480" spans="1:9" x14ac:dyDescent="0.25">
      <c r="A1480" s="57"/>
      <c r="B1480" s="58" t="s">
        <v>1381</v>
      </c>
      <c r="C1480" s="59" t="s">
        <v>4898</v>
      </c>
      <c r="D1480" s="60">
        <v>3.4000000000014552</v>
      </c>
      <c r="E1480" s="61">
        <v>68.989999999990687</v>
      </c>
      <c r="F1480" s="61">
        <v>0.34494999999995346</v>
      </c>
      <c r="G1480" s="60">
        <v>0.62090999999991614</v>
      </c>
      <c r="H1480" s="62" t="s">
        <v>4899</v>
      </c>
      <c r="I1480" s="60" t="s">
        <v>231</v>
      </c>
    </row>
    <row r="1481" spans="1:9" s="79" customFormat="1" x14ac:dyDescent="0.25">
      <c r="A1481" s="57"/>
      <c r="B1481" s="63" t="s">
        <v>1382</v>
      </c>
      <c r="C1481" s="64" t="s">
        <v>4900</v>
      </c>
      <c r="D1481" s="65">
        <v>3</v>
      </c>
      <c r="E1481" s="66">
        <v>40.349999999976717</v>
      </c>
      <c r="F1481" s="66">
        <v>0.40349999999976716</v>
      </c>
      <c r="G1481" s="65">
        <v>0.72629999999958084</v>
      </c>
      <c r="H1481" s="67" t="s">
        <v>4901</v>
      </c>
      <c r="I1481" s="65" t="s">
        <v>231</v>
      </c>
    </row>
    <row r="1482" spans="1:9" s="79" customFormat="1" x14ac:dyDescent="0.25">
      <c r="A1482" s="57"/>
      <c r="B1482" s="58" t="s">
        <v>1383</v>
      </c>
      <c r="C1482" s="59" t="s">
        <v>4902</v>
      </c>
      <c r="D1482" s="60">
        <v>6</v>
      </c>
      <c r="E1482" s="61">
        <v>80.689999999944121</v>
      </c>
      <c r="F1482" s="61">
        <v>0.40344999999972059</v>
      </c>
      <c r="G1482" s="60">
        <v>0.7262099999994972</v>
      </c>
      <c r="H1482" s="62" t="s">
        <v>4903</v>
      </c>
      <c r="I1482" s="60" t="s">
        <v>231</v>
      </c>
    </row>
    <row r="1483" spans="1:9" x14ac:dyDescent="0.25">
      <c r="A1483" s="57"/>
      <c r="B1483" s="63" t="s">
        <v>1384</v>
      </c>
      <c r="C1483" s="64" t="s">
        <v>4904</v>
      </c>
      <c r="D1483" s="65">
        <v>4.5</v>
      </c>
      <c r="E1483" s="66">
        <v>53.630000000004657</v>
      </c>
      <c r="F1483" s="66">
        <v>0.53630000000004652</v>
      </c>
      <c r="G1483" s="65">
        <v>0.96534000000008391</v>
      </c>
      <c r="H1483" s="67" t="s">
        <v>4905</v>
      </c>
      <c r="I1483" s="65" t="s">
        <v>231</v>
      </c>
    </row>
    <row r="1484" spans="1:9" x14ac:dyDescent="0.25">
      <c r="A1484" s="57"/>
      <c r="B1484" s="58" t="s">
        <v>1385</v>
      </c>
      <c r="C1484" s="59" t="s">
        <v>4906</v>
      </c>
      <c r="D1484" s="60">
        <v>9</v>
      </c>
      <c r="E1484" s="61">
        <v>107.29000000003725</v>
      </c>
      <c r="F1484" s="61">
        <v>0.53645000000018628</v>
      </c>
      <c r="G1484" s="60">
        <v>0.96561000000033526</v>
      </c>
      <c r="H1484" s="62" t="s">
        <v>4907</v>
      </c>
      <c r="I1484" s="60" t="s">
        <v>231</v>
      </c>
    </row>
    <row r="1485" spans="1:9" s="79" customFormat="1" x14ac:dyDescent="0.25">
      <c r="A1485" s="57"/>
      <c r="B1485" s="63" t="s">
        <v>1386</v>
      </c>
      <c r="C1485" s="64" t="s">
        <v>4908</v>
      </c>
      <c r="D1485" s="65">
        <v>6.5</v>
      </c>
      <c r="E1485" s="66">
        <v>76.410000000032596</v>
      </c>
      <c r="F1485" s="66">
        <v>0.76410000000032596</v>
      </c>
      <c r="G1485" s="65">
        <v>1.3753800000005867</v>
      </c>
      <c r="H1485" s="67" t="s">
        <v>4909</v>
      </c>
      <c r="I1485" s="65" t="s">
        <v>231</v>
      </c>
    </row>
    <row r="1486" spans="1:9" s="79" customFormat="1" x14ac:dyDescent="0.25">
      <c r="A1486" s="57"/>
      <c r="B1486" s="58" t="s">
        <v>1387</v>
      </c>
      <c r="C1486" s="59" t="s">
        <v>4910</v>
      </c>
      <c r="D1486" s="60">
        <v>13</v>
      </c>
      <c r="E1486" s="61">
        <v>152.75</v>
      </c>
      <c r="F1486" s="61">
        <v>0.76375000000000004</v>
      </c>
      <c r="G1486" s="60">
        <v>1.3747499999999999</v>
      </c>
      <c r="H1486" s="62" t="s">
        <v>4911</v>
      </c>
      <c r="I1486" s="60" t="s">
        <v>231</v>
      </c>
    </row>
    <row r="1487" spans="1:9" x14ac:dyDescent="0.25">
      <c r="A1487" s="57"/>
      <c r="B1487" s="63" t="s">
        <v>1388</v>
      </c>
      <c r="C1487" s="64" t="s">
        <v>4912</v>
      </c>
      <c r="D1487" s="65">
        <v>9</v>
      </c>
      <c r="E1487" s="66">
        <v>100.81000000005588</v>
      </c>
      <c r="F1487" s="66">
        <v>1.0081000000005589</v>
      </c>
      <c r="G1487" s="65">
        <v>1.8145800000010057</v>
      </c>
      <c r="H1487" s="67" t="s">
        <v>4913</v>
      </c>
      <c r="I1487" s="65" t="s">
        <v>231</v>
      </c>
    </row>
    <row r="1488" spans="1:9" x14ac:dyDescent="0.25">
      <c r="A1488" s="57"/>
      <c r="B1488" s="58" t="s">
        <v>1389</v>
      </c>
      <c r="C1488" s="59" t="s">
        <v>4914</v>
      </c>
      <c r="D1488" s="60">
        <v>18</v>
      </c>
      <c r="E1488" s="61">
        <v>201.68999999994412</v>
      </c>
      <c r="F1488" s="61">
        <v>1.0084499999997205</v>
      </c>
      <c r="G1488" s="60">
        <v>1.8152099999994971</v>
      </c>
      <c r="H1488" s="62" t="s">
        <v>4915</v>
      </c>
      <c r="I1488" s="60" t="s">
        <v>231</v>
      </c>
    </row>
    <row r="1489" spans="1:9" s="79" customFormat="1" x14ac:dyDescent="0.25">
      <c r="A1489" s="57"/>
      <c r="B1489" s="63" t="s">
        <v>1390</v>
      </c>
      <c r="C1489" s="64" t="s">
        <v>4916</v>
      </c>
      <c r="D1489" s="65">
        <v>11.5</v>
      </c>
      <c r="E1489" s="66">
        <v>124.46999999997206</v>
      </c>
      <c r="F1489" s="66">
        <v>1.2446999999997206</v>
      </c>
      <c r="G1489" s="65">
        <v>2.240459999999497</v>
      </c>
      <c r="H1489" s="67" t="s">
        <v>4917</v>
      </c>
      <c r="I1489" s="65" t="s">
        <v>231</v>
      </c>
    </row>
    <row r="1490" spans="1:9" s="79" customFormat="1" x14ac:dyDescent="0.25">
      <c r="A1490" s="57"/>
      <c r="B1490" s="58" t="s">
        <v>1391</v>
      </c>
      <c r="C1490" s="59" t="s">
        <v>4918</v>
      </c>
      <c r="D1490" s="60">
        <v>23</v>
      </c>
      <c r="E1490" s="61">
        <v>248.91999999992549</v>
      </c>
      <c r="F1490" s="61">
        <v>1.2445999999996276</v>
      </c>
      <c r="G1490" s="60">
        <v>2.2402799999993293</v>
      </c>
      <c r="H1490" s="62" t="s">
        <v>4919</v>
      </c>
      <c r="I1490" s="60" t="s">
        <v>231</v>
      </c>
    </row>
    <row r="1491" spans="1:9" x14ac:dyDescent="0.25">
      <c r="A1491" s="57"/>
      <c r="B1491" s="63" t="s">
        <v>1392</v>
      </c>
      <c r="C1491" s="64" t="s">
        <v>4920</v>
      </c>
      <c r="D1491" s="65">
        <v>14.80000000000291</v>
      </c>
      <c r="E1491" s="66">
        <v>155.96999999997206</v>
      </c>
      <c r="F1491" s="66">
        <v>1.5596999999997205</v>
      </c>
      <c r="G1491" s="65">
        <v>2.8074599999994971</v>
      </c>
      <c r="H1491" s="67" t="s">
        <v>4921</v>
      </c>
      <c r="I1491" s="65" t="s">
        <v>231</v>
      </c>
    </row>
    <row r="1492" spans="1:9" x14ac:dyDescent="0.25">
      <c r="A1492" s="57"/>
      <c r="B1492" s="58" t="s">
        <v>1393</v>
      </c>
      <c r="C1492" s="59" t="s">
        <v>4922</v>
      </c>
      <c r="D1492" s="60">
        <v>29.600000000005821</v>
      </c>
      <c r="E1492" s="61">
        <v>311.89999999990687</v>
      </c>
      <c r="F1492" s="61">
        <v>1.5594999999995343</v>
      </c>
      <c r="G1492" s="60">
        <v>2.8070999999991617</v>
      </c>
      <c r="H1492" s="62" t="s">
        <v>4923</v>
      </c>
      <c r="I1492" s="60" t="s">
        <v>231</v>
      </c>
    </row>
    <row r="1493" spans="1:9" s="79" customFormat="1" x14ac:dyDescent="0.25">
      <c r="A1493" s="57"/>
      <c r="B1493" s="63" t="s">
        <v>1394</v>
      </c>
      <c r="C1493" s="64" t="s">
        <v>4924</v>
      </c>
      <c r="D1493" s="65">
        <v>18</v>
      </c>
      <c r="E1493" s="66">
        <v>189.63999999989755</v>
      </c>
      <c r="F1493" s="66">
        <v>1.8963999999989756</v>
      </c>
      <c r="G1493" s="65">
        <v>3.4135199999981563</v>
      </c>
      <c r="H1493" s="67" t="s">
        <v>4925</v>
      </c>
      <c r="I1493" s="65" t="s">
        <v>231</v>
      </c>
    </row>
    <row r="1494" spans="1:9" s="79" customFormat="1" x14ac:dyDescent="0.25">
      <c r="A1494" s="57"/>
      <c r="B1494" s="58" t="s">
        <v>1395</v>
      </c>
      <c r="C1494" s="59" t="s">
        <v>4926</v>
      </c>
      <c r="D1494" s="60">
        <v>36</v>
      </c>
      <c r="E1494" s="61">
        <v>379.29000000003725</v>
      </c>
      <c r="F1494" s="61">
        <v>1.8964500000001863</v>
      </c>
      <c r="G1494" s="60">
        <v>3.4136100000003351</v>
      </c>
      <c r="H1494" s="62" t="s">
        <v>4927</v>
      </c>
      <c r="I1494" s="60" t="s">
        <v>231</v>
      </c>
    </row>
    <row r="1495" spans="1:9" x14ac:dyDescent="0.25">
      <c r="A1495" s="57"/>
      <c r="B1495" s="63" t="s">
        <v>1396</v>
      </c>
      <c r="C1495" s="64" t="s">
        <v>4928</v>
      </c>
      <c r="D1495" s="65">
        <v>26</v>
      </c>
      <c r="E1495" s="66">
        <v>256.43999999994412</v>
      </c>
      <c r="F1495" s="66">
        <v>2.5643999999994413</v>
      </c>
      <c r="G1495" s="65">
        <v>4.6159199999989946</v>
      </c>
      <c r="H1495" s="67" t="s">
        <v>4929</v>
      </c>
      <c r="I1495" s="65" t="s">
        <v>231</v>
      </c>
    </row>
    <row r="1496" spans="1:9" x14ac:dyDescent="0.25">
      <c r="A1496" s="57"/>
      <c r="B1496" s="58" t="s">
        <v>1397</v>
      </c>
      <c r="C1496" s="59" t="s">
        <v>4930</v>
      </c>
      <c r="D1496" s="60">
        <v>52</v>
      </c>
      <c r="E1496" s="61">
        <v>512.87000000011176</v>
      </c>
      <c r="F1496" s="61">
        <v>2.5643500000005588</v>
      </c>
      <c r="G1496" s="60">
        <v>4.6158300000010062</v>
      </c>
      <c r="H1496" s="62" t="s">
        <v>4931</v>
      </c>
      <c r="I1496" s="60" t="s">
        <v>231</v>
      </c>
    </row>
    <row r="1497" spans="1:9" s="79" customFormat="1" x14ac:dyDescent="0.25">
      <c r="A1497" s="57"/>
      <c r="B1497" s="63" t="s">
        <v>1398</v>
      </c>
      <c r="C1497" s="64" t="s">
        <v>4932</v>
      </c>
      <c r="D1497" s="65">
        <v>35.5</v>
      </c>
      <c r="E1497" s="66">
        <v>350.29999999981374</v>
      </c>
      <c r="F1497" s="66">
        <v>3.5029999999981372</v>
      </c>
      <c r="G1497" s="65">
        <v>6.3053999999966468</v>
      </c>
      <c r="H1497" s="67" t="s">
        <v>4933</v>
      </c>
      <c r="I1497" s="65" t="s">
        <v>231</v>
      </c>
    </row>
    <row r="1498" spans="1:9" s="79" customFormat="1" x14ac:dyDescent="0.25">
      <c r="A1498" s="57"/>
      <c r="B1498" s="58" t="s">
        <v>1399</v>
      </c>
      <c r="C1498" s="59" t="s">
        <v>4934</v>
      </c>
      <c r="D1498" s="60">
        <v>71</v>
      </c>
      <c r="E1498" s="61">
        <v>700.58999999985099</v>
      </c>
      <c r="F1498" s="61">
        <v>3.502949999999255</v>
      </c>
      <c r="G1498" s="60">
        <v>6.3053099999986593</v>
      </c>
      <c r="H1498" s="62" t="s">
        <v>4935</v>
      </c>
      <c r="I1498" s="60" t="s">
        <v>231</v>
      </c>
    </row>
    <row r="1499" spans="1:9" x14ac:dyDescent="0.25">
      <c r="A1499" s="57"/>
      <c r="B1499" s="63" t="s">
        <v>1400</v>
      </c>
      <c r="C1499" s="64" t="s">
        <v>4936</v>
      </c>
      <c r="D1499" s="65">
        <v>46</v>
      </c>
      <c r="E1499" s="66">
        <v>454.70999999996275</v>
      </c>
      <c r="F1499" s="66">
        <v>4.5470999999996273</v>
      </c>
      <c r="G1499" s="65">
        <v>8.1847799999993303</v>
      </c>
      <c r="H1499" s="67" t="s">
        <v>4937</v>
      </c>
      <c r="I1499" s="65" t="s">
        <v>231</v>
      </c>
    </row>
    <row r="1500" spans="1:9" x14ac:dyDescent="0.25">
      <c r="A1500" s="57"/>
      <c r="B1500" s="58" t="s">
        <v>1401</v>
      </c>
      <c r="C1500" s="59" t="s">
        <v>4938</v>
      </c>
      <c r="D1500" s="60">
        <v>92</v>
      </c>
      <c r="E1500" s="61">
        <v>909.40000000037253</v>
      </c>
      <c r="F1500" s="61">
        <v>4.5470000000018622</v>
      </c>
      <c r="G1500" s="60">
        <v>8.1846000000033534</v>
      </c>
      <c r="H1500" s="62" t="s">
        <v>4939</v>
      </c>
      <c r="I1500" s="60" t="s">
        <v>231</v>
      </c>
    </row>
    <row r="1501" spans="1:9" s="79" customFormat="1" x14ac:dyDescent="0.25">
      <c r="A1501" s="57"/>
      <c r="B1501" s="63" t="s">
        <v>1328</v>
      </c>
      <c r="C1501" s="64" t="s">
        <v>4940</v>
      </c>
      <c r="D1501" s="65">
        <v>1.5</v>
      </c>
      <c r="E1501" s="66">
        <v>62.090000000025611</v>
      </c>
      <c r="F1501" s="66">
        <v>0.62090000000025614</v>
      </c>
      <c r="G1501" s="65">
        <v>1.117620000000461</v>
      </c>
      <c r="H1501" s="67" t="s">
        <v>4941</v>
      </c>
      <c r="I1501" s="65" t="s">
        <v>4942</v>
      </c>
    </row>
    <row r="1502" spans="1:9" s="79" customFormat="1" x14ac:dyDescent="0.25">
      <c r="A1502" s="57"/>
      <c r="B1502" s="58" t="s">
        <v>1329</v>
      </c>
      <c r="C1502" s="59" t="s">
        <v>4943</v>
      </c>
      <c r="D1502" s="60">
        <v>3</v>
      </c>
      <c r="E1502" s="61">
        <v>124.1600000000326</v>
      </c>
      <c r="F1502" s="61">
        <v>0.620800000000163</v>
      </c>
      <c r="G1502" s="60">
        <v>1.1174400000002935</v>
      </c>
      <c r="H1502" s="62" t="s">
        <v>4944</v>
      </c>
      <c r="I1502" s="60" t="s">
        <v>4942</v>
      </c>
    </row>
    <row r="1503" spans="1:9" x14ac:dyDescent="0.25">
      <c r="A1503" s="57"/>
      <c r="B1503" s="63" t="s">
        <v>1330</v>
      </c>
      <c r="C1503" s="64" t="s">
        <v>4945</v>
      </c>
      <c r="D1503" s="65">
        <v>2.7999999999992724</v>
      </c>
      <c r="E1503" s="66">
        <v>71.32999999995809</v>
      </c>
      <c r="F1503" s="66">
        <v>0.71329999999958094</v>
      </c>
      <c r="G1503" s="65">
        <v>1.2839399999992458</v>
      </c>
      <c r="H1503" s="67" t="s">
        <v>4946</v>
      </c>
      <c r="I1503" s="65" t="s">
        <v>4942</v>
      </c>
    </row>
    <row r="1504" spans="1:9" x14ac:dyDescent="0.25">
      <c r="A1504" s="57"/>
      <c r="B1504" s="58" t="s">
        <v>1331</v>
      </c>
      <c r="C1504" s="59" t="s">
        <v>4947</v>
      </c>
      <c r="D1504" s="60">
        <v>5.5999999999985448</v>
      </c>
      <c r="E1504" s="61">
        <v>142.65999999991618</v>
      </c>
      <c r="F1504" s="61">
        <v>0.71329999999958094</v>
      </c>
      <c r="G1504" s="60">
        <v>1.2839399999992458</v>
      </c>
      <c r="H1504" s="62" t="s">
        <v>4948</v>
      </c>
      <c r="I1504" s="60" t="s">
        <v>4942</v>
      </c>
    </row>
    <row r="1505" spans="1:9" s="79" customFormat="1" x14ac:dyDescent="0.25">
      <c r="A1505" s="57"/>
      <c r="B1505" s="63" t="s">
        <v>1332</v>
      </c>
      <c r="C1505" s="64" t="s">
        <v>4949</v>
      </c>
      <c r="D1505" s="65">
        <v>4.5</v>
      </c>
      <c r="E1505" s="66">
        <v>99.930000000051223</v>
      </c>
      <c r="F1505" s="66">
        <v>0.99930000000051222</v>
      </c>
      <c r="G1505" s="65">
        <v>1.7987400000009219</v>
      </c>
      <c r="H1505" s="67" t="s">
        <v>4950</v>
      </c>
      <c r="I1505" s="65" t="s">
        <v>4942</v>
      </c>
    </row>
    <row r="1506" spans="1:9" s="79" customFormat="1" x14ac:dyDescent="0.25">
      <c r="A1506" s="57"/>
      <c r="B1506" s="58" t="s">
        <v>1333</v>
      </c>
      <c r="C1506" s="59" t="s">
        <v>4951</v>
      </c>
      <c r="D1506" s="60">
        <v>9</v>
      </c>
      <c r="E1506" s="61">
        <v>199.87000000011176</v>
      </c>
      <c r="F1506" s="61">
        <v>0.99935000000055885</v>
      </c>
      <c r="G1506" s="60">
        <v>1.798830000001006</v>
      </c>
      <c r="H1506" s="62" t="s">
        <v>4952</v>
      </c>
      <c r="I1506" s="60" t="s">
        <v>4942</v>
      </c>
    </row>
    <row r="1507" spans="1:9" x14ac:dyDescent="0.25">
      <c r="A1507" s="57"/>
      <c r="B1507" s="63" t="s">
        <v>1334</v>
      </c>
      <c r="C1507" s="64" t="s">
        <v>4953</v>
      </c>
      <c r="D1507" s="65">
        <v>6.1999999999970896</v>
      </c>
      <c r="E1507" s="66">
        <v>138.80000000004657</v>
      </c>
      <c r="F1507" s="66">
        <v>1.3880000000004658</v>
      </c>
      <c r="G1507" s="65">
        <v>2.4984000000008382</v>
      </c>
      <c r="H1507" s="67" t="s">
        <v>4954</v>
      </c>
      <c r="I1507" s="65" t="s">
        <v>4942</v>
      </c>
    </row>
    <row r="1508" spans="1:9" x14ac:dyDescent="0.25">
      <c r="A1508" s="57"/>
      <c r="B1508" s="58" t="s">
        <v>1335</v>
      </c>
      <c r="C1508" s="59" t="s">
        <v>4955</v>
      </c>
      <c r="D1508" s="60">
        <v>12.399999999994179</v>
      </c>
      <c r="E1508" s="61">
        <v>277.54999999981374</v>
      </c>
      <c r="F1508" s="61">
        <v>1.3877499999990688</v>
      </c>
      <c r="G1508" s="60">
        <v>2.4979499999983235</v>
      </c>
      <c r="H1508" s="62" t="s">
        <v>4956</v>
      </c>
      <c r="I1508" s="60" t="s">
        <v>4942</v>
      </c>
    </row>
    <row r="1509" spans="1:9" s="79" customFormat="1" x14ac:dyDescent="0.25">
      <c r="A1509" s="57"/>
      <c r="B1509" s="63" t="s">
        <v>4957</v>
      </c>
      <c r="C1509" s="64" t="s">
        <v>4958</v>
      </c>
      <c r="D1509" s="65">
        <v>8.1000000000058208</v>
      </c>
      <c r="E1509" s="66">
        <v>176.12000000011176</v>
      </c>
      <c r="F1509" s="66">
        <v>1.7612000000011176</v>
      </c>
      <c r="G1509" s="65">
        <v>3.1701600000020118</v>
      </c>
      <c r="H1509" s="67" t="s">
        <v>4959</v>
      </c>
      <c r="I1509" s="65" t="s">
        <v>4942</v>
      </c>
    </row>
    <row r="1510" spans="1:9" s="79" customFormat="1" x14ac:dyDescent="0.25">
      <c r="A1510" s="57"/>
      <c r="B1510" s="58" t="s">
        <v>4960</v>
      </c>
      <c r="C1510" s="59" t="s">
        <v>4961</v>
      </c>
      <c r="D1510" s="60">
        <v>16.200000000011642</v>
      </c>
      <c r="E1510" s="61">
        <v>352.27000000001863</v>
      </c>
      <c r="F1510" s="61">
        <v>1.7613500000000932</v>
      </c>
      <c r="G1510" s="60">
        <v>3.1704300000001679</v>
      </c>
      <c r="H1510" s="62" t="s">
        <v>4962</v>
      </c>
      <c r="I1510" s="60" t="s">
        <v>4942</v>
      </c>
    </row>
    <row r="1511" spans="1:9" x14ac:dyDescent="0.25">
      <c r="A1511" s="57"/>
      <c r="B1511" s="63" t="s">
        <v>1337</v>
      </c>
      <c r="C1511" s="64" t="s">
        <v>4963</v>
      </c>
      <c r="D1511" s="65">
        <v>11.69999999999709</v>
      </c>
      <c r="E1511" s="66">
        <v>224.12999999988824</v>
      </c>
      <c r="F1511" s="66">
        <v>2.2412999999988825</v>
      </c>
      <c r="G1511" s="65">
        <v>4.0343399999979885</v>
      </c>
      <c r="H1511" s="67" t="s">
        <v>4964</v>
      </c>
      <c r="I1511" s="65" t="s">
        <v>4942</v>
      </c>
    </row>
    <row r="1512" spans="1:9" x14ac:dyDescent="0.25">
      <c r="A1512" s="57"/>
      <c r="B1512" s="58" t="s">
        <v>1338</v>
      </c>
      <c r="C1512" s="59" t="s">
        <v>4965</v>
      </c>
      <c r="D1512" s="60">
        <v>23.399999999994179</v>
      </c>
      <c r="E1512" s="61">
        <v>448.27999999979511</v>
      </c>
      <c r="F1512" s="61">
        <v>2.2413999999989755</v>
      </c>
      <c r="G1512" s="60">
        <v>4.0345199999981558</v>
      </c>
      <c r="H1512" s="62" t="s">
        <v>4966</v>
      </c>
      <c r="I1512" s="60" t="s">
        <v>4942</v>
      </c>
    </row>
    <row r="1513" spans="1:9" s="79" customFormat="1" x14ac:dyDescent="0.25">
      <c r="A1513" s="57"/>
      <c r="B1513" s="63" t="s">
        <v>1339</v>
      </c>
      <c r="C1513" s="64" t="s">
        <v>4967</v>
      </c>
      <c r="D1513" s="65">
        <v>14</v>
      </c>
      <c r="E1513" s="66">
        <v>277.45000000018626</v>
      </c>
      <c r="F1513" s="66">
        <v>2.7745000000018627</v>
      </c>
      <c r="G1513" s="65">
        <v>4.9941000000033533</v>
      </c>
      <c r="H1513" s="67" t="s">
        <v>4968</v>
      </c>
      <c r="I1513" s="65" t="s">
        <v>4942</v>
      </c>
    </row>
    <row r="1514" spans="1:9" s="79" customFormat="1" x14ac:dyDescent="0.25">
      <c r="A1514" s="57"/>
      <c r="B1514" s="58" t="s">
        <v>1340</v>
      </c>
      <c r="C1514" s="59" t="s">
        <v>4969</v>
      </c>
      <c r="D1514" s="60">
        <v>28</v>
      </c>
      <c r="E1514" s="61">
        <v>554.83000000007451</v>
      </c>
      <c r="F1514" s="61">
        <v>2.7741500000003727</v>
      </c>
      <c r="G1514" s="60">
        <v>4.9934700000006709</v>
      </c>
      <c r="H1514" s="62" t="s">
        <v>4970</v>
      </c>
      <c r="I1514" s="60" t="s">
        <v>4942</v>
      </c>
    </row>
    <row r="1515" spans="1:9" x14ac:dyDescent="0.25">
      <c r="A1515" s="57"/>
      <c r="B1515" s="63" t="s">
        <v>1341</v>
      </c>
      <c r="C1515" s="64" t="s">
        <v>4971</v>
      </c>
      <c r="D1515" s="65">
        <v>19.399999999994179</v>
      </c>
      <c r="E1515" s="66">
        <v>374.29000000003725</v>
      </c>
      <c r="F1515" s="66">
        <v>3.7429000000003727</v>
      </c>
      <c r="G1515" s="65">
        <v>6.7372200000006703</v>
      </c>
      <c r="H1515" s="67" t="s">
        <v>4972</v>
      </c>
      <c r="I1515" s="65" t="s">
        <v>4942</v>
      </c>
    </row>
    <row r="1516" spans="1:9" x14ac:dyDescent="0.25">
      <c r="A1516" s="57"/>
      <c r="B1516" s="58" t="s">
        <v>1342</v>
      </c>
      <c r="C1516" s="59" t="s">
        <v>4973</v>
      </c>
      <c r="D1516" s="60">
        <v>38.799999999988358</v>
      </c>
      <c r="E1516" s="61">
        <v>748.61000000033528</v>
      </c>
      <c r="F1516" s="61">
        <v>3.7430500000016762</v>
      </c>
      <c r="G1516" s="60">
        <v>6.7374900000030173</v>
      </c>
      <c r="H1516" s="62" t="s">
        <v>4974</v>
      </c>
      <c r="I1516" s="60" t="s">
        <v>4942</v>
      </c>
    </row>
    <row r="1517" spans="1:9" s="79" customFormat="1" x14ac:dyDescent="0.25">
      <c r="A1517" s="57"/>
      <c r="B1517" s="63" t="s">
        <v>1343</v>
      </c>
      <c r="C1517" s="64" t="s">
        <v>4975</v>
      </c>
      <c r="D1517" s="65">
        <v>26.299999999988358</v>
      </c>
      <c r="E1517" s="66">
        <v>488.50999999977648</v>
      </c>
      <c r="F1517" s="66">
        <v>4.8850999999977649</v>
      </c>
      <c r="G1517" s="65">
        <v>8.7931799999959761</v>
      </c>
      <c r="H1517" s="67" t="s">
        <v>4976</v>
      </c>
      <c r="I1517" s="65" t="s">
        <v>4942</v>
      </c>
    </row>
    <row r="1518" spans="1:9" s="79" customFormat="1" x14ac:dyDescent="0.25">
      <c r="A1518" s="57"/>
      <c r="B1518" s="58" t="s">
        <v>1344</v>
      </c>
      <c r="C1518" s="59" t="s">
        <v>4977</v>
      </c>
      <c r="D1518" s="60">
        <v>52.599999999976717</v>
      </c>
      <c r="E1518" s="61">
        <v>977.04000000003725</v>
      </c>
      <c r="F1518" s="61">
        <v>4.8852000000001858</v>
      </c>
      <c r="G1518" s="60">
        <v>8.7933600000003356</v>
      </c>
      <c r="H1518" s="62" t="s">
        <v>4978</v>
      </c>
      <c r="I1518" s="60" t="s">
        <v>4942</v>
      </c>
    </row>
    <row r="1519" spans="1:9" x14ac:dyDescent="0.25">
      <c r="A1519" s="57"/>
      <c r="B1519" s="63" t="s">
        <v>4979</v>
      </c>
      <c r="C1519" s="64" t="s">
        <v>4980</v>
      </c>
      <c r="D1519" s="65">
        <v>6.8000000000029104</v>
      </c>
      <c r="E1519" s="66">
        <v>211.37000000011176</v>
      </c>
      <c r="F1519" s="66">
        <v>1.0568500000005587</v>
      </c>
      <c r="G1519" s="65">
        <v>1.9023300000010059</v>
      </c>
      <c r="H1519" s="67" t="s">
        <v>4981</v>
      </c>
      <c r="I1519" s="65" t="s">
        <v>4675</v>
      </c>
    </row>
    <row r="1520" spans="1:9" s="79" customFormat="1" x14ac:dyDescent="0.25">
      <c r="A1520" s="57"/>
      <c r="B1520" s="58" t="s">
        <v>4982</v>
      </c>
      <c r="C1520" s="59" t="s">
        <v>4983</v>
      </c>
      <c r="D1520" s="60">
        <v>0</v>
      </c>
      <c r="E1520" s="61">
        <v>316.83999999985099</v>
      </c>
      <c r="F1520" s="61">
        <v>1.5841999999992549</v>
      </c>
      <c r="G1520" s="60">
        <v>2.8515599999986589</v>
      </c>
      <c r="H1520" s="62" t="s">
        <v>4984</v>
      </c>
      <c r="I1520" s="60" t="s">
        <v>231</v>
      </c>
    </row>
    <row r="1521" spans="1:9" x14ac:dyDescent="0.25">
      <c r="A1521" s="57"/>
      <c r="B1521" s="63" t="s">
        <v>4985</v>
      </c>
      <c r="C1521" s="64" t="s">
        <v>4986</v>
      </c>
      <c r="D1521" s="65">
        <v>0</v>
      </c>
      <c r="E1521" s="66">
        <v>492.79999999981374</v>
      </c>
      <c r="F1521" s="66">
        <v>2.4639999999990687</v>
      </c>
      <c r="G1521" s="65">
        <v>4.4351999999983232</v>
      </c>
      <c r="H1521" s="67" t="s">
        <v>4987</v>
      </c>
      <c r="I1521" s="65" t="s">
        <v>231</v>
      </c>
    </row>
    <row r="1522" spans="1:9" s="79" customFormat="1" x14ac:dyDescent="0.25">
      <c r="A1522" s="57"/>
      <c r="B1522" s="58" t="s">
        <v>4988</v>
      </c>
      <c r="C1522" s="59" t="s">
        <v>4989</v>
      </c>
      <c r="D1522" s="60">
        <v>0</v>
      </c>
      <c r="E1522" s="61">
        <v>651.74000000022352</v>
      </c>
      <c r="F1522" s="61">
        <v>3.2587000000011175</v>
      </c>
      <c r="G1522" s="60">
        <v>5.8656600000020118</v>
      </c>
      <c r="H1522" s="62" t="s">
        <v>4990</v>
      </c>
      <c r="I1522" s="60" t="s">
        <v>231</v>
      </c>
    </row>
    <row r="1523" spans="1:9" x14ac:dyDescent="0.25">
      <c r="A1523" s="57"/>
      <c r="B1523" s="63" t="s">
        <v>4991</v>
      </c>
      <c r="C1523" s="64" t="s">
        <v>4992</v>
      </c>
      <c r="D1523" s="65">
        <v>0</v>
      </c>
      <c r="E1523" s="66">
        <v>461</v>
      </c>
      <c r="F1523" s="66">
        <v>4.6100000000000003</v>
      </c>
      <c r="G1523" s="65">
        <v>8.298</v>
      </c>
      <c r="H1523" s="67" t="s">
        <v>4993</v>
      </c>
      <c r="I1523" s="65" t="s">
        <v>231</v>
      </c>
    </row>
    <row r="1524" spans="1:9" s="79" customFormat="1" x14ac:dyDescent="0.25">
      <c r="A1524" s="57"/>
      <c r="B1524" s="58" t="s">
        <v>4994</v>
      </c>
      <c r="C1524" s="59" t="s">
        <v>4995</v>
      </c>
      <c r="D1524" s="60">
        <v>0</v>
      </c>
      <c r="E1524" s="61">
        <v>505.14000000013039</v>
      </c>
      <c r="F1524" s="61">
        <v>5.051400000001304</v>
      </c>
      <c r="G1524" s="60">
        <v>9.0925200000023469</v>
      </c>
      <c r="H1524" s="62" t="s">
        <v>4996</v>
      </c>
      <c r="I1524" s="60" t="s">
        <v>231</v>
      </c>
    </row>
    <row r="1525" spans="1:9" x14ac:dyDescent="0.25">
      <c r="A1525" s="57"/>
      <c r="B1525" s="63" t="s">
        <v>4997</v>
      </c>
      <c r="C1525" s="64" t="s">
        <v>4998</v>
      </c>
      <c r="D1525" s="65">
        <v>0</v>
      </c>
      <c r="E1525" s="66">
        <v>647.41999999992549</v>
      </c>
      <c r="F1525" s="66">
        <v>6.4741999999992546</v>
      </c>
      <c r="G1525" s="65">
        <v>11.653559999998658</v>
      </c>
      <c r="H1525" s="67" t="s">
        <v>4999</v>
      </c>
      <c r="I1525" s="65" t="s">
        <v>231</v>
      </c>
    </row>
    <row r="1526" spans="1:9" s="79" customFormat="1" x14ac:dyDescent="0.25">
      <c r="A1526" s="57"/>
      <c r="B1526" s="58" t="s">
        <v>5000</v>
      </c>
      <c r="C1526" s="59" t="s">
        <v>5001</v>
      </c>
      <c r="D1526" s="60">
        <v>0</v>
      </c>
      <c r="E1526" s="61">
        <v>975.36000000033528</v>
      </c>
      <c r="F1526" s="61">
        <v>9.7536000000033525</v>
      </c>
      <c r="G1526" s="60">
        <v>17.556480000006037</v>
      </c>
      <c r="H1526" s="62" t="s">
        <v>5002</v>
      </c>
      <c r="I1526" s="60" t="s">
        <v>231</v>
      </c>
    </row>
    <row r="1527" spans="1:9" x14ac:dyDescent="0.25">
      <c r="A1527" s="57"/>
      <c r="B1527" s="63" t="s">
        <v>5003</v>
      </c>
      <c r="C1527" s="64" t="s">
        <v>5004</v>
      </c>
      <c r="D1527" s="65">
        <v>0</v>
      </c>
      <c r="E1527" s="66">
        <v>1377.910000000149</v>
      </c>
      <c r="F1527" s="66">
        <v>13.77910000000149</v>
      </c>
      <c r="G1527" s="65">
        <v>24.802380000002682</v>
      </c>
      <c r="H1527" s="67" t="s">
        <v>5005</v>
      </c>
      <c r="I1527" s="65" t="s">
        <v>231</v>
      </c>
    </row>
    <row r="1528" spans="1:9" s="79" customFormat="1" x14ac:dyDescent="0.25">
      <c r="A1528" s="57"/>
      <c r="B1528" s="58" t="s">
        <v>1346</v>
      </c>
      <c r="C1528" s="59" t="s">
        <v>5006</v>
      </c>
      <c r="D1528" s="60">
        <v>9.3999999999941792</v>
      </c>
      <c r="E1528" s="61">
        <v>269.79000000003725</v>
      </c>
      <c r="F1528" s="61">
        <v>2.6979000000003723</v>
      </c>
      <c r="G1528" s="60">
        <v>4.856220000000671</v>
      </c>
      <c r="H1528" s="62" t="s">
        <v>5007</v>
      </c>
      <c r="I1528" s="60" t="s">
        <v>4873</v>
      </c>
    </row>
    <row r="1529" spans="1:9" s="79" customFormat="1" x14ac:dyDescent="0.25">
      <c r="A1529" s="57"/>
      <c r="B1529" s="63" t="s">
        <v>1363</v>
      </c>
      <c r="C1529" s="64" t="s">
        <v>5008</v>
      </c>
      <c r="D1529" s="65">
        <v>9.5</v>
      </c>
      <c r="E1529" s="66">
        <v>323.75999999977648</v>
      </c>
      <c r="F1529" s="66">
        <v>3.2375999999977649</v>
      </c>
      <c r="G1529" s="65">
        <v>5.8276799999959765</v>
      </c>
      <c r="H1529" s="67" t="s">
        <v>5009</v>
      </c>
      <c r="I1529" s="65" t="s">
        <v>4873</v>
      </c>
    </row>
    <row r="1530" spans="1:9" s="79" customFormat="1" x14ac:dyDescent="0.25">
      <c r="A1530" s="57"/>
      <c r="B1530" s="58" t="s">
        <v>1347</v>
      </c>
      <c r="C1530" s="59" t="s">
        <v>5010</v>
      </c>
      <c r="D1530" s="60">
        <v>18.799999999988358</v>
      </c>
      <c r="E1530" s="61">
        <v>539.62000000011176</v>
      </c>
      <c r="F1530" s="61">
        <v>2.6981000000005588</v>
      </c>
      <c r="G1530" s="60">
        <v>4.8565800000010055</v>
      </c>
      <c r="H1530" s="62" t="s">
        <v>5011</v>
      </c>
      <c r="I1530" s="60" t="s">
        <v>4873</v>
      </c>
    </row>
    <row r="1531" spans="1:9" s="79" customFormat="1" x14ac:dyDescent="0.25">
      <c r="A1531" s="57"/>
      <c r="B1531" s="63" t="s">
        <v>1364</v>
      </c>
      <c r="C1531" s="64" t="s">
        <v>5012</v>
      </c>
      <c r="D1531" s="65">
        <v>19</v>
      </c>
      <c r="E1531" s="66">
        <v>647.55999999959022</v>
      </c>
      <c r="F1531" s="66">
        <v>3.237799999997951</v>
      </c>
      <c r="G1531" s="65">
        <v>5.8280399999963119</v>
      </c>
      <c r="H1531" s="67" t="s">
        <v>5013</v>
      </c>
      <c r="I1531" s="65" t="s">
        <v>4873</v>
      </c>
    </row>
    <row r="1532" spans="1:9" x14ac:dyDescent="0.25">
      <c r="A1532" s="57"/>
      <c r="B1532" s="58" t="s">
        <v>1348</v>
      </c>
      <c r="C1532" s="59" t="s">
        <v>5014</v>
      </c>
      <c r="D1532" s="60">
        <v>13</v>
      </c>
      <c r="E1532" s="61">
        <v>323.64000000013039</v>
      </c>
      <c r="F1532" s="61">
        <v>3.236400000001304</v>
      </c>
      <c r="G1532" s="60">
        <v>5.8255200000023466</v>
      </c>
      <c r="H1532" s="62" t="s">
        <v>5015</v>
      </c>
      <c r="I1532" s="60" t="s">
        <v>4873</v>
      </c>
    </row>
    <row r="1533" spans="1:9" x14ac:dyDescent="0.25">
      <c r="A1533" s="57"/>
      <c r="B1533" s="63" t="s">
        <v>1365</v>
      </c>
      <c r="C1533" s="64" t="s">
        <v>5016</v>
      </c>
      <c r="D1533" s="65">
        <v>13</v>
      </c>
      <c r="E1533" s="66">
        <v>388.37000000011176</v>
      </c>
      <c r="F1533" s="66">
        <v>3.8837000000011175</v>
      </c>
      <c r="G1533" s="65">
        <v>6.9906600000020118</v>
      </c>
      <c r="H1533" s="67" t="s">
        <v>5017</v>
      </c>
      <c r="I1533" s="65" t="s">
        <v>4873</v>
      </c>
    </row>
    <row r="1534" spans="1:9" x14ac:dyDescent="0.25">
      <c r="A1534" s="57"/>
      <c r="B1534" s="58" t="s">
        <v>1349</v>
      </c>
      <c r="C1534" s="59" t="s">
        <v>5018</v>
      </c>
      <c r="D1534" s="60">
        <v>26</v>
      </c>
      <c r="E1534" s="61">
        <v>647.29000000003725</v>
      </c>
      <c r="F1534" s="61">
        <v>3.2364500000001861</v>
      </c>
      <c r="G1534" s="60">
        <v>5.8256100000003359</v>
      </c>
      <c r="H1534" s="62" t="s">
        <v>5019</v>
      </c>
      <c r="I1534" s="60" t="s">
        <v>4873</v>
      </c>
    </row>
    <row r="1535" spans="1:9" x14ac:dyDescent="0.25">
      <c r="A1535" s="57"/>
      <c r="B1535" s="63" t="s">
        <v>1366</v>
      </c>
      <c r="C1535" s="64" t="s">
        <v>5020</v>
      </c>
      <c r="D1535" s="65">
        <v>26</v>
      </c>
      <c r="E1535" s="66">
        <v>776.74000000022352</v>
      </c>
      <c r="F1535" s="66">
        <v>3.8837000000011175</v>
      </c>
      <c r="G1535" s="65">
        <v>6.9906600000020118</v>
      </c>
      <c r="H1535" s="67" t="s">
        <v>5021</v>
      </c>
      <c r="I1535" s="65" t="s">
        <v>4873</v>
      </c>
    </row>
    <row r="1536" spans="1:9" s="79" customFormat="1" x14ac:dyDescent="0.25">
      <c r="A1536" s="57"/>
      <c r="B1536" s="58" t="s">
        <v>1350</v>
      </c>
      <c r="C1536" s="59" t="s">
        <v>5022</v>
      </c>
      <c r="D1536" s="60">
        <v>16.600000000005821</v>
      </c>
      <c r="E1536" s="61">
        <v>403.20000000018626</v>
      </c>
      <c r="F1536" s="61">
        <v>4.0320000000018625</v>
      </c>
      <c r="G1536" s="60">
        <v>7.2576000000033529</v>
      </c>
      <c r="H1536" s="62" t="s">
        <v>5023</v>
      </c>
      <c r="I1536" s="60" t="s">
        <v>4873</v>
      </c>
    </row>
    <row r="1537" spans="1:9" s="79" customFormat="1" x14ac:dyDescent="0.25">
      <c r="A1537" s="57"/>
      <c r="B1537" s="63" t="s">
        <v>1367</v>
      </c>
      <c r="C1537" s="64" t="s">
        <v>5024</v>
      </c>
      <c r="D1537" s="65">
        <v>16.899999999994179</v>
      </c>
      <c r="E1537" s="66">
        <v>483.83999999985099</v>
      </c>
      <c r="F1537" s="66">
        <v>4.8383999999985097</v>
      </c>
      <c r="G1537" s="65">
        <v>8.7091199999973181</v>
      </c>
      <c r="H1537" s="67" t="s">
        <v>5025</v>
      </c>
      <c r="I1537" s="65" t="s">
        <v>4873</v>
      </c>
    </row>
    <row r="1538" spans="1:9" s="79" customFormat="1" x14ac:dyDescent="0.25">
      <c r="A1538" s="57"/>
      <c r="B1538" s="58" t="s">
        <v>1351</v>
      </c>
      <c r="C1538" s="59" t="s">
        <v>5026</v>
      </c>
      <c r="D1538" s="60">
        <v>33.200000000011642</v>
      </c>
      <c r="E1538" s="61">
        <v>806.40000000037253</v>
      </c>
      <c r="F1538" s="61">
        <v>4.0320000000018625</v>
      </c>
      <c r="G1538" s="60">
        <v>7.2576000000033529</v>
      </c>
      <c r="H1538" s="62" t="s">
        <v>5027</v>
      </c>
      <c r="I1538" s="60" t="s">
        <v>4873</v>
      </c>
    </row>
    <row r="1539" spans="1:9" s="79" customFormat="1" x14ac:dyDescent="0.25">
      <c r="A1539" s="57"/>
      <c r="B1539" s="63" t="s">
        <v>1368</v>
      </c>
      <c r="C1539" s="64" t="s">
        <v>5028</v>
      </c>
      <c r="D1539" s="65">
        <v>33.799999999988358</v>
      </c>
      <c r="E1539" s="66">
        <v>967.66999999992549</v>
      </c>
      <c r="F1539" s="66">
        <v>4.8383499999996271</v>
      </c>
      <c r="G1539" s="65">
        <v>8.7090299999993288</v>
      </c>
      <c r="H1539" s="67" t="s">
        <v>5029</v>
      </c>
      <c r="I1539" s="65" t="s">
        <v>4873</v>
      </c>
    </row>
    <row r="1540" spans="1:9" x14ac:dyDescent="0.25">
      <c r="A1540" s="57"/>
      <c r="B1540" s="58" t="s">
        <v>1352</v>
      </c>
      <c r="C1540" s="59" t="s">
        <v>5030</v>
      </c>
      <c r="D1540" s="60">
        <v>21.299999999988358</v>
      </c>
      <c r="E1540" s="61">
        <v>521.62999999988824</v>
      </c>
      <c r="F1540" s="61">
        <v>5.2162999999988822</v>
      </c>
      <c r="G1540" s="60">
        <v>9.3893399999979881</v>
      </c>
      <c r="H1540" s="62" t="s">
        <v>5031</v>
      </c>
      <c r="I1540" s="60" t="s">
        <v>4873</v>
      </c>
    </row>
    <row r="1541" spans="1:9" x14ac:dyDescent="0.25">
      <c r="A1541" s="57"/>
      <c r="B1541" s="63" t="s">
        <v>1369</v>
      </c>
      <c r="C1541" s="64" t="s">
        <v>5032</v>
      </c>
      <c r="D1541" s="65">
        <v>21.299999999988358</v>
      </c>
      <c r="E1541" s="66">
        <v>625.91999999992549</v>
      </c>
      <c r="F1541" s="66">
        <v>6.2591999999992547</v>
      </c>
      <c r="G1541" s="65">
        <v>11.266559999998661</v>
      </c>
      <c r="H1541" s="67" t="s">
        <v>5033</v>
      </c>
      <c r="I1541" s="65" t="s">
        <v>4873</v>
      </c>
    </row>
    <row r="1542" spans="1:9" x14ac:dyDescent="0.25">
      <c r="A1542" s="57"/>
      <c r="B1542" s="58" t="s">
        <v>1353</v>
      </c>
      <c r="C1542" s="59" t="s">
        <v>5034</v>
      </c>
      <c r="D1542" s="60">
        <v>42.599999999976717</v>
      </c>
      <c r="E1542" s="61">
        <v>1043.25</v>
      </c>
      <c r="F1542" s="61">
        <v>5.2162499999999996</v>
      </c>
      <c r="G1542" s="60">
        <v>9.3892500000000005</v>
      </c>
      <c r="H1542" s="62" t="s">
        <v>5035</v>
      </c>
      <c r="I1542" s="60" t="s">
        <v>4873</v>
      </c>
    </row>
    <row r="1543" spans="1:9" x14ac:dyDescent="0.25">
      <c r="A1543" s="57"/>
      <c r="B1543" s="63" t="s">
        <v>1370</v>
      </c>
      <c r="C1543" s="64" t="s">
        <v>5036</v>
      </c>
      <c r="D1543" s="65">
        <v>42.599999999976717</v>
      </c>
      <c r="E1543" s="66">
        <v>1251.9000000003725</v>
      </c>
      <c r="F1543" s="66">
        <v>6.2595000000018626</v>
      </c>
      <c r="G1543" s="65">
        <v>11.267100000003355</v>
      </c>
      <c r="H1543" s="67" t="s">
        <v>5037</v>
      </c>
      <c r="I1543" s="65" t="s">
        <v>4873</v>
      </c>
    </row>
    <row r="1544" spans="1:9" s="79" customFormat="1" x14ac:dyDescent="0.25">
      <c r="A1544" s="57"/>
      <c r="B1544" s="58" t="s">
        <v>1354</v>
      </c>
      <c r="C1544" s="59" t="s">
        <v>5038</v>
      </c>
      <c r="D1544" s="60">
        <v>26</v>
      </c>
      <c r="E1544" s="61">
        <v>624.25</v>
      </c>
      <c r="F1544" s="61">
        <v>6.2424999999999997</v>
      </c>
      <c r="G1544" s="60">
        <v>11.236500000000001</v>
      </c>
      <c r="H1544" s="62" t="s">
        <v>5039</v>
      </c>
      <c r="I1544" s="60" t="s">
        <v>4873</v>
      </c>
    </row>
    <row r="1545" spans="1:9" s="79" customFormat="1" x14ac:dyDescent="0.25">
      <c r="A1545" s="57"/>
      <c r="B1545" s="63" t="s">
        <v>1371</v>
      </c>
      <c r="C1545" s="64" t="s">
        <v>5040</v>
      </c>
      <c r="D1545" s="65">
        <v>52</v>
      </c>
      <c r="E1545" s="66">
        <v>749.08999999985099</v>
      </c>
      <c r="F1545" s="66">
        <v>7.4908999999985095</v>
      </c>
      <c r="G1545" s="65">
        <v>13.483619999997318</v>
      </c>
      <c r="H1545" s="67" t="s">
        <v>5041</v>
      </c>
      <c r="I1545" s="65" t="s">
        <v>231</v>
      </c>
    </row>
    <row r="1546" spans="1:9" s="79" customFormat="1" x14ac:dyDescent="0.25">
      <c r="A1546" s="57"/>
      <c r="B1546" s="58" t="s">
        <v>1355</v>
      </c>
      <c r="C1546" s="59" t="s">
        <v>5042</v>
      </c>
      <c r="D1546" s="60">
        <v>52</v>
      </c>
      <c r="E1546" s="61">
        <v>1248.5500000007451</v>
      </c>
      <c r="F1546" s="61">
        <v>6.242750000003725</v>
      </c>
      <c r="G1546" s="60">
        <v>11.236950000006708</v>
      </c>
      <c r="H1546" s="62" t="s">
        <v>5043</v>
      </c>
      <c r="I1546" s="60" t="s">
        <v>4873</v>
      </c>
    </row>
    <row r="1547" spans="1:9" s="79" customFormat="1" x14ac:dyDescent="0.25">
      <c r="A1547" s="57"/>
      <c r="B1547" s="63" t="s">
        <v>1372</v>
      </c>
      <c r="C1547" s="64" t="s">
        <v>5044</v>
      </c>
      <c r="D1547" s="65">
        <v>104</v>
      </c>
      <c r="E1547" s="66">
        <v>1498.2200000006706</v>
      </c>
      <c r="F1547" s="66">
        <v>7.4911000000033532</v>
      </c>
      <c r="G1547" s="65">
        <v>13.483980000006035</v>
      </c>
      <c r="H1547" s="67" t="s">
        <v>5045</v>
      </c>
      <c r="I1547" s="65" t="s">
        <v>231</v>
      </c>
    </row>
    <row r="1548" spans="1:9" x14ac:dyDescent="0.25">
      <c r="A1548" s="57"/>
      <c r="B1548" s="58" t="s">
        <v>1356</v>
      </c>
      <c r="C1548" s="59" t="s">
        <v>5046</v>
      </c>
      <c r="D1548" s="60">
        <v>37.299999999988358</v>
      </c>
      <c r="E1548" s="61">
        <v>838.01999999955297</v>
      </c>
      <c r="F1548" s="61">
        <v>8.3801999999955292</v>
      </c>
      <c r="G1548" s="60">
        <v>15.084359999991955</v>
      </c>
      <c r="H1548" s="62" t="s">
        <v>5047</v>
      </c>
      <c r="I1548" s="60" t="s">
        <v>4873</v>
      </c>
    </row>
    <row r="1549" spans="1:9" x14ac:dyDescent="0.25">
      <c r="A1549" s="57"/>
      <c r="B1549" s="63" t="s">
        <v>1373</v>
      </c>
      <c r="C1549" s="64" t="s">
        <v>5048</v>
      </c>
      <c r="D1549" s="65">
        <v>37.299999999988358</v>
      </c>
      <c r="E1549" s="66">
        <v>1005.7800000002608</v>
      </c>
      <c r="F1549" s="66">
        <v>10.057800000002608</v>
      </c>
      <c r="G1549" s="65">
        <v>18.104040000004694</v>
      </c>
      <c r="H1549" s="67" t="s">
        <v>5049</v>
      </c>
      <c r="I1549" s="65" t="s">
        <v>4873</v>
      </c>
    </row>
    <row r="1550" spans="1:9" x14ac:dyDescent="0.25">
      <c r="A1550" s="57"/>
      <c r="B1550" s="58" t="s">
        <v>1357</v>
      </c>
      <c r="C1550" s="59" t="s">
        <v>5050</v>
      </c>
      <c r="D1550" s="60">
        <v>74.599999999976717</v>
      </c>
      <c r="E1550" s="61">
        <v>1676.0299999993294</v>
      </c>
      <c r="F1550" s="61">
        <v>8.3801499999966467</v>
      </c>
      <c r="G1550" s="60">
        <v>15.084269999993964</v>
      </c>
      <c r="H1550" s="62" t="s">
        <v>5051</v>
      </c>
      <c r="I1550" s="60" t="s">
        <v>231</v>
      </c>
    </row>
    <row r="1551" spans="1:9" x14ac:dyDescent="0.25">
      <c r="A1551" s="57"/>
      <c r="B1551" s="63" t="s">
        <v>1374</v>
      </c>
      <c r="C1551" s="64" t="s">
        <v>5052</v>
      </c>
      <c r="D1551" s="65">
        <v>74.599999999976717</v>
      </c>
      <c r="E1551" s="66">
        <v>2011.609999999404</v>
      </c>
      <c r="F1551" s="66">
        <v>10.058049999997019</v>
      </c>
      <c r="G1551" s="65">
        <v>18.104489999994637</v>
      </c>
      <c r="H1551" s="67" t="s">
        <v>5053</v>
      </c>
      <c r="I1551" s="65" t="s">
        <v>231</v>
      </c>
    </row>
    <row r="1552" spans="1:9" s="79" customFormat="1" x14ac:dyDescent="0.25">
      <c r="A1552" s="57"/>
      <c r="B1552" s="58" t="s">
        <v>1358</v>
      </c>
      <c r="C1552" s="59" t="s">
        <v>5054</v>
      </c>
      <c r="D1552" s="60">
        <v>51</v>
      </c>
      <c r="E1552" s="61">
        <v>1009.0300000002608</v>
      </c>
      <c r="F1552" s="61">
        <v>10.090300000002607</v>
      </c>
      <c r="G1552" s="60">
        <v>18.162540000004693</v>
      </c>
      <c r="H1552" s="62" t="s">
        <v>5055</v>
      </c>
      <c r="I1552" s="60" t="s">
        <v>231</v>
      </c>
    </row>
    <row r="1553" spans="1:9" s="79" customFormat="1" x14ac:dyDescent="0.25">
      <c r="A1553" s="57"/>
      <c r="B1553" s="63" t="s">
        <v>1375</v>
      </c>
      <c r="C1553" s="64" t="s">
        <v>5056</v>
      </c>
      <c r="D1553" s="65">
        <v>51</v>
      </c>
      <c r="E1553" s="66">
        <v>1210.8100000005215</v>
      </c>
      <c r="F1553" s="66">
        <v>12.108100000005216</v>
      </c>
      <c r="G1553" s="65">
        <v>21.794580000009386</v>
      </c>
      <c r="H1553" s="67" t="s">
        <v>5057</v>
      </c>
      <c r="I1553" s="65" t="s">
        <v>4873</v>
      </c>
    </row>
    <row r="1554" spans="1:9" s="79" customFormat="1" x14ac:dyDescent="0.25">
      <c r="A1554" s="57"/>
      <c r="B1554" s="58" t="s">
        <v>1359</v>
      </c>
      <c r="C1554" s="59" t="s">
        <v>5058</v>
      </c>
      <c r="D1554" s="60">
        <v>102</v>
      </c>
      <c r="E1554" s="61">
        <v>2018.0500000007451</v>
      </c>
      <c r="F1554" s="61">
        <v>10.090250000003726</v>
      </c>
      <c r="G1554" s="60">
        <v>18.162450000006707</v>
      </c>
      <c r="H1554" s="62" t="s">
        <v>5059</v>
      </c>
      <c r="I1554" s="60" t="s">
        <v>4873</v>
      </c>
    </row>
    <row r="1555" spans="1:9" s="79" customFormat="1" x14ac:dyDescent="0.25">
      <c r="A1555" s="57"/>
      <c r="B1555" s="63" t="s">
        <v>1376</v>
      </c>
      <c r="C1555" s="64" t="s">
        <v>5060</v>
      </c>
      <c r="D1555" s="65">
        <v>102</v>
      </c>
      <c r="E1555" s="66">
        <v>2421.660000000149</v>
      </c>
      <c r="F1555" s="66">
        <v>12.108300000000746</v>
      </c>
      <c r="G1555" s="65">
        <v>21.794940000001343</v>
      </c>
      <c r="H1555" s="67" t="s">
        <v>5061</v>
      </c>
      <c r="I1555" s="65" t="s">
        <v>231</v>
      </c>
    </row>
    <row r="1556" spans="1:9" x14ac:dyDescent="0.25">
      <c r="A1556" s="57"/>
      <c r="B1556" s="58" t="s">
        <v>1360</v>
      </c>
      <c r="C1556" s="59" t="s">
        <v>5062</v>
      </c>
      <c r="D1556" s="60">
        <v>66.400000000023283</v>
      </c>
      <c r="E1556" s="61">
        <v>1369.320000000298</v>
      </c>
      <c r="F1556" s="61">
        <v>13.69320000000298</v>
      </c>
      <c r="G1556" s="60">
        <v>24.647760000005363</v>
      </c>
      <c r="H1556" s="62" t="s">
        <v>5063</v>
      </c>
      <c r="I1556" s="60" t="s">
        <v>4873</v>
      </c>
    </row>
    <row r="1557" spans="1:9" x14ac:dyDescent="0.25">
      <c r="A1557" s="57"/>
      <c r="B1557" s="63" t="s">
        <v>1377</v>
      </c>
      <c r="C1557" s="64" t="s">
        <v>5064</v>
      </c>
      <c r="D1557" s="65">
        <v>66.400000000023283</v>
      </c>
      <c r="E1557" s="66">
        <v>1643.1699999999255</v>
      </c>
      <c r="F1557" s="66">
        <v>16.431699999999253</v>
      </c>
      <c r="G1557" s="65">
        <v>29.57705999999866</v>
      </c>
      <c r="H1557" s="67" t="s">
        <v>5065</v>
      </c>
      <c r="I1557" s="65" t="s">
        <v>4873</v>
      </c>
    </row>
    <row r="1558" spans="1:9" x14ac:dyDescent="0.25">
      <c r="A1558" s="57"/>
      <c r="B1558" s="58" t="s">
        <v>1361</v>
      </c>
      <c r="C1558" s="59" t="s">
        <v>5066</v>
      </c>
      <c r="D1558" s="60">
        <v>132.80000000004657</v>
      </c>
      <c r="E1558" s="61">
        <v>2738.640000000596</v>
      </c>
      <c r="F1558" s="61">
        <v>13.69320000000298</v>
      </c>
      <c r="G1558" s="60">
        <v>24.647760000005363</v>
      </c>
      <c r="H1558" s="62" t="s">
        <v>5067</v>
      </c>
      <c r="I1558" s="60" t="s">
        <v>4873</v>
      </c>
    </row>
    <row r="1559" spans="1:9" x14ac:dyDescent="0.25">
      <c r="A1559" s="57"/>
      <c r="B1559" s="63" t="s">
        <v>1378</v>
      </c>
      <c r="C1559" s="64" t="s">
        <v>5068</v>
      </c>
      <c r="D1559" s="65">
        <v>132.80000000004657</v>
      </c>
      <c r="E1559" s="66">
        <v>3286.339999999851</v>
      </c>
      <c r="F1559" s="66">
        <v>16.431699999999253</v>
      </c>
      <c r="G1559" s="65">
        <v>29.57705999999866</v>
      </c>
      <c r="H1559" s="67" t="s">
        <v>5069</v>
      </c>
      <c r="I1559" s="65" t="s">
        <v>231</v>
      </c>
    </row>
    <row r="1560" spans="1:9" s="79" customFormat="1" x14ac:dyDescent="0.25">
      <c r="A1560" s="57"/>
      <c r="B1560" s="58" t="s">
        <v>5070</v>
      </c>
      <c r="C1560" s="59" t="s">
        <v>5071</v>
      </c>
      <c r="D1560" s="60">
        <v>1</v>
      </c>
      <c r="E1560" s="61">
        <v>0</v>
      </c>
      <c r="F1560" s="61">
        <v>0</v>
      </c>
      <c r="G1560" s="60">
        <v>0</v>
      </c>
      <c r="H1560" s="62" t="s">
        <v>5072</v>
      </c>
      <c r="I1560" s="60" t="s">
        <v>231</v>
      </c>
    </row>
    <row r="1561" spans="1:9" s="79" customFormat="1" x14ac:dyDescent="0.25">
      <c r="A1561" s="57"/>
      <c r="B1561" s="63" t="s">
        <v>5073</v>
      </c>
      <c r="C1561" s="64" t="s">
        <v>5074</v>
      </c>
      <c r="D1561" s="65">
        <v>1</v>
      </c>
      <c r="E1561" s="66">
        <v>0</v>
      </c>
      <c r="F1561" s="66">
        <v>0</v>
      </c>
      <c r="G1561" s="65">
        <v>0</v>
      </c>
      <c r="H1561" s="67" t="s">
        <v>5075</v>
      </c>
      <c r="I1561" s="65" t="s">
        <v>231</v>
      </c>
    </row>
    <row r="1562" spans="1:9" s="79" customFormat="1" x14ac:dyDescent="0.25">
      <c r="A1562" s="57"/>
      <c r="B1562" s="58" t="s">
        <v>5076</v>
      </c>
      <c r="C1562" s="59" t="s">
        <v>5077</v>
      </c>
      <c r="D1562" s="60">
        <v>3</v>
      </c>
      <c r="E1562" s="61">
        <v>0</v>
      </c>
      <c r="F1562" s="61">
        <v>0</v>
      </c>
      <c r="G1562" s="60">
        <v>0</v>
      </c>
      <c r="H1562" s="62" t="s">
        <v>5078</v>
      </c>
      <c r="I1562" s="60" t="s">
        <v>231</v>
      </c>
    </row>
    <row r="1563" spans="1:9" x14ac:dyDescent="0.25">
      <c r="A1563" s="57"/>
      <c r="B1563" s="63" t="s">
        <v>1482</v>
      </c>
      <c r="C1563" s="64" t="s">
        <v>5079</v>
      </c>
      <c r="D1563" s="65">
        <v>1.5</v>
      </c>
      <c r="E1563" s="66">
        <v>152.52000000001863</v>
      </c>
      <c r="F1563" s="66">
        <v>0.30504000000003723</v>
      </c>
      <c r="G1563" s="65">
        <v>0.54907200000006706</v>
      </c>
      <c r="H1563" s="67" t="s">
        <v>5080</v>
      </c>
      <c r="I1563" s="65" t="s">
        <v>231</v>
      </c>
    </row>
    <row r="1564" spans="1:9" x14ac:dyDescent="0.25">
      <c r="A1564" s="57"/>
      <c r="B1564" s="58" t="s">
        <v>1480</v>
      </c>
      <c r="C1564" s="59" t="s">
        <v>5081</v>
      </c>
      <c r="D1564" s="60">
        <v>0.25</v>
      </c>
      <c r="E1564" s="61">
        <v>30.5</v>
      </c>
      <c r="F1564" s="61">
        <v>0.30499999999999999</v>
      </c>
      <c r="G1564" s="60">
        <v>0.54899999999999993</v>
      </c>
      <c r="H1564" s="62" t="s">
        <v>5082</v>
      </c>
      <c r="I1564" s="60" t="s">
        <v>5083</v>
      </c>
    </row>
    <row r="1565" spans="1:9" x14ac:dyDescent="0.25">
      <c r="A1565" s="57"/>
      <c r="B1565" s="63" t="s">
        <v>1481</v>
      </c>
      <c r="C1565" s="64" t="s">
        <v>5084</v>
      </c>
      <c r="D1565" s="65">
        <v>0.5</v>
      </c>
      <c r="E1565" s="66">
        <v>60.96999999997206</v>
      </c>
      <c r="F1565" s="66">
        <v>0.30484999999986029</v>
      </c>
      <c r="G1565" s="65">
        <v>0.54872999999974859</v>
      </c>
      <c r="H1565" s="67" t="s">
        <v>5085</v>
      </c>
      <c r="I1565" s="65" t="s">
        <v>5083</v>
      </c>
    </row>
    <row r="1566" spans="1:9" x14ac:dyDescent="0.25">
      <c r="A1566" s="57"/>
      <c r="B1566" s="58" t="s">
        <v>1467</v>
      </c>
      <c r="C1566" s="59" t="s">
        <v>5086</v>
      </c>
      <c r="D1566" s="60">
        <v>0.25</v>
      </c>
      <c r="E1566" s="61">
        <v>21.260000000009313</v>
      </c>
      <c r="F1566" s="61">
        <v>0.21260000000009313</v>
      </c>
      <c r="G1566" s="60">
        <v>0.38268000000016761</v>
      </c>
      <c r="H1566" s="62" t="s">
        <v>5087</v>
      </c>
      <c r="I1566" s="60" t="s">
        <v>5083</v>
      </c>
    </row>
    <row r="1567" spans="1:9" x14ac:dyDescent="0.25">
      <c r="A1567" s="57"/>
      <c r="B1567" s="63" t="s">
        <v>1468</v>
      </c>
      <c r="C1567" s="64" t="s">
        <v>5088</v>
      </c>
      <c r="D1567" s="65">
        <v>0.5</v>
      </c>
      <c r="E1567" s="66">
        <v>42.599999999976717</v>
      </c>
      <c r="F1567" s="66">
        <v>0.21299999999988359</v>
      </c>
      <c r="G1567" s="65">
        <v>0.38339999999979052</v>
      </c>
      <c r="H1567" s="67" t="s">
        <v>5089</v>
      </c>
      <c r="I1567" s="65" t="s">
        <v>5083</v>
      </c>
    </row>
    <row r="1568" spans="1:9" s="79" customFormat="1" x14ac:dyDescent="0.25">
      <c r="A1568" s="57"/>
      <c r="B1568" s="58" t="s">
        <v>1484</v>
      </c>
      <c r="C1568" s="59" t="s">
        <v>5090</v>
      </c>
      <c r="D1568" s="60">
        <v>0.32999999999992724</v>
      </c>
      <c r="E1568" s="61">
        <v>32.440000000002328</v>
      </c>
      <c r="F1568" s="61">
        <v>0.32440000000002328</v>
      </c>
      <c r="G1568" s="60">
        <v>0.58392000000004196</v>
      </c>
      <c r="H1568" s="62" t="s">
        <v>5091</v>
      </c>
      <c r="I1568" s="60" t="s">
        <v>5083</v>
      </c>
    </row>
    <row r="1569" spans="1:9" s="79" customFormat="1" x14ac:dyDescent="0.25">
      <c r="A1569" s="57"/>
      <c r="B1569" s="63" t="s">
        <v>1486</v>
      </c>
      <c r="C1569" s="64" t="s">
        <v>5092</v>
      </c>
      <c r="D1569" s="65">
        <v>0.65999999999985448</v>
      </c>
      <c r="E1569" s="66">
        <v>64.819999999948777</v>
      </c>
      <c r="F1569" s="66">
        <v>0.32409999999974387</v>
      </c>
      <c r="G1569" s="65">
        <v>0.58337999999953905</v>
      </c>
      <c r="H1569" s="67" t="s">
        <v>5093</v>
      </c>
      <c r="I1569" s="65" t="s">
        <v>5083</v>
      </c>
    </row>
    <row r="1570" spans="1:9" s="79" customFormat="1" x14ac:dyDescent="0.25">
      <c r="A1570" s="57"/>
      <c r="B1570" s="58" t="s">
        <v>1483</v>
      </c>
      <c r="C1570" s="59" t="s">
        <v>5094</v>
      </c>
      <c r="D1570" s="60">
        <v>0.32999999999992724</v>
      </c>
      <c r="E1570" s="61">
        <v>32.440000000002328</v>
      </c>
      <c r="F1570" s="61">
        <v>0.32440000000002328</v>
      </c>
      <c r="G1570" s="60">
        <v>0.58392000000004196</v>
      </c>
      <c r="H1570" s="62" t="s">
        <v>5095</v>
      </c>
      <c r="I1570" s="60" t="s">
        <v>5083</v>
      </c>
    </row>
    <row r="1571" spans="1:9" s="79" customFormat="1" x14ac:dyDescent="0.25">
      <c r="A1571" s="57"/>
      <c r="B1571" s="63" t="s">
        <v>1485</v>
      </c>
      <c r="C1571" s="64" t="s">
        <v>5096</v>
      </c>
      <c r="D1571" s="65">
        <v>0.65999999999985448</v>
      </c>
      <c r="E1571" s="66">
        <v>64.819999999948777</v>
      </c>
      <c r="F1571" s="66">
        <v>0.32409999999974387</v>
      </c>
      <c r="G1571" s="65">
        <v>0.58337999999953905</v>
      </c>
      <c r="H1571" s="67" t="s">
        <v>5097</v>
      </c>
      <c r="I1571" s="65" t="s">
        <v>5083</v>
      </c>
    </row>
    <row r="1572" spans="1:9" s="79" customFormat="1" x14ac:dyDescent="0.25">
      <c r="A1572" s="57"/>
      <c r="B1572" s="58" t="s">
        <v>1469</v>
      </c>
      <c r="C1572" s="59" t="s">
        <v>5098</v>
      </c>
      <c r="D1572" s="60">
        <v>0.32999999999992724</v>
      </c>
      <c r="E1572" s="61">
        <v>25.75</v>
      </c>
      <c r="F1572" s="61">
        <v>0.25750000000000001</v>
      </c>
      <c r="G1572" s="60">
        <v>0.46350000000000002</v>
      </c>
      <c r="H1572" s="62" t="s">
        <v>5099</v>
      </c>
      <c r="I1572" s="60" t="s">
        <v>5083</v>
      </c>
    </row>
    <row r="1573" spans="1:9" s="79" customFormat="1" x14ac:dyDescent="0.25">
      <c r="A1573" s="57"/>
      <c r="B1573" s="63" t="s">
        <v>1470</v>
      </c>
      <c r="C1573" s="64" t="s">
        <v>5100</v>
      </c>
      <c r="D1573" s="65">
        <v>0.65999999999985448</v>
      </c>
      <c r="E1573" s="66">
        <v>51.510000000009313</v>
      </c>
      <c r="F1573" s="66">
        <v>0.25755000000004658</v>
      </c>
      <c r="G1573" s="65">
        <v>0.46359000000008388</v>
      </c>
      <c r="H1573" s="67" t="s">
        <v>5101</v>
      </c>
      <c r="I1573" s="65" t="s">
        <v>5083</v>
      </c>
    </row>
    <row r="1574" spans="1:9" x14ac:dyDescent="0.25">
      <c r="A1574" s="57"/>
      <c r="B1574" s="58" t="s">
        <v>1487</v>
      </c>
      <c r="C1574" s="59" t="s">
        <v>5102</v>
      </c>
      <c r="D1574" s="60">
        <v>0.6999999999998181</v>
      </c>
      <c r="E1574" s="61">
        <v>34.340000000025611</v>
      </c>
      <c r="F1574" s="61">
        <v>0.34340000000025611</v>
      </c>
      <c r="G1574" s="60">
        <v>0.61812000000046108</v>
      </c>
      <c r="H1574" s="62" t="s">
        <v>5103</v>
      </c>
      <c r="I1574" s="60" t="s">
        <v>5083</v>
      </c>
    </row>
    <row r="1575" spans="1:9" x14ac:dyDescent="0.25">
      <c r="A1575" s="57"/>
      <c r="B1575" s="63" t="s">
        <v>1489</v>
      </c>
      <c r="C1575" s="64" t="s">
        <v>5104</v>
      </c>
      <c r="D1575" s="65">
        <v>1.3999999999996362</v>
      </c>
      <c r="E1575" s="66">
        <v>68.64000000001397</v>
      </c>
      <c r="F1575" s="66">
        <v>0.34320000000006984</v>
      </c>
      <c r="G1575" s="65">
        <v>0.61776000000012576</v>
      </c>
      <c r="H1575" s="67" t="s">
        <v>5105</v>
      </c>
      <c r="I1575" s="65" t="s">
        <v>5083</v>
      </c>
    </row>
    <row r="1576" spans="1:9" x14ac:dyDescent="0.25">
      <c r="A1576" s="57"/>
      <c r="B1576" s="58" t="s">
        <v>1488</v>
      </c>
      <c r="C1576" s="59" t="s">
        <v>5106</v>
      </c>
      <c r="D1576" s="60">
        <v>0.6999999999998181</v>
      </c>
      <c r="E1576" s="61">
        <v>34.330000000016298</v>
      </c>
      <c r="F1576" s="61">
        <v>0.34330000000016297</v>
      </c>
      <c r="G1576" s="60">
        <v>0.61794000000029337</v>
      </c>
      <c r="H1576" s="62" t="s">
        <v>5107</v>
      </c>
      <c r="I1576" s="60" t="s">
        <v>5083</v>
      </c>
    </row>
    <row r="1577" spans="1:9" x14ac:dyDescent="0.25">
      <c r="A1577" s="57"/>
      <c r="B1577" s="63" t="s">
        <v>1490</v>
      </c>
      <c r="C1577" s="64" t="s">
        <v>5108</v>
      </c>
      <c r="D1577" s="65">
        <v>1.3999999999996362</v>
      </c>
      <c r="E1577" s="66">
        <v>68.64000000001397</v>
      </c>
      <c r="F1577" s="66">
        <v>0.34320000000006984</v>
      </c>
      <c r="G1577" s="65">
        <v>0.61776000000012576</v>
      </c>
      <c r="H1577" s="67" t="s">
        <v>5109</v>
      </c>
      <c r="I1577" s="65" t="s">
        <v>5083</v>
      </c>
    </row>
    <row r="1578" spans="1:9" x14ac:dyDescent="0.25">
      <c r="A1578" s="57"/>
      <c r="B1578" s="58" t="s">
        <v>1490</v>
      </c>
      <c r="C1578" s="59" t="s">
        <v>5108</v>
      </c>
      <c r="D1578" s="60">
        <v>1.3999999999996362</v>
      </c>
      <c r="E1578" s="61">
        <v>68.64000000001397</v>
      </c>
      <c r="F1578" s="61">
        <v>0.34320000000006984</v>
      </c>
      <c r="G1578" s="60">
        <v>0.61776000000012576</v>
      </c>
      <c r="H1578" s="62" t="s">
        <v>5109</v>
      </c>
      <c r="I1578" s="60" t="s">
        <v>5083</v>
      </c>
    </row>
    <row r="1579" spans="1:9" x14ac:dyDescent="0.25">
      <c r="A1579" s="57"/>
      <c r="B1579" s="63" t="s">
        <v>1471</v>
      </c>
      <c r="C1579" s="64" t="s">
        <v>5110</v>
      </c>
      <c r="D1579" s="65">
        <v>0.6999999999998181</v>
      </c>
      <c r="E1579" s="66">
        <v>27.489999999990687</v>
      </c>
      <c r="F1579" s="66">
        <v>0.27489999999990689</v>
      </c>
      <c r="G1579" s="65">
        <v>0.49481999999983239</v>
      </c>
      <c r="H1579" s="67" t="s">
        <v>5111</v>
      </c>
      <c r="I1579" s="65" t="s">
        <v>5083</v>
      </c>
    </row>
    <row r="1580" spans="1:9" x14ac:dyDescent="0.25">
      <c r="A1580" s="57"/>
      <c r="B1580" s="58" t="s">
        <v>1472</v>
      </c>
      <c r="C1580" s="59" t="s">
        <v>5112</v>
      </c>
      <c r="D1580" s="60">
        <v>1.3999999999996362</v>
      </c>
      <c r="E1580" s="61">
        <v>54.909999999974389</v>
      </c>
      <c r="F1580" s="61">
        <v>0.27454999999987195</v>
      </c>
      <c r="G1580" s="60">
        <v>0.49418999999976954</v>
      </c>
      <c r="H1580" s="62" t="s">
        <v>5113</v>
      </c>
      <c r="I1580" s="60" t="s">
        <v>5083</v>
      </c>
    </row>
    <row r="1581" spans="1:9" s="79" customFormat="1" x14ac:dyDescent="0.25">
      <c r="A1581" s="57"/>
      <c r="B1581" s="63" t="s">
        <v>5114</v>
      </c>
      <c r="C1581" s="64" t="s">
        <v>5115</v>
      </c>
      <c r="D1581" s="65">
        <v>2.319999999999709</v>
      </c>
      <c r="E1581" s="66">
        <v>113.80000000004657</v>
      </c>
      <c r="F1581" s="66">
        <v>0.56900000000023288</v>
      </c>
      <c r="G1581" s="65">
        <v>1.024200000000419</v>
      </c>
      <c r="H1581" s="67" t="s">
        <v>5116</v>
      </c>
      <c r="I1581" s="65" t="s">
        <v>5083</v>
      </c>
    </row>
    <row r="1582" spans="1:9" s="79" customFormat="1" x14ac:dyDescent="0.25">
      <c r="A1582" s="57"/>
      <c r="B1582" s="58" t="s">
        <v>1473</v>
      </c>
      <c r="C1582" s="59" t="s">
        <v>5117</v>
      </c>
      <c r="D1582" s="60">
        <v>1.1599999999998545</v>
      </c>
      <c r="E1582" s="61">
        <v>36.409999999974389</v>
      </c>
      <c r="F1582" s="61">
        <v>0.36409999999974391</v>
      </c>
      <c r="G1582" s="60">
        <v>0.655379999999539</v>
      </c>
      <c r="H1582" s="62" t="s">
        <v>5118</v>
      </c>
      <c r="I1582" s="60" t="s">
        <v>5083</v>
      </c>
    </row>
    <row r="1583" spans="1:9" s="79" customFormat="1" x14ac:dyDescent="0.25">
      <c r="A1583" s="57"/>
      <c r="B1583" s="63" t="s">
        <v>1474</v>
      </c>
      <c r="C1583" s="64" t="s">
        <v>5119</v>
      </c>
      <c r="D1583" s="65">
        <v>2.319999999999709</v>
      </c>
      <c r="E1583" s="66">
        <v>72.839999999967404</v>
      </c>
      <c r="F1583" s="66">
        <v>0.36419999999983704</v>
      </c>
      <c r="G1583" s="65">
        <v>0.65555999999970671</v>
      </c>
      <c r="H1583" s="67" t="s">
        <v>5120</v>
      </c>
      <c r="I1583" s="65" t="s">
        <v>5083</v>
      </c>
    </row>
    <row r="1584" spans="1:9" x14ac:dyDescent="0.25">
      <c r="A1584" s="57"/>
      <c r="B1584" s="58" t="s">
        <v>5121</v>
      </c>
      <c r="C1584" s="59" t="s">
        <v>5122</v>
      </c>
      <c r="D1584" s="60">
        <v>3.2400000000016007</v>
      </c>
      <c r="E1584" s="61">
        <v>125.15000000002328</v>
      </c>
      <c r="F1584" s="61">
        <v>0.62575000000011638</v>
      </c>
      <c r="G1584" s="60">
        <v>1.1263500000002096</v>
      </c>
      <c r="H1584" s="62" t="s">
        <v>5123</v>
      </c>
      <c r="I1584" s="60" t="s">
        <v>5083</v>
      </c>
    </row>
    <row r="1585" spans="1:9" x14ac:dyDescent="0.25">
      <c r="A1585" s="57"/>
      <c r="B1585" s="63" t="s">
        <v>1475</v>
      </c>
      <c r="C1585" s="64" t="s">
        <v>5124</v>
      </c>
      <c r="D1585" s="65">
        <v>1.6200000000008004</v>
      </c>
      <c r="E1585" s="66">
        <v>40.059999999997672</v>
      </c>
      <c r="F1585" s="66">
        <v>0.4005999999999767</v>
      </c>
      <c r="G1585" s="65">
        <v>0.72107999999995809</v>
      </c>
      <c r="H1585" s="67" t="s">
        <v>5125</v>
      </c>
      <c r="I1585" s="65" t="s">
        <v>5083</v>
      </c>
    </row>
    <row r="1586" spans="1:9" x14ac:dyDescent="0.25">
      <c r="A1586" s="57"/>
      <c r="B1586" s="58" t="s">
        <v>1476</v>
      </c>
      <c r="C1586" s="59" t="s">
        <v>5126</v>
      </c>
      <c r="D1586" s="60">
        <v>3.2400000000016007</v>
      </c>
      <c r="E1586" s="61">
        <v>80.089999999967404</v>
      </c>
      <c r="F1586" s="61">
        <v>0.40044999999983699</v>
      </c>
      <c r="G1586" s="60">
        <v>0.72080999999970674</v>
      </c>
      <c r="H1586" s="62" t="s">
        <v>5127</v>
      </c>
      <c r="I1586" s="60" t="s">
        <v>5083</v>
      </c>
    </row>
    <row r="1587" spans="1:9" s="79" customFormat="1" x14ac:dyDescent="0.25">
      <c r="A1587" s="57"/>
      <c r="B1587" s="63" t="s">
        <v>1491</v>
      </c>
      <c r="C1587" s="64" t="s">
        <v>5128</v>
      </c>
      <c r="D1587" s="65">
        <v>1.4500000000007276</v>
      </c>
      <c r="E1587" s="66">
        <v>66.96999999997206</v>
      </c>
      <c r="F1587" s="66">
        <v>6.6969999999972059</v>
      </c>
      <c r="G1587" s="65">
        <v>12.054599999994972</v>
      </c>
      <c r="H1587" s="67" t="s">
        <v>5129</v>
      </c>
      <c r="I1587" s="65" t="s">
        <v>5083</v>
      </c>
    </row>
    <row r="1588" spans="1:9" s="79" customFormat="1" x14ac:dyDescent="0.25">
      <c r="A1588" s="57"/>
      <c r="B1588" s="58" t="s">
        <v>1477</v>
      </c>
      <c r="C1588" s="59" t="s">
        <v>5130</v>
      </c>
      <c r="D1588" s="60">
        <v>1</v>
      </c>
      <c r="E1588" s="61">
        <v>66.96999999997206</v>
      </c>
      <c r="F1588" s="61">
        <v>6.6969999999972059</v>
      </c>
      <c r="G1588" s="60">
        <v>12.054599999994972</v>
      </c>
      <c r="H1588" s="62" t="s">
        <v>5131</v>
      </c>
      <c r="I1588" s="60" t="s">
        <v>5083</v>
      </c>
    </row>
    <row r="1589" spans="1:9" x14ac:dyDescent="0.25">
      <c r="A1589" s="57"/>
      <c r="B1589" s="63" t="s">
        <v>1492</v>
      </c>
      <c r="C1589" s="64" t="s">
        <v>5132</v>
      </c>
      <c r="D1589" s="65">
        <v>18.035999999992782</v>
      </c>
      <c r="E1589" s="66">
        <v>66.96999999997206</v>
      </c>
      <c r="F1589" s="66">
        <v>6.6969999999972059</v>
      </c>
      <c r="G1589" s="65">
        <v>12.054599999994972</v>
      </c>
      <c r="H1589" s="67" t="s">
        <v>5133</v>
      </c>
      <c r="I1589" s="65" t="s">
        <v>5083</v>
      </c>
    </row>
    <row r="1590" spans="1:9" x14ac:dyDescent="0.25">
      <c r="A1590" s="57"/>
      <c r="B1590" s="58" t="s">
        <v>1478</v>
      </c>
      <c r="C1590" s="59" t="s">
        <v>5134</v>
      </c>
      <c r="D1590" s="60">
        <v>0.98999999999978172</v>
      </c>
      <c r="E1590" s="61">
        <v>66.96999999997206</v>
      </c>
      <c r="F1590" s="61">
        <v>6.6969999999972059</v>
      </c>
      <c r="G1590" s="60">
        <v>12.054599999994972</v>
      </c>
      <c r="H1590" s="62" t="s">
        <v>5135</v>
      </c>
      <c r="I1590" s="60" t="s">
        <v>5083</v>
      </c>
    </row>
    <row r="1591" spans="1:9" s="79" customFormat="1" x14ac:dyDescent="0.25">
      <c r="A1591" s="57"/>
      <c r="B1591" s="63" t="s">
        <v>1493</v>
      </c>
      <c r="C1591" s="64" t="s">
        <v>5136</v>
      </c>
      <c r="D1591" s="65">
        <v>90.199999999953434</v>
      </c>
      <c r="E1591" s="66">
        <v>66.96999999997206</v>
      </c>
      <c r="F1591" s="66">
        <v>6.6969999999972059</v>
      </c>
      <c r="G1591" s="65">
        <v>12.054599999994972</v>
      </c>
      <c r="H1591" s="67" t="s">
        <v>5137</v>
      </c>
      <c r="I1591" s="65" t="s">
        <v>5083</v>
      </c>
    </row>
    <row r="1592" spans="1:9" s="79" customFormat="1" x14ac:dyDescent="0.25">
      <c r="A1592" s="57"/>
      <c r="B1592" s="58" t="s">
        <v>1479</v>
      </c>
      <c r="C1592" s="59" t="s">
        <v>5138</v>
      </c>
      <c r="D1592" s="60">
        <v>2.0999999999985448</v>
      </c>
      <c r="E1592" s="61">
        <v>66.96999999997206</v>
      </c>
      <c r="F1592" s="61">
        <v>6.6969999999972059</v>
      </c>
      <c r="G1592" s="60">
        <v>12.054599999994972</v>
      </c>
      <c r="H1592" s="62" t="s">
        <v>5139</v>
      </c>
      <c r="I1592" s="60" t="s">
        <v>5083</v>
      </c>
    </row>
    <row r="1593" spans="1:9" x14ac:dyDescent="0.25">
      <c r="A1593" s="57"/>
      <c r="B1593" s="63" t="s">
        <v>1496</v>
      </c>
      <c r="C1593" s="64" t="s">
        <v>5140</v>
      </c>
      <c r="D1593" s="65">
        <v>1.7600000000002183</v>
      </c>
      <c r="E1593" s="66">
        <v>63.960000000020955</v>
      </c>
      <c r="F1593" s="66">
        <v>0.63960000000020956</v>
      </c>
      <c r="G1593" s="65">
        <v>1.1512800000003771</v>
      </c>
      <c r="H1593" s="67" t="s">
        <v>5141</v>
      </c>
      <c r="I1593" s="65" t="s">
        <v>5142</v>
      </c>
    </row>
    <row r="1594" spans="1:9" x14ac:dyDescent="0.25">
      <c r="A1594" s="57"/>
      <c r="B1594" s="58" t="s">
        <v>1498</v>
      </c>
      <c r="C1594" s="59" t="s">
        <v>5143</v>
      </c>
      <c r="D1594" s="60">
        <v>3.5200000000004366</v>
      </c>
      <c r="E1594" s="61">
        <v>127.88000000000466</v>
      </c>
      <c r="F1594" s="61">
        <v>0.63940000000002328</v>
      </c>
      <c r="G1594" s="60">
        <v>1.1509200000000419</v>
      </c>
      <c r="H1594" s="62" t="s">
        <v>5144</v>
      </c>
      <c r="I1594" s="60" t="s">
        <v>5142</v>
      </c>
    </row>
    <row r="1595" spans="1:9" x14ac:dyDescent="0.25">
      <c r="A1595" s="57"/>
      <c r="B1595" s="63" t="s">
        <v>1495</v>
      </c>
      <c r="C1595" s="64" t="s">
        <v>5145</v>
      </c>
      <c r="D1595" s="65">
        <v>1.7600000000002183</v>
      </c>
      <c r="E1595" s="66">
        <v>63.960000000020955</v>
      </c>
      <c r="F1595" s="66">
        <v>0.63960000000020956</v>
      </c>
      <c r="G1595" s="65">
        <v>1.1512800000003771</v>
      </c>
      <c r="H1595" s="67" t="s">
        <v>5146</v>
      </c>
      <c r="I1595" s="65" t="s">
        <v>5142</v>
      </c>
    </row>
    <row r="1596" spans="1:9" x14ac:dyDescent="0.25">
      <c r="A1596" s="57"/>
      <c r="B1596" s="58" t="s">
        <v>1497</v>
      </c>
      <c r="C1596" s="59" t="s">
        <v>5147</v>
      </c>
      <c r="D1596" s="60">
        <v>3.5200000000004366</v>
      </c>
      <c r="E1596" s="61">
        <v>127.88000000000466</v>
      </c>
      <c r="F1596" s="61">
        <v>0.63940000000002328</v>
      </c>
      <c r="G1596" s="60">
        <v>1.1509200000000419</v>
      </c>
      <c r="H1596" s="62" t="s">
        <v>5148</v>
      </c>
      <c r="I1596" s="60" t="s">
        <v>5142</v>
      </c>
    </row>
    <row r="1597" spans="1:9" s="79" customFormat="1" x14ac:dyDescent="0.25">
      <c r="A1597" s="57"/>
      <c r="B1597" s="63" t="s">
        <v>1500</v>
      </c>
      <c r="C1597" s="64" t="s">
        <v>5149</v>
      </c>
      <c r="D1597" s="65">
        <v>2.7000000000007276</v>
      </c>
      <c r="E1597" s="66">
        <v>102.56000000005588</v>
      </c>
      <c r="F1597" s="66">
        <v>1.0256000000005587</v>
      </c>
      <c r="G1597" s="65">
        <v>1.8460800000010058</v>
      </c>
      <c r="H1597" s="67" t="s">
        <v>5150</v>
      </c>
      <c r="I1597" s="65" t="s">
        <v>5142</v>
      </c>
    </row>
    <row r="1598" spans="1:9" s="79" customFormat="1" x14ac:dyDescent="0.25">
      <c r="A1598" s="57"/>
      <c r="B1598" s="58" t="s">
        <v>1502</v>
      </c>
      <c r="C1598" s="59" t="s">
        <v>5151</v>
      </c>
      <c r="D1598" s="60">
        <v>5.4000000000014552</v>
      </c>
      <c r="E1598" s="61">
        <v>205.11000000010245</v>
      </c>
      <c r="F1598" s="61">
        <v>1.0255500000005122</v>
      </c>
      <c r="G1598" s="60">
        <v>1.8459900000009222</v>
      </c>
      <c r="H1598" s="62" t="s">
        <v>5152</v>
      </c>
      <c r="I1598" s="60" t="s">
        <v>5142</v>
      </c>
    </row>
    <row r="1599" spans="1:9" s="79" customFormat="1" x14ac:dyDescent="0.25">
      <c r="A1599" s="57"/>
      <c r="B1599" s="63" t="s">
        <v>1499</v>
      </c>
      <c r="C1599" s="64" t="s">
        <v>5153</v>
      </c>
      <c r="D1599" s="65">
        <v>2.7000000000007276</v>
      </c>
      <c r="E1599" s="66">
        <v>102.56000000005588</v>
      </c>
      <c r="F1599" s="66">
        <v>1.0256000000005587</v>
      </c>
      <c r="G1599" s="65">
        <v>1.8460800000010058</v>
      </c>
      <c r="H1599" s="67" t="s">
        <v>5154</v>
      </c>
      <c r="I1599" s="65" t="s">
        <v>5142</v>
      </c>
    </row>
    <row r="1600" spans="1:9" s="79" customFormat="1" x14ac:dyDescent="0.25">
      <c r="A1600" s="57"/>
      <c r="B1600" s="58" t="s">
        <v>1501</v>
      </c>
      <c r="C1600" s="59" t="s">
        <v>5155</v>
      </c>
      <c r="D1600" s="60">
        <v>5.4000000000014552</v>
      </c>
      <c r="E1600" s="61">
        <v>205.11000000010245</v>
      </c>
      <c r="F1600" s="61">
        <v>1.0255500000005122</v>
      </c>
      <c r="G1600" s="60">
        <v>1.8459900000009222</v>
      </c>
      <c r="H1600" s="62" t="s">
        <v>5156</v>
      </c>
      <c r="I1600" s="60" t="s">
        <v>5142</v>
      </c>
    </row>
    <row r="1601" spans="1:9" x14ac:dyDescent="0.25">
      <c r="A1601" s="57"/>
      <c r="B1601" s="63" t="s">
        <v>1504</v>
      </c>
      <c r="C1601" s="64" t="s">
        <v>5157</v>
      </c>
      <c r="D1601" s="65">
        <v>5</v>
      </c>
      <c r="E1601" s="66">
        <v>153.19999999995343</v>
      </c>
      <c r="F1601" s="66">
        <v>1.5319999999995344</v>
      </c>
      <c r="G1601" s="65">
        <v>2.7575999999991621</v>
      </c>
      <c r="H1601" s="67" t="s">
        <v>5158</v>
      </c>
      <c r="I1601" s="65" t="s">
        <v>5142</v>
      </c>
    </row>
    <row r="1602" spans="1:9" x14ac:dyDescent="0.25">
      <c r="A1602" s="57"/>
      <c r="B1602" s="58" t="s">
        <v>1506</v>
      </c>
      <c r="C1602" s="59" t="s">
        <v>5159</v>
      </c>
      <c r="D1602" s="60">
        <v>10</v>
      </c>
      <c r="E1602" s="61">
        <v>306.43999999994412</v>
      </c>
      <c r="F1602" s="61">
        <v>1.5321999999997207</v>
      </c>
      <c r="G1602" s="60">
        <v>2.7579599999994975</v>
      </c>
      <c r="H1602" s="62" t="s">
        <v>5160</v>
      </c>
      <c r="I1602" s="60" t="s">
        <v>5142</v>
      </c>
    </row>
    <row r="1603" spans="1:9" x14ac:dyDescent="0.25">
      <c r="A1603" s="57"/>
      <c r="B1603" s="63" t="s">
        <v>1503</v>
      </c>
      <c r="C1603" s="64" t="s">
        <v>5161</v>
      </c>
      <c r="D1603" s="65">
        <v>5</v>
      </c>
      <c r="E1603" s="66">
        <v>153.19999999995343</v>
      </c>
      <c r="F1603" s="66">
        <v>1.5319999999995344</v>
      </c>
      <c r="G1603" s="65">
        <v>2.7575999999991621</v>
      </c>
      <c r="H1603" s="67" t="s">
        <v>5162</v>
      </c>
      <c r="I1603" s="65" t="s">
        <v>5142</v>
      </c>
    </row>
    <row r="1604" spans="1:9" x14ac:dyDescent="0.25">
      <c r="A1604" s="57"/>
      <c r="B1604" s="58" t="s">
        <v>1505</v>
      </c>
      <c r="C1604" s="59" t="s">
        <v>5163</v>
      </c>
      <c r="D1604" s="60">
        <v>10</v>
      </c>
      <c r="E1604" s="61">
        <v>306.43999999994412</v>
      </c>
      <c r="F1604" s="61">
        <v>1.5321999999997207</v>
      </c>
      <c r="G1604" s="60">
        <v>2.7579599999994975</v>
      </c>
      <c r="H1604" s="62" t="s">
        <v>5164</v>
      </c>
      <c r="I1604" s="60" t="s">
        <v>5142</v>
      </c>
    </row>
    <row r="1605" spans="1:9" s="79" customFormat="1" x14ac:dyDescent="0.25">
      <c r="A1605" s="57"/>
      <c r="B1605" s="63" t="s">
        <v>1435</v>
      </c>
      <c r="C1605" s="64" t="s">
        <v>5165</v>
      </c>
      <c r="D1605" s="65">
        <v>0</v>
      </c>
      <c r="E1605" s="66">
        <v>56.190000000002328</v>
      </c>
      <c r="F1605" s="66">
        <v>0.56190000000002327</v>
      </c>
      <c r="G1605" s="65">
        <v>1.011420000000042</v>
      </c>
      <c r="H1605" s="67" t="s">
        <v>5166</v>
      </c>
      <c r="I1605" s="65" t="s">
        <v>231</v>
      </c>
    </row>
    <row r="1606" spans="1:9" s="79" customFormat="1" x14ac:dyDescent="0.25">
      <c r="A1606" s="57"/>
      <c r="B1606" s="58" t="s">
        <v>1434</v>
      </c>
      <c r="C1606" s="59" t="s">
        <v>5167</v>
      </c>
      <c r="D1606" s="60">
        <v>0</v>
      </c>
      <c r="E1606" s="61">
        <v>56.190000000002328</v>
      </c>
      <c r="F1606" s="61">
        <v>0.56190000000002327</v>
      </c>
      <c r="G1606" s="60">
        <v>1.011420000000042</v>
      </c>
      <c r="H1606" s="62" t="s">
        <v>5168</v>
      </c>
      <c r="I1606" s="60" t="s">
        <v>231</v>
      </c>
    </row>
    <row r="1607" spans="1:9" s="79" customFormat="1" x14ac:dyDescent="0.25">
      <c r="A1607" s="57"/>
      <c r="B1607" s="63" t="s">
        <v>1437</v>
      </c>
      <c r="C1607" s="64" t="s">
        <v>5169</v>
      </c>
      <c r="D1607" s="65">
        <v>0</v>
      </c>
      <c r="E1607" s="66">
        <v>56.190000000002328</v>
      </c>
      <c r="F1607" s="66">
        <v>0.56190000000002327</v>
      </c>
      <c r="G1607" s="65">
        <v>1.011420000000042</v>
      </c>
      <c r="H1607" s="67" t="s">
        <v>5170</v>
      </c>
      <c r="I1607" s="65" t="s">
        <v>231</v>
      </c>
    </row>
    <row r="1608" spans="1:9" s="79" customFormat="1" x14ac:dyDescent="0.25">
      <c r="A1608" s="57"/>
      <c r="B1608" s="58" t="s">
        <v>1433</v>
      </c>
      <c r="C1608" s="59" t="s">
        <v>5171</v>
      </c>
      <c r="D1608" s="60">
        <v>0</v>
      </c>
      <c r="E1608" s="61">
        <v>56.190000000002328</v>
      </c>
      <c r="F1608" s="61">
        <v>0.56190000000002327</v>
      </c>
      <c r="G1608" s="60">
        <v>1.011420000000042</v>
      </c>
      <c r="H1608" s="62" t="s">
        <v>5172</v>
      </c>
      <c r="I1608" s="60" t="s">
        <v>231</v>
      </c>
    </row>
    <row r="1609" spans="1:9" s="79" customFormat="1" x14ac:dyDescent="0.25">
      <c r="A1609" s="57"/>
      <c r="B1609" s="63" t="s">
        <v>1436</v>
      </c>
      <c r="C1609" s="64" t="s">
        <v>5173</v>
      </c>
      <c r="D1609" s="65">
        <v>1</v>
      </c>
      <c r="E1609" s="66">
        <v>56.190000000002328</v>
      </c>
      <c r="F1609" s="66">
        <v>0.56190000000002327</v>
      </c>
      <c r="G1609" s="65">
        <v>1.011420000000042</v>
      </c>
      <c r="H1609" s="67" t="s">
        <v>5174</v>
      </c>
      <c r="I1609" s="65" t="s">
        <v>231</v>
      </c>
    </row>
    <row r="1610" spans="1:9" x14ac:dyDescent="0.25">
      <c r="A1610" s="57"/>
      <c r="B1610" s="58" t="s">
        <v>1440</v>
      </c>
      <c r="C1610" s="59" t="s">
        <v>5175</v>
      </c>
      <c r="D1610" s="60">
        <v>0</v>
      </c>
      <c r="E1610" s="61">
        <v>59.989999999990687</v>
      </c>
      <c r="F1610" s="61">
        <v>0.59989999999990684</v>
      </c>
      <c r="G1610" s="60">
        <v>1.0798199999998324</v>
      </c>
      <c r="H1610" s="62" t="s">
        <v>5176</v>
      </c>
      <c r="I1610" s="60" t="s">
        <v>231</v>
      </c>
    </row>
    <row r="1611" spans="1:9" x14ac:dyDescent="0.25">
      <c r="A1611" s="57"/>
      <c r="B1611" s="63" t="s">
        <v>1439</v>
      </c>
      <c r="C1611" s="64" t="s">
        <v>5177</v>
      </c>
      <c r="D1611" s="65">
        <v>0</v>
      </c>
      <c r="E1611" s="66">
        <v>59.989999999990687</v>
      </c>
      <c r="F1611" s="66">
        <v>0.59989999999990684</v>
      </c>
      <c r="G1611" s="65">
        <v>1.0798199999998324</v>
      </c>
      <c r="H1611" s="67" t="s">
        <v>5178</v>
      </c>
      <c r="I1611" s="65" t="s">
        <v>231</v>
      </c>
    </row>
    <row r="1612" spans="1:9" x14ac:dyDescent="0.25">
      <c r="A1612" s="57"/>
      <c r="B1612" s="58" t="s">
        <v>1442</v>
      </c>
      <c r="C1612" s="59" t="s">
        <v>5179</v>
      </c>
      <c r="D1612" s="60">
        <v>0</v>
      </c>
      <c r="E1612" s="61">
        <v>59.989999999990687</v>
      </c>
      <c r="F1612" s="61">
        <v>0.59989999999990684</v>
      </c>
      <c r="G1612" s="60">
        <v>1.0798199999998324</v>
      </c>
      <c r="H1612" s="62" t="s">
        <v>5180</v>
      </c>
      <c r="I1612" s="60" t="s">
        <v>231</v>
      </c>
    </row>
    <row r="1613" spans="1:9" x14ac:dyDescent="0.25">
      <c r="A1613" s="57"/>
      <c r="B1613" s="63" t="s">
        <v>1438</v>
      </c>
      <c r="C1613" s="64" t="s">
        <v>5181</v>
      </c>
      <c r="D1613" s="65">
        <v>0</v>
      </c>
      <c r="E1613" s="66">
        <v>59.989999999990687</v>
      </c>
      <c r="F1613" s="66">
        <v>0.59989999999990684</v>
      </c>
      <c r="G1613" s="65">
        <v>1.0798199999998324</v>
      </c>
      <c r="H1613" s="67" t="s">
        <v>5182</v>
      </c>
      <c r="I1613" s="65" t="s">
        <v>231</v>
      </c>
    </row>
    <row r="1614" spans="1:9" x14ac:dyDescent="0.25">
      <c r="A1614" s="57"/>
      <c r="B1614" s="58" t="s">
        <v>1441</v>
      </c>
      <c r="C1614" s="59" t="s">
        <v>5183</v>
      </c>
      <c r="D1614" s="60">
        <v>1</v>
      </c>
      <c r="E1614" s="61">
        <v>59.989999999990687</v>
      </c>
      <c r="F1614" s="61">
        <v>0.59989999999990684</v>
      </c>
      <c r="G1614" s="60">
        <v>1.0798199999998324</v>
      </c>
      <c r="H1614" s="62" t="s">
        <v>5184</v>
      </c>
      <c r="I1614" s="60" t="s">
        <v>5185</v>
      </c>
    </row>
    <row r="1615" spans="1:9" s="79" customFormat="1" x14ac:dyDescent="0.25">
      <c r="A1615" s="57"/>
      <c r="B1615" s="63" t="s">
        <v>1445</v>
      </c>
      <c r="C1615" s="64" t="s">
        <v>5186</v>
      </c>
      <c r="D1615" s="65">
        <v>1</v>
      </c>
      <c r="E1615" s="66">
        <v>71.010000000009313</v>
      </c>
      <c r="F1615" s="66">
        <v>0.7101000000000931</v>
      </c>
      <c r="G1615" s="65">
        <v>1.2781800000001677</v>
      </c>
      <c r="H1615" s="67" t="s">
        <v>5187</v>
      </c>
      <c r="I1615" s="65" t="s">
        <v>231</v>
      </c>
    </row>
    <row r="1616" spans="1:9" s="79" customFormat="1" x14ac:dyDescent="0.25">
      <c r="A1616" s="57"/>
      <c r="B1616" s="58" t="s">
        <v>1444</v>
      </c>
      <c r="C1616" s="59" t="s">
        <v>5188</v>
      </c>
      <c r="D1616" s="60">
        <v>0</v>
      </c>
      <c r="E1616" s="61">
        <v>71.010000000009313</v>
      </c>
      <c r="F1616" s="61">
        <v>0.7101000000000931</v>
      </c>
      <c r="G1616" s="60">
        <v>1.2781800000001677</v>
      </c>
      <c r="H1616" s="62" t="s">
        <v>5189</v>
      </c>
      <c r="I1616" s="60" t="s">
        <v>231</v>
      </c>
    </row>
    <row r="1617" spans="1:9" s="79" customFormat="1" x14ac:dyDescent="0.25">
      <c r="A1617" s="57"/>
      <c r="B1617" s="63" t="s">
        <v>1447</v>
      </c>
      <c r="C1617" s="64" t="s">
        <v>5190</v>
      </c>
      <c r="D1617" s="65">
        <v>0</v>
      </c>
      <c r="E1617" s="66">
        <v>71.010000000009313</v>
      </c>
      <c r="F1617" s="66">
        <v>0.7101000000000931</v>
      </c>
      <c r="G1617" s="65">
        <v>1.2781800000001677</v>
      </c>
      <c r="H1617" s="67" t="s">
        <v>5191</v>
      </c>
      <c r="I1617" s="65" t="s">
        <v>231</v>
      </c>
    </row>
    <row r="1618" spans="1:9" s="79" customFormat="1" x14ac:dyDescent="0.25">
      <c r="A1618" s="57"/>
      <c r="B1618" s="58" t="s">
        <v>1443</v>
      </c>
      <c r="C1618" s="59" t="s">
        <v>5192</v>
      </c>
      <c r="D1618" s="60">
        <v>0</v>
      </c>
      <c r="E1618" s="61">
        <v>71.010000000009313</v>
      </c>
      <c r="F1618" s="61">
        <v>0.7101000000000931</v>
      </c>
      <c r="G1618" s="60">
        <v>1.2781800000001677</v>
      </c>
      <c r="H1618" s="62" t="s">
        <v>5193</v>
      </c>
      <c r="I1618" s="60" t="s">
        <v>231</v>
      </c>
    </row>
    <row r="1619" spans="1:9" s="79" customFormat="1" x14ac:dyDescent="0.25">
      <c r="A1619" s="57"/>
      <c r="B1619" s="63" t="s">
        <v>1446</v>
      </c>
      <c r="C1619" s="64" t="s">
        <v>5194</v>
      </c>
      <c r="D1619" s="65">
        <v>1</v>
      </c>
      <c r="E1619" s="66">
        <v>71.010000000009313</v>
      </c>
      <c r="F1619" s="66">
        <v>0.7101000000000931</v>
      </c>
      <c r="G1619" s="65">
        <v>1.2781800000001677</v>
      </c>
      <c r="H1619" s="67" t="s">
        <v>5195</v>
      </c>
      <c r="I1619" s="65" t="s">
        <v>231</v>
      </c>
    </row>
    <row r="1620" spans="1:9" x14ac:dyDescent="0.25">
      <c r="A1620" s="57"/>
      <c r="B1620" s="58" t="s">
        <v>1450</v>
      </c>
      <c r="C1620" s="59" t="s">
        <v>5196</v>
      </c>
      <c r="D1620" s="60">
        <v>1</v>
      </c>
      <c r="E1620" s="61">
        <v>83.239999999990687</v>
      </c>
      <c r="F1620" s="61">
        <v>0.83239999999990688</v>
      </c>
      <c r="G1620" s="60">
        <v>1.4983199999998325</v>
      </c>
      <c r="H1620" s="62" t="s">
        <v>5197</v>
      </c>
      <c r="I1620" s="60" t="s">
        <v>231</v>
      </c>
    </row>
    <row r="1621" spans="1:9" x14ac:dyDescent="0.25">
      <c r="A1621" s="57"/>
      <c r="B1621" s="63" t="s">
        <v>1449</v>
      </c>
      <c r="C1621" s="64" t="s">
        <v>5198</v>
      </c>
      <c r="D1621" s="65">
        <v>0</v>
      </c>
      <c r="E1621" s="66">
        <v>83.239999999990687</v>
      </c>
      <c r="F1621" s="66">
        <v>0.83239999999990688</v>
      </c>
      <c r="G1621" s="65">
        <v>1.4983199999998325</v>
      </c>
      <c r="H1621" s="67" t="s">
        <v>5199</v>
      </c>
      <c r="I1621" s="65" t="s">
        <v>231</v>
      </c>
    </row>
    <row r="1622" spans="1:9" x14ac:dyDescent="0.25">
      <c r="A1622" s="57"/>
      <c r="B1622" s="58" t="s">
        <v>1452</v>
      </c>
      <c r="C1622" s="59" t="s">
        <v>5200</v>
      </c>
      <c r="D1622" s="60">
        <v>0</v>
      </c>
      <c r="E1622" s="61">
        <v>83.239999999990687</v>
      </c>
      <c r="F1622" s="61">
        <v>0.83239999999990688</v>
      </c>
      <c r="G1622" s="60">
        <v>1.4983199999998325</v>
      </c>
      <c r="H1622" s="62" t="s">
        <v>5201</v>
      </c>
      <c r="I1622" s="60" t="s">
        <v>231</v>
      </c>
    </row>
    <row r="1623" spans="1:9" x14ac:dyDescent="0.25">
      <c r="A1623" s="57"/>
      <c r="B1623" s="63" t="s">
        <v>1448</v>
      </c>
      <c r="C1623" s="64" t="s">
        <v>5202</v>
      </c>
      <c r="D1623" s="65">
        <v>0</v>
      </c>
      <c r="E1623" s="66">
        <v>83.239999999990687</v>
      </c>
      <c r="F1623" s="66">
        <v>0.83239999999990688</v>
      </c>
      <c r="G1623" s="65">
        <v>1.4983199999998325</v>
      </c>
      <c r="H1623" s="67" t="s">
        <v>5203</v>
      </c>
      <c r="I1623" s="65" t="s">
        <v>231</v>
      </c>
    </row>
    <row r="1624" spans="1:9" x14ac:dyDescent="0.25">
      <c r="A1624" s="57"/>
      <c r="B1624" s="58" t="s">
        <v>1451</v>
      </c>
      <c r="C1624" s="59" t="s">
        <v>5204</v>
      </c>
      <c r="D1624" s="60">
        <v>1</v>
      </c>
      <c r="E1624" s="61">
        <v>83.239999999990687</v>
      </c>
      <c r="F1624" s="61">
        <v>0.83239999999990688</v>
      </c>
      <c r="G1624" s="60">
        <v>1.4983199999998325</v>
      </c>
      <c r="H1624" s="62" t="s">
        <v>5205</v>
      </c>
      <c r="I1624" s="60" t="s">
        <v>231</v>
      </c>
    </row>
    <row r="1625" spans="1:9" s="79" customFormat="1" x14ac:dyDescent="0.25">
      <c r="A1625" s="57"/>
      <c r="B1625" s="63" t="s">
        <v>1453</v>
      </c>
      <c r="C1625" s="64" t="s">
        <v>5206</v>
      </c>
      <c r="D1625" s="65">
        <v>0</v>
      </c>
      <c r="E1625" s="66">
        <v>105.42000000004191</v>
      </c>
      <c r="F1625" s="66">
        <v>1.054200000000419</v>
      </c>
      <c r="G1625" s="65">
        <v>1.8975600000007544</v>
      </c>
      <c r="H1625" s="67" t="s">
        <v>5207</v>
      </c>
      <c r="I1625" s="65" t="s">
        <v>231</v>
      </c>
    </row>
    <row r="1626" spans="1:9" x14ac:dyDescent="0.25">
      <c r="A1626" s="57"/>
      <c r="B1626" s="58" t="s">
        <v>1454</v>
      </c>
      <c r="C1626" s="59" t="s">
        <v>5208</v>
      </c>
      <c r="D1626" s="60">
        <v>0</v>
      </c>
      <c r="E1626" s="61">
        <v>152.44999999995343</v>
      </c>
      <c r="F1626" s="61">
        <v>1.5244999999995343</v>
      </c>
      <c r="G1626" s="60">
        <v>2.744099999999162</v>
      </c>
      <c r="H1626" s="62" t="s">
        <v>5209</v>
      </c>
      <c r="I1626" s="60" t="s">
        <v>5185</v>
      </c>
    </row>
    <row r="1627" spans="1:9" x14ac:dyDescent="0.25">
      <c r="A1627" s="57"/>
      <c r="B1627" s="63" t="s">
        <v>1456</v>
      </c>
      <c r="C1627" s="64" t="s">
        <v>5210</v>
      </c>
      <c r="D1627" s="65">
        <v>1</v>
      </c>
      <c r="E1627" s="66">
        <v>76.229999999981374</v>
      </c>
      <c r="F1627" s="66">
        <v>1.5245999999996274</v>
      </c>
      <c r="G1627" s="65">
        <v>2.7442799999993297</v>
      </c>
      <c r="H1627" s="67" t="s">
        <v>5211</v>
      </c>
      <c r="I1627" s="65" t="s">
        <v>231</v>
      </c>
    </row>
    <row r="1628" spans="1:9" x14ac:dyDescent="0.25">
      <c r="A1628" s="57"/>
      <c r="B1628" s="58" t="s">
        <v>1455</v>
      </c>
      <c r="C1628" s="59" t="s">
        <v>5212</v>
      </c>
      <c r="D1628" s="60">
        <v>1</v>
      </c>
      <c r="E1628" s="61">
        <v>152.44999999995343</v>
      </c>
      <c r="F1628" s="61">
        <v>1.5244999999995343</v>
      </c>
      <c r="G1628" s="60">
        <v>2.744099999999162</v>
      </c>
      <c r="H1628" s="62" t="s">
        <v>5213</v>
      </c>
      <c r="I1628" s="60" t="s">
        <v>231</v>
      </c>
    </row>
    <row r="1629" spans="1:9" s="79" customFormat="1" x14ac:dyDescent="0.25">
      <c r="A1629" s="57"/>
      <c r="B1629" s="63" t="s">
        <v>1457</v>
      </c>
      <c r="C1629" s="64" t="s">
        <v>5214</v>
      </c>
      <c r="D1629" s="65">
        <v>0</v>
      </c>
      <c r="E1629" s="66">
        <v>102.17000000004191</v>
      </c>
      <c r="F1629" s="66">
        <v>2.0434000000008381</v>
      </c>
      <c r="G1629" s="65">
        <v>3.6781200000015088</v>
      </c>
      <c r="H1629" s="67" t="s">
        <v>5215</v>
      </c>
      <c r="I1629" s="65" t="s">
        <v>231</v>
      </c>
    </row>
    <row r="1630" spans="1:9" x14ac:dyDescent="0.25">
      <c r="A1630" s="57"/>
      <c r="B1630" s="58" t="s">
        <v>1459</v>
      </c>
      <c r="C1630" s="59" t="s">
        <v>5216</v>
      </c>
      <c r="D1630" s="65">
        <v>1</v>
      </c>
      <c r="E1630" s="61" t="s">
        <v>1460</v>
      </c>
      <c r="F1630" s="61" t="e">
        <v>#VALUE!</v>
      </c>
      <c r="G1630" s="61" t="e">
        <v>#VALUE!</v>
      </c>
      <c r="H1630" s="67"/>
      <c r="I1630" s="65" t="s">
        <v>231</v>
      </c>
    </row>
    <row r="1631" spans="1:9" s="79" customFormat="1" x14ac:dyDescent="0.25">
      <c r="A1631" s="57"/>
      <c r="B1631" s="63" t="s">
        <v>1461</v>
      </c>
      <c r="C1631" s="64" t="s">
        <v>5217</v>
      </c>
      <c r="D1631" s="65">
        <v>0</v>
      </c>
      <c r="E1631" s="66">
        <v>84.260000000009313</v>
      </c>
      <c r="F1631" s="66">
        <v>0.84260000000009316</v>
      </c>
      <c r="G1631" s="65">
        <v>1.5166800000001677</v>
      </c>
      <c r="H1631" s="67" t="s">
        <v>5218</v>
      </c>
      <c r="I1631" s="65" t="s">
        <v>231</v>
      </c>
    </row>
    <row r="1632" spans="1:9" x14ac:dyDescent="0.25">
      <c r="A1632" s="57"/>
      <c r="B1632" s="58" t="s">
        <v>1462</v>
      </c>
      <c r="C1632" s="59" t="s">
        <v>5219</v>
      </c>
      <c r="D1632" s="60">
        <v>0</v>
      </c>
      <c r="E1632" s="61">
        <v>131.65999999991618</v>
      </c>
      <c r="F1632" s="61">
        <v>1.3165999999991618</v>
      </c>
      <c r="G1632" s="60">
        <v>2.3698799999984912</v>
      </c>
      <c r="H1632" s="62" t="s">
        <v>5220</v>
      </c>
      <c r="I1632" s="60" t="s">
        <v>231</v>
      </c>
    </row>
    <row r="1633" spans="1:9" s="79" customFormat="1" x14ac:dyDescent="0.25">
      <c r="A1633" s="57"/>
      <c r="B1633" s="63" t="s">
        <v>1463</v>
      </c>
      <c r="C1633" s="64" t="s">
        <v>5221</v>
      </c>
      <c r="D1633" s="65">
        <v>0</v>
      </c>
      <c r="E1633" s="66">
        <v>189.58000000007451</v>
      </c>
      <c r="F1633" s="66">
        <v>1.8958000000007451</v>
      </c>
      <c r="G1633" s="65">
        <v>3.4124400000013413</v>
      </c>
      <c r="H1633" s="67" t="s">
        <v>5222</v>
      </c>
      <c r="I1633" s="65" t="s">
        <v>231</v>
      </c>
    </row>
    <row r="1634" spans="1:9" x14ac:dyDescent="0.25">
      <c r="A1634" s="57"/>
      <c r="B1634" s="58" t="s">
        <v>1464</v>
      </c>
      <c r="C1634" s="59" t="s">
        <v>5223</v>
      </c>
      <c r="D1634" s="60">
        <v>0</v>
      </c>
      <c r="E1634" s="61">
        <v>337.02000000001863</v>
      </c>
      <c r="F1634" s="61">
        <v>3.3702000000001862</v>
      </c>
      <c r="G1634" s="60">
        <v>6.0663600000003353</v>
      </c>
      <c r="H1634" s="62"/>
      <c r="I1634" s="60" t="s">
        <v>231</v>
      </c>
    </row>
    <row r="1635" spans="1:9" s="79" customFormat="1" x14ac:dyDescent="0.25">
      <c r="A1635" s="57"/>
      <c r="B1635" s="63" t="s">
        <v>1465</v>
      </c>
      <c r="C1635" s="64" t="s">
        <v>5224</v>
      </c>
      <c r="D1635" s="65">
        <v>0</v>
      </c>
      <c r="E1635" s="66">
        <v>253.44999999995343</v>
      </c>
      <c r="F1635" s="66">
        <v>2.5344999999995341</v>
      </c>
      <c r="G1635" s="65">
        <v>4.5620999999991616</v>
      </c>
      <c r="H1635" s="67"/>
      <c r="I1635" s="65" t="s">
        <v>231</v>
      </c>
    </row>
    <row r="1636" spans="1:9" s="79" customFormat="1" x14ac:dyDescent="0.25">
      <c r="A1636" s="57"/>
      <c r="B1636" s="58" t="s">
        <v>1422</v>
      </c>
      <c r="C1636" s="59" t="s">
        <v>5225</v>
      </c>
      <c r="D1636" s="60">
        <v>0</v>
      </c>
      <c r="E1636" s="61">
        <v>76.349999999976717</v>
      </c>
      <c r="F1636" s="61">
        <v>76.349999999976717</v>
      </c>
      <c r="G1636" s="60">
        <v>137.42999999995808</v>
      </c>
      <c r="H1636" s="62" t="s">
        <v>5226</v>
      </c>
      <c r="I1636" s="60" t="s">
        <v>231</v>
      </c>
    </row>
    <row r="1637" spans="1:9" x14ac:dyDescent="0.25">
      <c r="A1637" s="57"/>
      <c r="B1637" s="63" t="s">
        <v>1423</v>
      </c>
      <c r="C1637" s="64" t="s">
        <v>5227</v>
      </c>
      <c r="D1637" s="65">
        <v>0</v>
      </c>
      <c r="E1637" s="66">
        <v>76.349999999976717</v>
      </c>
      <c r="F1637" s="66">
        <v>76.349999999976717</v>
      </c>
      <c r="G1637" s="65">
        <v>137.42999999995808</v>
      </c>
      <c r="H1637" s="67" t="s">
        <v>5228</v>
      </c>
      <c r="I1637" s="65" t="s">
        <v>231</v>
      </c>
    </row>
    <row r="1638" spans="1:9" x14ac:dyDescent="0.25">
      <c r="A1638" s="57"/>
      <c r="B1638" s="58" t="s">
        <v>1429</v>
      </c>
      <c r="C1638" s="59" t="s">
        <v>5229</v>
      </c>
      <c r="D1638" s="60">
        <v>0</v>
      </c>
      <c r="E1638" s="61">
        <v>101.29000000003725</v>
      </c>
      <c r="F1638" s="61">
        <v>101.29000000003725</v>
      </c>
      <c r="G1638" s="60">
        <v>182.32200000006705</v>
      </c>
      <c r="H1638" s="62" t="s">
        <v>5230</v>
      </c>
      <c r="I1638" s="60" t="s">
        <v>231</v>
      </c>
    </row>
    <row r="1639" spans="1:9" x14ac:dyDescent="0.25">
      <c r="A1639" s="57"/>
      <c r="B1639" s="63" t="s">
        <v>1426</v>
      </c>
      <c r="C1639" s="64" t="s">
        <v>5231</v>
      </c>
      <c r="D1639" s="65">
        <v>0</v>
      </c>
      <c r="E1639" s="66">
        <v>101.29000000003725</v>
      </c>
      <c r="F1639" s="66">
        <v>101.29000000003725</v>
      </c>
      <c r="G1639" s="65">
        <v>182.32200000006705</v>
      </c>
      <c r="H1639" s="67" t="s">
        <v>5232</v>
      </c>
      <c r="I1639" s="65" t="s">
        <v>231</v>
      </c>
    </row>
    <row r="1640" spans="1:9" x14ac:dyDescent="0.25">
      <c r="A1640" s="57"/>
      <c r="B1640" s="58" t="s">
        <v>1428</v>
      </c>
      <c r="C1640" s="59" t="s">
        <v>5233</v>
      </c>
      <c r="D1640" s="60">
        <v>0</v>
      </c>
      <c r="E1640" s="61">
        <v>101.29000000003725</v>
      </c>
      <c r="F1640" s="61">
        <v>101.29000000003725</v>
      </c>
      <c r="G1640" s="60">
        <v>182.32200000006705</v>
      </c>
      <c r="H1640" s="62" t="s">
        <v>5234</v>
      </c>
      <c r="I1640" s="60" t="s">
        <v>231</v>
      </c>
    </row>
    <row r="1641" spans="1:9" x14ac:dyDescent="0.25">
      <c r="A1641" s="57"/>
      <c r="B1641" s="63" t="s">
        <v>1427</v>
      </c>
      <c r="C1641" s="64" t="s">
        <v>5235</v>
      </c>
      <c r="D1641" s="65">
        <v>0</v>
      </c>
      <c r="E1641" s="66">
        <v>101.29000000003725</v>
      </c>
      <c r="F1641" s="66">
        <v>101.29000000003725</v>
      </c>
      <c r="G1641" s="65">
        <v>182.32200000006705</v>
      </c>
      <c r="H1641" s="67" t="s">
        <v>5236</v>
      </c>
      <c r="I1641" s="65" t="s">
        <v>231</v>
      </c>
    </row>
    <row r="1642" spans="1:9" x14ac:dyDescent="0.25">
      <c r="A1642" s="57"/>
      <c r="B1642" s="58" t="s">
        <v>1430</v>
      </c>
      <c r="C1642" s="59" t="s">
        <v>5237</v>
      </c>
      <c r="D1642" s="60">
        <v>0</v>
      </c>
      <c r="E1642" s="61">
        <v>101.29000000003725</v>
      </c>
      <c r="F1642" s="61">
        <v>101.29000000003725</v>
      </c>
      <c r="G1642" s="60">
        <v>182.32200000006705</v>
      </c>
      <c r="H1642" s="62" t="s">
        <v>5238</v>
      </c>
      <c r="I1642" s="60" t="s">
        <v>231</v>
      </c>
    </row>
    <row r="1643" spans="1:9" x14ac:dyDescent="0.25">
      <c r="A1643" s="57"/>
      <c r="B1643" s="63" t="s">
        <v>1425</v>
      </c>
      <c r="C1643" s="64" t="s">
        <v>5239</v>
      </c>
      <c r="D1643" s="65">
        <v>0</v>
      </c>
      <c r="E1643" s="66">
        <v>101.29000000003725</v>
      </c>
      <c r="F1643" s="66">
        <v>101.29000000003725</v>
      </c>
      <c r="G1643" s="65">
        <v>182.32200000006705</v>
      </c>
      <c r="H1643" s="67" t="s">
        <v>5240</v>
      </c>
      <c r="I1643" s="65" t="s">
        <v>231</v>
      </c>
    </row>
    <row r="1644" spans="1:9" s="79" customFormat="1" x14ac:dyDescent="0.25">
      <c r="A1644" s="57"/>
      <c r="B1644" s="58" t="s">
        <v>1424</v>
      </c>
      <c r="C1644" s="59" t="s">
        <v>5241</v>
      </c>
      <c r="D1644" s="60">
        <v>0</v>
      </c>
      <c r="E1644" s="61">
        <v>76.349999999976717</v>
      </c>
      <c r="F1644" s="61">
        <v>76.349999999976717</v>
      </c>
      <c r="G1644" s="60">
        <v>137.42999999995808</v>
      </c>
      <c r="H1644" s="62" t="s">
        <v>5242</v>
      </c>
      <c r="I1644" s="60" t="s">
        <v>231</v>
      </c>
    </row>
    <row r="1645" spans="1:9" x14ac:dyDescent="0.25">
      <c r="A1645" s="57"/>
      <c r="B1645" s="63" t="s">
        <v>5243</v>
      </c>
      <c r="C1645" s="64" t="s">
        <v>5244</v>
      </c>
      <c r="D1645" s="65">
        <v>0</v>
      </c>
      <c r="E1645" s="66">
        <v>76.349999999976717</v>
      </c>
      <c r="F1645" s="66">
        <v>76.349999999976717</v>
      </c>
      <c r="G1645" s="65">
        <v>137.42999999995808</v>
      </c>
      <c r="H1645" s="67" t="s">
        <v>5245</v>
      </c>
      <c r="I1645" s="65" t="s">
        <v>231</v>
      </c>
    </row>
    <row r="1646" spans="1:9" s="79" customFormat="1" x14ac:dyDescent="0.25">
      <c r="A1646" s="57"/>
      <c r="B1646" s="58" t="s">
        <v>1408</v>
      </c>
      <c r="C1646" s="59" t="s">
        <v>5246</v>
      </c>
      <c r="D1646" s="60">
        <v>0.12000000000000455</v>
      </c>
      <c r="E1646" s="61">
        <v>37.39000000001397</v>
      </c>
      <c r="F1646" s="61">
        <v>3.1158333333344976</v>
      </c>
      <c r="G1646" s="60">
        <v>5.6085000000020955</v>
      </c>
      <c r="H1646" s="62" t="s">
        <v>5247</v>
      </c>
      <c r="I1646" s="60" t="s">
        <v>231</v>
      </c>
    </row>
    <row r="1647" spans="1:9" x14ac:dyDescent="0.25">
      <c r="A1647" s="57"/>
      <c r="B1647" s="63" t="s">
        <v>1417</v>
      </c>
      <c r="C1647" s="64" t="s">
        <v>5248</v>
      </c>
      <c r="D1647" s="65">
        <v>0.57999999999992724</v>
      </c>
      <c r="E1647" s="66">
        <v>43.400000000023283</v>
      </c>
      <c r="F1647" s="66">
        <v>3.6166666666686069</v>
      </c>
      <c r="G1647" s="65">
        <v>6.510000000003493</v>
      </c>
      <c r="H1647" s="67" t="s">
        <v>5249</v>
      </c>
      <c r="I1647" s="65" t="s">
        <v>231</v>
      </c>
    </row>
    <row r="1648" spans="1:9" x14ac:dyDescent="0.25">
      <c r="A1648" s="57"/>
      <c r="B1648" s="58" t="s">
        <v>1414</v>
      </c>
      <c r="C1648" s="59" t="s">
        <v>5250</v>
      </c>
      <c r="D1648" s="60">
        <v>0.57999999999992724</v>
      </c>
      <c r="E1648" s="61">
        <v>43.400000000023283</v>
      </c>
      <c r="F1648" s="61">
        <v>3.6166666666686069</v>
      </c>
      <c r="G1648" s="60">
        <v>6.510000000003493</v>
      </c>
      <c r="H1648" s="62" t="s">
        <v>5251</v>
      </c>
      <c r="I1648" s="60" t="s">
        <v>231</v>
      </c>
    </row>
    <row r="1649" spans="1:9" x14ac:dyDescent="0.25">
      <c r="A1649" s="57"/>
      <c r="B1649" s="63" t="s">
        <v>1416</v>
      </c>
      <c r="C1649" s="64" t="s">
        <v>5252</v>
      </c>
      <c r="D1649" s="65">
        <v>0.57999999999992724</v>
      </c>
      <c r="E1649" s="66">
        <v>43.400000000023283</v>
      </c>
      <c r="F1649" s="66">
        <v>3.6166666666686069</v>
      </c>
      <c r="G1649" s="65">
        <v>6.510000000003493</v>
      </c>
      <c r="H1649" s="67" t="s">
        <v>5253</v>
      </c>
      <c r="I1649" s="65" t="s">
        <v>231</v>
      </c>
    </row>
    <row r="1650" spans="1:9" x14ac:dyDescent="0.25">
      <c r="A1650" s="57"/>
      <c r="B1650" s="58" t="s">
        <v>1415</v>
      </c>
      <c r="C1650" s="59" t="s">
        <v>5254</v>
      </c>
      <c r="D1650" s="60">
        <v>0.57999999999992724</v>
      </c>
      <c r="E1650" s="61">
        <v>43.400000000023283</v>
      </c>
      <c r="F1650" s="61">
        <v>3.6166666666686069</v>
      </c>
      <c r="G1650" s="60">
        <v>6.510000000003493</v>
      </c>
      <c r="H1650" s="62" t="s">
        <v>5255</v>
      </c>
      <c r="I1650" s="60" t="s">
        <v>231</v>
      </c>
    </row>
    <row r="1651" spans="1:9" x14ac:dyDescent="0.25">
      <c r="A1651" s="57"/>
      <c r="B1651" s="63" t="s">
        <v>1419</v>
      </c>
      <c r="C1651" s="64" t="s">
        <v>5256</v>
      </c>
      <c r="D1651" s="65">
        <v>0.57999999999992724</v>
      </c>
      <c r="E1651" s="66">
        <v>43.400000000023283</v>
      </c>
      <c r="F1651" s="66">
        <v>3.6166666666686069</v>
      </c>
      <c r="G1651" s="65">
        <v>6.510000000003493</v>
      </c>
      <c r="H1651" s="67" t="s">
        <v>5257</v>
      </c>
      <c r="I1651" s="65" t="s">
        <v>231</v>
      </c>
    </row>
    <row r="1652" spans="1:9" x14ac:dyDescent="0.25">
      <c r="A1652" s="57"/>
      <c r="B1652" s="58" t="s">
        <v>1418</v>
      </c>
      <c r="C1652" s="59" t="s">
        <v>5258</v>
      </c>
      <c r="D1652" s="60">
        <v>0.12000000000000455</v>
      </c>
      <c r="E1652" s="61">
        <v>43.400000000023283</v>
      </c>
      <c r="F1652" s="61">
        <v>3.6166666666686069</v>
      </c>
      <c r="G1652" s="60">
        <v>6.510000000003493</v>
      </c>
      <c r="H1652" s="62" t="s">
        <v>5259</v>
      </c>
      <c r="I1652" s="60" t="s">
        <v>231</v>
      </c>
    </row>
    <row r="1653" spans="1:9" x14ac:dyDescent="0.25">
      <c r="A1653" s="57"/>
      <c r="B1653" s="63" t="s">
        <v>1413</v>
      </c>
      <c r="C1653" s="64" t="s">
        <v>5260</v>
      </c>
      <c r="D1653" s="65">
        <v>0.12000000000000455</v>
      </c>
      <c r="E1653" s="66">
        <v>43.400000000023283</v>
      </c>
      <c r="F1653" s="66">
        <v>3.6166666666686069</v>
      </c>
      <c r="G1653" s="65">
        <v>6.510000000003493</v>
      </c>
      <c r="H1653" s="67" t="s">
        <v>5261</v>
      </c>
      <c r="I1653" s="65" t="s">
        <v>231</v>
      </c>
    </row>
    <row r="1654" spans="1:9" x14ac:dyDescent="0.25">
      <c r="A1654" s="57"/>
      <c r="B1654" s="58" t="s">
        <v>1410</v>
      </c>
      <c r="C1654" s="59" t="s">
        <v>5262</v>
      </c>
      <c r="D1654" s="60">
        <v>0.12000000000000455</v>
      </c>
      <c r="E1654" s="61">
        <v>37.39000000001397</v>
      </c>
      <c r="F1654" s="61">
        <v>3.1158333333344976</v>
      </c>
      <c r="G1654" s="60">
        <v>5.6085000000020955</v>
      </c>
      <c r="H1654" s="62" t="s">
        <v>5263</v>
      </c>
      <c r="I1654" s="60" t="s">
        <v>231</v>
      </c>
    </row>
    <row r="1655" spans="1:9" s="79" customFormat="1" x14ac:dyDescent="0.25">
      <c r="A1655" s="57"/>
      <c r="B1655" s="63" t="s">
        <v>1412</v>
      </c>
      <c r="C1655" s="64" t="s">
        <v>5264</v>
      </c>
      <c r="D1655" s="65">
        <v>0.56000000000040018</v>
      </c>
      <c r="E1655" s="66">
        <v>37.39000000001397</v>
      </c>
      <c r="F1655" s="66">
        <v>3.1158333333344976</v>
      </c>
      <c r="G1655" s="65">
        <v>5.6085000000020955</v>
      </c>
      <c r="H1655" s="67" t="s">
        <v>5265</v>
      </c>
      <c r="I1655" s="65" t="s">
        <v>231</v>
      </c>
    </row>
    <row r="1656" spans="1:9" x14ac:dyDescent="0.25">
      <c r="A1656" s="57"/>
      <c r="B1656" s="58" t="s">
        <v>5266</v>
      </c>
      <c r="C1656" s="59" t="s">
        <v>5267</v>
      </c>
      <c r="D1656" s="60">
        <v>0.56000000000040018</v>
      </c>
      <c r="E1656" s="61">
        <v>0</v>
      </c>
      <c r="F1656" s="61">
        <v>0</v>
      </c>
      <c r="G1656" s="60">
        <v>0</v>
      </c>
      <c r="H1656" s="62" t="s">
        <v>5268</v>
      </c>
      <c r="I1656" s="60" t="s">
        <v>231</v>
      </c>
    </row>
    <row r="1657" spans="1:9" s="79" customFormat="1" x14ac:dyDescent="0.25">
      <c r="A1657" s="57"/>
      <c r="B1657" s="63" t="s">
        <v>1530</v>
      </c>
      <c r="C1657" s="64" t="s">
        <v>5269</v>
      </c>
      <c r="D1657" s="65">
        <v>9.0000000000031832E-2</v>
      </c>
      <c r="E1657" s="66">
        <v>12.490000000005239</v>
      </c>
      <c r="F1657" s="66">
        <v>6.2450000000026193</v>
      </c>
      <c r="G1657" s="65">
        <v>11.241000000004716</v>
      </c>
      <c r="H1657" s="67" t="s">
        <v>5270</v>
      </c>
      <c r="I1657" s="65" t="s">
        <v>231</v>
      </c>
    </row>
    <row r="1658" spans="1:9" x14ac:dyDescent="0.25">
      <c r="A1658" s="57"/>
      <c r="B1658" s="58" t="s">
        <v>1531</v>
      </c>
      <c r="C1658" s="59" t="s">
        <v>5271</v>
      </c>
      <c r="D1658" s="60">
        <v>9.0000000000031832E-2</v>
      </c>
      <c r="E1658" s="61">
        <v>14.339999999996508</v>
      </c>
      <c r="F1658" s="61">
        <v>7.1699999999982538</v>
      </c>
      <c r="G1658" s="60">
        <v>12.905999999996856</v>
      </c>
      <c r="H1658" s="62" t="s">
        <v>5272</v>
      </c>
      <c r="I1658" s="60" t="s">
        <v>231</v>
      </c>
    </row>
    <row r="1659" spans="1:9" s="79" customFormat="1" x14ac:dyDescent="0.25">
      <c r="A1659" s="57"/>
      <c r="B1659" s="63" t="s">
        <v>1532</v>
      </c>
      <c r="C1659" s="64" t="s">
        <v>5273</v>
      </c>
      <c r="D1659" s="65">
        <v>9.0000000000031832E-2</v>
      </c>
      <c r="E1659" s="66">
        <v>17.279999999998836</v>
      </c>
      <c r="F1659" s="66">
        <v>8.6399999999994179</v>
      </c>
      <c r="G1659" s="65">
        <v>15.551999999998953</v>
      </c>
      <c r="H1659" s="67" t="s">
        <v>5274</v>
      </c>
      <c r="I1659" s="65" t="s">
        <v>231</v>
      </c>
    </row>
    <row r="1660" spans="1:9" x14ac:dyDescent="0.25">
      <c r="A1660" s="57"/>
      <c r="B1660" s="58" t="s">
        <v>1533</v>
      </c>
      <c r="C1660" s="59" t="s">
        <v>5275</v>
      </c>
      <c r="D1660" s="60">
        <v>9.0000000000031832E-2</v>
      </c>
      <c r="E1660" s="61">
        <v>20.279999999998836</v>
      </c>
      <c r="F1660" s="61">
        <v>10.139999999999418</v>
      </c>
      <c r="G1660" s="60">
        <v>18.251999999998954</v>
      </c>
      <c r="H1660" s="62" t="s">
        <v>5276</v>
      </c>
      <c r="I1660" s="60" t="s">
        <v>231</v>
      </c>
    </row>
    <row r="1661" spans="1:9" s="79" customFormat="1" x14ac:dyDescent="0.25">
      <c r="A1661" s="57"/>
      <c r="B1661" s="63" t="s">
        <v>1534</v>
      </c>
      <c r="C1661" s="64" t="s">
        <v>5277</v>
      </c>
      <c r="D1661" s="65">
        <v>9.0000000000031832E-2</v>
      </c>
      <c r="E1661" s="66">
        <v>26.790000000008149</v>
      </c>
      <c r="F1661" s="66">
        <v>13.395000000004075</v>
      </c>
      <c r="G1661" s="65">
        <v>24.111000000007333</v>
      </c>
      <c r="H1661" s="67" t="s">
        <v>5278</v>
      </c>
      <c r="I1661" s="65" t="s">
        <v>231</v>
      </c>
    </row>
    <row r="1662" spans="1:9" x14ac:dyDescent="0.25">
      <c r="A1662" s="57"/>
      <c r="B1662" s="58" t="s">
        <v>1535</v>
      </c>
      <c r="C1662" s="59" t="s">
        <v>5279</v>
      </c>
      <c r="D1662" s="60">
        <v>9.0000000000031832E-2</v>
      </c>
      <c r="E1662" s="61">
        <v>40.090000000025611</v>
      </c>
      <c r="F1662" s="61">
        <v>20.045000000012806</v>
      </c>
      <c r="G1662" s="60">
        <v>36.081000000023053</v>
      </c>
      <c r="H1662" s="62" t="s">
        <v>5280</v>
      </c>
      <c r="I1662" s="60" t="s">
        <v>231</v>
      </c>
    </row>
    <row r="1663" spans="1:9" s="79" customFormat="1" x14ac:dyDescent="0.25">
      <c r="A1663" s="57"/>
      <c r="B1663" s="63" t="s">
        <v>1585</v>
      </c>
      <c r="C1663" s="64" t="s">
        <v>5281</v>
      </c>
      <c r="D1663" s="65">
        <v>7.0000000000050022E-2</v>
      </c>
      <c r="E1663" s="66">
        <v>7.3300000000017462</v>
      </c>
      <c r="F1663" s="66">
        <v>7.3300000000017462</v>
      </c>
      <c r="G1663" s="65">
        <v>13.194000000003143</v>
      </c>
      <c r="H1663" s="67" t="s">
        <v>5282</v>
      </c>
      <c r="I1663" s="65" t="s">
        <v>231</v>
      </c>
    </row>
    <row r="1664" spans="1:9" x14ac:dyDescent="0.25">
      <c r="A1664" s="57"/>
      <c r="B1664" s="58" t="s">
        <v>1587</v>
      </c>
      <c r="C1664" s="59" t="s">
        <v>5283</v>
      </c>
      <c r="D1664" s="60">
        <v>9.0000000000031832E-2</v>
      </c>
      <c r="E1664" s="61">
        <v>8.1799999999930151</v>
      </c>
      <c r="F1664" s="61">
        <v>8.1799999999930151</v>
      </c>
      <c r="G1664" s="60">
        <v>14.723999999987427</v>
      </c>
      <c r="H1664" s="62" t="s">
        <v>5284</v>
      </c>
      <c r="I1664" s="60" t="s">
        <v>231</v>
      </c>
    </row>
    <row r="1665" spans="1:9" s="79" customFormat="1" x14ac:dyDescent="0.25">
      <c r="A1665" s="57"/>
      <c r="B1665" s="63" t="s">
        <v>1589</v>
      </c>
      <c r="C1665" s="64" t="s">
        <v>5285</v>
      </c>
      <c r="D1665" s="65">
        <v>0.10000000000002274</v>
      </c>
      <c r="E1665" s="66">
        <v>10.160000000003492</v>
      </c>
      <c r="F1665" s="66">
        <v>10.160000000003492</v>
      </c>
      <c r="G1665" s="65">
        <v>18.288000000006289</v>
      </c>
      <c r="H1665" s="67" t="s">
        <v>5286</v>
      </c>
      <c r="I1665" s="65" t="s">
        <v>231</v>
      </c>
    </row>
    <row r="1666" spans="1:9" x14ac:dyDescent="0.25">
      <c r="A1666" s="57"/>
      <c r="B1666" s="58" t="s">
        <v>1591</v>
      </c>
      <c r="C1666" s="59" t="s">
        <v>5287</v>
      </c>
      <c r="D1666" s="60">
        <v>0</v>
      </c>
      <c r="E1666" s="61">
        <v>11.539999999993597</v>
      </c>
      <c r="F1666" s="61">
        <v>11.539999999993597</v>
      </c>
      <c r="G1666" s="60">
        <v>20.771999999988477</v>
      </c>
      <c r="H1666" s="62" t="s">
        <v>5288</v>
      </c>
      <c r="I1666" s="60" t="s">
        <v>231</v>
      </c>
    </row>
    <row r="1667" spans="1:9" s="79" customFormat="1" x14ac:dyDescent="0.25">
      <c r="A1667" s="57"/>
      <c r="B1667" s="63" t="s">
        <v>1558</v>
      </c>
      <c r="C1667" s="64" t="s">
        <v>1557</v>
      </c>
      <c r="D1667" s="65">
        <v>0.25</v>
      </c>
      <c r="E1667" s="66">
        <v>10.710000000006403</v>
      </c>
      <c r="F1667" s="66">
        <v>10.710000000006403</v>
      </c>
      <c r="G1667" s="65">
        <v>19.278000000011527</v>
      </c>
      <c r="H1667" s="67" t="s">
        <v>5289</v>
      </c>
      <c r="I1667" s="65" t="s">
        <v>231</v>
      </c>
    </row>
    <row r="1668" spans="1:9" x14ac:dyDescent="0.25">
      <c r="A1668" s="57"/>
      <c r="B1668" s="58" t="s">
        <v>1560</v>
      </c>
      <c r="C1668" s="59" t="s">
        <v>1559</v>
      </c>
      <c r="D1668" s="60">
        <v>0.25</v>
      </c>
      <c r="E1668" s="61">
        <v>11.559999999997672</v>
      </c>
      <c r="F1668" s="61">
        <v>11.559999999997672</v>
      </c>
      <c r="G1668" s="60">
        <v>20.807999999995811</v>
      </c>
      <c r="H1668" s="62" t="s">
        <v>5290</v>
      </c>
      <c r="I1668" s="60" t="s">
        <v>231</v>
      </c>
    </row>
    <row r="1669" spans="1:9" s="79" customFormat="1" x14ac:dyDescent="0.25">
      <c r="A1669" s="57"/>
      <c r="B1669" s="63" t="s">
        <v>1564</v>
      </c>
      <c r="C1669" s="64" t="s">
        <v>5291</v>
      </c>
      <c r="D1669" s="65">
        <v>4.5500000000029104</v>
      </c>
      <c r="E1669" s="66">
        <v>13.520000000004075</v>
      </c>
      <c r="F1669" s="66">
        <v>13.520000000004075</v>
      </c>
      <c r="G1669" s="65">
        <v>24.336000000007335</v>
      </c>
      <c r="H1669" s="67" t="s">
        <v>5292</v>
      </c>
      <c r="I1669" s="65" t="s">
        <v>231</v>
      </c>
    </row>
    <row r="1670" spans="1:9" x14ac:dyDescent="0.25">
      <c r="A1670" s="57"/>
      <c r="B1670" s="58" t="s">
        <v>5293</v>
      </c>
      <c r="C1670" s="59" t="s">
        <v>5294</v>
      </c>
      <c r="D1670" s="60">
        <v>8.0000000000040927E-2</v>
      </c>
      <c r="E1670" s="61">
        <v>55.309999999997672</v>
      </c>
      <c r="F1670" s="61">
        <v>55.309999999997672</v>
      </c>
      <c r="G1670" s="60">
        <v>99.557999999995815</v>
      </c>
      <c r="H1670" s="62" t="s">
        <v>5295</v>
      </c>
      <c r="I1670" s="60" t="s">
        <v>231</v>
      </c>
    </row>
    <row r="1671" spans="1:9" s="79" customFormat="1" x14ac:dyDescent="0.25">
      <c r="A1671" s="57"/>
      <c r="B1671" s="63" t="s">
        <v>1593</v>
      </c>
      <c r="C1671" s="64" t="s">
        <v>5296</v>
      </c>
      <c r="D1671" s="65">
        <v>2.0000000000010232E-2</v>
      </c>
      <c r="E1671" s="66">
        <v>5.4499999999970896</v>
      </c>
      <c r="F1671" s="66">
        <v>5.4499999999970896</v>
      </c>
      <c r="G1671" s="65">
        <v>9.809999999994762</v>
      </c>
      <c r="H1671" s="67" t="s">
        <v>5297</v>
      </c>
      <c r="I1671" s="65" t="s">
        <v>231</v>
      </c>
    </row>
    <row r="1672" spans="1:9" x14ac:dyDescent="0.25">
      <c r="A1672" s="57"/>
      <c r="B1672" s="58" t="s">
        <v>1595</v>
      </c>
      <c r="C1672" s="59" t="s">
        <v>5298</v>
      </c>
      <c r="D1672" s="60">
        <v>3.0000000000001137E-2</v>
      </c>
      <c r="E1672" s="61">
        <v>6.9100000000034925</v>
      </c>
      <c r="F1672" s="61">
        <v>6.9100000000034925</v>
      </c>
      <c r="G1672" s="60">
        <v>12.438000000006287</v>
      </c>
      <c r="H1672" s="62" t="s">
        <v>5299</v>
      </c>
      <c r="I1672" s="60" t="s">
        <v>231</v>
      </c>
    </row>
    <row r="1673" spans="1:9" s="79" customFormat="1" x14ac:dyDescent="0.25">
      <c r="A1673" s="57"/>
      <c r="B1673" s="63" t="s">
        <v>1581</v>
      </c>
      <c r="C1673" s="64" t="s">
        <v>5300</v>
      </c>
      <c r="D1673" s="65">
        <v>4.8999999999992383E-3</v>
      </c>
      <c r="E1673" s="66">
        <v>5.9400000000023283</v>
      </c>
      <c r="F1673" s="66">
        <v>5.9400000000023283</v>
      </c>
      <c r="G1673" s="65">
        <v>10.692000000004191</v>
      </c>
      <c r="H1673" s="67" t="s">
        <v>5301</v>
      </c>
      <c r="I1673" s="65" t="s">
        <v>231</v>
      </c>
    </row>
    <row r="1674" spans="1:9" x14ac:dyDescent="0.25">
      <c r="A1674" s="57"/>
      <c r="B1674" s="58" t="s">
        <v>1583</v>
      </c>
      <c r="C1674" s="59" t="s">
        <v>5302</v>
      </c>
      <c r="D1674" s="60">
        <v>0.15799999999990177</v>
      </c>
      <c r="E1674" s="61">
        <v>10.899999999994179</v>
      </c>
      <c r="F1674" s="61">
        <v>10.899999999994179</v>
      </c>
      <c r="G1674" s="60">
        <v>19.619999999989524</v>
      </c>
      <c r="H1674" s="62" t="s">
        <v>5303</v>
      </c>
      <c r="I1674" s="60" t="s">
        <v>231</v>
      </c>
    </row>
    <row r="1675" spans="1:9" s="79" customFormat="1" x14ac:dyDescent="0.25">
      <c r="A1675" s="57"/>
      <c r="B1675" s="63" t="s">
        <v>1597</v>
      </c>
      <c r="C1675" s="64" t="s">
        <v>5304</v>
      </c>
      <c r="D1675" s="65">
        <v>1.9000000000005457E-2</v>
      </c>
      <c r="E1675" s="66">
        <v>9.3699999999953434</v>
      </c>
      <c r="F1675" s="66">
        <v>9.3699999999953434</v>
      </c>
      <c r="G1675" s="65">
        <v>16.865999999991619</v>
      </c>
      <c r="H1675" s="67" t="s">
        <v>5305</v>
      </c>
      <c r="I1675" s="65" t="s">
        <v>231</v>
      </c>
    </row>
    <row r="1676" spans="1:9" x14ac:dyDescent="0.25">
      <c r="A1676" s="57"/>
      <c r="B1676" s="58" t="s">
        <v>1599</v>
      </c>
      <c r="C1676" s="59" t="s">
        <v>5306</v>
      </c>
      <c r="D1676" s="60">
        <v>2.2999999999996135E-2</v>
      </c>
      <c r="E1676" s="61">
        <v>6.8000000000029104</v>
      </c>
      <c r="F1676" s="61">
        <v>6.8000000000029104</v>
      </c>
      <c r="G1676" s="60">
        <v>12.240000000005239</v>
      </c>
      <c r="H1676" s="62" t="s">
        <v>5307</v>
      </c>
      <c r="I1676" s="60" t="s">
        <v>231</v>
      </c>
    </row>
    <row r="1677" spans="1:9" s="79" customFormat="1" x14ac:dyDescent="0.25">
      <c r="A1677" s="57"/>
      <c r="B1677" s="63" t="s">
        <v>1601</v>
      </c>
      <c r="C1677" s="64" t="s">
        <v>5308</v>
      </c>
      <c r="D1677" s="65">
        <v>7.0000000000050022E-2</v>
      </c>
      <c r="E1677" s="66">
        <v>10.669999999998254</v>
      </c>
      <c r="F1677" s="66">
        <v>10.669999999998254</v>
      </c>
      <c r="G1677" s="65">
        <v>19.205999999996859</v>
      </c>
      <c r="H1677" s="67" t="s">
        <v>5309</v>
      </c>
      <c r="I1677" s="65" t="s">
        <v>231</v>
      </c>
    </row>
    <row r="1678" spans="1:9" x14ac:dyDescent="0.25">
      <c r="A1678" s="57"/>
      <c r="B1678" s="58" t="s">
        <v>1605</v>
      </c>
      <c r="C1678" s="59" t="s">
        <v>5310</v>
      </c>
      <c r="D1678" s="60">
        <v>0.5</v>
      </c>
      <c r="E1678" s="61">
        <v>70.849999999976717</v>
      </c>
      <c r="F1678" s="61">
        <v>70.849999999976717</v>
      </c>
      <c r="G1678" s="60">
        <v>127.52999999995809</v>
      </c>
      <c r="H1678" s="62" t="s">
        <v>5311</v>
      </c>
      <c r="I1678" s="60" t="s">
        <v>231</v>
      </c>
    </row>
    <row r="1679" spans="1:9" s="79" customFormat="1" x14ac:dyDescent="0.25">
      <c r="A1679" s="57"/>
      <c r="B1679" s="63" t="s">
        <v>5312</v>
      </c>
      <c r="C1679" s="64" t="s">
        <v>5313</v>
      </c>
      <c r="D1679" s="65">
        <v>7.0000000000050022E-2</v>
      </c>
      <c r="E1679" s="66">
        <v>10.289999999993597</v>
      </c>
      <c r="F1679" s="66">
        <v>10.289999999993597</v>
      </c>
      <c r="G1679" s="65">
        <v>18.521999999988477</v>
      </c>
      <c r="H1679" s="67" t="s">
        <v>5314</v>
      </c>
      <c r="I1679" s="65" t="s">
        <v>231</v>
      </c>
    </row>
    <row r="1680" spans="1:9" x14ac:dyDescent="0.25">
      <c r="A1680" s="57"/>
      <c r="B1680" s="58" t="s">
        <v>5315</v>
      </c>
      <c r="C1680" s="59" t="s">
        <v>5316</v>
      </c>
      <c r="D1680" s="60">
        <v>2.2999999999996135E-2</v>
      </c>
      <c r="E1680" s="61">
        <v>8.6600000000034925</v>
      </c>
      <c r="F1680" s="61">
        <v>8.6600000000034925</v>
      </c>
      <c r="G1680" s="60">
        <v>15.588000000006287</v>
      </c>
      <c r="H1680" s="62" t="s">
        <v>5317</v>
      </c>
      <c r="I1680" s="60" t="s">
        <v>231</v>
      </c>
    </row>
    <row r="1681" spans="1:9" s="79" customFormat="1" x14ac:dyDescent="0.25">
      <c r="A1681" s="57"/>
      <c r="B1681" s="63" t="s">
        <v>1572</v>
      </c>
      <c r="C1681" s="64" t="s">
        <v>1571</v>
      </c>
      <c r="D1681" s="65">
        <v>4</v>
      </c>
      <c r="E1681" s="66">
        <v>166.87999999988824</v>
      </c>
      <c r="F1681" s="66">
        <v>1.6687999999988825</v>
      </c>
      <c r="G1681" s="65">
        <v>3.0038399999979886</v>
      </c>
      <c r="H1681" s="67" t="s">
        <v>5318</v>
      </c>
      <c r="I1681" s="65" t="s">
        <v>231</v>
      </c>
    </row>
    <row r="1682" spans="1:9" x14ac:dyDescent="0.25">
      <c r="A1682" s="57"/>
      <c r="B1682" s="58" t="s">
        <v>1562</v>
      </c>
      <c r="C1682" s="59" t="s">
        <v>1561</v>
      </c>
      <c r="D1682" s="60">
        <v>1.1190000000005966</v>
      </c>
      <c r="E1682" s="61">
        <v>88.979999999981374</v>
      </c>
      <c r="F1682" s="61">
        <v>88.979999999981374</v>
      </c>
      <c r="G1682" s="60">
        <v>160.16399999996648</v>
      </c>
      <c r="H1682" s="62" t="s">
        <v>5319</v>
      </c>
      <c r="I1682" s="60" t="s">
        <v>231</v>
      </c>
    </row>
    <row r="1683" spans="1:9" s="79" customFormat="1" x14ac:dyDescent="0.25">
      <c r="A1683" s="57"/>
      <c r="B1683" s="63" t="s">
        <v>1566</v>
      </c>
      <c r="C1683" s="64" t="s">
        <v>5320</v>
      </c>
      <c r="D1683" s="65">
        <v>1</v>
      </c>
      <c r="E1683" s="66">
        <v>131.58000000007451</v>
      </c>
      <c r="F1683" s="66">
        <v>131.58000000007451</v>
      </c>
      <c r="G1683" s="65">
        <v>236.84400000013412</v>
      </c>
      <c r="H1683" s="67" t="s">
        <v>5321</v>
      </c>
      <c r="I1683" s="65" t="s">
        <v>231</v>
      </c>
    </row>
    <row r="1684" spans="1:9" x14ac:dyDescent="0.25">
      <c r="A1684" s="57"/>
      <c r="B1684" s="58" t="s">
        <v>1568</v>
      </c>
      <c r="C1684" s="59" t="s">
        <v>5322</v>
      </c>
      <c r="D1684" s="60">
        <v>1</v>
      </c>
      <c r="E1684" s="61">
        <v>131.58000000007451</v>
      </c>
      <c r="F1684" s="61">
        <v>131.58000000007451</v>
      </c>
      <c r="G1684" s="60">
        <v>236.84400000013412</v>
      </c>
      <c r="H1684" s="62" t="s">
        <v>5323</v>
      </c>
      <c r="I1684" s="60" t="s">
        <v>231</v>
      </c>
    </row>
    <row r="1685" spans="1:9" s="79" customFormat="1" x14ac:dyDescent="0.25">
      <c r="A1685" s="57"/>
      <c r="B1685" s="63" t="s">
        <v>1570</v>
      </c>
      <c r="C1685" s="64" t="s">
        <v>5324</v>
      </c>
      <c r="D1685" s="65">
        <v>1</v>
      </c>
      <c r="E1685" s="66">
        <v>131.58000000007451</v>
      </c>
      <c r="F1685" s="66">
        <v>131.58000000007451</v>
      </c>
      <c r="G1685" s="65">
        <v>236.84400000013412</v>
      </c>
      <c r="H1685" s="67" t="s">
        <v>5325</v>
      </c>
      <c r="I1685" s="65" t="s">
        <v>231</v>
      </c>
    </row>
    <row r="1686" spans="1:9" x14ac:dyDescent="0.25">
      <c r="A1686" s="57"/>
      <c r="B1686" s="58" t="s">
        <v>5326</v>
      </c>
      <c r="C1686" s="59" t="s">
        <v>1604</v>
      </c>
      <c r="D1686" s="60">
        <v>0.5</v>
      </c>
      <c r="E1686" s="61">
        <v>68.119999999995343</v>
      </c>
      <c r="F1686" s="61">
        <v>68.119999999995343</v>
      </c>
      <c r="G1686" s="60">
        <v>122.61599999999162</v>
      </c>
      <c r="H1686" s="62" t="s">
        <v>5327</v>
      </c>
      <c r="I1686" s="60" t="s">
        <v>231</v>
      </c>
    </row>
    <row r="1687" spans="1:9" s="79" customFormat="1" x14ac:dyDescent="0.25">
      <c r="A1687" s="57"/>
      <c r="B1687" s="63" t="s">
        <v>5328</v>
      </c>
      <c r="C1687" s="64" t="s">
        <v>1580</v>
      </c>
      <c r="D1687" s="65">
        <v>4.8999999999992383E-3</v>
      </c>
      <c r="E1687" s="66">
        <v>5.6999999999970896</v>
      </c>
      <c r="F1687" s="66">
        <v>5.6999999999970896</v>
      </c>
      <c r="G1687" s="65">
        <v>10.259999999994761</v>
      </c>
      <c r="H1687" s="67" t="s">
        <v>5329</v>
      </c>
      <c r="I1687" s="65" t="s">
        <v>231</v>
      </c>
    </row>
    <row r="1688" spans="1:9" x14ac:dyDescent="0.25">
      <c r="A1688" s="57"/>
      <c r="B1688" s="58" t="s">
        <v>5330</v>
      </c>
      <c r="C1688" s="59" t="s">
        <v>1582</v>
      </c>
      <c r="D1688" s="60">
        <v>0.15799999999990177</v>
      </c>
      <c r="E1688" s="61">
        <v>10.479999999995925</v>
      </c>
      <c r="F1688" s="61">
        <v>10.479999999995925</v>
      </c>
      <c r="G1688" s="60">
        <v>18.863999999992668</v>
      </c>
      <c r="H1688" s="62" t="s">
        <v>5331</v>
      </c>
      <c r="I1688" s="60" t="s">
        <v>231</v>
      </c>
    </row>
    <row r="1689" spans="1:9" s="79" customFormat="1" x14ac:dyDescent="0.25">
      <c r="A1689" s="57"/>
      <c r="B1689" s="63" t="s">
        <v>5332</v>
      </c>
      <c r="C1689" s="64" t="s">
        <v>5333</v>
      </c>
      <c r="D1689" s="65">
        <v>0</v>
      </c>
      <c r="E1689" s="66">
        <v>8.0599999999976717</v>
      </c>
      <c r="F1689" s="66">
        <v>8.0599999999976717</v>
      </c>
      <c r="G1689" s="65">
        <v>14.507999999995809</v>
      </c>
      <c r="H1689" s="67" t="s">
        <v>5334</v>
      </c>
      <c r="I1689" s="65" t="s">
        <v>231</v>
      </c>
    </row>
    <row r="1690" spans="1:9" x14ac:dyDescent="0.25">
      <c r="A1690" s="57"/>
      <c r="B1690" s="58" t="s">
        <v>1556</v>
      </c>
      <c r="C1690" s="59" t="s">
        <v>1555</v>
      </c>
      <c r="D1690" s="60">
        <v>0.86999999999989086</v>
      </c>
      <c r="E1690" s="61">
        <v>22.119999999995343</v>
      </c>
      <c r="F1690" s="61">
        <v>22.119999999995343</v>
      </c>
      <c r="G1690" s="60">
        <v>39.815999999991618</v>
      </c>
      <c r="H1690" s="62" t="s">
        <v>5335</v>
      </c>
      <c r="I1690" s="60" t="s">
        <v>231</v>
      </c>
    </row>
    <row r="1691" spans="1:9" s="79" customFormat="1" x14ac:dyDescent="0.25">
      <c r="A1691" s="57"/>
      <c r="B1691" s="63" t="s">
        <v>5336</v>
      </c>
      <c r="C1691" s="64" t="s">
        <v>5337</v>
      </c>
      <c r="D1691" s="65">
        <v>1.9000000000005457E-2</v>
      </c>
      <c r="E1691" s="66">
        <v>5.2300000000032014</v>
      </c>
      <c r="F1691" s="66">
        <v>5.2300000000032014</v>
      </c>
      <c r="G1691" s="65">
        <v>9.4140000000057622</v>
      </c>
      <c r="H1691" s="67" t="s">
        <v>5338</v>
      </c>
      <c r="I1691" s="65" t="s">
        <v>231</v>
      </c>
    </row>
    <row r="1692" spans="1:9" x14ac:dyDescent="0.25">
      <c r="A1692" s="57"/>
      <c r="B1692" s="58" t="s">
        <v>5339</v>
      </c>
      <c r="C1692" s="59" t="s">
        <v>5340</v>
      </c>
      <c r="D1692" s="60">
        <v>2.0000000000010232E-2</v>
      </c>
      <c r="E1692" s="61">
        <v>8.4499999999970896</v>
      </c>
      <c r="F1692" s="61">
        <v>8.4499999999970896</v>
      </c>
      <c r="G1692" s="60">
        <v>15.209999999994762</v>
      </c>
      <c r="H1692" s="62" t="s">
        <v>5341</v>
      </c>
      <c r="I1692" s="60" t="s">
        <v>231</v>
      </c>
    </row>
    <row r="1693" spans="1:9" s="79" customFormat="1" x14ac:dyDescent="0.25">
      <c r="A1693" s="57"/>
      <c r="B1693" s="63" t="s">
        <v>5342</v>
      </c>
      <c r="C1693" s="64" t="s">
        <v>5343</v>
      </c>
      <c r="D1693" s="65">
        <v>3.0000000000001137E-2</v>
      </c>
      <c r="E1693" s="66">
        <v>10.929999999993015</v>
      </c>
      <c r="F1693" s="66">
        <v>10.929999999993015</v>
      </c>
      <c r="G1693" s="65">
        <v>19.673999999987426</v>
      </c>
      <c r="H1693" s="67" t="s">
        <v>5344</v>
      </c>
      <c r="I1693" s="65" t="s">
        <v>231</v>
      </c>
    </row>
    <row r="1694" spans="1:9" x14ac:dyDescent="0.25">
      <c r="A1694" s="57"/>
      <c r="B1694" s="58" t="s">
        <v>5345</v>
      </c>
      <c r="C1694" s="59" t="s">
        <v>1596</v>
      </c>
      <c r="D1694" s="60">
        <v>1.9000000000005457E-2</v>
      </c>
      <c r="E1694" s="61">
        <v>9.0099999999947613</v>
      </c>
      <c r="F1694" s="61">
        <v>9.0099999999947613</v>
      </c>
      <c r="G1694" s="60">
        <v>16.217999999990571</v>
      </c>
      <c r="H1694" s="62" t="s">
        <v>5346</v>
      </c>
      <c r="I1694" s="60" t="s">
        <v>231</v>
      </c>
    </row>
    <row r="1695" spans="1:9" s="79" customFormat="1" x14ac:dyDescent="0.25">
      <c r="A1695" s="57"/>
      <c r="B1695" s="63" t="s">
        <v>1607</v>
      </c>
      <c r="C1695" s="64" t="s">
        <v>5347</v>
      </c>
      <c r="D1695" s="65">
        <v>7.0000000000050022E-2</v>
      </c>
      <c r="E1695" s="66">
        <v>13.139999999999418</v>
      </c>
      <c r="F1695" s="66">
        <v>13.139999999999418</v>
      </c>
      <c r="G1695" s="65">
        <v>23.651999999998953</v>
      </c>
      <c r="H1695" s="67" t="s">
        <v>5348</v>
      </c>
      <c r="I1695" s="65" t="s">
        <v>231</v>
      </c>
    </row>
    <row r="1696" spans="1:9" x14ac:dyDescent="0.25">
      <c r="A1696" s="57"/>
      <c r="B1696" s="58" t="s">
        <v>1550</v>
      </c>
      <c r="C1696" s="59" t="s">
        <v>1549</v>
      </c>
      <c r="D1696" s="60">
        <v>7.0000000000050022E-2</v>
      </c>
      <c r="E1696" s="61">
        <v>33.229999999981374</v>
      </c>
      <c r="F1696" s="61">
        <v>33.229999999981374</v>
      </c>
      <c r="G1696" s="60">
        <v>59.813999999966477</v>
      </c>
      <c r="H1696" s="62" t="s">
        <v>5349</v>
      </c>
      <c r="I1696" s="60" t="s">
        <v>231</v>
      </c>
    </row>
    <row r="1697" spans="1:9" s="79" customFormat="1" x14ac:dyDescent="0.25">
      <c r="A1697" s="57"/>
      <c r="B1697" s="63" t="s">
        <v>1552</v>
      </c>
      <c r="C1697" s="64" t="s">
        <v>1551</v>
      </c>
      <c r="D1697" s="65">
        <v>8.0000000000040927E-2</v>
      </c>
      <c r="E1697" s="66">
        <v>53.159999999974389</v>
      </c>
      <c r="F1697" s="66">
        <v>53.159999999974389</v>
      </c>
      <c r="G1697" s="65">
        <v>95.687999999953902</v>
      </c>
      <c r="H1697" s="67" t="s">
        <v>5350</v>
      </c>
      <c r="I1697" s="65" t="s">
        <v>231</v>
      </c>
    </row>
    <row r="1698" spans="1:9" x14ac:dyDescent="0.25">
      <c r="A1698" s="57"/>
      <c r="B1698" s="58" t="s">
        <v>5351</v>
      </c>
      <c r="C1698" s="59" t="s">
        <v>5352</v>
      </c>
      <c r="D1698" s="60">
        <v>7.0000000000050022E-2</v>
      </c>
      <c r="E1698" s="61">
        <v>7.0500000000029104</v>
      </c>
      <c r="F1698" s="61">
        <v>7.0500000000029104</v>
      </c>
      <c r="G1698" s="60">
        <v>12.69000000000524</v>
      </c>
      <c r="H1698" s="62" t="s">
        <v>5353</v>
      </c>
      <c r="I1698" s="60" t="s">
        <v>231</v>
      </c>
    </row>
    <row r="1699" spans="1:9" s="79" customFormat="1" x14ac:dyDescent="0.25">
      <c r="A1699" s="57"/>
      <c r="B1699" s="63" t="s">
        <v>5354</v>
      </c>
      <c r="C1699" s="64" t="s">
        <v>5355</v>
      </c>
      <c r="D1699" s="65">
        <v>9.0000000000031832E-2</v>
      </c>
      <c r="E1699" s="66">
        <v>7.8899999999994179</v>
      </c>
      <c r="F1699" s="66">
        <v>7.8899999999994179</v>
      </c>
      <c r="G1699" s="65">
        <v>14.201999999998952</v>
      </c>
      <c r="H1699" s="67" t="s">
        <v>5356</v>
      </c>
      <c r="I1699" s="65" t="s">
        <v>231</v>
      </c>
    </row>
    <row r="1700" spans="1:9" x14ac:dyDescent="0.25">
      <c r="A1700" s="57"/>
      <c r="B1700" s="58" t="s">
        <v>1554</v>
      </c>
      <c r="C1700" s="59" t="s">
        <v>1553</v>
      </c>
      <c r="D1700" s="60">
        <v>1.2000000000007276</v>
      </c>
      <c r="E1700" s="61">
        <v>58.900000000023283</v>
      </c>
      <c r="F1700" s="61">
        <v>58.900000000023283</v>
      </c>
      <c r="G1700" s="60">
        <v>106.02000000004192</v>
      </c>
      <c r="H1700" s="62" t="s">
        <v>5357</v>
      </c>
      <c r="I1700" s="60" t="s">
        <v>231</v>
      </c>
    </row>
    <row r="1701" spans="1:9" s="79" customFormat="1" x14ac:dyDescent="0.25">
      <c r="A1701" s="57"/>
      <c r="B1701" s="63" t="s">
        <v>5358</v>
      </c>
      <c r="C1701" s="64" t="s">
        <v>5359</v>
      </c>
      <c r="D1701" s="65">
        <v>0</v>
      </c>
      <c r="E1701" s="66">
        <v>11.100000000005821</v>
      </c>
      <c r="F1701" s="66">
        <v>11.100000000005821</v>
      </c>
      <c r="G1701" s="65">
        <v>19.980000000010477</v>
      </c>
      <c r="H1701" s="67" t="s">
        <v>5360</v>
      </c>
      <c r="I1701" s="65" t="s">
        <v>231</v>
      </c>
    </row>
    <row r="1702" spans="1:9" x14ac:dyDescent="0.25">
      <c r="A1702" s="57"/>
      <c r="B1702" s="58" t="s">
        <v>5361</v>
      </c>
      <c r="C1702" s="59" t="s">
        <v>5362</v>
      </c>
      <c r="D1702" s="60">
        <v>0.15000000000009095</v>
      </c>
      <c r="E1702" s="61">
        <v>0</v>
      </c>
      <c r="F1702" s="61">
        <v>0</v>
      </c>
      <c r="G1702" s="60">
        <v>0</v>
      </c>
      <c r="H1702" s="62" t="s">
        <v>5363</v>
      </c>
      <c r="I1702" s="60" t="s">
        <v>231</v>
      </c>
    </row>
    <row r="1703" spans="1:9" s="79" customFormat="1" x14ac:dyDescent="0.25">
      <c r="A1703" s="57"/>
      <c r="B1703" s="63" t="s">
        <v>1574</v>
      </c>
      <c r="C1703" s="64" t="s">
        <v>5364</v>
      </c>
      <c r="D1703" s="65">
        <v>1.9000000000005457E-2</v>
      </c>
      <c r="E1703" s="66">
        <v>12.339999999996508</v>
      </c>
      <c r="F1703" s="66">
        <v>12.339999999996508</v>
      </c>
      <c r="G1703" s="65">
        <v>18.509999999994761</v>
      </c>
      <c r="H1703" s="67" t="s">
        <v>5365</v>
      </c>
      <c r="I1703" s="65" t="s">
        <v>231</v>
      </c>
    </row>
    <row r="1704" spans="1:9" x14ac:dyDescent="0.25">
      <c r="A1704" s="57"/>
      <c r="B1704" s="58" t="s">
        <v>5366</v>
      </c>
      <c r="C1704" s="59" t="s">
        <v>5367</v>
      </c>
      <c r="D1704" s="60">
        <v>0.15000000000009095</v>
      </c>
      <c r="E1704" s="61">
        <v>0</v>
      </c>
      <c r="F1704" s="61">
        <v>0</v>
      </c>
      <c r="G1704" s="60">
        <v>0</v>
      </c>
      <c r="H1704" s="62" t="s">
        <v>5368</v>
      </c>
      <c r="I1704" s="60" t="s">
        <v>231</v>
      </c>
    </row>
    <row r="1705" spans="1:9" s="79" customFormat="1" x14ac:dyDescent="0.25">
      <c r="A1705" s="57"/>
      <c r="B1705" s="63" t="s">
        <v>5369</v>
      </c>
      <c r="C1705" s="64" t="s">
        <v>5370</v>
      </c>
      <c r="D1705" s="65">
        <v>0.10000000000002274</v>
      </c>
      <c r="E1705" s="66">
        <v>9.7799999999988358</v>
      </c>
      <c r="F1705" s="66">
        <v>9.7799999999988358</v>
      </c>
      <c r="G1705" s="65">
        <v>17.603999999997907</v>
      </c>
      <c r="H1705" s="67" t="s">
        <v>5371</v>
      </c>
      <c r="I1705" s="65" t="s">
        <v>231</v>
      </c>
    </row>
    <row r="1706" spans="1:9" x14ac:dyDescent="0.25">
      <c r="A1706" s="57"/>
      <c r="B1706" s="58" t="s">
        <v>1540</v>
      </c>
      <c r="C1706" s="59" t="s">
        <v>5372</v>
      </c>
      <c r="D1706" s="60">
        <v>1</v>
      </c>
      <c r="E1706" s="61">
        <v>28.130000000004657</v>
      </c>
      <c r="F1706" s="61">
        <v>28.130000000004657</v>
      </c>
      <c r="G1706" s="60">
        <v>50.634000000008385</v>
      </c>
      <c r="H1706" s="62" t="s">
        <v>5373</v>
      </c>
      <c r="I1706" s="60" t="s">
        <v>231</v>
      </c>
    </row>
    <row r="1707" spans="1:9" x14ac:dyDescent="0.25">
      <c r="A1707" s="57"/>
      <c r="B1707" s="63" t="s">
        <v>1541</v>
      </c>
      <c r="C1707" s="64" t="s">
        <v>5374</v>
      </c>
      <c r="D1707" s="65">
        <v>5</v>
      </c>
      <c r="E1707" s="66">
        <v>28.130000000004657</v>
      </c>
      <c r="F1707" s="66">
        <v>28.130000000004657</v>
      </c>
      <c r="G1707" s="65">
        <v>50.634000000008385</v>
      </c>
      <c r="H1707" s="67" t="s">
        <v>5375</v>
      </c>
      <c r="I1707" s="65" t="s">
        <v>231</v>
      </c>
    </row>
    <row r="1708" spans="1:9" x14ac:dyDescent="0.25">
      <c r="A1708" s="57"/>
      <c r="B1708" s="58" t="s">
        <v>1542</v>
      </c>
      <c r="C1708" s="59" t="s">
        <v>5376</v>
      </c>
      <c r="D1708" s="60">
        <v>1</v>
      </c>
      <c r="E1708" s="61">
        <v>28.130000000004657</v>
      </c>
      <c r="F1708" s="61">
        <v>28.130000000004657</v>
      </c>
      <c r="G1708" s="60">
        <v>50.634000000008385</v>
      </c>
      <c r="H1708" s="62" t="s">
        <v>5377</v>
      </c>
      <c r="I1708" s="60" t="s">
        <v>231</v>
      </c>
    </row>
    <row r="1709" spans="1:9" x14ac:dyDescent="0.25">
      <c r="A1709" s="57"/>
      <c r="B1709" s="63" t="s">
        <v>1543</v>
      </c>
      <c r="C1709" s="64" t="s">
        <v>5378</v>
      </c>
      <c r="D1709" s="65">
        <v>1</v>
      </c>
      <c r="E1709" s="66">
        <v>28.130000000004657</v>
      </c>
      <c r="F1709" s="66">
        <v>28.130000000004657</v>
      </c>
      <c r="G1709" s="65">
        <v>50.634000000008385</v>
      </c>
      <c r="H1709" s="67" t="s">
        <v>5379</v>
      </c>
      <c r="I1709" s="65" t="s">
        <v>231</v>
      </c>
    </row>
    <row r="1710" spans="1:9" x14ac:dyDescent="0.25">
      <c r="A1710" s="57"/>
      <c r="B1710" s="58" t="s">
        <v>1544</v>
      </c>
      <c r="C1710" s="59" t="s">
        <v>5380</v>
      </c>
      <c r="D1710" s="60">
        <v>1</v>
      </c>
      <c r="E1710" s="61">
        <v>28.130000000004657</v>
      </c>
      <c r="F1710" s="61">
        <v>28.130000000004657</v>
      </c>
      <c r="G1710" s="60">
        <v>50.634000000008385</v>
      </c>
      <c r="H1710" s="62" t="s">
        <v>5381</v>
      </c>
      <c r="I1710" s="60" t="s">
        <v>231</v>
      </c>
    </row>
    <row r="1711" spans="1:9" x14ac:dyDescent="0.25">
      <c r="A1711" s="57"/>
      <c r="B1711" s="63" t="s">
        <v>1545</v>
      </c>
      <c r="C1711" s="64" t="s">
        <v>5382</v>
      </c>
      <c r="D1711" s="65">
        <v>1</v>
      </c>
      <c r="E1711" s="66">
        <v>28.130000000004657</v>
      </c>
      <c r="F1711" s="66">
        <v>28.130000000004657</v>
      </c>
      <c r="G1711" s="65">
        <v>50.634000000008385</v>
      </c>
      <c r="H1711" s="67" t="s">
        <v>5383</v>
      </c>
      <c r="I1711" s="65" t="s">
        <v>231</v>
      </c>
    </row>
    <row r="1712" spans="1:9" s="79" customFormat="1" x14ac:dyDescent="0.25">
      <c r="A1712" s="57"/>
      <c r="B1712" s="58" t="s">
        <v>1516</v>
      </c>
      <c r="C1712" s="59" t="s">
        <v>5384</v>
      </c>
      <c r="D1712" s="60">
        <v>6.3600000000005821</v>
      </c>
      <c r="E1712" s="61">
        <v>84.589999999967404</v>
      </c>
      <c r="F1712" s="61">
        <v>0.84589999999967402</v>
      </c>
      <c r="G1712" s="60">
        <v>1.5226199999994134</v>
      </c>
      <c r="H1712" s="62" t="s">
        <v>5385</v>
      </c>
      <c r="I1712" s="60" t="s">
        <v>231</v>
      </c>
    </row>
    <row r="1713" spans="1:9" x14ac:dyDescent="0.25">
      <c r="A1713" s="57"/>
      <c r="B1713" s="63" t="s">
        <v>1518</v>
      </c>
      <c r="C1713" s="64" t="s">
        <v>5386</v>
      </c>
      <c r="D1713" s="65">
        <v>3.180000000000291</v>
      </c>
      <c r="E1713" s="66">
        <v>81.57999999995809</v>
      </c>
      <c r="F1713" s="66">
        <v>1.6315999999991617</v>
      </c>
      <c r="G1713" s="65">
        <v>2.9368799999984914</v>
      </c>
      <c r="H1713" s="67" t="s">
        <v>5387</v>
      </c>
      <c r="I1713" s="65" t="s">
        <v>231</v>
      </c>
    </row>
    <row r="1714" spans="1:9" s="79" customFormat="1" x14ac:dyDescent="0.25">
      <c r="A1714" s="57"/>
      <c r="B1714" s="58" t="s">
        <v>1514</v>
      </c>
      <c r="C1714" s="59" t="s">
        <v>5388</v>
      </c>
      <c r="D1714" s="60">
        <v>3.180000000000291</v>
      </c>
      <c r="E1714" s="61">
        <v>105.3399999999674</v>
      </c>
      <c r="F1714" s="61">
        <v>2.1067999999993479</v>
      </c>
      <c r="G1714" s="60">
        <v>3.7922399999988268</v>
      </c>
      <c r="H1714" s="62" t="s">
        <v>5389</v>
      </c>
      <c r="I1714" s="60" t="s">
        <v>231</v>
      </c>
    </row>
    <row r="1715" spans="1:9" x14ac:dyDescent="0.25">
      <c r="A1715" s="57"/>
      <c r="B1715" s="63" t="s">
        <v>1511</v>
      </c>
      <c r="C1715" s="64" t="s">
        <v>5390</v>
      </c>
      <c r="D1715" s="65">
        <v>3.180000000000291</v>
      </c>
      <c r="E1715" s="66">
        <v>110.90000000002328</v>
      </c>
      <c r="F1715" s="66">
        <v>2.2180000000004658</v>
      </c>
      <c r="G1715" s="65">
        <v>3.9924000000008384</v>
      </c>
      <c r="H1715" s="67" t="s">
        <v>5391</v>
      </c>
      <c r="I1715" s="65" t="s">
        <v>231</v>
      </c>
    </row>
    <row r="1716" spans="1:9" s="79" customFormat="1" x14ac:dyDescent="0.25">
      <c r="A1716" s="57"/>
      <c r="B1716" s="58" t="s">
        <v>1512</v>
      </c>
      <c r="C1716" s="59" t="s">
        <v>5392</v>
      </c>
      <c r="D1716" s="60">
        <v>3.180000000000291</v>
      </c>
      <c r="E1716" s="61">
        <v>110.90000000002328</v>
      </c>
      <c r="F1716" s="61">
        <v>2.2180000000004658</v>
      </c>
      <c r="G1716" s="60">
        <v>3.9924000000008384</v>
      </c>
      <c r="H1716" s="62" t="s">
        <v>5393</v>
      </c>
      <c r="I1716" s="60" t="s">
        <v>231</v>
      </c>
    </row>
    <row r="1717" spans="1:9" x14ac:dyDescent="0.25">
      <c r="A1717" s="57"/>
      <c r="B1717" s="63" t="s">
        <v>1510</v>
      </c>
      <c r="C1717" s="64" t="s">
        <v>5394</v>
      </c>
      <c r="D1717" s="65">
        <v>3.180000000000291</v>
      </c>
      <c r="E1717" s="66">
        <v>110.90000000002328</v>
      </c>
      <c r="F1717" s="66">
        <v>2.2180000000004658</v>
      </c>
      <c r="G1717" s="65">
        <v>3.9924000000008384</v>
      </c>
      <c r="H1717" s="67" t="s">
        <v>5395</v>
      </c>
      <c r="I1717" s="65" t="s">
        <v>231</v>
      </c>
    </row>
    <row r="1718" spans="1:9" s="79" customFormat="1" x14ac:dyDescent="0.25">
      <c r="A1718" s="57"/>
      <c r="B1718" s="58" t="s">
        <v>1603</v>
      </c>
      <c r="C1718" s="59" t="s">
        <v>5396</v>
      </c>
      <c r="D1718" s="60">
        <v>7.5000000000045475E-2</v>
      </c>
      <c r="E1718" s="61">
        <v>2.3600000000005821</v>
      </c>
      <c r="F1718" s="61">
        <v>2.3600000000005821</v>
      </c>
      <c r="G1718" s="60">
        <v>4.2480000000010483</v>
      </c>
      <c r="H1718" s="62" t="s">
        <v>5397</v>
      </c>
      <c r="I1718" s="60" t="s">
        <v>231</v>
      </c>
    </row>
    <row r="1719" spans="1:9" x14ac:dyDescent="0.25">
      <c r="A1719" s="57"/>
      <c r="B1719" s="63" t="s">
        <v>5398</v>
      </c>
      <c r="C1719" s="64" t="s">
        <v>1602</v>
      </c>
      <c r="D1719" s="65">
        <v>7.5000000000045475E-2</v>
      </c>
      <c r="E1719" s="66">
        <v>2.2599999999983993</v>
      </c>
      <c r="F1719" s="66">
        <v>2.2599999999983993</v>
      </c>
      <c r="G1719" s="65">
        <v>4.0679999999971193</v>
      </c>
      <c r="H1719" s="67" t="s">
        <v>5399</v>
      </c>
      <c r="I1719" s="65" t="s">
        <v>231</v>
      </c>
    </row>
    <row r="1720" spans="1:9" s="79" customFormat="1" x14ac:dyDescent="0.25">
      <c r="A1720" s="57"/>
      <c r="B1720" s="58" t="s">
        <v>1520</v>
      </c>
      <c r="C1720" s="59" t="s">
        <v>5400</v>
      </c>
      <c r="D1720" s="60">
        <v>0</v>
      </c>
      <c r="E1720" s="61">
        <v>9.2599999999947613</v>
      </c>
      <c r="F1720" s="61">
        <v>9.2599999999947613</v>
      </c>
      <c r="G1720" s="60">
        <v>16.66799999999057</v>
      </c>
      <c r="H1720" s="62" t="s">
        <v>2503</v>
      </c>
      <c r="I1720" s="60" t="s">
        <v>231</v>
      </c>
    </row>
    <row r="1721" spans="1:9" x14ac:dyDescent="0.25">
      <c r="A1721" s="57"/>
      <c r="B1721" s="63" t="s">
        <v>1521</v>
      </c>
      <c r="C1721" s="64" t="s">
        <v>5401</v>
      </c>
      <c r="D1721" s="65">
        <v>0</v>
      </c>
      <c r="E1721" s="66">
        <v>9.6799999999930151</v>
      </c>
      <c r="F1721" s="66">
        <v>9.6799999999930151</v>
      </c>
      <c r="G1721" s="65">
        <v>17.423999999987426</v>
      </c>
      <c r="H1721" s="67" t="s">
        <v>2503</v>
      </c>
      <c r="I1721" s="65" t="s">
        <v>231</v>
      </c>
    </row>
    <row r="1722" spans="1:9" s="79" customFormat="1" x14ac:dyDescent="0.25">
      <c r="A1722" s="57"/>
      <c r="B1722" s="58" t="s">
        <v>1522</v>
      </c>
      <c r="C1722" s="59" t="s">
        <v>5402</v>
      </c>
      <c r="D1722" s="60">
        <v>0</v>
      </c>
      <c r="E1722" s="61">
        <v>10.770000000004075</v>
      </c>
      <c r="F1722" s="61">
        <v>10.770000000004075</v>
      </c>
      <c r="G1722" s="60">
        <v>19.386000000007336</v>
      </c>
      <c r="H1722" s="62" t="s">
        <v>2503</v>
      </c>
      <c r="I1722" s="60" t="s">
        <v>231</v>
      </c>
    </row>
    <row r="1723" spans="1:9" x14ac:dyDescent="0.25">
      <c r="A1723" s="57"/>
      <c r="B1723" s="63" t="s">
        <v>1613</v>
      </c>
      <c r="C1723" s="64" t="s">
        <v>5403</v>
      </c>
      <c r="D1723" s="65">
        <v>3.4900000000016007</v>
      </c>
      <c r="E1723" s="66">
        <v>67</v>
      </c>
      <c r="F1723" s="66">
        <v>1.34</v>
      </c>
      <c r="G1723" s="65">
        <v>2.4120000000000004</v>
      </c>
      <c r="H1723" s="67" t="s">
        <v>5404</v>
      </c>
      <c r="I1723" s="65" t="s">
        <v>5405</v>
      </c>
    </row>
    <row r="1724" spans="1:9" x14ac:dyDescent="0.25">
      <c r="A1724" s="57"/>
      <c r="B1724" s="58" t="s">
        <v>5406</v>
      </c>
      <c r="C1724" s="59" t="s">
        <v>5407</v>
      </c>
      <c r="D1724" s="60">
        <v>4.1900000000023283</v>
      </c>
      <c r="E1724" s="61">
        <v>80.39000000001397</v>
      </c>
      <c r="F1724" s="61">
        <v>1.3398333333335661</v>
      </c>
      <c r="G1724" s="60">
        <v>2.4117000000004194</v>
      </c>
      <c r="H1724" s="62" t="s">
        <v>5408</v>
      </c>
      <c r="I1724" s="60" t="s">
        <v>5405</v>
      </c>
    </row>
    <row r="1725" spans="1:9" x14ac:dyDescent="0.25">
      <c r="A1725" s="57"/>
      <c r="B1725" s="63" t="s">
        <v>1615</v>
      </c>
      <c r="C1725" s="64" t="s">
        <v>5409</v>
      </c>
      <c r="D1725" s="65">
        <v>7.6900000000023283</v>
      </c>
      <c r="E1725" s="66">
        <v>133.97999999998137</v>
      </c>
      <c r="F1725" s="66">
        <v>1.3397999999998138</v>
      </c>
      <c r="G1725" s="65">
        <v>2.4116399999996649</v>
      </c>
      <c r="H1725" s="67" t="s">
        <v>5410</v>
      </c>
      <c r="I1725" s="65" t="s">
        <v>5405</v>
      </c>
    </row>
    <row r="1726" spans="1:9" x14ac:dyDescent="0.25">
      <c r="A1726" s="57"/>
      <c r="B1726" s="58" t="s">
        <v>1617</v>
      </c>
      <c r="C1726" s="59" t="s">
        <v>5411</v>
      </c>
      <c r="D1726" s="60">
        <v>15.380000000004657</v>
      </c>
      <c r="E1726" s="61">
        <v>267.97000000020489</v>
      </c>
      <c r="F1726" s="61">
        <v>1.3398500000010245</v>
      </c>
      <c r="G1726" s="60">
        <v>2.4117300000018442</v>
      </c>
      <c r="H1726" s="62" t="s">
        <v>5412</v>
      </c>
      <c r="I1726" s="60" t="s">
        <v>5405</v>
      </c>
    </row>
    <row r="1727" spans="1:9" x14ac:dyDescent="0.25">
      <c r="A1727" s="57"/>
      <c r="B1727" s="63" t="s">
        <v>1614</v>
      </c>
      <c r="C1727" s="64" t="s">
        <v>5413</v>
      </c>
      <c r="D1727" s="65">
        <v>3.8400000000001455</v>
      </c>
      <c r="E1727" s="66">
        <v>78.5</v>
      </c>
      <c r="F1727" s="66">
        <v>1.57</v>
      </c>
      <c r="G1727" s="65">
        <v>2.8260000000000001</v>
      </c>
      <c r="H1727" s="67" t="s">
        <v>5414</v>
      </c>
      <c r="I1727" s="65" t="s">
        <v>5405</v>
      </c>
    </row>
    <row r="1728" spans="1:9" x14ac:dyDescent="0.25">
      <c r="A1728" s="57"/>
      <c r="B1728" s="58" t="s">
        <v>1616</v>
      </c>
      <c r="C1728" s="59" t="s">
        <v>5415</v>
      </c>
      <c r="D1728" s="60">
        <v>7.6900000000023283</v>
      </c>
      <c r="E1728" s="61">
        <v>157.02000000001863</v>
      </c>
      <c r="F1728" s="61">
        <v>1.5702000000001863</v>
      </c>
      <c r="G1728" s="60">
        <v>2.8263600000003355</v>
      </c>
      <c r="H1728" s="62" t="s">
        <v>5416</v>
      </c>
      <c r="I1728" s="60" t="s">
        <v>5405</v>
      </c>
    </row>
    <row r="1729" spans="1:9" x14ac:dyDescent="0.25">
      <c r="A1729" s="57"/>
      <c r="B1729" s="63" t="s">
        <v>1618</v>
      </c>
      <c r="C1729" s="64" t="s">
        <v>5417</v>
      </c>
      <c r="D1729" s="65">
        <v>15.380000000004657</v>
      </c>
      <c r="E1729" s="66">
        <v>314.06000000005588</v>
      </c>
      <c r="F1729" s="66">
        <v>1.5703000000002794</v>
      </c>
      <c r="G1729" s="65">
        <v>2.8265400000005032</v>
      </c>
      <c r="H1729" s="67" t="s">
        <v>5418</v>
      </c>
      <c r="I1729" s="65" t="s">
        <v>5405</v>
      </c>
    </row>
    <row r="1730" spans="1:9" s="79" customFormat="1" x14ac:dyDescent="0.25">
      <c r="A1730" s="57"/>
      <c r="B1730" s="58" t="s">
        <v>5419</v>
      </c>
      <c r="C1730" s="59" t="s">
        <v>5420</v>
      </c>
      <c r="D1730" s="60">
        <v>0.3000000000001819</v>
      </c>
      <c r="E1730" s="61">
        <v>10.259999999994761</v>
      </c>
      <c r="F1730" s="61">
        <v>2.5649999999986903</v>
      </c>
      <c r="G1730" s="60">
        <v>4.6169999999976428</v>
      </c>
      <c r="H1730" s="62" t="s">
        <v>5421</v>
      </c>
      <c r="I1730" s="60" t="s">
        <v>5422</v>
      </c>
    </row>
    <row r="1731" spans="1:9" x14ac:dyDescent="0.25">
      <c r="A1731" s="57"/>
      <c r="B1731" s="63" t="s">
        <v>1638</v>
      </c>
      <c r="C1731" s="64" t="s">
        <v>5423</v>
      </c>
      <c r="D1731" s="65">
        <v>0.10000000000002274</v>
      </c>
      <c r="E1731" s="66" t="s">
        <v>1624</v>
      </c>
      <c r="F1731" s="66" t="e">
        <v>#VALUE!</v>
      </c>
      <c r="G1731" s="66" t="s">
        <v>1624</v>
      </c>
      <c r="H1731" s="67" t="s">
        <v>5424</v>
      </c>
      <c r="I1731" s="65" t="s">
        <v>5425</v>
      </c>
    </row>
    <row r="1732" spans="1:9" s="79" customFormat="1" x14ac:dyDescent="0.25">
      <c r="A1732" s="57"/>
      <c r="B1732" s="58" t="s">
        <v>1643</v>
      </c>
      <c r="C1732" s="59" t="s">
        <v>5426</v>
      </c>
      <c r="D1732" s="60">
        <v>0.10000000000002274</v>
      </c>
      <c r="E1732" s="61" t="s">
        <v>1624</v>
      </c>
      <c r="F1732" s="61" t="e">
        <v>#VALUE!</v>
      </c>
      <c r="G1732" s="61" t="s">
        <v>1624</v>
      </c>
      <c r="H1732" s="62" t="s">
        <v>5427</v>
      </c>
      <c r="I1732" s="60" t="s">
        <v>5428</v>
      </c>
    </row>
    <row r="1733" spans="1:9" x14ac:dyDescent="0.25">
      <c r="A1733" s="57"/>
      <c r="B1733" s="63" t="s">
        <v>1646</v>
      </c>
      <c r="C1733" s="64" t="s">
        <v>5429</v>
      </c>
      <c r="D1733" s="65">
        <v>0.10000000000002274</v>
      </c>
      <c r="E1733" s="66" t="s">
        <v>1624</v>
      </c>
      <c r="F1733" s="66" t="e">
        <v>#VALUE!</v>
      </c>
      <c r="G1733" s="66" t="s">
        <v>1624</v>
      </c>
      <c r="H1733" s="67" t="s">
        <v>5430</v>
      </c>
      <c r="I1733" s="65" t="s">
        <v>5428</v>
      </c>
    </row>
    <row r="1734" spans="1:9" s="79" customFormat="1" x14ac:dyDescent="0.25">
      <c r="A1734" s="57"/>
      <c r="B1734" s="58" t="s">
        <v>1623</v>
      </c>
      <c r="C1734" s="59" t="s">
        <v>5431</v>
      </c>
      <c r="D1734" s="60">
        <v>0.10000000000002274</v>
      </c>
      <c r="E1734" s="61" t="s">
        <v>1624</v>
      </c>
      <c r="F1734" s="61" t="e">
        <v>#VALUE!</v>
      </c>
      <c r="G1734" s="61" t="s">
        <v>1624</v>
      </c>
      <c r="H1734" s="62" t="s">
        <v>5432</v>
      </c>
      <c r="I1734" s="60" t="s">
        <v>5433</v>
      </c>
    </row>
    <row r="1735" spans="1:9" x14ac:dyDescent="0.25">
      <c r="A1735" s="57"/>
      <c r="B1735" s="63" t="s">
        <v>1626</v>
      </c>
      <c r="C1735" s="64" t="s">
        <v>5434</v>
      </c>
      <c r="D1735" s="65">
        <v>1</v>
      </c>
      <c r="E1735" s="66" t="s">
        <v>1624</v>
      </c>
      <c r="F1735" s="66" t="e">
        <v>#VALUE!</v>
      </c>
      <c r="G1735" s="66" t="s">
        <v>1624</v>
      </c>
      <c r="H1735" s="67" t="s">
        <v>5435</v>
      </c>
      <c r="I1735" s="65" t="s">
        <v>5436</v>
      </c>
    </row>
    <row r="1736" spans="1:9" s="79" customFormat="1" x14ac:dyDescent="0.25">
      <c r="A1736" s="57"/>
      <c r="B1736" s="58" t="s">
        <v>1651</v>
      </c>
      <c r="C1736" s="59" t="s">
        <v>5437</v>
      </c>
      <c r="D1736" s="60">
        <v>0.10000000000002274</v>
      </c>
      <c r="E1736" s="61" t="s">
        <v>1624</v>
      </c>
      <c r="F1736" s="61" t="e">
        <v>#VALUE!</v>
      </c>
      <c r="G1736" s="61" t="s">
        <v>1624</v>
      </c>
      <c r="H1736" s="62" t="s">
        <v>5438</v>
      </c>
      <c r="I1736" s="60" t="s">
        <v>5439</v>
      </c>
    </row>
    <row r="1737" spans="1:9" x14ac:dyDescent="0.25">
      <c r="A1737" s="57"/>
      <c r="B1737" s="63" t="s">
        <v>1632</v>
      </c>
      <c r="C1737" s="64" t="s">
        <v>5440</v>
      </c>
      <c r="D1737" s="65">
        <v>0.10000000000002274</v>
      </c>
      <c r="E1737" s="66" t="s">
        <v>1624</v>
      </c>
      <c r="F1737" s="66" t="e">
        <v>#VALUE!</v>
      </c>
      <c r="G1737" s="66" t="s">
        <v>1624</v>
      </c>
      <c r="H1737" s="67" t="s">
        <v>5441</v>
      </c>
      <c r="I1737" s="65" t="s">
        <v>5442</v>
      </c>
    </row>
    <row r="1738" spans="1:9" s="79" customFormat="1" x14ac:dyDescent="0.25">
      <c r="A1738" s="57"/>
      <c r="B1738" s="58" t="s">
        <v>1634</v>
      </c>
      <c r="C1738" s="59" t="s">
        <v>5443</v>
      </c>
      <c r="D1738" s="60">
        <v>0.10000000000002274</v>
      </c>
      <c r="E1738" s="61" t="s">
        <v>1624</v>
      </c>
      <c r="F1738" s="61" t="e">
        <v>#VALUE!</v>
      </c>
      <c r="G1738" s="61" t="s">
        <v>1624</v>
      </c>
      <c r="H1738" s="62" t="s">
        <v>5444</v>
      </c>
      <c r="I1738" s="60" t="s">
        <v>5442</v>
      </c>
    </row>
    <row r="1739" spans="1:9" x14ac:dyDescent="0.25">
      <c r="A1739" s="57"/>
      <c r="B1739" s="63" t="s">
        <v>1636</v>
      </c>
      <c r="C1739" s="64" t="s">
        <v>5445</v>
      </c>
      <c r="D1739" s="65">
        <v>0.10000000000002274</v>
      </c>
      <c r="E1739" s="66" t="s">
        <v>1624</v>
      </c>
      <c r="F1739" s="66" t="e">
        <v>#VALUE!</v>
      </c>
      <c r="G1739" s="66" t="s">
        <v>1624</v>
      </c>
      <c r="H1739" s="67" t="s">
        <v>5446</v>
      </c>
      <c r="I1739" s="65" t="s">
        <v>5447</v>
      </c>
    </row>
    <row r="1740" spans="1:9" s="79" customFormat="1" x14ac:dyDescent="0.25">
      <c r="A1740" s="57"/>
      <c r="B1740" s="58" t="s">
        <v>1649</v>
      </c>
      <c r="C1740" s="59" t="s">
        <v>5448</v>
      </c>
      <c r="D1740" s="60">
        <v>0.10000000000002274</v>
      </c>
      <c r="E1740" s="61" t="s">
        <v>1624</v>
      </c>
      <c r="F1740" s="61" t="e">
        <v>#VALUE!</v>
      </c>
      <c r="G1740" s="61" t="s">
        <v>1624</v>
      </c>
      <c r="H1740" s="62" t="s">
        <v>5449</v>
      </c>
      <c r="I1740" s="60" t="s">
        <v>5428</v>
      </c>
    </row>
    <row r="1741" spans="1:9" x14ac:dyDescent="0.25">
      <c r="A1741" s="57"/>
      <c r="B1741" s="63" t="s">
        <v>1628</v>
      </c>
      <c r="C1741" s="64" t="s">
        <v>5450</v>
      </c>
      <c r="D1741" s="65">
        <v>1</v>
      </c>
      <c r="E1741" s="66" t="s">
        <v>1624</v>
      </c>
      <c r="F1741" s="66" t="e">
        <v>#VALUE!</v>
      </c>
      <c r="G1741" s="66" t="s">
        <v>1624</v>
      </c>
      <c r="H1741" s="67" t="s">
        <v>5451</v>
      </c>
      <c r="I1741" s="65" t="s">
        <v>5447</v>
      </c>
    </row>
    <row r="1742" spans="1:9" s="79" customFormat="1" x14ac:dyDescent="0.25">
      <c r="A1742" s="57"/>
      <c r="B1742" s="58" t="s">
        <v>1640</v>
      </c>
      <c r="C1742" s="59" t="s">
        <v>5452</v>
      </c>
      <c r="D1742" s="60">
        <v>0.10000000000002274</v>
      </c>
      <c r="E1742" s="61" t="s">
        <v>1624</v>
      </c>
      <c r="F1742" s="61" t="e">
        <v>#VALUE!</v>
      </c>
      <c r="G1742" s="61" t="s">
        <v>1624</v>
      </c>
      <c r="H1742" s="62" t="s">
        <v>5453</v>
      </c>
      <c r="I1742" s="60" t="s">
        <v>5454</v>
      </c>
    </row>
    <row r="1743" spans="1:9" x14ac:dyDescent="0.25">
      <c r="A1743" s="57"/>
      <c r="B1743" s="63" t="s">
        <v>1630</v>
      </c>
      <c r="C1743" s="64" t="s">
        <v>5455</v>
      </c>
      <c r="D1743" s="65">
        <v>0.10000000000002274</v>
      </c>
      <c r="E1743" s="66" t="s">
        <v>1624</v>
      </c>
      <c r="F1743" s="66" t="e">
        <v>#VALUE!</v>
      </c>
      <c r="G1743" s="66" t="s">
        <v>1624</v>
      </c>
      <c r="H1743" s="67" t="s">
        <v>5456</v>
      </c>
      <c r="I1743" s="65" t="s">
        <v>5457</v>
      </c>
    </row>
    <row r="1744" spans="1:9" x14ac:dyDescent="0.25">
      <c r="B1744" s="58"/>
      <c r="C1744" s="59"/>
      <c r="D1744" s="60"/>
      <c r="E1744" s="61"/>
      <c r="F1744" s="61"/>
      <c r="G1744" s="60"/>
      <c r="H1744" s="62"/>
      <c r="I1744" s="60"/>
    </row>
    <row r="1745" spans="2:9" x14ac:dyDescent="0.25">
      <c r="B1745" s="63"/>
      <c r="C1745" s="64"/>
      <c r="D1745" s="65"/>
      <c r="E1745" s="66"/>
      <c r="F1745" s="66"/>
      <c r="G1745" s="65"/>
      <c r="H1745" s="67"/>
      <c r="I1745" s="65"/>
    </row>
    <row r="1746" spans="2:9" x14ac:dyDescent="0.25">
      <c r="B1746" s="58"/>
      <c r="C1746" s="59"/>
      <c r="D1746" s="60"/>
      <c r="E1746" s="61"/>
      <c r="F1746" s="61"/>
      <c r="G1746" s="60"/>
      <c r="H1746" s="62"/>
      <c r="I1746" s="60"/>
    </row>
    <row r="1747" spans="2:9" x14ac:dyDescent="0.25">
      <c r="B1747" s="63"/>
      <c r="C1747" s="64"/>
      <c r="D1747" s="65"/>
      <c r="E1747" s="66"/>
      <c r="F1747" s="66"/>
      <c r="G1747" s="65"/>
      <c r="H1747" s="67"/>
      <c r="I1747" s="65"/>
    </row>
    <row r="1748" spans="2:9" x14ac:dyDescent="0.25">
      <c r="B1748" s="58"/>
      <c r="C1748" s="59"/>
      <c r="D1748" s="60"/>
      <c r="E1748" s="61"/>
      <c r="F1748" s="61"/>
      <c r="G1748" s="60"/>
      <c r="H1748" s="62"/>
      <c r="I1748" s="60"/>
    </row>
    <row r="1749" spans="2:9" x14ac:dyDescent="0.25">
      <c r="B1749" s="63"/>
      <c r="C1749" s="64"/>
      <c r="D1749" s="65"/>
      <c r="E1749" s="66"/>
      <c r="F1749" s="66"/>
      <c r="G1749" s="65"/>
      <c r="H1749" s="67"/>
      <c r="I1749" s="65"/>
    </row>
    <row r="1750" spans="2:9" x14ac:dyDescent="0.25">
      <c r="B1750" s="58"/>
      <c r="C1750" s="59"/>
      <c r="D1750" s="60"/>
      <c r="E1750" s="61"/>
      <c r="F1750" s="61"/>
      <c r="G1750" s="60"/>
      <c r="H1750" s="62"/>
      <c r="I1750" s="60"/>
    </row>
    <row r="1751" spans="2:9" x14ac:dyDescent="0.25">
      <c r="B1751" s="63"/>
      <c r="C1751" s="64"/>
      <c r="D1751" s="65"/>
      <c r="E1751" s="66"/>
      <c r="F1751" s="66"/>
      <c r="G1751" s="65"/>
      <c r="H1751" s="67"/>
      <c r="I1751" s="65"/>
    </row>
    <row r="1752" spans="2:9" x14ac:dyDescent="0.25">
      <c r="B1752" s="58"/>
      <c r="C1752" s="59"/>
      <c r="D1752" s="60"/>
      <c r="E1752" s="61"/>
      <c r="F1752" s="61"/>
      <c r="G1752" s="60"/>
      <c r="H1752" s="62"/>
      <c r="I1752" s="60"/>
    </row>
    <row r="1753" spans="2:9" x14ac:dyDescent="0.25">
      <c r="B1753" s="63"/>
      <c r="C1753" s="64"/>
      <c r="D1753" s="65"/>
      <c r="E1753" s="66"/>
      <c r="F1753" s="66"/>
      <c r="G1753" s="65"/>
      <c r="H1753" s="67"/>
      <c r="I1753" s="65"/>
    </row>
    <row r="1754" spans="2:9" x14ac:dyDescent="0.25">
      <c r="B1754" s="58"/>
      <c r="C1754" s="59"/>
      <c r="D1754" s="60"/>
      <c r="E1754" s="61"/>
      <c r="F1754" s="61"/>
      <c r="G1754" s="60"/>
      <c r="H1754" s="62"/>
      <c r="I1754" s="60"/>
    </row>
    <row r="1755" spans="2:9" x14ac:dyDescent="0.25">
      <c r="B1755" s="63"/>
      <c r="C1755" s="64"/>
      <c r="D1755" s="65"/>
      <c r="E1755" s="66"/>
      <c r="F1755" s="66"/>
      <c r="G1755" s="65"/>
      <c r="H1755" s="67"/>
      <c r="I1755" s="65"/>
    </row>
    <row r="1756" spans="2:9" x14ac:dyDescent="0.25">
      <c r="B1756" s="58"/>
      <c r="C1756" s="59"/>
      <c r="D1756" s="60"/>
      <c r="E1756" s="61"/>
      <c r="F1756" s="61"/>
      <c r="G1756" s="60"/>
      <c r="H1756" s="62"/>
      <c r="I1756" s="60"/>
    </row>
    <row r="1757" spans="2:9" x14ac:dyDescent="0.25">
      <c r="B1757" s="63"/>
      <c r="C1757" s="64"/>
      <c r="D1757" s="65"/>
      <c r="E1757" s="66"/>
      <c r="F1757" s="66"/>
      <c r="G1757" s="65"/>
      <c r="H1757" s="67"/>
      <c r="I1757" s="65"/>
    </row>
    <row r="1758" spans="2:9" x14ac:dyDescent="0.25">
      <c r="B1758" s="58"/>
      <c r="C1758" s="59"/>
      <c r="D1758" s="60"/>
      <c r="E1758" s="61"/>
      <c r="F1758" s="61"/>
      <c r="G1758" s="60"/>
      <c r="H1758" s="62"/>
      <c r="I1758" s="60"/>
    </row>
    <row r="1759" spans="2:9" x14ac:dyDescent="0.25">
      <c r="B1759" s="63"/>
      <c r="C1759" s="64"/>
      <c r="D1759" s="65"/>
      <c r="E1759" s="66"/>
      <c r="F1759" s="66"/>
      <c r="G1759" s="65"/>
      <c r="H1759" s="67"/>
      <c r="I1759" s="65"/>
    </row>
    <row r="1760" spans="2:9" x14ac:dyDescent="0.25">
      <c r="B1760" s="58"/>
      <c r="C1760" s="59"/>
      <c r="D1760" s="60"/>
      <c r="E1760" s="61"/>
      <c r="F1760" s="61"/>
      <c r="G1760" s="60"/>
      <c r="H1760" s="62"/>
      <c r="I1760" s="60"/>
    </row>
    <row r="1761" spans="2:9" x14ac:dyDescent="0.25">
      <c r="B1761" s="63"/>
      <c r="C1761" s="64"/>
      <c r="D1761" s="65"/>
      <c r="E1761" s="66"/>
      <c r="F1761" s="66"/>
      <c r="G1761" s="65"/>
      <c r="H1761" s="67"/>
      <c r="I1761" s="65"/>
    </row>
    <row r="1762" spans="2:9" x14ac:dyDescent="0.25">
      <c r="B1762" s="58"/>
      <c r="C1762" s="59"/>
      <c r="D1762" s="60"/>
      <c r="E1762" s="61"/>
      <c r="F1762" s="61"/>
      <c r="G1762" s="60"/>
      <c r="H1762" s="62"/>
      <c r="I1762" s="60"/>
    </row>
    <row r="1763" spans="2:9" x14ac:dyDescent="0.25">
      <c r="B1763" s="63"/>
      <c r="C1763" s="64"/>
      <c r="D1763" s="65"/>
      <c r="E1763" s="66"/>
      <c r="F1763" s="66"/>
      <c r="G1763" s="65"/>
      <c r="H1763" s="67"/>
      <c r="I1763" s="65"/>
    </row>
    <row r="1764" spans="2:9" x14ac:dyDescent="0.25">
      <c r="B1764" s="58"/>
      <c r="C1764" s="59"/>
      <c r="D1764" s="60"/>
      <c r="E1764" s="61"/>
      <c r="F1764" s="61"/>
      <c r="G1764" s="60"/>
      <c r="H1764" s="62"/>
      <c r="I1764" s="60"/>
    </row>
    <row r="1765" spans="2:9" x14ac:dyDescent="0.25">
      <c r="B1765" s="63"/>
      <c r="C1765" s="64"/>
      <c r="D1765" s="65"/>
      <c r="E1765" s="66"/>
      <c r="F1765" s="66"/>
      <c r="G1765" s="65"/>
      <c r="H1765" s="67"/>
      <c r="I1765" s="65"/>
    </row>
    <row r="1766" spans="2:9" x14ac:dyDescent="0.25">
      <c r="B1766" s="58"/>
      <c r="C1766" s="59"/>
      <c r="D1766" s="60"/>
      <c r="E1766" s="61"/>
      <c r="F1766" s="61"/>
      <c r="G1766" s="60"/>
      <c r="H1766" s="62"/>
      <c r="I1766" s="60"/>
    </row>
    <row r="1767" spans="2:9" x14ac:dyDescent="0.25">
      <c r="B1767" s="63"/>
      <c r="C1767" s="64"/>
      <c r="D1767" s="65"/>
      <c r="E1767" s="66"/>
      <c r="F1767" s="66"/>
      <c r="G1767" s="65"/>
      <c r="H1767" s="67"/>
      <c r="I1767" s="65"/>
    </row>
    <row r="1768" spans="2:9" x14ac:dyDescent="0.25">
      <c r="B1768" s="58"/>
      <c r="C1768" s="59"/>
      <c r="D1768" s="60"/>
      <c r="E1768" s="61"/>
      <c r="F1768" s="61"/>
      <c r="G1768" s="60"/>
      <c r="H1768" s="62"/>
      <c r="I1768" s="60"/>
    </row>
    <row r="1769" spans="2:9" x14ac:dyDescent="0.25">
      <c r="B1769" s="63"/>
      <c r="C1769" s="64"/>
      <c r="D1769" s="65"/>
      <c r="E1769" s="66"/>
      <c r="F1769" s="66"/>
      <c r="G1769" s="65"/>
      <c r="H1769" s="67"/>
      <c r="I1769" s="65"/>
    </row>
    <row r="1770" spans="2:9" x14ac:dyDescent="0.25">
      <c r="B1770" s="58"/>
      <c r="C1770" s="59"/>
      <c r="D1770" s="60"/>
      <c r="E1770" s="61"/>
      <c r="F1770" s="61"/>
      <c r="G1770" s="60"/>
      <c r="H1770" s="62"/>
      <c r="I1770" s="60"/>
    </row>
    <row r="1771" spans="2:9" x14ac:dyDescent="0.25">
      <c r="B1771" s="63"/>
      <c r="C1771" s="64"/>
      <c r="D1771" s="65"/>
      <c r="E1771" s="66"/>
      <c r="F1771" s="66"/>
      <c r="G1771" s="65"/>
      <c r="H1771" s="67"/>
      <c r="I1771" s="65"/>
    </row>
    <row r="1772" spans="2:9" x14ac:dyDescent="0.25">
      <c r="B1772" s="58"/>
      <c r="C1772" s="59"/>
      <c r="D1772" s="60"/>
      <c r="E1772" s="61"/>
      <c r="F1772" s="61"/>
      <c r="G1772" s="60"/>
      <c r="H1772" s="62"/>
      <c r="I1772" s="60"/>
    </row>
    <row r="1773" spans="2:9" x14ac:dyDescent="0.25">
      <c r="B1773" s="63"/>
      <c r="C1773" s="64"/>
      <c r="D1773" s="65"/>
      <c r="E1773" s="66"/>
      <c r="F1773" s="66"/>
      <c r="G1773" s="65"/>
      <c r="H1773" s="67"/>
      <c r="I1773" s="65"/>
    </row>
    <row r="1774" spans="2:9" x14ac:dyDescent="0.25">
      <c r="B1774" s="58"/>
      <c r="C1774" s="59"/>
      <c r="D1774" s="60"/>
      <c r="E1774" s="61"/>
      <c r="F1774" s="61"/>
      <c r="G1774" s="60"/>
      <c r="H1774" s="62"/>
      <c r="I1774" s="60"/>
    </row>
    <row r="1775" spans="2:9" x14ac:dyDescent="0.25">
      <c r="B1775" s="63"/>
      <c r="C1775" s="64"/>
      <c r="D1775" s="65"/>
      <c r="E1775" s="66"/>
      <c r="F1775" s="66"/>
      <c r="G1775" s="65"/>
      <c r="H1775" s="67"/>
      <c r="I1775" s="65"/>
    </row>
    <row r="1776" spans="2:9" x14ac:dyDescent="0.25">
      <c r="B1776" s="58"/>
      <c r="C1776" s="59"/>
      <c r="D1776" s="60"/>
      <c r="E1776" s="61"/>
      <c r="F1776" s="61"/>
      <c r="G1776" s="60"/>
      <c r="H1776" s="62"/>
      <c r="I1776" s="60"/>
    </row>
    <row r="1777" spans="2:9" x14ac:dyDescent="0.25">
      <c r="B1777" s="63"/>
      <c r="C1777" s="64"/>
      <c r="D1777" s="65"/>
      <c r="E1777" s="66"/>
      <c r="F1777" s="66"/>
      <c r="G1777" s="65"/>
      <c r="H1777" s="67"/>
      <c r="I1777" s="65"/>
    </row>
    <row r="1778" spans="2:9" x14ac:dyDescent="0.25">
      <c r="B1778" s="58"/>
      <c r="C1778" s="59"/>
      <c r="D1778" s="60"/>
      <c r="E1778" s="61"/>
      <c r="F1778" s="61"/>
      <c r="G1778" s="60"/>
      <c r="H1778" s="62"/>
      <c r="I1778" s="60"/>
    </row>
    <row r="1779" spans="2:9" x14ac:dyDescent="0.25">
      <c r="B1779" s="63"/>
      <c r="C1779" s="64"/>
      <c r="D1779" s="65"/>
      <c r="E1779" s="66"/>
      <c r="F1779" s="66"/>
      <c r="G1779" s="65"/>
      <c r="H1779" s="67"/>
      <c r="I1779" s="65"/>
    </row>
    <row r="1780" spans="2:9" x14ac:dyDescent="0.25">
      <c r="B1780" s="58"/>
      <c r="C1780" s="59"/>
      <c r="D1780" s="60"/>
      <c r="E1780" s="61"/>
      <c r="F1780" s="61"/>
      <c r="G1780" s="60"/>
      <c r="H1780" s="62"/>
      <c r="I1780" s="60"/>
    </row>
    <row r="1781" spans="2:9" x14ac:dyDescent="0.25">
      <c r="B1781" s="63"/>
      <c r="C1781" s="64"/>
      <c r="D1781" s="65"/>
      <c r="E1781" s="66"/>
      <c r="F1781" s="66"/>
      <c r="G1781" s="65"/>
      <c r="H1781" s="67"/>
      <c r="I1781" s="65"/>
    </row>
    <row r="1782" spans="2:9" x14ac:dyDescent="0.25">
      <c r="B1782" s="58"/>
      <c r="C1782" s="59"/>
      <c r="D1782" s="60"/>
      <c r="E1782" s="61"/>
      <c r="F1782" s="61"/>
      <c r="G1782" s="60"/>
      <c r="H1782" s="62"/>
      <c r="I1782" s="60"/>
    </row>
    <row r="1783" spans="2:9" x14ac:dyDescent="0.25">
      <c r="B1783" s="63"/>
      <c r="C1783" s="64"/>
      <c r="D1783" s="65"/>
      <c r="E1783" s="66"/>
      <c r="F1783" s="66"/>
      <c r="G1783" s="65"/>
      <c r="H1783" s="67"/>
      <c r="I1783" s="65"/>
    </row>
    <row r="1784" spans="2:9" x14ac:dyDescent="0.25">
      <c r="B1784" s="58"/>
      <c r="C1784" s="59"/>
      <c r="D1784" s="60"/>
      <c r="E1784" s="61"/>
      <c r="F1784" s="61"/>
      <c r="G1784" s="60"/>
      <c r="H1784" s="62"/>
      <c r="I1784" s="60"/>
    </row>
    <row r="1785" spans="2:9" x14ac:dyDescent="0.25">
      <c r="B1785" s="63"/>
      <c r="C1785" s="64"/>
      <c r="D1785" s="65"/>
      <c r="E1785" s="66"/>
      <c r="F1785" s="66"/>
      <c r="G1785" s="65"/>
      <c r="H1785" s="67"/>
      <c r="I1785" s="65"/>
    </row>
    <row r="1786" spans="2:9" x14ac:dyDescent="0.25">
      <c r="B1786" s="58"/>
      <c r="C1786" s="59"/>
      <c r="D1786" s="60"/>
      <c r="E1786" s="61"/>
      <c r="F1786" s="61"/>
      <c r="G1786" s="60"/>
      <c r="H1786" s="62"/>
      <c r="I1786" s="60"/>
    </row>
    <row r="1787" spans="2:9" x14ac:dyDescent="0.25">
      <c r="B1787" s="63"/>
      <c r="C1787" s="64"/>
      <c r="D1787" s="65"/>
      <c r="E1787" s="66"/>
      <c r="F1787" s="66"/>
      <c r="G1787" s="65"/>
      <c r="H1787" s="67"/>
      <c r="I1787" s="65"/>
    </row>
    <row r="1788" spans="2:9" x14ac:dyDescent="0.25">
      <c r="B1788" s="58"/>
      <c r="C1788" s="59"/>
      <c r="D1788" s="60"/>
      <c r="E1788" s="61"/>
      <c r="F1788" s="61"/>
      <c r="G1788" s="60"/>
      <c r="H1788" s="62"/>
      <c r="I1788" s="60"/>
    </row>
    <row r="1789" spans="2:9" x14ac:dyDescent="0.25">
      <c r="B1789" s="63"/>
      <c r="C1789" s="64"/>
      <c r="D1789" s="65"/>
      <c r="E1789" s="66"/>
      <c r="F1789" s="66"/>
      <c r="G1789" s="65"/>
      <c r="H1789" s="67"/>
      <c r="I1789" s="65"/>
    </row>
    <row r="1790" spans="2:9" x14ac:dyDescent="0.25">
      <c r="B1790" s="58"/>
      <c r="C1790" s="59"/>
      <c r="D1790" s="60"/>
      <c r="E1790" s="61"/>
      <c r="F1790" s="61"/>
      <c r="G1790" s="60"/>
      <c r="H1790" s="62"/>
      <c r="I1790" s="60"/>
    </row>
    <row r="1791" spans="2:9" x14ac:dyDescent="0.25">
      <c r="B1791" s="63"/>
      <c r="C1791" s="64"/>
      <c r="D1791" s="65"/>
      <c r="E1791" s="66"/>
      <c r="F1791" s="66"/>
      <c r="G1791" s="65"/>
      <c r="H1791" s="67"/>
      <c r="I1791" s="65"/>
    </row>
    <row r="1792" spans="2:9" x14ac:dyDescent="0.25">
      <c r="B1792" s="58"/>
      <c r="C1792" s="59"/>
      <c r="D1792" s="60"/>
      <c r="E1792" s="61"/>
      <c r="F1792" s="61"/>
      <c r="G1792" s="60"/>
      <c r="H1792" s="62"/>
      <c r="I1792" s="60"/>
    </row>
    <row r="1793" spans="2:9" x14ac:dyDescent="0.25">
      <c r="B1793" s="63"/>
      <c r="C1793" s="64"/>
      <c r="D1793" s="65"/>
      <c r="E1793" s="66"/>
      <c r="F1793" s="66"/>
      <c r="G1793" s="65"/>
      <c r="H1793" s="67"/>
      <c r="I1793" s="65"/>
    </row>
    <row r="1794" spans="2:9" x14ac:dyDescent="0.25">
      <c r="B1794" s="58"/>
      <c r="C1794" s="59"/>
      <c r="D1794" s="60"/>
      <c r="E1794" s="61"/>
      <c r="F1794" s="61"/>
      <c r="G1794" s="60"/>
      <c r="H1794" s="62"/>
      <c r="I1794" s="60"/>
    </row>
    <row r="1795" spans="2:9" x14ac:dyDescent="0.25">
      <c r="B1795" s="63"/>
      <c r="C1795" s="64"/>
      <c r="D1795" s="65"/>
      <c r="E1795" s="66"/>
      <c r="F1795" s="66"/>
      <c r="G1795" s="65"/>
      <c r="H1795" s="67"/>
      <c r="I1795" s="65"/>
    </row>
    <row r="1796" spans="2:9" x14ac:dyDescent="0.25">
      <c r="B1796" s="58"/>
      <c r="C1796" s="59"/>
      <c r="D1796" s="60"/>
      <c r="E1796" s="61"/>
      <c r="F1796" s="61"/>
      <c r="G1796" s="60"/>
      <c r="H1796" s="62"/>
      <c r="I1796" s="60"/>
    </row>
    <row r="1797" spans="2:9" x14ac:dyDescent="0.25">
      <c r="B1797" s="63"/>
      <c r="C1797" s="64"/>
      <c r="D1797" s="65"/>
      <c r="E1797" s="66"/>
      <c r="F1797" s="66"/>
      <c r="G1797" s="65"/>
      <c r="H1797" s="67"/>
      <c r="I1797" s="65"/>
    </row>
    <row r="1798" spans="2:9" x14ac:dyDescent="0.25">
      <c r="B1798" s="58"/>
      <c r="C1798" s="59"/>
      <c r="D1798" s="60"/>
      <c r="E1798" s="61"/>
      <c r="F1798" s="61"/>
      <c r="G1798" s="60"/>
      <c r="H1798" s="62"/>
      <c r="I1798" s="60"/>
    </row>
    <row r="1799" spans="2:9" x14ac:dyDescent="0.25">
      <c r="B1799" s="63"/>
      <c r="C1799" s="64"/>
      <c r="D1799" s="65"/>
      <c r="E1799" s="66"/>
      <c r="F1799" s="66"/>
      <c r="G1799" s="65"/>
      <c r="H1799" s="67"/>
      <c r="I1799" s="65"/>
    </row>
    <row r="1800" spans="2:9" x14ac:dyDescent="0.25">
      <c r="B1800" s="58"/>
      <c r="C1800" s="59"/>
      <c r="D1800" s="60"/>
      <c r="E1800" s="61"/>
      <c r="F1800" s="61"/>
      <c r="G1800" s="60"/>
      <c r="H1800" s="62"/>
      <c r="I1800" s="60"/>
    </row>
    <row r="1801" spans="2:9" x14ac:dyDescent="0.25">
      <c r="B1801" s="63"/>
      <c r="C1801" s="64"/>
      <c r="D1801" s="65"/>
      <c r="E1801" s="66"/>
      <c r="F1801" s="66"/>
      <c r="G1801" s="65"/>
      <c r="H1801" s="67"/>
      <c r="I1801" s="65"/>
    </row>
    <row r="1802" spans="2:9" x14ac:dyDescent="0.25">
      <c r="B1802" s="58"/>
      <c r="C1802" s="59"/>
      <c r="D1802" s="60"/>
      <c r="E1802" s="61"/>
      <c r="F1802" s="61"/>
      <c r="G1802" s="60"/>
      <c r="H1802" s="62"/>
      <c r="I1802" s="60"/>
    </row>
    <row r="1803" spans="2:9" x14ac:dyDescent="0.25">
      <c r="B1803" s="63"/>
      <c r="C1803" s="64"/>
      <c r="D1803" s="65"/>
      <c r="E1803" s="66"/>
      <c r="F1803" s="66"/>
      <c r="G1803" s="65"/>
      <c r="H1803" s="67"/>
      <c r="I1803" s="65"/>
    </row>
    <row r="1804" spans="2:9" x14ac:dyDescent="0.25">
      <c r="B1804" s="58"/>
      <c r="C1804" s="59"/>
      <c r="D1804" s="60"/>
      <c r="E1804" s="61"/>
      <c r="F1804" s="61"/>
      <c r="G1804" s="60"/>
      <c r="H1804" s="62"/>
      <c r="I1804" s="60"/>
    </row>
    <row r="1805" spans="2:9" x14ac:dyDescent="0.25">
      <c r="B1805" s="63"/>
      <c r="C1805" s="64"/>
      <c r="D1805" s="65"/>
      <c r="E1805" s="66"/>
      <c r="F1805" s="66"/>
      <c r="G1805" s="65"/>
      <c r="H1805" s="67"/>
      <c r="I1805" s="65"/>
    </row>
    <row r="1806" spans="2:9" x14ac:dyDescent="0.25">
      <c r="B1806" s="58"/>
      <c r="C1806" s="59"/>
      <c r="D1806" s="60"/>
      <c r="E1806" s="61"/>
      <c r="F1806" s="61"/>
      <c r="G1806" s="60"/>
      <c r="H1806" s="62"/>
      <c r="I1806" s="60"/>
    </row>
    <row r="1807" spans="2:9" x14ac:dyDescent="0.25">
      <c r="B1807" s="63"/>
      <c r="C1807" s="64"/>
      <c r="D1807" s="65"/>
      <c r="E1807" s="66"/>
      <c r="F1807" s="66"/>
      <c r="G1807" s="65"/>
      <c r="H1807" s="67"/>
      <c r="I1807" s="65"/>
    </row>
    <row r="1808" spans="2:9" x14ac:dyDescent="0.25">
      <c r="B1808" s="58"/>
      <c r="C1808" s="59"/>
      <c r="D1808" s="60"/>
      <c r="E1808" s="61"/>
      <c r="F1808" s="61"/>
      <c r="G1808" s="60"/>
      <c r="H1808" s="62"/>
      <c r="I1808" s="60"/>
    </row>
    <row r="1809" spans="2:9" x14ac:dyDescent="0.25">
      <c r="B1809" s="63"/>
      <c r="C1809" s="64"/>
      <c r="D1809" s="65"/>
      <c r="E1809" s="66"/>
      <c r="F1809" s="66"/>
      <c r="G1809" s="65"/>
      <c r="H1809" s="67"/>
      <c r="I1809" s="65"/>
    </row>
    <row r="1810" spans="2:9" x14ac:dyDescent="0.25">
      <c r="B1810" s="58"/>
      <c r="C1810" s="59"/>
      <c r="D1810" s="60"/>
      <c r="E1810" s="61"/>
      <c r="F1810" s="61"/>
      <c r="G1810" s="60"/>
      <c r="H1810" s="62"/>
      <c r="I1810" s="60"/>
    </row>
    <row r="1811" spans="2:9" x14ac:dyDescent="0.25">
      <c r="B1811" s="63"/>
      <c r="C1811" s="64"/>
      <c r="D1811" s="65"/>
      <c r="E1811" s="66"/>
      <c r="F1811" s="66"/>
      <c r="G1811" s="65"/>
      <c r="H1811" s="67"/>
      <c r="I1811" s="65"/>
    </row>
    <row r="1812" spans="2:9" x14ac:dyDescent="0.25">
      <c r="B1812" s="58"/>
      <c r="C1812" s="59"/>
      <c r="D1812" s="60"/>
      <c r="E1812" s="61"/>
      <c r="F1812" s="61"/>
      <c r="G1812" s="60"/>
      <c r="H1812" s="62"/>
      <c r="I1812" s="60"/>
    </row>
    <row r="1813" spans="2:9" x14ac:dyDescent="0.25">
      <c r="B1813" s="63"/>
      <c r="C1813" s="64"/>
      <c r="D1813" s="65"/>
      <c r="E1813" s="66"/>
      <c r="F1813" s="66"/>
      <c r="G1813" s="65"/>
      <c r="H1813" s="67"/>
      <c r="I1813" s="65"/>
    </row>
    <row r="1814" spans="2:9" x14ac:dyDescent="0.25">
      <c r="B1814" s="58"/>
      <c r="C1814" s="59"/>
      <c r="D1814" s="60"/>
      <c r="E1814" s="61"/>
      <c r="F1814" s="61"/>
      <c r="G1814" s="60"/>
      <c r="H1814" s="62"/>
      <c r="I1814" s="60"/>
    </row>
    <row r="1815" spans="2:9" x14ac:dyDescent="0.25">
      <c r="B1815" s="63"/>
      <c r="C1815" s="64"/>
      <c r="D1815" s="65"/>
      <c r="E1815" s="66"/>
      <c r="F1815" s="66"/>
      <c r="G1815" s="65"/>
      <c r="H1815" s="67"/>
      <c r="I1815" s="65"/>
    </row>
    <row r="1816" spans="2:9" x14ac:dyDescent="0.25">
      <c r="B1816" s="58"/>
      <c r="C1816" s="59"/>
      <c r="D1816" s="60"/>
      <c r="E1816" s="61"/>
      <c r="F1816" s="61"/>
      <c r="G1816" s="60"/>
      <c r="H1816" s="62"/>
      <c r="I1816" s="60"/>
    </row>
    <row r="1817" spans="2:9" x14ac:dyDescent="0.25">
      <c r="B1817" s="63"/>
      <c r="C1817" s="64"/>
      <c r="D1817" s="65"/>
      <c r="E1817" s="66"/>
      <c r="F1817" s="66"/>
      <c r="G1817" s="65"/>
      <c r="H1817" s="67"/>
      <c r="I1817" s="65"/>
    </row>
    <row r="1818" spans="2:9" x14ac:dyDescent="0.25">
      <c r="B1818" s="58"/>
      <c r="C1818" s="59"/>
      <c r="D1818" s="60"/>
      <c r="E1818" s="61"/>
      <c r="F1818" s="61"/>
      <c r="G1818" s="60"/>
      <c r="H1818" s="62"/>
      <c r="I1818" s="60"/>
    </row>
    <row r="1819" spans="2:9" x14ac:dyDescent="0.25">
      <c r="B1819" s="63"/>
      <c r="C1819" s="64"/>
      <c r="D1819" s="65"/>
      <c r="E1819" s="66"/>
      <c r="F1819" s="66"/>
      <c r="G1819" s="65"/>
      <c r="H1819" s="67"/>
      <c r="I1819" s="65"/>
    </row>
    <row r="1820" spans="2:9" x14ac:dyDescent="0.25">
      <c r="B1820" s="58"/>
      <c r="C1820" s="59"/>
      <c r="D1820" s="60"/>
      <c r="E1820" s="61"/>
      <c r="F1820" s="61"/>
      <c r="G1820" s="60"/>
      <c r="H1820" s="62"/>
      <c r="I1820" s="60"/>
    </row>
    <row r="1821" spans="2:9" x14ac:dyDescent="0.25">
      <c r="B1821" s="63"/>
      <c r="C1821" s="64"/>
      <c r="D1821" s="65"/>
      <c r="E1821" s="66"/>
      <c r="F1821" s="66"/>
      <c r="G1821" s="65"/>
      <c r="H1821" s="67"/>
      <c r="I1821" s="65"/>
    </row>
    <row r="1822" spans="2:9" x14ac:dyDescent="0.25">
      <c r="B1822" s="58"/>
      <c r="C1822" s="59"/>
      <c r="D1822" s="60"/>
      <c r="E1822" s="61"/>
      <c r="F1822" s="61"/>
      <c r="G1822" s="60"/>
      <c r="H1822" s="62"/>
      <c r="I1822" s="60"/>
    </row>
    <row r="1823" spans="2:9" x14ac:dyDescent="0.25">
      <c r="B1823" s="63"/>
      <c r="C1823" s="64"/>
      <c r="D1823" s="65"/>
      <c r="E1823" s="66"/>
      <c r="F1823" s="66"/>
      <c r="G1823" s="65"/>
      <c r="H1823" s="67"/>
      <c r="I1823" s="65"/>
    </row>
    <row r="1824" spans="2:9" x14ac:dyDescent="0.25">
      <c r="B1824" s="58"/>
      <c r="C1824" s="59"/>
      <c r="D1824" s="60"/>
      <c r="E1824" s="61"/>
      <c r="F1824" s="61"/>
      <c r="G1824" s="60"/>
      <c r="H1824" s="62"/>
      <c r="I1824" s="60"/>
    </row>
    <row r="1825" spans="2:9" x14ac:dyDescent="0.25">
      <c r="B1825" s="63"/>
      <c r="C1825" s="64"/>
      <c r="D1825" s="65"/>
      <c r="E1825" s="66"/>
      <c r="F1825" s="66"/>
      <c r="G1825" s="65"/>
      <c r="H1825" s="67"/>
      <c r="I1825" s="65"/>
    </row>
    <row r="1826" spans="2:9" x14ac:dyDescent="0.25">
      <c r="B1826" s="58"/>
      <c r="C1826" s="59"/>
      <c r="D1826" s="60"/>
      <c r="E1826" s="61"/>
      <c r="F1826" s="61"/>
      <c r="G1826" s="60"/>
      <c r="H1826" s="62"/>
      <c r="I1826" s="60"/>
    </row>
    <row r="1827" spans="2:9" x14ac:dyDescent="0.25">
      <c r="B1827" s="63"/>
      <c r="C1827" s="64"/>
      <c r="D1827" s="65"/>
      <c r="E1827" s="66"/>
      <c r="F1827" s="66"/>
      <c r="G1827" s="65"/>
      <c r="H1827" s="67"/>
      <c r="I1827" s="65"/>
    </row>
    <row r="1828" spans="2:9" x14ac:dyDescent="0.25">
      <c r="B1828" s="58"/>
      <c r="C1828" s="59"/>
      <c r="D1828" s="60"/>
      <c r="E1828" s="61"/>
      <c r="F1828" s="61"/>
      <c r="G1828" s="60"/>
      <c r="H1828" s="62"/>
      <c r="I1828" s="60"/>
    </row>
    <row r="1829" spans="2:9" x14ac:dyDescent="0.25">
      <c r="B1829" s="63"/>
      <c r="C1829" s="64"/>
      <c r="D1829" s="65"/>
      <c r="E1829" s="66"/>
      <c r="F1829" s="66"/>
      <c r="G1829" s="65"/>
      <c r="H1829" s="67"/>
      <c r="I1829" s="65"/>
    </row>
    <row r="1830" spans="2:9" x14ac:dyDescent="0.25">
      <c r="B1830" s="58"/>
      <c r="C1830" s="59"/>
      <c r="D1830" s="60"/>
      <c r="E1830" s="61"/>
      <c r="F1830" s="61"/>
      <c r="G1830" s="60"/>
      <c r="H1830" s="62"/>
      <c r="I1830" s="60"/>
    </row>
    <row r="1831" spans="2:9" x14ac:dyDescent="0.25">
      <c r="B1831" s="63"/>
      <c r="C1831" s="64"/>
      <c r="D1831" s="65"/>
      <c r="E1831" s="66"/>
      <c r="F1831" s="66"/>
      <c r="G1831" s="65"/>
      <c r="H1831" s="67"/>
      <c r="I1831" s="65"/>
    </row>
    <row r="1832" spans="2:9" x14ac:dyDescent="0.25">
      <c r="B1832" s="58"/>
      <c r="C1832" s="59"/>
      <c r="D1832" s="60"/>
      <c r="E1832" s="61"/>
      <c r="F1832" s="61"/>
      <c r="G1832" s="60"/>
      <c r="H1832" s="62"/>
      <c r="I1832" s="60"/>
    </row>
    <row r="1833" spans="2:9" x14ac:dyDescent="0.25">
      <c r="B1833" s="63"/>
      <c r="C1833" s="64"/>
      <c r="D1833" s="65"/>
      <c r="E1833" s="66"/>
      <c r="F1833" s="66"/>
      <c r="G1833" s="65"/>
      <c r="H1833" s="67"/>
      <c r="I1833" s="65"/>
    </row>
    <row r="1834" spans="2:9" x14ac:dyDescent="0.25">
      <c r="B1834" s="58"/>
      <c r="C1834" s="59"/>
      <c r="D1834" s="60"/>
      <c r="E1834" s="61"/>
      <c r="F1834" s="61"/>
      <c r="G1834" s="60"/>
      <c r="H1834" s="62"/>
      <c r="I1834" s="60"/>
    </row>
    <row r="1835" spans="2:9" x14ac:dyDescent="0.25">
      <c r="B1835" s="63"/>
      <c r="C1835" s="64"/>
      <c r="D1835" s="65"/>
      <c r="E1835" s="66"/>
      <c r="F1835" s="66"/>
      <c r="G1835" s="65"/>
      <c r="H1835" s="67"/>
      <c r="I1835" s="65"/>
    </row>
    <row r="1836" spans="2:9" x14ac:dyDescent="0.25">
      <c r="B1836" s="58"/>
      <c r="C1836" s="59"/>
      <c r="D1836" s="60"/>
      <c r="E1836" s="61"/>
      <c r="F1836" s="61"/>
      <c r="G1836" s="60"/>
      <c r="H1836" s="62"/>
      <c r="I1836" s="60"/>
    </row>
    <row r="1837" spans="2:9" x14ac:dyDescent="0.25">
      <c r="B1837" s="63"/>
      <c r="C1837" s="64"/>
      <c r="D1837" s="65"/>
      <c r="E1837" s="66"/>
      <c r="F1837" s="66"/>
      <c r="G1837" s="65"/>
      <c r="H1837" s="67"/>
      <c r="I1837" s="65"/>
    </row>
    <row r="1838" spans="2:9" x14ac:dyDescent="0.25">
      <c r="B1838" s="58"/>
      <c r="C1838" s="59"/>
      <c r="D1838" s="60"/>
      <c r="E1838" s="61"/>
      <c r="F1838" s="61"/>
      <c r="G1838" s="60"/>
      <c r="H1838" s="62"/>
      <c r="I1838" s="60"/>
    </row>
    <row r="1839" spans="2:9" x14ac:dyDescent="0.25">
      <c r="B1839" s="63"/>
      <c r="C1839" s="64"/>
      <c r="D1839" s="65"/>
      <c r="E1839" s="66"/>
      <c r="F1839" s="66"/>
      <c r="G1839" s="65"/>
      <c r="H1839" s="67"/>
      <c r="I1839" s="65"/>
    </row>
    <row r="1840" spans="2:9" x14ac:dyDescent="0.25">
      <c r="B1840" s="58"/>
      <c r="C1840" s="59"/>
      <c r="D1840" s="60"/>
      <c r="E1840" s="61"/>
      <c r="F1840" s="61"/>
      <c r="G1840" s="60"/>
      <c r="H1840" s="62"/>
      <c r="I1840" s="60"/>
    </row>
    <row r="1841" spans="2:9" x14ac:dyDescent="0.25">
      <c r="B1841" s="63"/>
      <c r="C1841" s="64"/>
      <c r="D1841" s="65"/>
      <c r="E1841" s="66"/>
      <c r="F1841" s="66"/>
      <c r="G1841" s="65"/>
      <c r="H1841" s="67"/>
      <c r="I1841" s="65"/>
    </row>
    <row r="1842" spans="2:9" x14ac:dyDescent="0.25">
      <c r="B1842" s="58"/>
      <c r="C1842" s="59"/>
      <c r="D1842" s="60"/>
      <c r="E1842" s="61"/>
      <c r="F1842" s="61"/>
      <c r="G1842" s="60"/>
      <c r="H1842" s="62"/>
      <c r="I1842" s="60"/>
    </row>
    <row r="1843" spans="2:9" x14ac:dyDescent="0.25">
      <c r="B1843" s="63"/>
      <c r="C1843" s="64"/>
      <c r="D1843" s="65"/>
      <c r="E1843" s="66"/>
      <c r="F1843" s="66"/>
      <c r="G1843" s="65"/>
      <c r="H1843" s="67"/>
      <c r="I1843" s="65"/>
    </row>
    <row r="1844" spans="2:9" x14ac:dyDescent="0.25">
      <c r="B1844" s="58"/>
      <c r="C1844" s="59"/>
      <c r="D1844" s="60"/>
      <c r="E1844" s="61"/>
      <c r="F1844" s="61"/>
      <c r="G1844" s="60"/>
      <c r="H1844" s="62"/>
      <c r="I1844" s="60"/>
    </row>
    <row r="1845" spans="2:9" x14ac:dyDescent="0.25">
      <c r="B1845" s="63"/>
      <c r="C1845" s="64"/>
      <c r="D1845" s="65"/>
      <c r="E1845" s="66"/>
      <c r="F1845" s="66"/>
      <c r="G1845" s="65"/>
      <c r="H1845" s="67"/>
      <c r="I1845" s="65"/>
    </row>
    <row r="1846" spans="2:9" x14ac:dyDescent="0.25">
      <c r="B1846" s="63"/>
      <c r="C1846" s="64"/>
      <c r="D1846" s="65"/>
      <c r="E1846" s="66"/>
      <c r="F1846" s="66"/>
      <c r="G1846" s="65"/>
      <c r="H1846" s="67"/>
      <c r="I1846" s="65"/>
    </row>
    <row r="1847" spans="2:9" x14ac:dyDescent="0.25">
      <c r="B1847" s="58"/>
      <c r="C1847" s="59"/>
      <c r="D1847" s="60"/>
      <c r="E1847" s="61"/>
      <c r="F1847" s="61"/>
      <c r="G1847" s="60"/>
      <c r="H1847" s="62"/>
      <c r="I1847" s="60"/>
    </row>
    <row r="1848" spans="2:9" x14ac:dyDescent="0.25">
      <c r="B1848" s="63"/>
      <c r="C1848" s="64"/>
      <c r="D1848" s="65"/>
      <c r="E1848" s="66"/>
      <c r="F1848" s="66"/>
      <c r="G1848" s="65"/>
      <c r="H1848" s="67"/>
      <c r="I1848" s="65"/>
    </row>
    <row r="1849" spans="2:9" x14ac:dyDescent="0.25">
      <c r="B1849" s="58"/>
      <c r="C1849" s="59"/>
      <c r="D1849" s="60"/>
      <c r="E1849" s="61"/>
      <c r="F1849" s="61"/>
      <c r="G1849" s="60"/>
      <c r="H1849" s="62"/>
      <c r="I1849" s="60"/>
    </row>
    <row r="1850" spans="2:9" x14ac:dyDescent="0.25">
      <c r="B1850" s="63"/>
      <c r="C1850" s="64"/>
      <c r="D1850" s="65"/>
      <c r="E1850" s="66"/>
      <c r="F1850" s="66"/>
      <c r="G1850" s="65"/>
      <c r="H1850" s="67"/>
      <c r="I1850" s="65"/>
    </row>
    <row r="1851" spans="2:9" x14ac:dyDescent="0.25">
      <c r="B1851" s="58"/>
      <c r="C1851" s="59"/>
      <c r="D1851" s="60"/>
      <c r="E1851" s="61"/>
      <c r="F1851" s="61"/>
      <c r="G1851" s="60"/>
      <c r="H1851" s="62"/>
      <c r="I1851" s="60"/>
    </row>
    <row r="1852" spans="2:9" x14ac:dyDescent="0.25">
      <c r="B1852" s="63"/>
      <c r="C1852" s="64"/>
      <c r="D1852" s="65"/>
      <c r="E1852" s="66"/>
      <c r="F1852" s="66"/>
      <c r="G1852" s="65"/>
      <c r="H1852" s="67"/>
      <c r="I1852" s="65"/>
    </row>
    <row r="1853" spans="2:9" x14ac:dyDescent="0.25">
      <c r="B1853" s="58"/>
      <c r="C1853" s="59"/>
      <c r="D1853" s="60"/>
      <c r="E1853" s="61"/>
      <c r="F1853" s="61"/>
      <c r="G1853" s="60"/>
      <c r="H1853" s="62"/>
      <c r="I1853" s="60"/>
    </row>
    <row r="1854" spans="2:9" x14ac:dyDescent="0.25">
      <c r="B1854" s="63"/>
      <c r="C1854" s="64"/>
      <c r="D1854" s="65"/>
      <c r="E1854" s="66"/>
      <c r="F1854" s="66"/>
      <c r="G1854" s="65"/>
      <c r="H1854" s="67"/>
      <c r="I1854" s="65"/>
    </row>
    <row r="1855" spans="2:9" x14ac:dyDescent="0.25">
      <c r="B1855" s="58"/>
      <c r="C1855" s="59"/>
      <c r="D1855" s="60"/>
      <c r="E1855" s="61"/>
      <c r="F1855" s="61"/>
      <c r="G1855" s="60"/>
      <c r="H1855" s="62"/>
      <c r="I1855" s="60"/>
    </row>
    <row r="1856" spans="2:9" x14ac:dyDescent="0.25">
      <c r="B1856" s="63"/>
      <c r="C1856" s="64"/>
      <c r="D1856" s="65"/>
      <c r="E1856" s="66"/>
      <c r="F1856" s="66"/>
      <c r="G1856" s="65"/>
      <c r="H1856" s="67"/>
      <c r="I1856" s="65"/>
    </row>
    <row r="1857" spans="2:9" x14ac:dyDescent="0.25">
      <c r="B1857" s="58"/>
      <c r="C1857" s="59"/>
      <c r="D1857" s="60"/>
      <c r="E1857" s="61"/>
      <c r="F1857" s="61"/>
      <c r="G1857" s="60"/>
      <c r="H1857" s="62"/>
      <c r="I1857" s="60"/>
    </row>
    <row r="1858" spans="2:9" x14ac:dyDescent="0.25">
      <c r="B1858" s="63"/>
      <c r="C1858" s="64"/>
      <c r="D1858" s="65"/>
      <c r="E1858" s="66"/>
      <c r="F1858" s="66"/>
      <c r="G1858" s="65"/>
      <c r="H1858" s="67"/>
      <c r="I1858" s="65"/>
    </row>
    <row r="1859" spans="2:9" x14ac:dyDescent="0.25">
      <c r="B1859" s="58"/>
      <c r="C1859" s="59"/>
      <c r="D1859" s="60"/>
      <c r="E1859" s="61"/>
      <c r="F1859" s="61"/>
      <c r="G1859" s="60"/>
      <c r="H1859" s="62"/>
      <c r="I1859" s="60"/>
    </row>
    <row r="1860" spans="2:9" x14ac:dyDescent="0.25">
      <c r="B1860" s="63"/>
      <c r="C1860" s="64"/>
      <c r="D1860" s="65"/>
      <c r="E1860" s="66"/>
      <c r="F1860" s="66"/>
      <c r="G1860" s="65"/>
      <c r="H1860" s="67"/>
      <c r="I1860" s="65"/>
    </row>
    <row r="1861" spans="2:9" x14ac:dyDescent="0.25">
      <c r="B1861" s="58"/>
      <c r="C1861" s="59"/>
      <c r="D1861" s="60"/>
      <c r="E1861" s="61"/>
      <c r="F1861" s="61"/>
      <c r="G1861" s="60"/>
      <c r="H1861" s="62"/>
      <c r="I1861" s="60"/>
    </row>
    <row r="1862" spans="2:9" x14ac:dyDescent="0.25">
      <c r="B1862" s="63"/>
      <c r="C1862" s="64"/>
      <c r="D1862" s="65"/>
      <c r="E1862" s="66"/>
      <c r="F1862" s="66"/>
      <c r="G1862" s="65"/>
      <c r="H1862" s="67"/>
      <c r="I1862" s="65"/>
    </row>
    <row r="1863" spans="2:9" x14ac:dyDescent="0.25">
      <c r="B1863" s="58"/>
      <c r="C1863" s="59"/>
      <c r="D1863" s="60"/>
      <c r="E1863" s="61"/>
      <c r="F1863" s="61"/>
      <c r="G1863" s="60"/>
      <c r="H1863" s="62"/>
      <c r="I1863" s="60"/>
    </row>
    <row r="1864" spans="2:9" x14ac:dyDescent="0.25">
      <c r="B1864" s="63"/>
      <c r="C1864" s="64"/>
      <c r="D1864" s="65"/>
      <c r="E1864" s="66"/>
      <c r="F1864" s="66"/>
      <c r="G1864" s="65"/>
      <c r="H1864" s="67"/>
      <c r="I1864" s="65"/>
    </row>
    <row r="1865" spans="2:9" x14ac:dyDescent="0.25">
      <c r="B1865" s="58"/>
      <c r="C1865" s="59"/>
      <c r="D1865" s="60"/>
      <c r="E1865" s="61"/>
      <c r="F1865" s="61"/>
      <c r="G1865" s="60"/>
      <c r="H1865" s="62"/>
      <c r="I1865" s="60"/>
    </row>
    <row r="1866" spans="2:9" x14ac:dyDescent="0.25">
      <c r="B1866" s="63"/>
      <c r="C1866" s="64"/>
      <c r="D1866" s="65"/>
      <c r="E1866" s="66"/>
      <c r="F1866" s="66"/>
      <c r="G1866" s="65"/>
      <c r="H1866" s="67"/>
      <c r="I1866" s="65"/>
    </row>
    <row r="1867" spans="2:9" x14ac:dyDescent="0.25">
      <c r="B1867" s="58"/>
      <c r="C1867" s="59"/>
      <c r="D1867" s="60"/>
      <c r="E1867" s="61"/>
      <c r="F1867" s="61"/>
      <c r="G1867" s="60"/>
      <c r="H1867" s="62"/>
      <c r="I1867" s="60"/>
    </row>
    <row r="1868" spans="2:9" x14ac:dyDescent="0.25">
      <c r="B1868" s="63"/>
      <c r="C1868" s="64"/>
      <c r="D1868" s="65"/>
      <c r="E1868" s="66"/>
      <c r="F1868" s="66"/>
      <c r="G1868" s="65"/>
      <c r="H1868" s="67"/>
      <c r="I1868" s="65"/>
    </row>
    <row r="1869" spans="2:9" x14ac:dyDescent="0.25">
      <c r="B1869" s="58"/>
      <c r="C1869" s="59"/>
      <c r="D1869" s="60"/>
      <c r="E1869" s="61"/>
      <c r="F1869" s="61"/>
      <c r="G1869" s="60"/>
      <c r="H1869" s="62"/>
      <c r="I1869" s="60"/>
    </row>
    <row r="1870" spans="2:9" x14ac:dyDescent="0.25">
      <c r="B1870" s="63"/>
      <c r="C1870" s="64"/>
      <c r="D1870" s="65"/>
      <c r="E1870" s="66"/>
      <c r="F1870" s="66"/>
      <c r="G1870" s="65"/>
      <c r="H1870" s="67"/>
      <c r="I1870" s="65"/>
    </row>
    <row r="1871" spans="2:9" x14ac:dyDescent="0.25">
      <c r="B1871" s="58"/>
      <c r="C1871" s="59"/>
      <c r="D1871" s="60"/>
      <c r="E1871" s="61"/>
      <c r="F1871" s="61"/>
      <c r="G1871" s="60"/>
      <c r="H1871" s="62"/>
      <c r="I1871" s="60"/>
    </row>
    <row r="1872" spans="2:9" x14ac:dyDescent="0.25">
      <c r="B1872" s="63"/>
      <c r="C1872" s="64"/>
      <c r="D1872" s="65"/>
      <c r="E1872" s="66"/>
      <c r="F1872" s="66"/>
      <c r="G1872" s="65"/>
      <c r="H1872" s="67"/>
      <c r="I1872" s="65"/>
    </row>
    <row r="1873" spans="2:9" x14ac:dyDescent="0.25">
      <c r="B1873" s="58"/>
      <c r="C1873" s="59"/>
      <c r="D1873" s="60"/>
      <c r="E1873" s="61"/>
      <c r="F1873" s="61"/>
      <c r="G1873" s="60"/>
      <c r="H1873" s="62"/>
      <c r="I1873" s="60"/>
    </row>
    <row r="1874" spans="2:9" x14ac:dyDescent="0.25">
      <c r="B1874" s="63"/>
      <c r="C1874" s="64"/>
      <c r="D1874" s="65"/>
      <c r="E1874" s="66"/>
      <c r="F1874" s="66"/>
      <c r="G1874" s="65"/>
      <c r="H1874" s="67"/>
      <c r="I1874" s="65"/>
    </row>
    <row r="1875" spans="2:9" x14ac:dyDescent="0.25">
      <c r="B1875" s="58"/>
      <c r="C1875" s="59"/>
      <c r="D1875" s="60"/>
      <c r="E1875" s="61"/>
      <c r="F1875" s="61"/>
      <c r="G1875" s="60"/>
      <c r="H1875" s="62"/>
      <c r="I1875" s="60"/>
    </row>
    <row r="1876" spans="2:9" x14ac:dyDescent="0.25">
      <c r="B1876" s="63"/>
      <c r="C1876" s="64"/>
      <c r="D1876" s="65"/>
      <c r="E1876" s="66"/>
      <c r="F1876" s="66"/>
      <c r="G1876" s="65"/>
      <c r="H1876" s="67"/>
      <c r="I1876" s="65"/>
    </row>
    <row r="1877" spans="2:9" x14ac:dyDescent="0.25">
      <c r="B1877" s="58"/>
      <c r="C1877" s="59"/>
      <c r="D1877" s="60"/>
      <c r="E1877" s="61"/>
      <c r="F1877" s="61"/>
      <c r="G1877" s="60"/>
      <c r="H1877" s="62"/>
      <c r="I1877" s="60"/>
    </row>
    <row r="1878" spans="2:9" x14ac:dyDescent="0.25">
      <c r="B1878" s="63"/>
      <c r="C1878" s="64"/>
      <c r="D1878" s="65"/>
      <c r="E1878" s="66"/>
      <c r="F1878" s="66"/>
      <c r="G1878" s="65"/>
      <c r="H1878" s="67"/>
      <c r="I1878" s="65"/>
    </row>
    <row r="1879" spans="2:9" x14ac:dyDescent="0.25">
      <c r="B1879" s="58"/>
      <c r="C1879" s="59"/>
      <c r="D1879" s="60"/>
      <c r="E1879" s="61"/>
      <c r="F1879" s="61"/>
      <c r="G1879" s="60"/>
      <c r="H1879" s="62"/>
      <c r="I1879" s="60"/>
    </row>
    <row r="1880" spans="2:9" x14ac:dyDescent="0.25">
      <c r="B1880" s="63"/>
      <c r="C1880" s="64"/>
      <c r="D1880" s="65"/>
      <c r="E1880" s="66"/>
      <c r="F1880" s="66"/>
      <c r="G1880" s="65"/>
      <c r="H1880" s="67"/>
      <c r="I1880" s="65"/>
    </row>
    <row r="1881" spans="2:9" x14ac:dyDescent="0.25">
      <c r="B1881" s="58"/>
      <c r="C1881" s="59"/>
      <c r="D1881" s="60"/>
      <c r="E1881" s="61"/>
      <c r="F1881" s="61"/>
      <c r="G1881" s="60"/>
      <c r="H1881" s="62"/>
      <c r="I1881" s="60"/>
    </row>
    <row r="1882" spans="2:9" x14ac:dyDescent="0.25">
      <c r="B1882" s="63"/>
      <c r="C1882" s="64"/>
      <c r="D1882" s="65"/>
      <c r="E1882" s="66"/>
      <c r="F1882" s="66"/>
      <c r="G1882" s="65"/>
      <c r="H1882" s="67"/>
      <c r="I1882" s="65"/>
    </row>
    <row r="1883" spans="2:9" x14ac:dyDescent="0.25">
      <c r="B1883" s="58"/>
      <c r="C1883" s="59"/>
      <c r="D1883" s="60"/>
      <c r="E1883" s="61"/>
      <c r="F1883" s="61"/>
      <c r="G1883" s="60"/>
      <c r="H1883" s="62"/>
      <c r="I1883" s="60"/>
    </row>
    <row r="1884" spans="2:9" x14ac:dyDescent="0.25">
      <c r="B1884" s="63"/>
      <c r="C1884" s="64"/>
      <c r="D1884" s="65"/>
      <c r="E1884" s="66"/>
      <c r="F1884" s="66"/>
      <c r="G1884" s="65"/>
      <c r="H1884" s="67"/>
      <c r="I1884" s="65"/>
    </row>
    <row r="1885" spans="2:9" x14ac:dyDescent="0.25">
      <c r="B1885" s="58"/>
      <c r="C1885" s="59"/>
      <c r="D1885" s="60"/>
      <c r="E1885" s="61"/>
      <c r="F1885" s="61"/>
      <c r="G1885" s="60"/>
      <c r="H1885" s="62"/>
      <c r="I1885" s="60"/>
    </row>
    <row r="1886" spans="2:9" x14ac:dyDescent="0.25">
      <c r="B1886" s="63"/>
      <c r="C1886" s="64"/>
      <c r="D1886" s="65"/>
      <c r="E1886" s="66"/>
      <c r="F1886" s="66"/>
      <c r="G1886" s="65"/>
      <c r="H1886" s="67"/>
      <c r="I1886" s="65"/>
    </row>
    <row r="1887" spans="2:9" x14ac:dyDescent="0.25">
      <c r="B1887" s="58"/>
      <c r="C1887" s="59"/>
      <c r="D1887" s="60"/>
      <c r="E1887" s="61"/>
      <c r="F1887" s="61"/>
      <c r="G1887" s="60"/>
      <c r="H1887" s="62"/>
      <c r="I1887" s="60"/>
    </row>
    <row r="1888" spans="2:9" x14ac:dyDescent="0.25">
      <c r="B1888" s="63"/>
      <c r="C1888" s="64"/>
      <c r="D1888" s="65"/>
      <c r="E1888" s="66"/>
      <c r="F1888" s="66"/>
      <c r="G1888" s="65"/>
      <c r="H1888" s="67"/>
      <c r="I1888" s="65"/>
    </row>
    <row r="1889" spans="2:9" x14ac:dyDescent="0.25">
      <c r="B1889" s="58"/>
      <c r="C1889" s="59"/>
      <c r="D1889" s="60"/>
      <c r="E1889" s="61"/>
      <c r="F1889" s="61"/>
      <c r="G1889" s="60"/>
      <c r="H1889" s="62"/>
      <c r="I1889" s="60"/>
    </row>
    <row r="1890" spans="2:9" x14ac:dyDescent="0.25">
      <c r="B1890" s="63"/>
      <c r="C1890" s="64"/>
      <c r="D1890" s="65"/>
      <c r="E1890" s="66"/>
      <c r="F1890" s="66"/>
      <c r="G1890" s="65"/>
      <c r="H1890" s="67"/>
      <c r="I1890" s="65"/>
    </row>
  </sheetData>
  <mergeCells count="3">
    <mergeCell ref="B6:B7"/>
    <mergeCell ref="C6:C7"/>
    <mergeCell ref="H6:H7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</sheetPr>
  <dimension ref="A1:H502"/>
  <sheetViews>
    <sheetView showZeros="0" workbookViewId="0">
      <pane ySplit="6" topLeftCell="A7" activePane="bottomLeft" state="frozen"/>
      <selection activeCell="R1" sqref="R1:R1048576"/>
      <selection pane="bottomLeft" activeCell="R1" sqref="R1:R1048576"/>
    </sheetView>
  </sheetViews>
  <sheetFormatPr baseColWidth="10" defaultColWidth="9.125" defaultRowHeight="12.9" x14ac:dyDescent="0.2"/>
  <cols>
    <col min="1" max="1" width="10.75" style="118" customWidth="1"/>
    <col min="2" max="2" width="9.125" style="118"/>
    <col min="3" max="3" width="41" style="86" customWidth="1"/>
    <col min="4" max="4" width="10" style="118" customWidth="1"/>
    <col min="5" max="6" width="10.375" style="86" customWidth="1"/>
    <col min="7" max="16384" width="9.125" style="86"/>
  </cols>
  <sheetData>
    <row r="1" spans="1:8" ht="14.3" thickBot="1" x14ac:dyDescent="0.25">
      <c r="A1" s="80"/>
      <c r="B1" s="80"/>
      <c r="C1" s="81"/>
      <c r="D1" s="82" t="s">
        <v>5</v>
      </c>
      <c r="E1" s="83" t="str">
        <f>'Price List'!J6</f>
        <v>EUR</v>
      </c>
      <c r="F1" s="84"/>
      <c r="G1" s="85"/>
      <c r="H1" s="85"/>
    </row>
    <row r="2" spans="1:8" ht="21.1" customHeight="1" thickBot="1" x14ac:dyDescent="0.3">
      <c r="A2" s="80"/>
      <c r="B2" s="80"/>
      <c r="C2" s="81"/>
      <c r="D2" s="82" t="s">
        <v>5458</v>
      </c>
      <c r="E2" s="130">
        <f>SUM(F9:F502)</f>
        <v>0</v>
      </c>
      <c r="F2" s="131"/>
      <c r="G2" s="85"/>
      <c r="H2" s="85"/>
    </row>
    <row r="3" spans="1:8" x14ac:dyDescent="0.2">
      <c r="A3" s="80"/>
      <c r="B3" s="80"/>
      <c r="C3" s="82"/>
      <c r="D3" s="80"/>
      <c r="E3" s="81"/>
      <c r="F3" s="87"/>
      <c r="G3" s="85"/>
      <c r="H3" s="85"/>
    </row>
    <row r="4" spans="1:8" ht="50.95" customHeight="1" x14ac:dyDescent="0.2">
      <c r="A4" s="132" t="str">
        <f>'[3]Price List'!I3</f>
        <v>STANDARD TRADE - GBP</v>
      </c>
      <c r="B4" s="133"/>
      <c r="C4" s="133"/>
      <c r="D4" s="133"/>
      <c r="E4" s="133"/>
      <c r="F4" s="134"/>
      <c r="G4" s="88"/>
      <c r="H4" s="88"/>
    </row>
    <row r="5" spans="1:8" ht="9.6999999999999993" customHeight="1" thickBot="1" x14ac:dyDescent="0.25">
      <c r="A5" s="89">
        <v>0</v>
      </c>
      <c r="B5" s="90"/>
      <c r="C5" s="81"/>
      <c r="D5" s="80"/>
      <c r="E5" s="81"/>
      <c r="F5" s="87"/>
      <c r="G5" s="85"/>
      <c r="H5" s="85"/>
    </row>
    <row r="6" spans="1:8" s="97" customFormat="1" ht="27.2" x14ac:dyDescent="0.25">
      <c r="A6" s="91" t="s">
        <v>5459</v>
      </c>
      <c r="B6" s="91" t="s">
        <v>5460</v>
      </c>
      <c r="C6" s="92" t="s">
        <v>5461</v>
      </c>
      <c r="D6" s="93" t="s">
        <v>5462</v>
      </c>
      <c r="E6" s="94" t="s">
        <v>5463</v>
      </c>
      <c r="F6" s="95" t="s">
        <v>5464</v>
      </c>
      <c r="G6" s="96"/>
      <c r="H6" s="96"/>
    </row>
    <row r="7" spans="1:8" ht="3.1" customHeight="1" x14ac:dyDescent="0.2">
      <c r="A7" s="98" t="s">
        <v>5465</v>
      </c>
      <c r="B7" s="99"/>
      <c r="C7" s="100" t="str">
        <f>IF(ISERROR(VLOOKUP(A7,Orderprice,4,FALSE))," ",(VLOOKUP(A7,Orderprice,4,FALSE)))</f>
        <v xml:space="preserve"> </v>
      </c>
      <c r="D7" s="101" t="str">
        <f>IF(ISERROR(VLOOKUP(A7,Orderprice,6,FALSE))," ",(VLOOKUP(A7,Orderprice,6,FALSE)))</f>
        <v xml:space="preserve"> </v>
      </c>
      <c r="E7" s="102" t="str">
        <f>IF(ISERROR(VLOOKUP(A7,Orderprice,7,FALSE)),"0",VLOOKUP(A7,Orderprice,7,FALSE))</f>
        <v>0</v>
      </c>
      <c r="F7" s="103">
        <f t="shared" ref="F7:F70" si="0">E7*B7</f>
        <v>0</v>
      </c>
    </row>
    <row r="8" spans="1:8" ht="2.25" customHeight="1" x14ac:dyDescent="0.2">
      <c r="A8" s="104" t="s">
        <v>5465</v>
      </c>
      <c r="B8" s="105"/>
      <c r="C8" s="106" t="str">
        <f>IF(ISERROR(VLOOKUP(A8,Orderprice,4,FALSE))," ",(VLOOKUP(A8,Orderprice,4,FALSE)))</f>
        <v xml:space="preserve"> </v>
      </c>
      <c r="D8" s="107" t="str">
        <f>IF(ISERROR(VLOOKUP(A8,Orderprice,6,FALSE))," ",(VLOOKUP(A8,Orderprice,6,FALSE)))</f>
        <v xml:space="preserve"> </v>
      </c>
      <c r="E8" s="108" t="str">
        <f>IF(ISERROR(VLOOKUP(A8,Orderprice,7,FALSE)),"0",VLOOKUP(A8,Orderprice,7,FALSE))</f>
        <v>0</v>
      </c>
      <c r="F8" s="109">
        <f t="shared" si="0"/>
        <v>0</v>
      </c>
    </row>
    <row r="9" spans="1:8" x14ac:dyDescent="0.2">
      <c r="A9" s="110"/>
      <c r="B9" s="111"/>
      <c r="C9" s="112" t="str">
        <f t="shared" ref="C9:C72" si="1">IFERROR(VLOOKUP(A9,ORDERLIST,2,FALSE)," ")</f>
        <v xml:space="preserve"> </v>
      </c>
      <c r="D9" s="113" t="str">
        <f t="shared" ref="D9:D72" si="2">IFERROR(VLOOKUP(A9,ORDERLIST,3,FALSE)," ")</f>
        <v xml:space="preserve"> </v>
      </c>
      <c r="E9" s="114" t="str">
        <f t="shared" ref="E9:E72" si="3">IFERROR(VLOOKUP(A9,ORDERLIST,4,FALSE),"0")</f>
        <v>0</v>
      </c>
      <c r="F9" s="115">
        <f t="shared" si="0"/>
        <v>0</v>
      </c>
    </row>
    <row r="10" spans="1:8" x14ac:dyDescent="0.2">
      <c r="A10" s="110"/>
      <c r="B10" s="111"/>
      <c r="C10" s="112" t="str">
        <f t="shared" si="1"/>
        <v xml:space="preserve"> </v>
      </c>
      <c r="D10" s="113" t="str">
        <f t="shared" si="2"/>
        <v xml:space="preserve"> </v>
      </c>
      <c r="E10" s="114" t="str">
        <f t="shared" si="3"/>
        <v>0</v>
      </c>
      <c r="F10" s="115">
        <f t="shared" si="0"/>
        <v>0</v>
      </c>
    </row>
    <row r="11" spans="1:8" x14ac:dyDescent="0.2">
      <c r="A11" s="110"/>
      <c r="B11" s="111"/>
      <c r="C11" s="112" t="str">
        <f t="shared" si="1"/>
        <v xml:space="preserve"> </v>
      </c>
      <c r="D11" s="113" t="str">
        <f t="shared" si="2"/>
        <v xml:space="preserve"> </v>
      </c>
      <c r="E11" s="114" t="str">
        <f t="shared" si="3"/>
        <v>0</v>
      </c>
      <c r="F11" s="115">
        <f t="shared" si="0"/>
        <v>0</v>
      </c>
    </row>
    <row r="12" spans="1:8" x14ac:dyDescent="0.2">
      <c r="A12" s="110"/>
      <c r="B12" s="111"/>
      <c r="C12" s="112" t="str">
        <f t="shared" si="1"/>
        <v xml:space="preserve"> </v>
      </c>
      <c r="D12" s="113" t="str">
        <f t="shared" si="2"/>
        <v xml:space="preserve"> </v>
      </c>
      <c r="E12" s="114" t="str">
        <f t="shared" si="3"/>
        <v>0</v>
      </c>
      <c r="F12" s="115">
        <f t="shared" si="0"/>
        <v>0</v>
      </c>
    </row>
    <row r="13" spans="1:8" x14ac:dyDescent="0.2">
      <c r="A13" s="110"/>
      <c r="B13" s="111"/>
      <c r="C13" s="112" t="str">
        <f t="shared" si="1"/>
        <v xml:space="preserve"> </v>
      </c>
      <c r="D13" s="113" t="str">
        <f t="shared" si="2"/>
        <v xml:space="preserve"> </v>
      </c>
      <c r="E13" s="114" t="str">
        <f t="shared" si="3"/>
        <v>0</v>
      </c>
      <c r="F13" s="115">
        <f t="shared" si="0"/>
        <v>0</v>
      </c>
    </row>
    <row r="14" spans="1:8" x14ac:dyDescent="0.2">
      <c r="A14" s="110"/>
      <c r="B14" s="111"/>
      <c r="C14" s="112" t="str">
        <f t="shared" si="1"/>
        <v xml:space="preserve"> </v>
      </c>
      <c r="D14" s="113" t="str">
        <f t="shared" si="2"/>
        <v xml:space="preserve"> </v>
      </c>
      <c r="E14" s="114" t="str">
        <f t="shared" si="3"/>
        <v>0</v>
      </c>
      <c r="F14" s="115">
        <f t="shared" si="0"/>
        <v>0</v>
      </c>
    </row>
    <row r="15" spans="1:8" x14ac:dyDescent="0.2">
      <c r="A15" s="110"/>
      <c r="B15" s="111"/>
      <c r="C15" s="112" t="str">
        <f t="shared" si="1"/>
        <v xml:space="preserve"> </v>
      </c>
      <c r="D15" s="113" t="str">
        <f t="shared" si="2"/>
        <v xml:space="preserve"> </v>
      </c>
      <c r="E15" s="114" t="str">
        <f t="shared" si="3"/>
        <v>0</v>
      </c>
      <c r="F15" s="115">
        <f t="shared" si="0"/>
        <v>0</v>
      </c>
    </row>
    <row r="16" spans="1:8" x14ac:dyDescent="0.2">
      <c r="A16" s="110"/>
      <c r="B16" s="111"/>
      <c r="C16" s="112" t="str">
        <f t="shared" si="1"/>
        <v xml:space="preserve"> </v>
      </c>
      <c r="D16" s="113" t="str">
        <f t="shared" si="2"/>
        <v xml:space="preserve"> </v>
      </c>
      <c r="E16" s="114" t="str">
        <f t="shared" si="3"/>
        <v>0</v>
      </c>
      <c r="F16" s="115">
        <f t="shared" si="0"/>
        <v>0</v>
      </c>
    </row>
    <row r="17" spans="1:6" x14ac:dyDescent="0.2">
      <c r="A17" s="110"/>
      <c r="B17" s="111"/>
      <c r="C17" s="112" t="str">
        <f t="shared" si="1"/>
        <v xml:space="preserve"> </v>
      </c>
      <c r="D17" s="113" t="str">
        <f t="shared" si="2"/>
        <v xml:space="preserve"> </v>
      </c>
      <c r="E17" s="114" t="str">
        <f t="shared" si="3"/>
        <v>0</v>
      </c>
      <c r="F17" s="115">
        <f t="shared" si="0"/>
        <v>0</v>
      </c>
    </row>
    <row r="18" spans="1:6" x14ac:dyDescent="0.2">
      <c r="A18" s="110"/>
      <c r="B18" s="111"/>
      <c r="C18" s="112" t="str">
        <f t="shared" si="1"/>
        <v xml:space="preserve"> </v>
      </c>
      <c r="D18" s="113" t="str">
        <f t="shared" si="2"/>
        <v xml:space="preserve"> </v>
      </c>
      <c r="E18" s="114" t="str">
        <f t="shared" si="3"/>
        <v>0</v>
      </c>
      <c r="F18" s="115">
        <f t="shared" si="0"/>
        <v>0</v>
      </c>
    </row>
    <row r="19" spans="1:6" x14ac:dyDescent="0.2">
      <c r="A19" s="110"/>
      <c r="B19" s="111"/>
      <c r="C19" s="112" t="str">
        <f t="shared" si="1"/>
        <v xml:space="preserve"> </v>
      </c>
      <c r="D19" s="113" t="str">
        <f t="shared" si="2"/>
        <v xml:space="preserve"> </v>
      </c>
      <c r="E19" s="114" t="str">
        <f t="shared" si="3"/>
        <v>0</v>
      </c>
      <c r="F19" s="115">
        <f t="shared" si="0"/>
        <v>0</v>
      </c>
    </row>
    <row r="20" spans="1:6" x14ac:dyDescent="0.2">
      <c r="A20" s="110"/>
      <c r="B20" s="111"/>
      <c r="C20" s="112" t="str">
        <f t="shared" si="1"/>
        <v xml:space="preserve"> </v>
      </c>
      <c r="D20" s="113" t="str">
        <f t="shared" si="2"/>
        <v xml:space="preserve"> </v>
      </c>
      <c r="E20" s="114" t="str">
        <f t="shared" si="3"/>
        <v>0</v>
      </c>
      <c r="F20" s="115">
        <f t="shared" si="0"/>
        <v>0</v>
      </c>
    </row>
    <row r="21" spans="1:6" x14ac:dyDescent="0.2">
      <c r="A21" s="110"/>
      <c r="B21" s="111"/>
      <c r="C21" s="112" t="str">
        <f t="shared" si="1"/>
        <v xml:space="preserve"> </v>
      </c>
      <c r="D21" s="113" t="str">
        <f t="shared" si="2"/>
        <v xml:space="preserve"> </v>
      </c>
      <c r="E21" s="114" t="str">
        <f t="shared" si="3"/>
        <v>0</v>
      </c>
      <c r="F21" s="115">
        <f t="shared" si="0"/>
        <v>0</v>
      </c>
    </row>
    <row r="22" spans="1:6" x14ac:dyDescent="0.2">
      <c r="A22" s="110"/>
      <c r="B22" s="111"/>
      <c r="C22" s="112" t="str">
        <f t="shared" si="1"/>
        <v xml:space="preserve"> </v>
      </c>
      <c r="D22" s="113" t="str">
        <f t="shared" si="2"/>
        <v xml:space="preserve"> </v>
      </c>
      <c r="E22" s="114" t="str">
        <f t="shared" si="3"/>
        <v>0</v>
      </c>
      <c r="F22" s="115">
        <f t="shared" si="0"/>
        <v>0</v>
      </c>
    </row>
    <row r="23" spans="1:6" x14ac:dyDescent="0.2">
      <c r="A23" s="110"/>
      <c r="B23" s="111"/>
      <c r="C23" s="112" t="str">
        <f t="shared" si="1"/>
        <v xml:space="preserve"> </v>
      </c>
      <c r="D23" s="113" t="str">
        <f t="shared" si="2"/>
        <v xml:space="preserve"> </v>
      </c>
      <c r="E23" s="114" t="str">
        <f t="shared" si="3"/>
        <v>0</v>
      </c>
      <c r="F23" s="115">
        <f t="shared" si="0"/>
        <v>0</v>
      </c>
    </row>
    <row r="24" spans="1:6" x14ac:dyDescent="0.2">
      <c r="A24" s="110"/>
      <c r="B24" s="111"/>
      <c r="C24" s="112" t="str">
        <f t="shared" si="1"/>
        <v xml:space="preserve"> </v>
      </c>
      <c r="D24" s="113" t="str">
        <f t="shared" si="2"/>
        <v xml:space="preserve"> </v>
      </c>
      <c r="E24" s="114" t="str">
        <f t="shared" si="3"/>
        <v>0</v>
      </c>
      <c r="F24" s="115">
        <f t="shared" si="0"/>
        <v>0</v>
      </c>
    </row>
    <row r="25" spans="1:6" x14ac:dyDescent="0.2">
      <c r="A25" s="110"/>
      <c r="B25" s="111"/>
      <c r="C25" s="112" t="str">
        <f t="shared" si="1"/>
        <v xml:space="preserve"> </v>
      </c>
      <c r="D25" s="113" t="str">
        <f t="shared" si="2"/>
        <v xml:space="preserve"> </v>
      </c>
      <c r="E25" s="114" t="str">
        <f t="shared" si="3"/>
        <v>0</v>
      </c>
      <c r="F25" s="115">
        <f t="shared" si="0"/>
        <v>0</v>
      </c>
    </row>
    <row r="26" spans="1:6" x14ac:dyDescent="0.2">
      <c r="A26" s="110"/>
      <c r="B26" s="111"/>
      <c r="C26" s="112" t="str">
        <f t="shared" si="1"/>
        <v xml:space="preserve"> </v>
      </c>
      <c r="D26" s="113" t="str">
        <f t="shared" si="2"/>
        <v xml:space="preserve"> </v>
      </c>
      <c r="E26" s="114" t="str">
        <f t="shared" si="3"/>
        <v>0</v>
      </c>
      <c r="F26" s="115">
        <f t="shared" si="0"/>
        <v>0</v>
      </c>
    </row>
    <row r="27" spans="1:6" x14ac:dyDescent="0.2">
      <c r="A27" s="110"/>
      <c r="B27" s="111"/>
      <c r="C27" s="112" t="str">
        <f t="shared" si="1"/>
        <v xml:space="preserve"> </v>
      </c>
      <c r="D27" s="113" t="str">
        <f t="shared" si="2"/>
        <v xml:space="preserve"> </v>
      </c>
      <c r="E27" s="114" t="str">
        <f t="shared" si="3"/>
        <v>0</v>
      </c>
      <c r="F27" s="115">
        <f t="shared" si="0"/>
        <v>0</v>
      </c>
    </row>
    <row r="28" spans="1:6" x14ac:dyDescent="0.2">
      <c r="A28" s="110"/>
      <c r="B28" s="111"/>
      <c r="C28" s="112" t="str">
        <f t="shared" si="1"/>
        <v xml:space="preserve"> </v>
      </c>
      <c r="D28" s="113" t="str">
        <f t="shared" si="2"/>
        <v xml:space="preserve"> </v>
      </c>
      <c r="E28" s="114" t="str">
        <f t="shared" si="3"/>
        <v>0</v>
      </c>
      <c r="F28" s="115">
        <f t="shared" si="0"/>
        <v>0</v>
      </c>
    </row>
    <row r="29" spans="1:6" x14ac:dyDescent="0.2">
      <c r="A29" s="110"/>
      <c r="B29" s="111"/>
      <c r="C29" s="112" t="str">
        <f t="shared" si="1"/>
        <v xml:space="preserve"> </v>
      </c>
      <c r="D29" s="113" t="str">
        <f t="shared" si="2"/>
        <v xml:space="preserve"> </v>
      </c>
      <c r="E29" s="114" t="str">
        <f t="shared" si="3"/>
        <v>0</v>
      </c>
      <c r="F29" s="115">
        <f t="shared" si="0"/>
        <v>0</v>
      </c>
    </row>
    <row r="30" spans="1:6" x14ac:dyDescent="0.2">
      <c r="A30" s="110"/>
      <c r="B30" s="111"/>
      <c r="C30" s="112" t="str">
        <f t="shared" si="1"/>
        <v xml:space="preserve"> </v>
      </c>
      <c r="D30" s="113" t="str">
        <f t="shared" si="2"/>
        <v xml:space="preserve"> </v>
      </c>
      <c r="E30" s="114" t="str">
        <f t="shared" si="3"/>
        <v>0</v>
      </c>
      <c r="F30" s="115">
        <f t="shared" si="0"/>
        <v>0</v>
      </c>
    </row>
    <row r="31" spans="1:6" x14ac:dyDescent="0.2">
      <c r="A31" s="110"/>
      <c r="B31" s="111"/>
      <c r="C31" s="112" t="str">
        <f t="shared" si="1"/>
        <v xml:space="preserve"> </v>
      </c>
      <c r="D31" s="113" t="str">
        <f t="shared" si="2"/>
        <v xml:space="preserve"> </v>
      </c>
      <c r="E31" s="114" t="str">
        <f t="shared" si="3"/>
        <v>0</v>
      </c>
      <c r="F31" s="115">
        <f t="shared" si="0"/>
        <v>0</v>
      </c>
    </row>
    <row r="32" spans="1:6" x14ac:dyDescent="0.2">
      <c r="A32" s="110"/>
      <c r="B32" s="111"/>
      <c r="C32" s="112" t="str">
        <f t="shared" si="1"/>
        <v xml:space="preserve"> </v>
      </c>
      <c r="D32" s="113" t="str">
        <f t="shared" si="2"/>
        <v xml:space="preserve"> </v>
      </c>
      <c r="E32" s="114" t="str">
        <f t="shared" si="3"/>
        <v>0</v>
      </c>
      <c r="F32" s="115">
        <f t="shared" si="0"/>
        <v>0</v>
      </c>
    </row>
    <row r="33" spans="1:6" x14ac:dyDescent="0.2">
      <c r="A33" s="110"/>
      <c r="B33" s="111"/>
      <c r="C33" s="112" t="str">
        <f t="shared" si="1"/>
        <v xml:space="preserve"> </v>
      </c>
      <c r="D33" s="113" t="str">
        <f t="shared" si="2"/>
        <v xml:space="preserve"> </v>
      </c>
      <c r="E33" s="114" t="str">
        <f t="shared" si="3"/>
        <v>0</v>
      </c>
      <c r="F33" s="115">
        <f t="shared" si="0"/>
        <v>0</v>
      </c>
    </row>
    <row r="34" spans="1:6" x14ac:dyDescent="0.2">
      <c r="A34" s="110"/>
      <c r="B34" s="111"/>
      <c r="C34" s="112" t="str">
        <f t="shared" si="1"/>
        <v xml:space="preserve"> </v>
      </c>
      <c r="D34" s="113" t="str">
        <f t="shared" si="2"/>
        <v xml:space="preserve"> </v>
      </c>
      <c r="E34" s="114" t="str">
        <f t="shared" si="3"/>
        <v>0</v>
      </c>
      <c r="F34" s="115">
        <f t="shared" si="0"/>
        <v>0</v>
      </c>
    </row>
    <row r="35" spans="1:6" x14ac:dyDescent="0.2">
      <c r="A35" s="110"/>
      <c r="B35" s="111"/>
      <c r="C35" s="112" t="str">
        <f t="shared" si="1"/>
        <v xml:space="preserve"> </v>
      </c>
      <c r="D35" s="113" t="str">
        <f t="shared" si="2"/>
        <v xml:space="preserve"> </v>
      </c>
      <c r="E35" s="114" t="str">
        <f t="shared" si="3"/>
        <v>0</v>
      </c>
      <c r="F35" s="115">
        <f t="shared" si="0"/>
        <v>0</v>
      </c>
    </row>
    <row r="36" spans="1:6" x14ac:dyDescent="0.2">
      <c r="A36" s="110"/>
      <c r="B36" s="111"/>
      <c r="C36" s="112" t="str">
        <f t="shared" si="1"/>
        <v xml:space="preserve"> </v>
      </c>
      <c r="D36" s="113" t="str">
        <f t="shared" si="2"/>
        <v xml:space="preserve"> </v>
      </c>
      <c r="E36" s="114" t="str">
        <f t="shared" si="3"/>
        <v>0</v>
      </c>
      <c r="F36" s="115">
        <f t="shared" si="0"/>
        <v>0</v>
      </c>
    </row>
    <row r="37" spans="1:6" x14ac:dyDescent="0.2">
      <c r="A37" s="110"/>
      <c r="B37" s="111"/>
      <c r="C37" s="112" t="str">
        <f t="shared" si="1"/>
        <v xml:space="preserve"> </v>
      </c>
      <c r="D37" s="113" t="str">
        <f t="shared" si="2"/>
        <v xml:space="preserve"> </v>
      </c>
      <c r="E37" s="114" t="str">
        <f t="shared" si="3"/>
        <v>0</v>
      </c>
      <c r="F37" s="115">
        <f t="shared" si="0"/>
        <v>0</v>
      </c>
    </row>
    <row r="38" spans="1:6" x14ac:dyDescent="0.2">
      <c r="A38" s="110"/>
      <c r="B38" s="111"/>
      <c r="C38" s="112" t="str">
        <f t="shared" si="1"/>
        <v xml:space="preserve"> </v>
      </c>
      <c r="D38" s="113" t="str">
        <f t="shared" si="2"/>
        <v xml:space="preserve"> </v>
      </c>
      <c r="E38" s="114" t="str">
        <f t="shared" si="3"/>
        <v>0</v>
      </c>
      <c r="F38" s="115">
        <f t="shared" si="0"/>
        <v>0</v>
      </c>
    </row>
    <row r="39" spans="1:6" x14ac:dyDescent="0.2">
      <c r="A39" s="110"/>
      <c r="B39" s="111"/>
      <c r="C39" s="112" t="str">
        <f t="shared" si="1"/>
        <v xml:space="preserve"> </v>
      </c>
      <c r="D39" s="113" t="str">
        <f t="shared" si="2"/>
        <v xml:space="preserve"> </v>
      </c>
      <c r="E39" s="114" t="str">
        <f t="shared" si="3"/>
        <v>0</v>
      </c>
      <c r="F39" s="115">
        <f t="shared" si="0"/>
        <v>0</v>
      </c>
    </row>
    <row r="40" spans="1:6" x14ac:dyDescent="0.2">
      <c r="A40" s="110"/>
      <c r="B40" s="111"/>
      <c r="C40" s="112" t="str">
        <f t="shared" si="1"/>
        <v xml:space="preserve"> </v>
      </c>
      <c r="D40" s="113" t="str">
        <f t="shared" si="2"/>
        <v xml:space="preserve"> </v>
      </c>
      <c r="E40" s="114" t="str">
        <f t="shared" si="3"/>
        <v>0</v>
      </c>
      <c r="F40" s="115">
        <f t="shared" si="0"/>
        <v>0</v>
      </c>
    </row>
    <row r="41" spans="1:6" x14ac:dyDescent="0.2">
      <c r="A41" s="110"/>
      <c r="B41" s="111"/>
      <c r="C41" s="112" t="str">
        <f t="shared" si="1"/>
        <v xml:space="preserve"> </v>
      </c>
      <c r="D41" s="113" t="str">
        <f t="shared" si="2"/>
        <v xml:space="preserve"> </v>
      </c>
      <c r="E41" s="114" t="str">
        <f t="shared" si="3"/>
        <v>0</v>
      </c>
      <c r="F41" s="115">
        <f t="shared" si="0"/>
        <v>0</v>
      </c>
    </row>
    <row r="42" spans="1:6" x14ac:dyDescent="0.2">
      <c r="A42" s="110"/>
      <c r="B42" s="111"/>
      <c r="C42" s="112" t="str">
        <f t="shared" si="1"/>
        <v xml:space="preserve"> </v>
      </c>
      <c r="D42" s="113" t="str">
        <f t="shared" si="2"/>
        <v xml:space="preserve"> </v>
      </c>
      <c r="E42" s="114" t="str">
        <f t="shared" si="3"/>
        <v>0</v>
      </c>
      <c r="F42" s="115">
        <f t="shared" si="0"/>
        <v>0</v>
      </c>
    </row>
    <row r="43" spans="1:6" x14ac:dyDescent="0.2">
      <c r="A43" s="110"/>
      <c r="B43" s="111"/>
      <c r="C43" s="112" t="str">
        <f t="shared" si="1"/>
        <v xml:space="preserve"> </v>
      </c>
      <c r="D43" s="113" t="str">
        <f t="shared" si="2"/>
        <v xml:space="preserve"> </v>
      </c>
      <c r="E43" s="114" t="str">
        <f t="shared" si="3"/>
        <v>0</v>
      </c>
      <c r="F43" s="115">
        <f t="shared" si="0"/>
        <v>0</v>
      </c>
    </row>
    <row r="44" spans="1:6" x14ac:dyDescent="0.2">
      <c r="A44" s="110"/>
      <c r="B44" s="111"/>
      <c r="C44" s="112" t="str">
        <f t="shared" si="1"/>
        <v xml:space="preserve"> </v>
      </c>
      <c r="D44" s="113" t="str">
        <f t="shared" si="2"/>
        <v xml:space="preserve"> </v>
      </c>
      <c r="E44" s="114" t="str">
        <f t="shared" si="3"/>
        <v>0</v>
      </c>
      <c r="F44" s="115">
        <f t="shared" si="0"/>
        <v>0</v>
      </c>
    </row>
    <row r="45" spans="1:6" x14ac:dyDescent="0.2">
      <c r="A45" s="110"/>
      <c r="B45" s="111"/>
      <c r="C45" s="112" t="str">
        <f t="shared" si="1"/>
        <v xml:space="preserve"> </v>
      </c>
      <c r="D45" s="113" t="str">
        <f t="shared" si="2"/>
        <v xml:space="preserve"> </v>
      </c>
      <c r="E45" s="114" t="str">
        <f t="shared" si="3"/>
        <v>0</v>
      </c>
      <c r="F45" s="115">
        <f t="shared" si="0"/>
        <v>0</v>
      </c>
    </row>
    <row r="46" spans="1:6" x14ac:dyDescent="0.2">
      <c r="A46" s="110"/>
      <c r="B46" s="111"/>
      <c r="C46" s="112" t="str">
        <f t="shared" si="1"/>
        <v xml:space="preserve"> </v>
      </c>
      <c r="D46" s="113" t="str">
        <f t="shared" si="2"/>
        <v xml:space="preserve"> </v>
      </c>
      <c r="E46" s="114" t="str">
        <f t="shared" si="3"/>
        <v>0</v>
      </c>
      <c r="F46" s="115">
        <f t="shared" si="0"/>
        <v>0</v>
      </c>
    </row>
    <row r="47" spans="1:6" x14ac:dyDescent="0.2">
      <c r="A47" s="110"/>
      <c r="B47" s="111"/>
      <c r="C47" s="112" t="str">
        <f t="shared" si="1"/>
        <v xml:space="preserve"> </v>
      </c>
      <c r="D47" s="113" t="str">
        <f t="shared" si="2"/>
        <v xml:space="preserve"> </v>
      </c>
      <c r="E47" s="114" t="str">
        <f t="shared" si="3"/>
        <v>0</v>
      </c>
      <c r="F47" s="115">
        <f t="shared" si="0"/>
        <v>0</v>
      </c>
    </row>
    <row r="48" spans="1:6" x14ac:dyDescent="0.2">
      <c r="A48" s="110"/>
      <c r="B48" s="111"/>
      <c r="C48" s="112" t="str">
        <f t="shared" si="1"/>
        <v xml:space="preserve"> </v>
      </c>
      <c r="D48" s="113" t="str">
        <f t="shared" si="2"/>
        <v xml:space="preserve"> </v>
      </c>
      <c r="E48" s="114" t="str">
        <f t="shared" si="3"/>
        <v>0</v>
      </c>
      <c r="F48" s="115">
        <f t="shared" si="0"/>
        <v>0</v>
      </c>
    </row>
    <row r="49" spans="1:6" x14ac:dyDescent="0.2">
      <c r="A49" s="110"/>
      <c r="B49" s="111"/>
      <c r="C49" s="112" t="str">
        <f t="shared" si="1"/>
        <v xml:space="preserve"> </v>
      </c>
      <c r="D49" s="113" t="str">
        <f t="shared" si="2"/>
        <v xml:space="preserve"> </v>
      </c>
      <c r="E49" s="114" t="str">
        <f t="shared" si="3"/>
        <v>0</v>
      </c>
      <c r="F49" s="115">
        <f t="shared" si="0"/>
        <v>0</v>
      </c>
    </row>
    <row r="50" spans="1:6" x14ac:dyDescent="0.2">
      <c r="A50" s="110"/>
      <c r="B50" s="111"/>
      <c r="C50" s="112" t="str">
        <f t="shared" si="1"/>
        <v xml:space="preserve"> </v>
      </c>
      <c r="D50" s="113" t="str">
        <f t="shared" si="2"/>
        <v xml:space="preserve"> </v>
      </c>
      <c r="E50" s="114" t="str">
        <f t="shared" si="3"/>
        <v>0</v>
      </c>
      <c r="F50" s="115">
        <f t="shared" si="0"/>
        <v>0</v>
      </c>
    </row>
    <row r="51" spans="1:6" x14ac:dyDescent="0.2">
      <c r="A51" s="110"/>
      <c r="B51" s="111"/>
      <c r="C51" s="112" t="str">
        <f t="shared" si="1"/>
        <v xml:space="preserve"> </v>
      </c>
      <c r="D51" s="113" t="str">
        <f t="shared" si="2"/>
        <v xml:space="preserve"> </v>
      </c>
      <c r="E51" s="114" t="str">
        <f t="shared" si="3"/>
        <v>0</v>
      </c>
      <c r="F51" s="115">
        <f t="shared" si="0"/>
        <v>0</v>
      </c>
    </row>
    <row r="52" spans="1:6" x14ac:dyDescent="0.2">
      <c r="A52" s="110"/>
      <c r="B52" s="111"/>
      <c r="C52" s="112" t="str">
        <f t="shared" si="1"/>
        <v xml:space="preserve"> </v>
      </c>
      <c r="D52" s="113" t="str">
        <f t="shared" si="2"/>
        <v xml:space="preserve"> </v>
      </c>
      <c r="E52" s="114" t="str">
        <f t="shared" si="3"/>
        <v>0</v>
      </c>
      <c r="F52" s="115">
        <f t="shared" si="0"/>
        <v>0</v>
      </c>
    </row>
    <row r="53" spans="1:6" x14ac:dyDescent="0.2">
      <c r="A53" s="110"/>
      <c r="B53" s="111"/>
      <c r="C53" s="112" t="str">
        <f t="shared" si="1"/>
        <v xml:space="preserve"> </v>
      </c>
      <c r="D53" s="113" t="str">
        <f t="shared" si="2"/>
        <v xml:space="preserve"> </v>
      </c>
      <c r="E53" s="114" t="str">
        <f t="shared" si="3"/>
        <v>0</v>
      </c>
      <c r="F53" s="115">
        <f t="shared" si="0"/>
        <v>0</v>
      </c>
    </row>
    <row r="54" spans="1:6" x14ac:dyDescent="0.2">
      <c r="A54" s="110"/>
      <c r="B54" s="111"/>
      <c r="C54" s="112" t="str">
        <f t="shared" si="1"/>
        <v xml:space="preserve"> </v>
      </c>
      <c r="D54" s="113" t="str">
        <f t="shared" si="2"/>
        <v xml:space="preserve"> </v>
      </c>
      <c r="E54" s="114" t="str">
        <f t="shared" si="3"/>
        <v>0</v>
      </c>
      <c r="F54" s="115">
        <f t="shared" si="0"/>
        <v>0</v>
      </c>
    </row>
    <row r="55" spans="1:6" x14ac:dyDescent="0.2">
      <c r="A55" s="110"/>
      <c r="B55" s="111"/>
      <c r="C55" s="112" t="str">
        <f t="shared" si="1"/>
        <v xml:space="preserve"> </v>
      </c>
      <c r="D55" s="113" t="str">
        <f t="shared" si="2"/>
        <v xml:space="preserve"> </v>
      </c>
      <c r="E55" s="114" t="str">
        <f t="shared" si="3"/>
        <v>0</v>
      </c>
      <c r="F55" s="115">
        <f t="shared" si="0"/>
        <v>0</v>
      </c>
    </row>
    <row r="56" spans="1:6" x14ac:dyDescent="0.2">
      <c r="A56" s="110"/>
      <c r="B56" s="111"/>
      <c r="C56" s="112" t="str">
        <f t="shared" si="1"/>
        <v xml:space="preserve"> </v>
      </c>
      <c r="D56" s="113" t="str">
        <f t="shared" si="2"/>
        <v xml:space="preserve"> </v>
      </c>
      <c r="E56" s="114" t="str">
        <f t="shared" si="3"/>
        <v>0</v>
      </c>
      <c r="F56" s="115">
        <f t="shared" si="0"/>
        <v>0</v>
      </c>
    </row>
    <row r="57" spans="1:6" x14ac:dyDescent="0.2">
      <c r="A57" s="110"/>
      <c r="B57" s="111"/>
      <c r="C57" s="112" t="str">
        <f t="shared" si="1"/>
        <v xml:space="preserve"> </v>
      </c>
      <c r="D57" s="113" t="str">
        <f t="shared" si="2"/>
        <v xml:space="preserve"> </v>
      </c>
      <c r="E57" s="114" t="str">
        <f t="shared" si="3"/>
        <v>0</v>
      </c>
      <c r="F57" s="115">
        <f t="shared" si="0"/>
        <v>0</v>
      </c>
    </row>
    <row r="58" spans="1:6" x14ac:dyDescent="0.2">
      <c r="A58" s="110"/>
      <c r="B58" s="111"/>
      <c r="C58" s="112" t="str">
        <f t="shared" si="1"/>
        <v xml:space="preserve"> </v>
      </c>
      <c r="D58" s="113" t="str">
        <f t="shared" si="2"/>
        <v xml:space="preserve"> </v>
      </c>
      <c r="E58" s="114" t="str">
        <f t="shared" si="3"/>
        <v>0</v>
      </c>
      <c r="F58" s="115">
        <f t="shared" si="0"/>
        <v>0</v>
      </c>
    </row>
    <row r="59" spans="1:6" x14ac:dyDescent="0.2">
      <c r="A59" s="110"/>
      <c r="B59" s="111"/>
      <c r="C59" s="112" t="str">
        <f t="shared" si="1"/>
        <v xml:space="preserve"> </v>
      </c>
      <c r="D59" s="113" t="str">
        <f t="shared" si="2"/>
        <v xml:space="preserve"> </v>
      </c>
      <c r="E59" s="114" t="str">
        <f t="shared" si="3"/>
        <v>0</v>
      </c>
      <c r="F59" s="115">
        <f t="shared" si="0"/>
        <v>0</v>
      </c>
    </row>
    <row r="60" spans="1:6" x14ac:dyDescent="0.2">
      <c r="A60" s="110"/>
      <c r="B60" s="111"/>
      <c r="C60" s="112" t="str">
        <f t="shared" si="1"/>
        <v xml:space="preserve"> </v>
      </c>
      <c r="D60" s="113" t="str">
        <f t="shared" si="2"/>
        <v xml:space="preserve"> </v>
      </c>
      <c r="E60" s="114" t="str">
        <f t="shared" si="3"/>
        <v>0</v>
      </c>
      <c r="F60" s="115">
        <f t="shared" si="0"/>
        <v>0</v>
      </c>
    </row>
    <row r="61" spans="1:6" x14ac:dyDescent="0.2">
      <c r="A61" s="110"/>
      <c r="B61" s="111"/>
      <c r="C61" s="112" t="str">
        <f t="shared" si="1"/>
        <v xml:space="preserve"> </v>
      </c>
      <c r="D61" s="113" t="str">
        <f t="shared" si="2"/>
        <v xml:space="preserve"> </v>
      </c>
      <c r="E61" s="114" t="str">
        <f t="shared" si="3"/>
        <v>0</v>
      </c>
      <c r="F61" s="115">
        <f t="shared" si="0"/>
        <v>0</v>
      </c>
    </row>
    <row r="62" spans="1:6" x14ac:dyDescent="0.2">
      <c r="A62" s="110"/>
      <c r="B62" s="111"/>
      <c r="C62" s="112" t="str">
        <f t="shared" si="1"/>
        <v xml:space="preserve"> </v>
      </c>
      <c r="D62" s="113" t="str">
        <f t="shared" si="2"/>
        <v xml:space="preserve"> </v>
      </c>
      <c r="E62" s="114" t="str">
        <f t="shared" si="3"/>
        <v>0</v>
      </c>
      <c r="F62" s="115">
        <f t="shared" si="0"/>
        <v>0</v>
      </c>
    </row>
    <row r="63" spans="1:6" x14ac:dyDescent="0.2">
      <c r="A63" s="110"/>
      <c r="B63" s="111"/>
      <c r="C63" s="112" t="str">
        <f t="shared" si="1"/>
        <v xml:space="preserve"> </v>
      </c>
      <c r="D63" s="113" t="str">
        <f t="shared" si="2"/>
        <v xml:space="preserve"> </v>
      </c>
      <c r="E63" s="114" t="str">
        <f t="shared" si="3"/>
        <v>0</v>
      </c>
      <c r="F63" s="115">
        <f t="shared" si="0"/>
        <v>0</v>
      </c>
    </row>
    <row r="64" spans="1:6" x14ac:dyDescent="0.2">
      <c r="A64" s="110"/>
      <c r="B64" s="111"/>
      <c r="C64" s="112" t="str">
        <f t="shared" si="1"/>
        <v xml:space="preserve"> </v>
      </c>
      <c r="D64" s="113" t="str">
        <f t="shared" si="2"/>
        <v xml:space="preserve"> </v>
      </c>
      <c r="E64" s="114" t="str">
        <f t="shared" si="3"/>
        <v>0</v>
      </c>
      <c r="F64" s="115">
        <f t="shared" si="0"/>
        <v>0</v>
      </c>
    </row>
    <row r="65" spans="1:6" x14ac:dyDescent="0.2">
      <c r="A65" s="110"/>
      <c r="B65" s="111"/>
      <c r="C65" s="112" t="str">
        <f t="shared" si="1"/>
        <v xml:space="preserve"> </v>
      </c>
      <c r="D65" s="113" t="str">
        <f t="shared" si="2"/>
        <v xml:space="preserve"> </v>
      </c>
      <c r="E65" s="114" t="str">
        <f t="shared" si="3"/>
        <v>0</v>
      </c>
      <c r="F65" s="115">
        <f t="shared" si="0"/>
        <v>0</v>
      </c>
    </row>
    <row r="66" spans="1:6" x14ac:dyDescent="0.2">
      <c r="A66" s="110"/>
      <c r="B66" s="111"/>
      <c r="C66" s="112" t="str">
        <f t="shared" si="1"/>
        <v xml:space="preserve"> </v>
      </c>
      <c r="D66" s="113" t="str">
        <f t="shared" si="2"/>
        <v xml:space="preserve"> </v>
      </c>
      <c r="E66" s="114" t="str">
        <f t="shared" si="3"/>
        <v>0</v>
      </c>
      <c r="F66" s="115">
        <f t="shared" si="0"/>
        <v>0</v>
      </c>
    </row>
    <row r="67" spans="1:6" x14ac:dyDescent="0.2">
      <c r="A67" s="110"/>
      <c r="B67" s="111"/>
      <c r="C67" s="112" t="str">
        <f t="shared" si="1"/>
        <v xml:space="preserve"> </v>
      </c>
      <c r="D67" s="113" t="str">
        <f t="shared" si="2"/>
        <v xml:space="preserve"> </v>
      </c>
      <c r="E67" s="114" t="str">
        <f t="shared" si="3"/>
        <v>0</v>
      </c>
      <c r="F67" s="115">
        <f t="shared" si="0"/>
        <v>0</v>
      </c>
    </row>
    <row r="68" spans="1:6" x14ac:dyDescent="0.2">
      <c r="A68" s="110"/>
      <c r="B68" s="111"/>
      <c r="C68" s="112" t="str">
        <f t="shared" si="1"/>
        <v xml:space="preserve"> </v>
      </c>
      <c r="D68" s="113" t="str">
        <f t="shared" si="2"/>
        <v xml:space="preserve"> </v>
      </c>
      <c r="E68" s="114" t="str">
        <f t="shared" si="3"/>
        <v>0</v>
      </c>
      <c r="F68" s="115">
        <f t="shared" si="0"/>
        <v>0</v>
      </c>
    </row>
    <row r="69" spans="1:6" x14ac:dyDescent="0.2">
      <c r="A69" s="110"/>
      <c r="B69" s="111"/>
      <c r="C69" s="112" t="str">
        <f t="shared" si="1"/>
        <v xml:space="preserve"> </v>
      </c>
      <c r="D69" s="113" t="str">
        <f t="shared" si="2"/>
        <v xml:space="preserve"> </v>
      </c>
      <c r="E69" s="114" t="str">
        <f t="shared" si="3"/>
        <v>0</v>
      </c>
      <c r="F69" s="115">
        <f t="shared" si="0"/>
        <v>0</v>
      </c>
    </row>
    <row r="70" spans="1:6" x14ac:dyDescent="0.2">
      <c r="A70" s="110"/>
      <c r="B70" s="111"/>
      <c r="C70" s="112" t="str">
        <f t="shared" si="1"/>
        <v xml:space="preserve"> </v>
      </c>
      <c r="D70" s="113" t="str">
        <f t="shared" si="2"/>
        <v xml:space="preserve"> </v>
      </c>
      <c r="E70" s="114" t="str">
        <f t="shared" si="3"/>
        <v>0</v>
      </c>
      <c r="F70" s="115">
        <f t="shared" si="0"/>
        <v>0</v>
      </c>
    </row>
    <row r="71" spans="1:6" x14ac:dyDescent="0.2">
      <c r="A71" s="110"/>
      <c r="B71" s="111"/>
      <c r="C71" s="112" t="str">
        <f t="shared" si="1"/>
        <v xml:space="preserve"> </v>
      </c>
      <c r="D71" s="113" t="str">
        <f t="shared" si="2"/>
        <v xml:space="preserve"> </v>
      </c>
      <c r="E71" s="114" t="str">
        <f t="shared" si="3"/>
        <v>0</v>
      </c>
      <c r="F71" s="115">
        <f t="shared" ref="F71:F134" si="4">E71*B71</f>
        <v>0</v>
      </c>
    </row>
    <row r="72" spans="1:6" x14ac:dyDescent="0.2">
      <c r="A72" s="110"/>
      <c r="B72" s="111"/>
      <c r="C72" s="112" t="str">
        <f t="shared" si="1"/>
        <v xml:space="preserve"> </v>
      </c>
      <c r="D72" s="113" t="str">
        <f t="shared" si="2"/>
        <v xml:space="preserve"> </v>
      </c>
      <c r="E72" s="114" t="str">
        <f t="shared" si="3"/>
        <v>0</v>
      </c>
      <c r="F72" s="115">
        <f t="shared" si="4"/>
        <v>0</v>
      </c>
    </row>
    <row r="73" spans="1:6" x14ac:dyDescent="0.2">
      <c r="A73" s="110"/>
      <c r="B73" s="111"/>
      <c r="C73" s="112" t="str">
        <f t="shared" ref="C73:C136" si="5">IFERROR(VLOOKUP(A73,ORDERLIST,2,FALSE)," ")</f>
        <v xml:space="preserve"> </v>
      </c>
      <c r="D73" s="113" t="str">
        <f t="shared" ref="D73:D136" si="6">IFERROR(VLOOKUP(A73,ORDERLIST,3,FALSE)," ")</f>
        <v xml:space="preserve"> </v>
      </c>
      <c r="E73" s="114" t="str">
        <f t="shared" ref="E73:E136" si="7">IFERROR(VLOOKUP(A73,ORDERLIST,4,FALSE),"0")</f>
        <v>0</v>
      </c>
      <c r="F73" s="115">
        <f t="shared" si="4"/>
        <v>0</v>
      </c>
    </row>
    <row r="74" spans="1:6" x14ac:dyDescent="0.2">
      <c r="A74" s="110"/>
      <c r="B74" s="111"/>
      <c r="C74" s="112" t="str">
        <f t="shared" si="5"/>
        <v xml:space="preserve"> </v>
      </c>
      <c r="D74" s="113" t="str">
        <f t="shared" si="6"/>
        <v xml:space="preserve"> </v>
      </c>
      <c r="E74" s="114" t="str">
        <f t="shared" si="7"/>
        <v>0</v>
      </c>
      <c r="F74" s="115">
        <f t="shared" si="4"/>
        <v>0</v>
      </c>
    </row>
    <row r="75" spans="1:6" x14ac:dyDescent="0.2">
      <c r="A75" s="110"/>
      <c r="B75" s="111"/>
      <c r="C75" s="112" t="str">
        <f t="shared" si="5"/>
        <v xml:space="preserve"> </v>
      </c>
      <c r="D75" s="113" t="str">
        <f t="shared" si="6"/>
        <v xml:space="preserve"> </v>
      </c>
      <c r="E75" s="114" t="str">
        <f t="shared" si="7"/>
        <v>0</v>
      </c>
      <c r="F75" s="115">
        <f t="shared" si="4"/>
        <v>0</v>
      </c>
    </row>
    <row r="76" spans="1:6" x14ac:dyDescent="0.2">
      <c r="A76" s="110"/>
      <c r="B76" s="111"/>
      <c r="C76" s="112" t="str">
        <f t="shared" si="5"/>
        <v xml:space="preserve"> </v>
      </c>
      <c r="D76" s="113" t="str">
        <f t="shared" si="6"/>
        <v xml:space="preserve"> </v>
      </c>
      <c r="E76" s="114" t="str">
        <f t="shared" si="7"/>
        <v>0</v>
      </c>
      <c r="F76" s="115">
        <f t="shared" si="4"/>
        <v>0</v>
      </c>
    </row>
    <row r="77" spans="1:6" x14ac:dyDescent="0.2">
      <c r="A77" s="110"/>
      <c r="B77" s="111"/>
      <c r="C77" s="112" t="str">
        <f t="shared" si="5"/>
        <v xml:space="preserve"> </v>
      </c>
      <c r="D77" s="113" t="str">
        <f t="shared" si="6"/>
        <v xml:space="preserve"> </v>
      </c>
      <c r="E77" s="114" t="str">
        <f t="shared" si="7"/>
        <v>0</v>
      </c>
      <c r="F77" s="115">
        <f t="shared" si="4"/>
        <v>0</v>
      </c>
    </row>
    <row r="78" spans="1:6" x14ac:dyDescent="0.2">
      <c r="A78" s="110"/>
      <c r="B78" s="111"/>
      <c r="C78" s="112" t="str">
        <f t="shared" si="5"/>
        <v xml:space="preserve"> </v>
      </c>
      <c r="D78" s="113" t="str">
        <f t="shared" si="6"/>
        <v xml:space="preserve"> </v>
      </c>
      <c r="E78" s="114" t="str">
        <f t="shared" si="7"/>
        <v>0</v>
      </c>
      <c r="F78" s="115">
        <f t="shared" si="4"/>
        <v>0</v>
      </c>
    </row>
    <row r="79" spans="1:6" x14ac:dyDescent="0.2">
      <c r="A79" s="110"/>
      <c r="B79" s="111"/>
      <c r="C79" s="112" t="str">
        <f t="shared" si="5"/>
        <v xml:space="preserve"> </v>
      </c>
      <c r="D79" s="113" t="str">
        <f t="shared" si="6"/>
        <v xml:space="preserve"> </v>
      </c>
      <c r="E79" s="114" t="str">
        <f t="shared" si="7"/>
        <v>0</v>
      </c>
      <c r="F79" s="115">
        <f t="shared" si="4"/>
        <v>0</v>
      </c>
    </row>
    <row r="80" spans="1:6" x14ac:dyDescent="0.2">
      <c r="A80" s="110"/>
      <c r="B80" s="111"/>
      <c r="C80" s="112" t="str">
        <f t="shared" si="5"/>
        <v xml:space="preserve"> </v>
      </c>
      <c r="D80" s="113" t="str">
        <f t="shared" si="6"/>
        <v xml:space="preserve"> </v>
      </c>
      <c r="E80" s="114" t="str">
        <f t="shared" si="7"/>
        <v>0</v>
      </c>
      <c r="F80" s="115">
        <f t="shared" si="4"/>
        <v>0</v>
      </c>
    </row>
    <row r="81" spans="1:6" x14ac:dyDescent="0.2">
      <c r="A81" s="110"/>
      <c r="B81" s="111"/>
      <c r="C81" s="112" t="str">
        <f t="shared" si="5"/>
        <v xml:space="preserve"> </v>
      </c>
      <c r="D81" s="113" t="str">
        <f t="shared" si="6"/>
        <v xml:space="preserve"> </v>
      </c>
      <c r="E81" s="114" t="str">
        <f t="shared" si="7"/>
        <v>0</v>
      </c>
      <c r="F81" s="115">
        <f t="shared" si="4"/>
        <v>0</v>
      </c>
    </row>
    <row r="82" spans="1:6" x14ac:dyDescent="0.2">
      <c r="A82" s="110"/>
      <c r="B82" s="111"/>
      <c r="C82" s="112" t="str">
        <f t="shared" si="5"/>
        <v xml:space="preserve"> </v>
      </c>
      <c r="D82" s="113" t="str">
        <f t="shared" si="6"/>
        <v xml:space="preserve"> </v>
      </c>
      <c r="E82" s="114" t="str">
        <f t="shared" si="7"/>
        <v>0</v>
      </c>
      <c r="F82" s="115">
        <f t="shared" si="4"/>
        <v>0</v>
      </c>
    </row>
    <row r="83" spans="1:6" x14ac:dyDescent="0.2">
      <c r="A83" s="110"/>
      <c r="B83" s="111"/>
      <c r="C83" s="112" t="str">
        <f t="shared" si="5"/>
        <v xml:space="preserve"> </v>
      </c>
      <c r="D83" s="113" t="str">
        <f t="shared" si="6"/>
        <v xml:space="preserve"> </v>
      </c>
      <c r="E83" s="114" t="str">
        <f t="shared" si="7"/>
        <v>0</v>
      </c>
      <c r="F83" s="115">
        <f t="shared" si="4"/>
        <v>0</v>
      </c>
    </row>
    <row r="84" spans="1:6" x14ac:dyDescent="0.2">
      <c r="A84" s="110"/>
      <c r="B84" s="111"/>
      <c r="C84" s="112" t="str">
        <f t="shared" si="5"/>
        <v xml:space="preserve"> </v>
      </c>
      <c r="D84" s="113" t="str">
        <f t="shared" si="6"/>
        <v xml:space="preserve"> </v>
      </c>
      <c r="E84" s="114" t="str">
        <f t="shared" si="7"/>
        <v>0</v>
      </c>
      <c r="F84" s="115">
        <f t="shared" si="4"/>
        <v>0</v>
      </c>
    </row>
    <row r="85" spans="1:6" x14ac:dyDescent="0.2">
      <c r="A85" s="110"/>
      <c r="B85" s="111"/>
      <c r="C85" s="112" t="str">
        <f t="shared" si="5"/>
        <v xml:space="preserve"> </v>
      </c>
      <c r="D85" s="113" t="str">
        <f t="shared" si="6"/>
        <v xml:space="preserve"> </v>
      </c>
      <c r="E85" s="114" t="str">
        <f t="shared" si="7"/>
        <v>0</v>
      </c>
      <c r="F85" s="115">
        <f t="shared" si="4"/>
        <v>0</v>
      </c>
    </row>
    <row r="86" spans="1:6" x14ac:dyDescent="0.2">
      <c r="A86" s="110"/>
      <c r="B86" s="111"/>
      <c r="C86" s="112" t="str">
        <f t="shared" si="5"/>
        <v xml:space="preserve"> </v>
      </c>
      <c r="D86" s="113" t="str">
        <f t="shared" si="6"/>
        <v xml:space="preserve"> </v>
      </c>
      <c r="E86" s="114" t="str">
        <f t="shared" si="7"/>
        <v>0</v>
      </c>
      <c r="F86" s="115">
        <f t="shared" si="4"/>
        <v>0</v>
      </c>
    </row>
    <row r="87" spans="1:6" x14ac:dyDescent="0.2">
      <c r="A87" s="110"/>
      <c r="B87" s="111"/>
      <c r="C87" s="112" t="str">
        <f t="shared" si="5"/>
        <v xml:space="preserve"> </v>
      </c>
      <c r="D87" s="113" t="str">
        <f t="shared" si="6"/>
        <v xml:space="preserve"> </v>
      </c>
      <c r="E87" s="114" t="str">
        <f t="shared" si="7"/>
        <v>0</v>
      </c>
      <c r="F87" s="115">
        <f t="shared" si="4"/>
        <v>0</v>
      </c>
    </row>
    <row r="88" spans="1:6" x14ac:dyDescent="0.2">
      <c r="A88" s="110"/>
      <c r="B88" s="111"/>
      <c r="C88" s="112" t="str">
        <f t="shared" si="5"/>
        <v xml:space="preserve"> </v>
      </c>
      <c r="D88" s="113" t="str">
        <f t="shared" si="6"/>
        <v xml:space="preserve"> </v>
      </c>
      <c r="E88" s="114" t="str">
        <f t="shared" si="7"/>
        <v>0</v>
      </c>
      <c r="F88" s="115">
        <f t="shared" si="4"/>
        <v>0</v>
      </c>
    </row>
    <row r="89" spans="1:6" x14ac:dyDescent="0.2">
      <c r="A89" s="110"/>
      <c r="B89" s="111"/>
      <c r="C89" s="112" t="str">
        <f t="shared" si="5"/>
        <v xml:space="preserve"> </v>
      </c>
      <c r="D89" s="113" t="str">
        <f t="shared" si="6"/>
        <v xml:space="preserve"> </v>
      </c>
      <c r="E89" s="114" t="str">
        <f t="shared" si="7"/>
        <v>0</v>
      </c>
      <c r="F89" s="115">
        <f t="shared" si="4"/>
        <v>0</v>
      </c>
    </row>
    <row r="90" spans="1:6" x14ac:dyDescent="0.2">
      <c r="A90" s="110"/>
      <c r="B90" s="111"/>
      <c r="C90" s="112" t="str">
        <f t="shared" si="5"/>
        <v xml:space="preserve"> </v>
      </c>
      <c r="D90" s="113" t="str">
        <f t="shared" si="6"/>
        <v xml:space="preserve"> </v>
      </c>
      <c r="E90" s="114" t="str">
        <f t="shared" si="7"/>
        <v>0</v>
      </c>
      <c r="F90" s="115">
        <f t="shared" si="4"/>
        <v>0</v>
      </c>
    </row>
    <row r="91" spans="1:6" x14ac:dyDescent="0.2">
      <c r="A91" s="110"/>
      <c r="B91" s="111"/>
      <c r="C91" s="112" t="str">
        <f t="shared" si="5"/>
        <v xml:space="preserve"> </v>
      </c>
      <c r="D91" s="113" t="str">
        <f t="shared" si="6"/>
        <v xml:space="preserve"> </v>
      </c>
      <c r="E91" s="114" t="str">
        <f t="shared" si="7"/>
        <v>0</v>
      </c>
      <c r="F91" s="115">
        <f t="shared" si="4"/>
        <v>0</v>
      </c>
    </row>
    <row r="92" spans="1:6" x14ac:dyDescent="0.2">
      <c r="A92" s="110"/>
      <c r="B92" s="111"/>
      <c r="C92" s="112" t="str">
        <f t="shared" si="5"/>
        <v xml:space="preserve"> </v>
      </c>
      <c r="D92" s="113" t="str">
        <f t="shared" si="6"/>
        <v xml:space="preserve"> </v>
      </c>
      <c r="E92" s="114" t="str">
        <f t="shared" si="7"/>
        <v>0</v>
      </c>
      <c r="F92" s="115">
        <f t="shared" si="4"/>
        <v>0</v>
      </c>
    </row>
    <row r="93" spans="1:6" x14ac:dyDescent="0.2">
      <c r="A93" s="110"/>
      <c r="B93" s="111"/>
      <c r="C93" s="112" t="str">
        <f t="shared" si="5"/>
        <v xml:space="preserve"> </v>
      </c>
      <c r="D93" s="113" t="str">
        <f t="shared" si="6"/>
        <v xml:space="preserve"> </v>
      </c>
      <c r="E93" s="114" t="str">
        <f t="shared" si="7"/>
        <v>0</v>
      </c>
      <c r="F93" s="115">
        <f t="shared" si="4"/>
        <v>0</v>
      </c>
    </row>
    <row r="94" spans="1:6" x14ac:dyDescent="0.2">
      <c r="A94" s="110"/>
      <c r="B94" s="111"/>
      <c r="C94" s="112" t="str">
        <f t="shared" si="5"/>
        <v xml:space="preserve"> </v>
      </c>
      <c r="D94" s="113" t="str">
        <f t="shared" si="6"/>
        <v xml:space="preserve"> </v>
      </c>
      <c r="E94" s="114" t="str">
        <f t="shared" si="7"/>
        <v>0</v>
      </c>
      <c r="F94" s="115">
        <f t="shared" si="4"/>
        <v>0</v>
      </c>
    </row>
    <row r="95" spans="1:6" x14ac:dyDescent="0.2">
      <c r="A95" s="110"/>
      <c r="B95" s="111"/>
      <c r="C95" s="112" t="str">
        <f t="shared" si="5"/>
        <v xml:space="preserve"> </v>
      </c>
      <c r="D95" s="113" t="str">
        <f t="shared" si="6"/>
        <v xml:space="preserve"> </v>
      </c>
      <c r="E95" s="114" t="str">
        <f t="shared" si="7"/>
        <v>0</v>
      </c>
      <c r="F95" s="115">
        <f t="shared" si="4"/>
        <v>0</v>
      </c>
    </row>
    <row r="96" spans="1:6" x14ac:dyDescent="0.2">
      <c r="A96" s="110"/>
      <c r="B96" s="111"/>
      <c r="C96" s="112" t="str">
        <f t="shared" si="5"/>
        <v xml:space="preserve"> </v>
      </c>
      <c r="D96" s="113" t="str">
        <f t="shared" si="6"/>
        <v xml:space="preserve"> </v>
      </c>
      <c r="E96" s="114" t="str">
        <f t="shared" si="7"/>
        <v>0</v>
      </c>
      <c r="F96" s="115">
        <f t="shared" si="4"/>
        <v>0</v>
      </c>
    </row>
    <row r="97" spans="1:6" x14ac:dyDescent="0.2">
      <c r="A97" s="110"/>
      <c r="B97" s="111"/>
      <c r="C97" s="112" t="str">
        <f t="shared" si="5"/>
        <v xml:space="preserve"> </v>
      </c>
      <c r="D97" s="113" t="str">
        <f t="shared" si="6"/>
        <v xml:space="preserve"> </v>
      </c>
      <c r="E97" s="114" t="str">
        <f t="shared" si="7"/>
        <v>0</v>
      </c>
      <c r="F97" s="115">
        <f t="shared" si="4"/>
        <v>0</v>
      </c>
    </row>
    <row r="98" spans="1:6" x14ac:dyDescent="0.2">
      <c r="A98" s="110"/>
      <c r="B98" s="111"/>
      <c r="C98" s="112" t="str">
        <f t="shared" si="5"/>
        <v xml:space="preserve"> </v>
      </c>
      <c r="D98" s="113" t="str">
        <f t="shared" si="6"/>
        <v xml:space="preserve"> </v>
      </c>
      <c r="E98" s="114" t="str">
        <f t="shared" si="7"/>
        <v>0</v>
      </c>
      <c r="F98" s="115">
        <f t="shared" si="4"/>
        <v>0</v>
      </c>
    </row>
    <row r="99" spans="1:6" x14ac:dyDescent="0.2">
      <c r="A99" s="110"/>
      <c r="B99" s="111"/>
      <c r="C99" s="112" t="str">
        <f t="shared" si="5"/>
        <v xml:space="preserve"> </v>
      </c>
      <c r="D99" s="113" t="str">
        <f t="shared" si="6"/>
        <v xml:space="preserve"> </v>
      </c>
      <c r="E99" s="114" t="str">
        <f t="shared" si="7"/>
        <v>0</v>
      </c>
      <c r="F99" s="115">
        <f t="shared" si="4"/>
        <v>0</v>
      </c>
    </row>
    <row r="100" spans="1:6" x14ac:dyDescent="0.2">
      <c r="A100" s="110"/>
      <c r="B100" s="111"/>
      <c r="C100" s="112" t="str">
        <f t="shared" si="5"/>
        <v xml:space="preserve"> </v>
      </c>
      <c r="D100" s="113" t="str">
        <f t="shared" si="6"/>
        <v xml:space="preserve"> </v>
      </c>
      <c r="E100" s="114" t="str">
        <f t="shared" si="7"/>
        <v>0</v>
      </c>
      <c r="F100" s="115">
        <f t="shared" si="4"/>
        <v>0</v>
      </c>
    </row>
    <row r="101" spans="1:6" x14ac:dyDescent="0.2">
      <c r="A101" s="110"/>
      <c r="B101" s="111"/>
      <c r="C101" s="112" t="str">
        <f t="shared" si="5"/>
        <v xml:space="preserve"> </v>
      </c>
      <c r="D101" s="113" t="str">
        <f t="shared" si="6"/>
        <v xml:space="preserve"> </v>
      </c>
      <c r="E101" s="114" t="str">
        <f t="shared" si="7"/>
        <v>0</v>
      </c>
      <c r="F101" s="115">
        <f t="shared" si="4"/>
        <v>0</v>
      </c>
    </row>
    <row r="102" spans="1:6" x14ac:dyDescent="0.2">
      <c r="A102" s="110"/>
      <c r="B102" s="111"/>
      <c r="C102" s="112" t="str">
        <f t="shared" si="5"/>
        <v xml:space="preserve"> </v>
      </c>
      <c r="D102" s="113" t="str">
        <f t="shared" si="6"/>
        <v xml:space="preserve"> </v>
      </c>
      <c r="E102" s="114" t="str">
        <f t="shared" si="7"/>
        <v>0</v>
      </c>
      <c r="F102" s="115">
        <f t="shared" si="4"/>
        <v>0</v>
      </c>
    </row>
    <row r="103" spans="1:6" x14ac:dyDescent="0.2">
      <c r="A103" s="110"/>
      <c r="B103" s="111"/>
      <c r="C103" s="112" t="str">
        <f t="shared" si="5"/>
        <v xml:space="preserve"> </v>
      </c>
      <c r="D103" s="113" t="str">
        <f t="shared" si="6"/>
        <v xml:space="preserve"> </v>
      </c>
      <c r="E103" s="114" t="str">
        <f t="shared" si="7"/>
        <v>0</v>
      </c>
      <c r="F103" s="115">
        <f t="shared" si="4"/>
        <v>0</v>
      </c>
    </row>
    <row r="104" spans="1:6" x14ac:dyDescent="0.2">
      <c r="A104" s="110"/>
      <c r="B104" s="111"/>
      <c r="C104" s="112" t="str">
        <f t="shared" si="5"/>
        <v xml:space="preserve"> </v>
      </c>
      <c r="D104" s="113" t="str">
        <f t="shared" si="6"/>
        <v xml:space="preserve"> </v>
      </c>
      <c r="E104" s="114" t="str">
        <f t="shared" si="7"/>
        <v>0</v>
      </c>
      <c r="F104" s="115">
        <f t="shared" si="4"/>
        <v>0</v>
      </c>
    </row>
    <row r="105" spans="1:6" x14ac:dyDescent="0.2">
      <c r="A105" s="110"/>
      <c r="B105" s="111"/>
      <c r="C105" s="112" t="str">
        <f t="shared" si="5"/>
        <v xml:space="preserve"> </v>
      </c>
      <c r="D105" s="113" t="str">
        <f t="shared" si="6"/>
        <v xml:space="preserve"> </v>
      </c>
      <c r="E105" s="114" t="str">
        <f t="shared" si="7"/>
        <v>0</v>
      </c>
      <c r="F105" s="115">
        <f t="shared" si="4"/>
        <v>0</v>
      </c>
    </row>
    <row r="106" spans="1:6" x14ac:dyDescent="0.2">
      <c r="A106" s="110"/>
      <c r="B106" s="111"/>
      <c r="C106" s="112" t="str">
        <f t="shared" si="5"/>
        <v xml:space="preserve"> </v>
      </c>
      <c r="D106" s="113" t="str">
        <f t="shared" si="6"/>
        <v xml:space="preserve"> </v>
      </c>
      <c r="E106" s="114" t="str">
        <f t="shared" si="7"/>
        <v>0</v>
      </c>
      <c r="F106" s="115">
        <f t="shared" si="4"/>
        <v>0</v>
      </c>
    </row>
    <row r="107" spans="1:6" x14ac:dyDescent="0.2">
      <c r="A107" s="110"/>
      <c r="B107" s="111"/>
      <c r="C107" s="112" t="str">
        <f t="shared" si="5"/>
        <v xml:space="preserve"> </v>
      </c>
      <c r="D107" s="113" t="str">
        <f t="shared" si="6"/>
        <v xml:space="preserve"> </v>
      </c>
      <c r="E107" s="114" t="str">
        <f t="shared" si="7"/>
        <v>0</v>
      </c>
      <c r="F107" s="115">
        <f t="shared" si="4"/>
        <v>0</v>
      </c>
    </row>
    <row r="108" spans="1:6" x14ac:dyDescent="0.2">
      <c r="A108" s="110"/>
      <c r="B108" s="111"/>
      <c r="C108" s="112" t="str">
        <f t="shared" si="5"/>
        <v xml:space="preserve"> </v>
      </c>
      <c r="D108" s="113" t="str">
        <f t="shared" si="6"/>
        <v xml:space="preserve"> </v>
      </c>
      <c r="E108" s="114" t="str">
        <f t="shared" si="7"/>
        <v>0</v>
      </c>
      <c r="F108" s="115">
        <f t="shared" si="4"/>
        <v>0</v>
      </c>
    </row>
    <row r="109" spans="1:6" x14ac:dyDescent="0.2">
      <c r="A109" s="110"/>
      <c r="B109" s="111"/>
      <c r="C109" s="112" t="str">
        <f t="shared" si="5"/>
        <v xml:space="preserve"> </v>
      </c>
      <c r="D109" s="113" t="str">
        <f t="shared" si="6"/>
        <v xml:space="preserve"> </v>
      </c>
      <c r="E109" s="114" t="str">
        <f t="shared" si="7"/>
        <v>0</v>
      </c>
      <c r="F109" s="115">
        <f t="shared" si="4"/>
        <v>0</v>
      </c>
    </row>
    <row r="110" spans="1:6" x14ac:dyDescent="0.2">
      <c r="A110" s="110"/>
      <c r="B110" s="111"/>
      <c r="C110" s="112" t="str">
        <f t="shared" si="5"/>
        <v xml:space="preserve"> </v>
      </c>
      <c r="D110" s="113" t="str">
        <f t="shared" si="6"/>
        <v xml:space="preserve"> </v>
      </c>
      <c r="E110" s="114" t="str">
        <f t="shared" si="7"/>
        <v>0</v>
      </c>
      <c r="F110" s="115">
        <f t="shared" si="4"/>
        <v>0</v>
      </c>
    </row>
    <row r="111" spans="1:6" x14ac:dyDescent="0.2">
      <c r="A111" s="110"/>
      <c r="B111" s="111"/>
      <c r="C111" s="112" t="str">
        <f t="shared" si="5"/>
        <v xml:space="preserve"> </v>
      </c>
      <c r="D111" s="113" t="str">
        <f t="shared" si="6"/>
        <v xml:space="preserve"> </v>
      </c>
      <c r="E111" s="114" t="str">
        <f t="shared" si="7"/>
        <v>0</v>
      </c>
      <c r="F111" s="115">
        <f t="shared" si="4"/>
        <v>0</v>
      </c>
    </row>
    <row r="112" spans="1:6" x14ac:dyDescent="0.2">
      <c r="A112" s="110"/>
      <c r="B112" s="111"/>
      <c r="C112" s="112" t="str">
        <f t="shared" si="5"/>
        <v xml:space="preserve"> </v>
      </c>
      <c r="D112" s="113" t="str">
        <f t="shared" si="6"/>
        <v xml:space="preserve"> </v>
      </c>
      <c r="E112" s="114" t="str">
        <f t="shared" si="7"/>
        <v>0</v>
      </c>
      <c r="F112" s="115">
        <f t="shared" si="4"/>
        <v>0</v>
      </c>
    </row>
    <row r="113" spans="1:6" x14ac:dyDescent="0.2">
      <c r="A113" s="110"/>
      <c r="B113" s="111"/>
      <c r="C113" s="112" t="str">
        <f t="shared" si="5"/>
        <v xml:space="preserve"> </v>
      </c>
      <c r="D113" s="113" t="str">
        <f t="shared" si="6"/>
        <v xml:space="preserve"> </v>
      </c>
      <c r="E113" s="114" t="str">
        <f t="shared" si="7"/>
        <v>0</v>
      </c>
      <c r="F113" s="115">
        <f t="shared" si="4"/>
        <v>0</v>
      </c>
    </row>
    <row r="114" spans="1:6" x14ac:dyDescent="0.2">
      <c r="A114" s="110"/>
      <c r="B114" s="111"/>
      <c r="C114" s="112" t="str">
        <f t="shared" si="5"/>
        <v xml:space="preserve"> </v>
      </c>
      <c r="D114" s="113" t="str">
        <f t="shared" si="6"/>
        <v xml:space="preserve"> </v>
      </c>
      <c r="E114" s="114" t="str">
        <f t="shared" si="7"/>
        <v>0</v>
      </c>
      <c r="F114" s="115">
        <f t="shared" si="4"/>
        <v>0</v>
      </c>
    </row>
    <row r="115" spans="1:6" x14ac:dyDescent="0.2">
      <c r="A115" s="110"/>
      <c r="B115" s="111"/>
      <c r="C115" s="112" t="str">
        <f t="shared" si="5"/>
        <v xml:space="preserve"> </v>
      </c>
      <c r="D115" s="113" t="str">
        <f t="shared" si="6"/>
        <v xml:space="preserve"> </v>
      </c>
      <c r="E115" s="114" t="str">
        <f t="shared" si="7"/>
        <v>0</v>
      </c>
      <c r="F115" s="115">
        <f t="shared" si="4"/>
        <v>0</v>
      </c>
    </row>
    <row r="116" spans="1:6" x14ac:dyDescent="0.2">
      <c r="A116" s="110"/>
      <c r="B116" s="111"/>
      <c r="C116" s="112" t="str">
        <f t="shared" si="5"/>
        <v xml:space="preserve"> </v>
      </c>
      <c r="D116" s="113" t="str">
        <f t="shared" si="6"/>
        <v xml:space="preserve"> </v>
      </c>
      <c r="E116" s="114" t="str">
        <f t="shared" si="7"/>
        <v>0</v>
      </c>
      <c r="F116" s="115">
        <f t="shared" si="4"/>
        <v>0</v>
      </c>
    </row>
    <row r="117" spans="1:6" x14ac:dyDescent="0.2">
      <c r="A117" s="110"/>
      <c r="B117" s="111"/>
      <c r="C117" s="112" t="str">
        <f t="shared" si="5"/>
        <v xml:space="preserve"> </v>
      </c>
      <c r="D117" s="113" t="str">
        <f t="shared" si="6"/>
        <v xml:space="preserve"> </v>
      </c>
      <c r="E117" s="114" t="str">
        <f t="shared" si="7"/>
        <v>0</v>
      </c>
      <c r="F117" s="115">
        <f t="shared" si="4"/>
        <v>0</v>
      </c>
    </row>
    <row r="118" spans="1:6" x14ac:dyDescent="0.2">
      <c r="A118" s="110"/>
      <c r="B118" s="111"/>
      <c r="C118" s="112" t="str">
        <f t="shared" si="5"/>
        <v xml:space="preserve"> </v>
      </c>
      <c r="D118" s="113" t="str">
        <f t="shared" si="6"/>
        <v xml:space="preserve"> </v>
      </c>
      <c r="E118" s="114" t="str">
        <f t="shared" si="7"/>
        <v>0</v>
      </c>
      <c r="F118" s="115">
        <f t="shared" si="4"/>
        <v>0</v>
      </c>
    </row>
    <row r="119" spans="1:6" x14ac:dyDescent="0.2">
      <c r="A119" s="110"/>
      <c r="B119" s="111"/>
      <c r="C119" s="112" t="str">
        <f t="shared" si="5"/>
        <v xml:space="preserve"> </v>
      </c>
      <c r="D119" s="113" t="str">
        <f t="shared" si="6"/>
        <v xml:space="preserve"> </v>
      </c>
      <c r="E119" s="114" t="str">
        <f t="shared" si="7"/>
        <v>0</v>
      </c>
      <c r="F119" s="115">
        <f t="shared" si="4"/>
        <v>0</v>
      </c>
    </row>
    <row r="120" spans="1:6" x14ac:dyDescent="0.2">
      <c r="A120" s="110"/>
      <c r="B120" s="111"/>
      <c r="C120" s="112" t="str">
        <f t="shared" si="5"/>
        <v xml:space="preserve"> </v>
      </c>
      <c r="D120" s="113" t="str">
        <f t="shared" si="6"/>
        <v xml:space="preserve"> </v>
      </c>
      <c r="E120" s="114" t="str">
        <f t="shared" si="7"/>
        <v>0</v>
      </c>
      <c r="F120" s="115">
        <f t="shared" si="4"/>
        <v>0</v>
      </c>
    </row>
    <row r="121" spans="1:6" x14ac:dyDescent="0.2">
      <c r="A121" s="110"/>
      <c r="B121" s="111"/>
      <c r="C121" s="112" t="str">
        <f t="shared" si="5"/>
        <v xml:space="preserve"> </v>
      </c>
      <c r="D121" s="113" t="str">
        <f t="shared" si="6"/>
        <v xml:space="preserve"> </v>
      </c>
      <c r="E121" s="114" t="str">
        <f t="shared" si="7"/>
        <v>0</v>
      </c>
      <c r="F121" s="115">
        <f t="shared" si="4"/>
        <v>0</v>
      </c>
    </row>
    <row r="122" spans="1:6" x14ac:dyDescent="0.2">
      <c r="A122" s="110"/>
      <c r="B122" s="111"/>
      <c r="C122" s="112" t="str">
        <f t="shared" si="5"/>
        <v xml:space="preserve"> </v>
      </c>
      <c r="D122" s="113" t="str">
        <f t="shared" si="6"/>
        <v xml:space="preserve"> </v>
      </c>
      <c r="E122" s="114" t="str">
        <f t="shared" si="7"/>
        <v>0</v>
      </c>
      <c r="F122" s="115">
        <f t="shared" si="4"/>
        <v>0</v>
      </c>
    </row>
    <row r="123" spans="1:6" x14ac:dyDescent="0.2">
      <c r="A123" s="110"/>
      <c r="B123" s="111"/>
      <c r="C123" s="112" t="str">
        <f t="shared" si="5"/>
        <v xml:space="preserve"> </v>
      </c>
      <c r="D123" s="113" t="str">
        <f t="shared" si="6"/>
        <v xml:space="preserve"> </v>
      </c>
      <c r="E123" s="114" t="str">
        <f t="shared" si="7"/>
        <v>0</v>
      </c>
      <c r="F123" s="115">
        <f t="shared" si="4"/>
        <v>0</v>
      </c>
    </row>
    <row r="124" spans="1:6" x14ac:dyDescent="0.2">
      <c r="A124" s="110"/>
      <c r="B124" s="111"/>
      <c r="C124" s="112" t="str">
        <f t="shared" si="5"/>
        <v xml:space="preserve"> </v>
      </c>
      <c r="D124" s="113" t="str">
        <f t="shared" si="6"/>
        <v xml:space="preserve"> </v>
      </c>
      <c r="E124" s="114" t="str">
        <f t="shared" si="7"/>
        <v>0</v>
      </c>
      <c r="F124" s="115">
        <f t="shared" si="4"/>
        <v>0</v>
      </c>
    </row>
    <row r="125" spans="1:6" x14ac:dyDescent="0.2">
      <c r="A125" s="110"/>
      <c r="B125" s="111"/>
      <c r="C125" s="112" t="str">
        <f t="shared" si="5"/>
        <v xml:space="preserve"> </v>
      </c>
      <c r="D125" s="113" t="str">
        <f t="shared" si="6"/>
        <v xml:space="preserve"> </v>
      </c>
      <c r="E125" s="114" t="str">
        <f t="shared" si="7"/>
        <v>0</v>
      </c>
      <c r="F125" s="115">
        <f t="shared" si="4"/>
        <v>0</v>
      </c>
    </row>
    <row r="126" spans="1:6" x14ac:dyDescent="0.2">
      <c r="A126" s="110"/>
      <c r="B126" s="111"/>
      <c r="C126" s="112" t="str">
        <f t="shared" si="5"/>
        <v xml:space="preserve"> </v>
      </c>
      <c r="D126" s="113" t="str">
        <f t="shared" si="6"/>
        <v xml:space="preserve"> </v>
      </c>
      <c r="E126" s="114" t="str">
        <f t="shared" si="7"/>
        <v>0</v>
      </c>
      <c r="F126" s="115">
        <f t="shared" si="4"/>
        <v>0</v>
      </c>
    </row>
    <row r="127" spans="1:6" x14ac:dyDescent="0.2">
      <c r="A127" s="110"/>
      <c r="B127" s="111"/>
      <c r="C127" s="112" t="str">
        <f t="shared" si="5"/>
        <v xml:space="preserve"> </v>
      </c>
      <c r="D127" s="113" t="str">
        <f t="shared" si="6"/>
        <v xml:space="preserve"> </v>
      </c>
      <c r="E127" s="114" t="str">
        <f t="shared" si="7"/>
        <v>0</v>
      </c>
      <c r="F127" s="115">
        <f t="shared" si="4"/>
        <v>0</v>
      </c>
    </row>
    <row r="128" spans="1:6" x14ac:dyDescent="0.2">
      <c r="A128" s="110"/>
      <c r="B128" s="111"/>
      <c r="C128" s="112" t="str">
        <f t="shared" si="5"/>
        <v xml:space="preserve"> </v>
      </c>
      <c r="D128" s="113" t="str">
        <f t="shared" si="6"/>
        <v xml:space="preserve"> </v>
      </c>
      <c r="E128" s="114" t="str">
        <f t="shared" si="7"/>
        <v>0</v>
      </c>
      <c r="F128" s="115">
        <f t="shared" si="4"/>
        <v>0</v>
      </c>
    </row>
    <row r="129" spans="1:6" x14ac:dyDescent="0.2">
      <c r="A129" s="110"/>
      <c r="B129" s="111"/>
      <c r="C129" s="112" t="str">
        <f t="shared" si="5"/>
        <v xml:space="preserve"> </v>
      </c>
      <c r="D129" s="113" t="str">
        <f t="shared" si="6"/>
        <v xml:space="preserve"> </v>
      </c>
      <c r="E129" s="114" t="str">
        <f t="shared" si="7"/>
        <v>0</v>
      </c>
      <c r="F129" s="115">
        <f t="shared" si="4"/>
        <v>0</v>
      </c>
    </row>
    <row r="130" spans="1:6" x14ac:dyDescent="0.2">
      <c r="A130" s="110"/>
      <c r="B130" s="111"/>
      <c r="C130" s="112" t="str">
        <f t="shared" si="5"/>
        <v xml:space="preserve"> </v>
      </c>
      <c r="D130" s="113" t="str">
        <f t="shared" si="6"/>
        <v xml:space="preserve"> </v>
      </c>
      <c r="E130" s="114" t="str">
        <f t="shared" si="7"/>
        <v>0</v>
      </c>
      <c r="F130" s="115">
        <f t="shared" si="4"/>
        <v>0</v>
      </c>
    </row>
    <row r="131" spans="1:6" x14ac:dyDescent="0.2">
      <c r="A131" s="110"/>
      <c r="B131" s="111"/>
      <c r="C131" s="112" t="str">
        <f t="shared" si="5"/>
        <v xml:space="preserve"> </v>
      </c>
      <c r="D131" s="113" t="str">
        <f t="shared" si="6"/>
        <v xml:space="preserve"> </v>
      </c>
      <c r="E131" s="114" t="str">
        <f t="shared" si="7"/>
        <v>0</v>
      </c>
      <c r="F131" s="115">
        <f t="shared" si="4"/>
        <v>0</v>
      </c>
    </row>
    <row r="132" spans="1:6" x14ac:dyDescent="0.2">
      <c r="A132" s="110"/>
      <c r="B132" s="111"/>
      <c r="C132" s="112" t="str">
        <f t="shared" si="5"/>
        <v xml:space="preserve"> </v>
      </c>
      <c r="D132" s="113" t="str">
        <f t="shared" si="6"/>
        <v xml:space="preserve"> </v>
      </c>
      <c r="E132" s="114" t="str">
        <f t="shared" si="7"/>
        <v>0</v>
      </c>
      <c r="F132" s="115">
        <f t="shared" si="4"/>
        <v>0</v>
      </c>
    </row>
    <row r="133" spans="1:6" x14ac:dyDescent="0.2">
      <c r="A133" s="110"/>
      <c r="B133" s="111"/>
      <c r="C133" s="112" t="str">
        <f t="shared" si="5"/>
        <v xml:space="preserve"> </v>
      </c>
      <c r="D133" s="113" t="str">
        <f t="shared" si="6"/>
        <v xml:space="preserve"> </v>
      </c>
      <c r="E133" s="114" t="str">
        <f t="shared" si="7"/>
        <v>0</v>
      </c>
      <c r="F133" s="115">
        <f t="shared" si="4"/>
        <v>0</v>
      </c>
    </row>
    <row r="134" spans="1:6" x14ac:dyDescent="0.2">
      <c r="A134" s="110"/>
      <c r="B134" s="111"/>
      <c r="C134" s="112" t="str">
        <f t="shared" si="5"/>
        <v xml:space="preserve"> </v>
      </c>
      <c r="D134" s="113" t="str">
        <f t="shared" si="6"/>
        <v xml:space="preserve"> </v>
      </c>
      <c r="E134" s="114" t="str">
        <f t="shared" si="7"/>
        <v>0</v>
      </c>
      <c r="F134" s="115">
        <f t="shared" si="4"/>
        <v>0</v>
      </c>
    </row>
    <row r="135" spans="1:6" x14ac:dyDescent="0.2">
      <c r="A135" s="110"/>
      <c r="B135" s="111"/>
      <c r="C135" s="112" t="str">
        <f t="shared" si="5"/>
        <v xml:space="preserve"> </v>
      </c>
      <c r="D135" s="113" t="str">
        <f t="shared" si="6"/>
        <v xml:space="preserve"> </v>
      </c>
      <c r="E135" s="114" t="str">
        <f t="shared" si="7"/>
        <v>0</v>
      </c>
      <c r="F135" s="115">
        <f t="shared" ref="F135:F198" si="8">E135*B135</f>
        <v>0</v>
      </c>
    </row>
    <row r="136" spans="1:6" x14ac:dyDescent="0.2">
      <c r="A136" s="110"/>
      <c r="B136" s="111"/>
      <c r="C136" s="112" t="str">
        <f t="shared" si="5"/>
        <v xml:space="preserve"> </v>
      </c>
      <c r="D136" s="113" t="str">
        <f t="shared" si="6"/>
        <v xml:space="preserve"> </v>
      </c>
      <c r="E136" s="114" t="str">
        <f t="shared" si="7"/>
        <v>0</v>
      </c>
      <c r="F136" s="115">
        <f t="shared" si="8"/>
        <v>0</v>
      </c>
    </row>
    <row r="137" spans="1:6" x14ac:dyDescent="0.2">
      <c r="A137" s="110"/>
      <c r="B137" s="111"/>
      <c r="C137" s="112" t="str">
        <f t="shared" ref="C137:C200" si="9">IFERROR(VLOOKUP(A137,ORDERLIST,2,FALSE)," ")</f>
        <v xml:space="preserve"> </v>
      </c>
      <c r="D137" s="113" t="str">
        <f t="shared" ref="D137:D200" si="10">IFERROR(VLOOKUP(A137,ORDERLIST,3,FALSE)," ")</f>
        <v xml:space="preserve"> </v>
      </c>
      <c r="E137" s="114" t="str">
        <f t="shared" ref="E137:E200" si="11">IFERROR(VLOOKUP(A137,ORDERLIST,4,FALSE),"0")</f>
        <v>0</v>
      </c>
      <c r="F137" s="115">
        <f t="shared" si="8"/>
        <v>0</v>
      </c>
    </row>
    <row r="138" spans="1:6" x14ac:dyDescent="0.2">
      <c r="A138" s="110"/>
      <c r="B138" s="111"/>
      <c r="C138" s="112" t="str">
        <f t="shared" si="9"/>
        <v xml:space="preserve"> </v>
      </c>
      <c r="D138" s="113" t="str">
        <f t="shared" si="10"/>
        <v xml:space="preserve"> </v>
      </c>
      <c r="E138" s="114" t="str">
        <f t="shared" si="11"/>
        <v>0</v>
      </c>
      <c r="F138" s="115">
        <f t="shared" si="8"/>
        <v>0</v>
      </c>
    </row>
    <row r="139" spans="1:6" x14ac:dyDescent="0.2">
      <c r="A139" s="110"/>
      <c r="B139" s="111"/>
      <c r="C139" s="112" t="str">
        <f t="shared" si="9"/>
        <v xml:space="preserve"> </v>
      </c>
      <c r="D139" s="113" t="str">
        <f t="shared" si="10"/>
        <v xml:space="preserve"> </v>
      </c>
      <c r="E139" s="114" t="str">
        <f t="shared" si="11"/>
        <v>0</v>
      </c>
      <c r="F139" s="115">
        <f t="shared" si="8"/>
        <v>0</v>
      </c>
    </row>
    <row r="140" spans="1:6" x14ac:dyDescent="0.2">
      <c r="A140" s="110"/>
      <c r="B140" s="111"/>
      <c r="C140" s="112" t="str">
        <f t="shared" si="9"/>
        <v xml:space="preserve"> </v>
      </c>
      <c r="D140" s="113" t="str">
        <f t="shared" si="10"/>
        <v xml:space="preserve"> </v>
      </c>
      <c r="E140" s="114" t="str">
        <f t="shared" si="11"/>
        <v>0</v>
      </c>
      <c r="F140" s="115">
        <f t="shared" si="8"/>
        <v>0</v>
      </c>
    </row>
    <row r="141" spans="1:6" x14ac:dyDescent="0.2">
      <c r="A141" s="110"/>
      <c r="B141" s="111"/>
      <c r="C141" s="112" t="str">
        <f t="shared" si="9"/>
        <v xml:space="preserve"> </v>
      </c>
      <c r="D141" s="113" t="str">
        <f t="shared" si="10"/>
        <v xml:space="preserve"> </v>
      </c>
      <c r="E141" s="114" t="str">
        <f t="shared" si="11"/>
        <v>0</v>
      </c>
      <c r="F141" s="115">
        <f t="shared" si="8"/>
        <v>0</v>
      </c>
    </row>
    <row r="142" spans="1:6" x14ac:dyDescent="0.2">
      <c r="A142" s="110"/>
      <c r="B142" s="111"/>
      <c r="C142" s="112" t="str">
        <f t="shared" si="9"/>
        <v xml:space="preserve"> </v>
      </c>
      <c r="D142" s="113" t="str">
        <f t="shared" si="10"/>
        <v xml:space="preserve"> </v>
      </c>
      <c r="E142" s="114" t="str">
        <f t="shared" si="11"/>
        <v>0</v>
      </c>
      <c r="F142" s="115">
        <f t="shared" si="8"/>
        <v>0</v>
      </c>
    </row>
    <row r="143" spans="1:6" x14ac:dyDescent="0.2">
      <c r="A143" s="110"/>
      <c r="B143" s="111"/>
      <c r="C143" s="112" t="str">
        <f t="shared" si="9"/>
        <v xml:space="preserve"> </v>
      </c>
      <c r="D143" s="113" t="str">
        <f t="shared" si="10"/>
        <v xml:space="preserve"> </v>
      </c>
      <c r="E143" s="114" t="str">
        <f t="shared" si="11"/>
        <v>0</v>
      </c>
      <c r="F143" s="115">
        <f t="shared" si="8"/>
        <v>0</v>
      </c>
    </row>
    <row r="144" spans="1:6" x14ac:dyDescent="0.2">
      <c r="A144" s="110"/>
      <c r="B144" s="111"/>
      <c r="C144" s="112" t="str">
        <f t="shared" si="9"/>
        <v xml:space="preserve"> </v>
      </c>
      <c r="D144" s="113" t="str">
        <f t="shared" si="10"/>
        <v xml:space="preserve"> </v>
      </c>
      <c r="E144" s="114" t="str">
        <f t="shared" si="11"/>
        <v>0</v>
      </c>
      <c r="F144" s="115">
        <f t="shared" si="8"/>
        <v>0</v>
      </c>
    </row>
    <row r="145" spans="1:6" x14ac:dyDescent="0.2">
      <c r="A145" s="110"/>
      <c r="B145" s="111"/>
      <c r="C145" s="112" t="str">
        <f t="shared" si="9"/>
        <v xml:space="preserve"> </v>
      </c>
      <c r="D145" s="113" t="str">
        <f t="shared" si="10"/>
        <v xml:space="preserve"> </v>
      </c>
      <c r="E145" s="114" t="str">
        <f t="shared" si="11"/>
        <v>0</v>
      </c>
      <c r="F145" s="115">
        <f t="shared" si="8"/>
        <v>0</v>
      </c>
    </row>
    <row r="146" spans="1:6" x14ac:dyDescent="0.2">
      <c r="A146" s="110"/>
      <c r="B146" s="111"/>
      <c r="C146" s="112" t="str">
        <f t="shared" si="9"/>
        <v xml:space="preserve"> </v>
      </c>
      <c r="D146" s="113" t="str">
        <f t="shared" si="10"/>
        <v xml:space="preserve"> </v>
      </c>
      <c r="E146" s="114" t="str">
        <f t="shared" si="11"/>
        <v>0</v>
      </c>
      <c r="F146" s="115">
        <f t="shared" si="8"/>
        <v>0</v>
      </c>
    </row>
    <row r="147" spans="1:6" x14ac:dyDescent="0.2">
      <c r="A147" s="110"/>
      <c r="B147" s="111"/>
      <c r="C147" s="112" t="str">
        <f t="shared" si="9"/>
        <v xml:space="preserve"> </v>
      </c>
      <c r="D147" s="113" t="str">
        <f t="shared" si="10"/>
        <v xml:space="preserve"> </v>
      </c>
      <c r="E147" s="114" t="str">
        <f t="shared" si="11"/>
        <v>0</v>
      </c>
      <c r="F147" s="115">
        <f t="shared" si="8"/>
        <v>0</v>
      </c>
    </row>
    <row r="148" spans="1:6" x14ac:dyDescent="0.2">
      <c r="A148" s="110"/>
      <c r="B148" s="111"/>
      <c r="C148" s="112" t="str">
        <f t="shared" si="9"/>
        <v xml:space="preserve"> </v>
      </c>
      <c r="D148" s="113" t="str">
        <f t="shared" si="10"/>
        <v xml:space="preserve"> </v>
      </c>
      <c r="E148" s="114" t="str">
        <f t="shared" si="11"/>
        <v>0</v>
      </c>
      <c r="F148" s="115">
        <f t="shared" si="8"/>
        <v>0</v>
      </c>
    </row>
    <row r="149" spans="1:6" x14ac:dyDescent="0.2">
      <c r="A149" s="110"/>
      <c r="B149" s="111"/>
      <c r="C149" s="112" t="str">
        <f t="shared" si="9"/>
        <v xml:space="preserve"> </v>
      </c>
      <c r="D149" s="113" t="str">
        <f t="shared" si="10"/>
        <v xml:space="preserve"> </v>
      </c>
      <c r="E149" s="114" t="str">
        <f t="shared" si="11"/>
        <v>0</v>
      </c>
      <c r="F149" s="115">
        <f t="shared" si="8"/>
        <v>0</v>
      </c>
    </row>
    <row r="150" spans="1:6" x14ac:dyDescent="0.2">
      <c r="A150" s="110"/>
      <c r="B150" s="111"/>
      <c r="C150" s="112" t="str">
        <f t="shared" si="9"/>
        <v xml:space="preserve"> </v>
      </c>
      <c r="D150" s="113" t="str">
        <f t="shared" si="10"/>
        <v xml:space="preserve"> </v>
      </c>
      <c r="E150" s="114" t="str">
        <f t="shared" si="11"/>
        <v>0</v>
      </c>
      <c r="F150" s="115">
        <f t="shared" si="8"/>
        <v>0</v>
      </c>
    </row>
    <row r="151" spans="1:6" x14ac:dyDescent="0.2">
      <c r="A151" s="110"/>
      <c r="B151" s="111"/>
      <c r="C151" s="112" t="str">
        <f t="shared" si="9"/>
        <v xml:space="preserve"> </v>
      </c>
      <c r="D151" s="113" t="str">
        <f t="shared" si="10"/>
        <v xml:space="preserve"> </v>
      </c>
      <c r="E151" s="114" t="str">
        <f t="shared" si="11"/>
        <v>0</v>
      </c>
      <c r="F151" s="115">
        <f t="shared" si="8"/>
        <v>0</v>
      </c>
    </row>
    <row r="152" spans="1:6" x14ac:dyDescent="0.2">
      <c r="A152" s="110"/>
      <c r="B152" s="111"/>
      <c r="C152" s="112" t="str">
        <f t="shared" si="9"/>
        <v xml:space="preserve"> </v>
      </c>
      <c r="D152" s="113" t="str">
        <f t="shared" si="10"/>
        <v xml:space="preserve"> </v>
      </c>
      <c r="E152" s="114" t="str">
        <f t="shared" si="11"/>
        <v>0</v>
      </c>
      <c r="F152" s="115">
        <f t="shared" si="8"/>
        <v>0</v>
      </c>
    </row>
    <row r="153" spans="1:6" x14ac:dyDescent="0.2">
      <c r="A153" s="110"/>
      <c r="B153" s="111"/>
      <c r="C153" s="112" t="str">
        <f t="shared" si="9"/>
        <v xml:space="preserve"> </v>
      </c>
      <c r="D153" s="113" t="str">
        <f t="shared" si="10"/>
        <v xml:space="preserve"> </v>
      </c>
      <c r="E153" s="114" t="str">
        <f t="shared" si="11"/>
        <v>0</v>
      </c>
      <c r="F153" s="115">
        <f t="shared" si="8"/>
        <v>0</v>
      </c>
    </row>
    <row r="154" spans="1:6" x14ac:dyDescent="0.2">
      <c r="A154" s="110"/>
      <c r="B154" s="111"/>
      <c r="C154" s="112" t="str">
        <f t="shared" si="9"/>
        <v xml:space="preserve"> </v>
      </c>
      <c r="D154" s="113" t="str">
        <f t="shared" si="10"/>
        <v xml:space="preserve"> </v>
      </c>
      <c r="E154" s="114" t="str">
        <f t="shared" si="11"/>
        <v>0</v>
      </c>
      <c r="F154" s="115">
        <f t="shared" si="8"/>
        <v>0</v>
      </c>
    </row>
    <row r="155" spans="1:6" x14ac:dyDescent="0.2">
      <c r="A155" s="110"/>
      <c r="B155" s="111"/>
      <c r="C155" s="112" t="str">
        <f t="shared" si="9"/>
        <v xml:space="preserve"> </v>
      </c>
      <c r="D155" s="113" t="str">
        <f t="shared" si="10"/>
        <v xml:space="preserve"> </v>
      </c>
      <c r="E155" s="114" t="str">
        <f t="shared" si="11"/>
        <v>0</v>
      </c>
      <c r="F155" s="115">
        <f t="shared" si="8"/>
        <v>0</v>
      </c>
    </row>
    <row r="156" spans="1:6" x14ac:dyDescent="0.2">
      <c r="A156" s="110"/>
      <c r="B156" s="111"/>
      <c r="C156" s="112" t="str">
        <f t="shared" si="9"/>
        <v xml:space="preserve"> </v>
      </c>
      <c r="D156" s="113" t="str">
        <f t="shared" si="10"/>
        <v xml:space="preserve"> </v>
      </c>
      <c r="E156" s="114" t="str">
        <f t="shared" si="11"/>
        <v>0</v>
      </c>
      <c r="F156" s="115">
        <f t="shared" si="8"/>
        <v>0</v>
      </c>
    </row>
    <row r="157" spans="1:6" x14ac:dyDescent="0.2">
      <c r="A157" s="110"/>
      <c r="B157" s="111"/>
      <c r="C157" s="112" t="str">
        <f t="shared" si="9"/>
        <v xml:space="preserve"> </v>
      </c>
      <c r="D157" s="113" t="str">
        <f t="shared" si="10"/>
        <v xml:space="preserve"> </v>
      </c>
      <c r="E157" s="114" t="str">
        <f t="shared" si="11"/>
        <v>0</v>
      </c>
      <c r="F157" s="115">
        <f t="shared" si="8"/>
        <v>0</v>
      </c>
    </row>
    <row r="158" spans="1:6" x14ac:dyDescent="0.2">
      <c r="A158" s="110"/>
      <c r="B158" s="111"/>
      <c r="C158" s="112" t="str">
        <f t="shared" si="9"/>
        <v xml:space="preserve"> </v>
      </c>
      <c r="D158" s="113" t="str">
        <f t="shared" si="10"/>
        <v xml:space="preserve"> </v>
      </c>
      <c r="E158" s="114" t="str">
        <f t="shared" si="11"/>
        <v>0</v>
      </c>
      <c r="F158" s="115">
        <f t="shared" si="8"/>
        <v>0</v>
      </c>
    </row>
    <row r="159" spans="1:6" x14ac:dyDescent="0.2">
      <c r="A159" s="110"/>
      <c r="B159" s="111"/>
      <c r="C159" s="112" t="str">
        <f t="shared" si="9"/>
        <v xml:space="preserve"> </v>
      </c>
      <c r="D159" s="113" t="str">
        <f t="shared" si="10"/>
        <v xml:space="preserve"> </v>
      </c>
      <c r="E159" s="114" t="str">
        <f t="shared" si="11"/>
        <v>0</v>
      </c>
      <c r="F159" s="115">
        <f t="shared" si="8"/>
        <v>0</v>
      </c>
    </row>
    <row r="160" spans="1:6" x14ac:dyDescent="0.2">
      <c r="A160" s="110"/>
      <c r="B160" s="111"/>
      <c r="C160" s="112" t="str">
        <f t="shared" si="9"/>
        <v xml:space="preserve"> </v>
      </c>
      <c r="D160" s="113" t="str">
        <f t="shared" si="10"/>
        <v xml:space="preserve"> </v>
      </c>
      <c r="E160" s="114" t="str">
        <f t="shared" si="11"/>
        <v>0</v>
      </c>
      <c r="F160" s="115">
        <f t="shared" si="8"/>
        <v>0</v>
      </c>
    </row>
    <row r="161" spans="1:6" x14ac:dyDescent="0.2">
      <c r="A161" s="110"/>
      <c r="B161" s="111"/>
      <c r="C161" s="112" t="str">
        <f t="shared" si="9"/>
        <v xml:space="preserve"> </v>
      </c>
      <c r="D161" s="113" t="str">
        <f t="shared" si="10"/>
        <v xml:space="preserve"> </v>
      </c>
      <c r="E161" s="114" t="str">
        <f t="shared" si="11"/>
        <v>0</v>
      </c>
      <c r="F161" s="115">
        <f t="shared" si="8"/>
        <v>0</v>
      </c>
    </row>
    <row r="162" spans="1:6" x14ac:dyDescent="0.2">
      <c r="A162" s="110"/>
      <c r="B162" s="111"/>
      <c r="C162" s="112" t="str">
        <f t="shared" si="9"/>
        <v xml:space="preserve"> </v>
      </c>
      <c r="D162" s="113" t="str">
        <f t="shared" si="10"/>
        <v xml:space="preserve"> </v>
      </c>
      <c r="E162" s="114" t="str">
        <f t="shared" si="11"/>
        <v>0</v>
      </c>
      <c r="F162" s="115">
        <f t="shared" si="8"/>
        <v>0</v>
      </c>
    </row>
    <row r="163" spans="1:6" x14ac:dyDescent="0.2">
      <c r="A163" s="110"/>
      <c r="B163" s="111"/>
      <c r="C163" s="112" t="str">
        <f t="shared" si="9"/>
        <v xml:space="preserve"> </v>
      </c>
      <c r="D163" s="113" t="str">
        <f t="shared" si="10"/>
        <v xml:space="preserve"> </v>
      </c>
      <c r="E163" s="114" t="str">
        <f t="shared" si="11"/>
        <v>0</v>
      </c>
      <c r="F163" s="115">
        <f t="shared" si="8"/>
        <v>0</v>
      </c>
    </row>
    <row r="164" spans="1:6" x14ac:dyDescent="0.2">
      <c r="A164" s="110"/>
      <c r="B164" s="111"/>
      <c r="C164" s="112" t="str">
        <f t="shared" si="9"/>
        <v xml:space="preserve"> </v>
      </c>
      <c r="D164" s="113" t="str">
        <f t="shared" si="10"/>
        <v xml:space="preserve"> </v>
      </c>
      <c r="E164" s="114" t="str">
        <f t="shared" si="11"/>
        <v>0</v>
      </c>
      <c r="F164" s="115">
        <f t="shared" si="8"/>
        <v>0</v>
      </c>
    </row>
    <row r="165" spans="1:6" x14ac:dyDescent="0.2">
      <c r="A165" s="110"/>
      <c r="B165" s="111"/>
      <c r="C165" s="112" t="str">
        <f t="shared" si="9"/>
        <v xml:space="preserve"> </v>
      </c>
      <c r="D165" s="113" t="str">
        <f t="shared" si="10"/>
        <v xml:space="preserve"> </v>
      </c>
      <c r="E165" s="114" t="str">
        <f t="shared" si="11"/>
        <v>0</v>
      </c>
      <c r="F165" s="115">
        <f t="shared" si="8"/>
        <v>0</v>
      </c>
    </row>
    <row r="166" spans="1:6" x14ac:dyDescent="0.2">
      <c r="A166" s="110"/>
      <c r="B166" s="111"/>
      <c r="C166" s="112" t="str">
        <f t="shared" si="9"/>
        <v xml:space="preserve"> </v>
      </c>
      <c r="D166" s="113" t="str">
        <f t="shared" si="10"/>
        <v xml:space="preserve"> </v>
      </c>
      <c r="E166" s="114" t="str">
        <f t="shared" si="11"/>
        <v>0</v>
      </c>
      <c r="F166" s="115">
        <f t="shared" si="8"/>
        <v>0</v>
      </c>
    </row>
    <row r="167" spans="1:6" x14ac:dyDescent="0.2">
      <c r="A167" s="110"/>
      <c r="B167" s="111"/>
      <c r="C167" s="112" t="str">
        <f t="shared" si="9"/>
        <v xml:space="preserve"> </v>
      </c>
      <c r="D167" s="113" t="str">
        <f t="shared" si="10"/>
        <v xml:space="preserve"> </v>
      </c>
      <c r="E167" s="114" t="str">
        <f t="shared" si="11"/>
        <v>0</v>
      </c>
      <c r="F167" s="115">
        <f t="shared" si="8"/>
        <v>0</v>
      </c>
    </row>
    <row r="168" spans="1:6" x14ac:dyDescent="0.2">
      <c r="A168" s="110"/>
      <c r="B168" s="111"/>
      <c r="C168" s="112" t="str">
        <f t="shared" si="9"/>
        <v xml:space="preserve"> </v>
      </c>
      <c r="D168" s="113" t="str">
        <f t="shared" si="10"/>
        <v xml:space="preserve"> </v>
      </c>
      <c r="E168" s="114" t="str">
        <f t="shared" si="11"/>
        <v>0</v>
      </c>
      <c r="F168" s="115">
        <f t="shared" si="8"/>
        <v>0</v>
      </c>
    </row>
    <row r="169" spans="1:6" x14ac:dyDescent="0.2">
      <c r="A169" s="110"/>
      <c r="B169" s="111"/>
      <c r="C169" s="112" t="str">
        <f t="shared" si="9"/>
        <v xml:space="preserve"> </v>
      </c>
      <c r="D169" s="113" t="str">
        <f t="shared" si="10"/>
        <v xml:space="preserve"> </v>
      </c>
      <c r="E169" s="114" t="str">
        <f t="shared" si="11"/>
        <v>0</v>
      </c>
      <c r="F169" s="115">
        <f t="shared" si="8"/>
        <v>0</v>
      </c>
    </row>
    <row r="170" spans="1:6" x14ac:dyDescent="0.2">
      <c r="A170" s="110"/>
      <c r="B170" s="111"/>
      <c r="C170" s="112" t="str">
        <f t="shared" si="9"/>
        <v xml:space="preserve"> </v>
      </c>
      <c r="D170" s="113" t="str">
        <f t="shared" si="10"/>
        <v xml:space="preserve"> </v>
      </c>
      <c r="E170" s="114" t="str">
        <f t="shared" si="11"/>
        <v>0</v>
      </c>
      <c r="F170" s="115">
        <f t="shared" si="8"/>
        <v>0</v>
      </c>
    </row>
    <row r="171" spans="1:6" x14ac:dyDescent="0.2">
      <c r="A171" s="110"/>
      <c r="B171" s="111"/>
      <c r="C171" s="112" t="str">
        <f t="shared" si="9"/>
        <v xml:space="preserve"> </v>
      </c>
      <c r="D171" s="113" t="str">
        <f t="shared" si="10"/>
        <v xml:space="preserve"> </v>
      </c>
      <c r="E171" s="114" t="str">
        <f t="shared" si="11"/>
        <v>0</v>
      </c>
      <c r="F171" s="115">
        <f t="shared" si="8"/>
        <v>0</v>
      </c>
    </row>
    <row r="172" spans="1:6" x14ac:dyDescent="0.2">
      <c r="A172" s="110"/>
      <c r="B172" s="111"/>
      <c r="C172" s="112" t="str">
        <f t="shared" si="9"/>
        <v xml:space="preserve"> </v>
      </c>
      <c r="D172" s="113" t="str">
        <f t="shared" si="10"/>
        <v xml:space="preserve"> </v>
      </c>
      <c r="E172" s="114" t="str">
        <f t="shared" si="11"/>
        <v>0</v>
      </c>
      <c r="F172" s="115">
        <f t="shared" si="8"/>
        <v>0</v>
      </c>
    </row>
    <row r="173" spans="1:6" x14ac:dyDescent="0.2">
      <c r="A173" s="110"/>
      <c r="B173" s="111"/>
      <c r="C173" s="112" t="str">
        <f t="shared" si="9"/>
        <v xml:space="preserve"> </v>
      </c>
      <c r="D173" s="113" t="str">
        <f t="shared" si="10"/>
        <v xml:space="preserve"> </v>
      </c>
      <c r="E173" s="114" t="str">
        <f t="shared" si="11"/>
        <v>0</v>
      </c>
      <c r="F173" s="115">
        <f t="shared" si="8"/>
        <v>0</v>
      </c>
    </row>
    <row r="174" spans="1:6" x14ac:dyDescent="0.2">
      <c r="A174" s="110"/>
      <c r="B174" s="111"/>
      <c r="C174" s="112" t="str">
        <f t="shared" si="9"/>
        <v xml:space="preserve"> </v>
      </c>
      <c r="D174" s="113" t="str">
        <f t="shared" si="10"/>
        <v xml:space="preserve"> </v>
      </c>
      <c r="E174" s="114" t="str">
        <f t="shared" si="11"/>
        <v>0</v>
      </c>
      <c r="F174" s="115">
        <f t="shared" si="8"/>
        <v>0</v>
      </c>
    </row>
    <row r="175" spans="1:6" x14ac:dyDescent="0.2">
      <c r="A175" s="110"/>
      <c r="B175" s="111"/>
      <c r="C175" s="112" t="str">
        <f t="shared" si="9"/>
        <v xml:space="preserve"> </v>
      </c>
      <c r="D175" s="113" t="str">
        <f t="shared" si="10"/>
        <v xml:space="preserve"> </v>
      </c>
      <c r="E175" s="114" t="str">
        <f t="shared" si="11"/>
        <v>0</v>
      </c>
      <c r="F175" s="115">
        <f t="shared" si="8"/>
        <v>0</v>
      </c>
    </row>
    <row r="176" spans="1:6" x14ac:dyDescent="0.2">
      <c r="A176" s="110"/>
      <c r="B176" s="111"/>
      <c r="C176" s="112" t="str">
        <f t="shared" si="9"/>
        <v xml:space="preserve"> </v>
      </c>
      <c r="D176" s="113" t="str">
        <f t="shared" si="10"/>
        <v xml:space="preserve"> </v>
      </c>
      <c r="E176" s="114" t="str">
        <f t="shared" si="11"/>
        <v>0</v>
      </c>
      <c r="F176" s="115">
        <f t="shared" si="8"/>
        <v>0</v>
      </c>
    </row>
    <row r="177" spans="1:6" x14ac:dyDescent="0.2">
      <c r="A177" s="110"/>
      <c r="B177" s="111"/>
      <c r="C177" s="112" t="str">
        <f t="shared" si="9"/>
        <v xml:space="preserve"> </v>
      </c>
      <c r="D177" s="113" t="str">
        <f t="shared" si="10"/>
        <v xml:space="preserve"> </v>
      </c>
      <c r="E177" s="114" t="str">
        <f t="shared" si="11"/>
        <v>0</v>
      </c>
      <c r="F177" s="115">
        <f t="shared" si="8"/>
        <v>0</v>
      </c>
    </row>
    <row r="178" spans="1:6" x14ac:dyDescent="0.2">
      <c r="A178" s="110"/>
      <c r="B178" s="111"/>
      <c r="C178" s="112" t="str">
        <f t="shared" si="9"/>
        <v xml:space="preserve"> </v>
      </c>
      <c r="D178" s="113" t="str">
        <f t="shared" si="10"/>
        <v xml:space="preserve"> </v>
      </c>
      <c r="E178" s="114" t="str">
        <f t="shared" si="11"/>
        <v>0</v>
      </c>
      <c r="F178" s="115">
        <f t="shared" si="8"/>
        <v>0</v>
      </c>
    </row>
    <row r="179" spans="1:6" x14ac:dyDescent="0.2">
      <c r="A179" s="110"/>
      <c r="B179" s="111"/>
      <c r="C179" s="112" t="str">
        <f t="shared" si="9"/>
        <v xml:space="preserve"> </v>
      </c>
      <c r="D179" s="113" t="str">
        <f t="shared" si="10"/>
        <v xml:space="preserve"> </v>
      </c>
      <c r="E179" s="114" t="str">
        <f t="shared" si="11"/>
        <v>0</v>
      </c>
      <c r="F179" s="115">
        <f t="shared" si="8"/>
        <v>0</v>
      </c>
    </row>
    <row r="180" spans="1:6" x14ac:dyDescent="0.2">
      <c r="A180" s="110"/>
      <c r="B180" s="111"/>
      <c r="C180" s="112" t="str">
        <f t="shared" si="9"/>
        <v xml:space="preserve"> </v>
      </c>
      <c r="D180" s="113" t="str">
        <f t="shared" si="10"/>
        <v xml:space="preserve"> </v>
      </c>
      <c r="E180" s="114" t="str">
        <f t="shared" si="11"/>
        <v>0</v>
      </c>
      <c r="F180" s="115">
        <f t="shared" si="8"/>
        <v>0</v>
      </c>
    </row>
    <row r="181" spans="1:6" x14ac:dyDescent="0.2">
      <c r="A181" s="110"/>
      <c r="B181" s="111"/>
      <c r="C181" s="112" t="str">
        <f t="shared" si="9"/>
        <v xml:space="preserve"> </v>
      </c>
      <c r="D181" s="113" t="str">
        <f t="shared" si="10"/>
        <v xml:space="preserve"> </v>
      </c>
      <c r="E181" s="114" t="str">
        <f t="shared" si="11"/>
        <v>0</v>
      </c>
      <c r="F181" s="115">
        <f t="shared" si="8"/>
        <v>0</v>
      </c>
    </row>
    <row r="182" spans="1:6" x14ac:dyDescent="0.2">
      <c r="A182" s="110"/>
      <c r="B182" s="111"/>
      <c r="C182" s="112" t="str">
        <f t="shared" si="9"/>
        <v xml:space="preserve"> </v>
      </c>
      <c r="D182" s="113" t="str">
        <f t="shared" si="10"/>
        <v xml:space="preserve"> </v>
      </c>
      <c r="E182" s="114" t="str">
        <f t="shared" si="11"/>
        <v>0</v>
      </c>
      <c r="F182" s="115">
        <f t="shared" si="8"/>
        <v>0</v>
      </c>
    </row>
    <row r="183" spans="1:6" x14ac:dyDescent="0.2">
      <c r="A183" s="110"/>
      <c r="B183" s="111"/>
      <c r="C183" s="112" t="str">
        <f t="shared" si="9"/>
        <v xml:space="preserve"> </v>
      </c>
      <c r="D183" s="113" t="str">
        <f t="shared" si="10"/>
        <v xml:space="preserve"> </v>
      </c>
      <c r="E183" s="114" t="str">
        <f t="shared" si="11"/>
        <v>0</v>
      </c>
      <c r="F183" s="115">
        <f t="shared" si="8"/>
        <v>0</v>
      </c>
    </row>
    <row r="184" spans="1:6" x14ac:dyDescent="0.2">
      <c r="A184" s="110"/>
      <c r="B184" s="111"/>
      <c r="C184" s="112" t="str">
        <f t="shared" si="9"/>
        <v xml:space="preserve"> </v>
      </c>
      <c r="D184" s="113" t="str">
        <f t="shared" si="10"/>
        <v xml:space="preserve"> </v>
      </c>
      <c r="E184" s="114" t="str">
        <f t="shared" si="11"/>
        <v>0</v>
      </c>
      <c r="F184" s="115">
        <f t="shared" si="8"/>
        <v>0</v>
      </c>
    </row>
    <row r="185" spans="1:6" x14ac:dyDescent="0.2">
      <c r="A185" s="110"/>
      <c r="B185" s="111"/>
      <c r="C185" s="112" t="str">
        <f t="shared" si="9"/>
        <v xml:space="preserve"> </v>
      </c>
      <c r="D185" s="113" t="str">
        <f t="shared" si="10"/>
        <v xml:space="preserve"> </v>
      </c>
      <c r="E185" s="114" t="str">
        <f t="shared" si="11"/>
        <v>0</v>
      </c>
      <c r="F185" s="115">
        <f t="shared" si="8"/>
        <v>0</v>
      </c>
    </row>
    <row r="186" spans="1:6" x14ac:dyDescent="0.2">
      <c r="A186" s="110"/>
      <c r="B186" s="111"/>
      <c r="C186" s="112" t="str">
        <f t="shared" si="9"/>
        <v xml:space="preserve"> </v>
      </c>
      <c r="D186" s="113" t="str">
        <f t="shared" si="10"/>
        <v xml:space="preserve"> </v>
      </c>
      <c r="E186" s="114" t="str">
        <f t="shared" si="11"/>
        <v>0</v>
      </c>
      <c r="F186" s="115">
        <f t="shared" si="8"/>
        <v>0</v>
      </c>
    </row>
    <row r="187" spans="1:6" x14ac:dyDescent="0.2">
      <c r="A187" s="110"/>
      <c r="B187" s="111"/>
      <c r="C187" s="112" t="str">
        <f t="shared" si="9"/>
        <v xml:space="preserve"> </v>
      </c>
      <c r="D187" s="113" t="str">
        <f t="shared" si="10"/>
        <v xml:space="preserve"> </v>
      </c>
      <c r="E187" s="114" t="str">
        <f t="shared" si="11"/>
        <v>0</v>
      </c>
      <c r="F187" s="115">
        <f t="shared" si="8"/>
        <v>0</v>
      </c>
    </row>
    <row r="188" spans="1:6" x14ac:dyDescent="0.2">
      <c r="A188" s="110"/>
      <c r="B188" s="111"/>
      <c r="C188" s="112" t="str">
        <f t="shared" si="9"/>
        <v xml:space="preserve"> </v>
      </c>
      <c r="D188" s="113" t="str">
        <f t="shared" si="10"/>
        <v xml:space="preserve"> </v>
      </c>
      <c r="E188" s="114" t="str">
        <f t="shared" si="11"/>
        <v>0</v>
      </c>
      <c r="F188" s="115">
        <f t="shared" si="8"/>
        <v>0</v>
      </c>
    </row>
    <row r="189" spans="1:6" x14ac:dyDescent="0.2">
      <c r="A189" s="110"/>
      <c r="B189" s="111"/>
      <c r="C189" s="112" t="str">
        <f t="shared" si="9"/>
        <v xml:space="preserve"> </v>
      </c>
      <c r="D189" s="113" t="str">
        <f t="shared" si="10"/>
        <v xml:space="preserve"> </v>
      </c>
      <c r="E189" s="114" t="str">
        <f t="shared" si="11"/>
        <v>0</v>
      </c>
      <c r="F189" s="115">
        <f t="shared" si="8"/>
        <v>0</v>
      </c>
    </row>
    <row r="190" spans="1:6" x14ac:dyDescent="0.2">
      <c r="A190" s="110"/>
      <c r="B190" s="111"/>
      <c r="C190" s="112" t="str">
        <f t="shared" si="9"/>
        <v xml:space="preserve"> </v>
      </c>
      <c r="D190" s="113" t="str">
        <f t="shared" si="10"/>
        <v xml:space="preserve"> </v>
      </c>
      <c r="E190" s="114" t="str">
        <f t="shared" si="11"/>
        <v>0</v>
      </c>
      <c r="F190" s="115">
        <f t="shared" si="8"/>
        <v>0</v>
      </c>
    </row>
    <row r="191" spans="1:6" x14ac:dyDescent="0.2">
      <c r="A191" s="110"/>
      <c r="B191" s="111"/>
      <c r="C191" s="112" t="str">
        <f t="shared" si="9"/>
        <v xml:space="preserve"> </v>
      </c>
      <c r="D191" s="113" t="str">
        <f t="shared" si="10"/>
        <v xml:space="preserve"> </v>
      </c>
      <c r="E191" s="114" t="str">
        <f t="shared" si="11"/>
        <v>0</v>
      </c>
      <c r="F191" s="115">
        <f t="shared" si="8"/>
        <v>0</v>
      </c>
    </row>
    <row r="192" spans="1:6" x14ac:dyDescent="0.2">
      <c r="A192" s="110"/>
      <c r="B192" s="111"/>
      <c r="C192" s="112" t="str">
        <f t="shared" si="9"/>
        <v xml:space="preserve"> </v>
      </c>
      <c r="D192" s="113" t="str">
        <f t="shared" si="10"/>
        <v xml:space="preserve"> </v>
      </c>
      <c r="E192" s="114" t="str">
        <f t="shared" si="11"/>
        <v>0</v>
      </c>
      <c r="F192" s="115">
        <f t="shared" si="8"/>
        <v>0</v>
      </c>
    </row>
    <row r="193" spans="1:6" x14ac:dyDescent="0.2">
      <c r="A193" s="110"/>
      <c r="B193" s="111"/>
      <c r="C193" s="112" t="str">
        <f t="shared" si="9"/>
        <v xml:space="preserve"> </v>
      </c>
      <c r="D193" s="113" t="str">
        <f t="shared" si="10"/>
        <v xml:space="preserve"> </v>
      </c>
      <c r="E193" s="114" t="str">
        <f t="shared" si="11"/>
        <v>0</v>
      </c>
      <c r="F193" s="115">
        <f t="shared" si="8"/>
        <v>0</v>
      </c>
    </row>
    <row r="194" spans="1:6" x14ac:dyDescent="0.2">
      <c r="A194" s="110"/>
      <c r="B194" s="111"/>
      <c r="C194" s="112" t="str">
        <f t="shared" si="9"/>
        <v xml:space="preserve"> </v>
      </c>
      <c r="D194" s="113" t="str">
        <f t="shared" si="10"/>
        <v xml:space="preserve"> </v>
      </c>
      <c r="E194" s="114" t="str">
        <f t="shared" si="11"/>
        <v>0</v>
      </c>
      <c r="F194" s="115">
        <f t="shared" si="8"/>
        <v>0</v>
      </c>
    </row>
    <row r="195" spans="1:6" x14ac:dyDescent="0.2">
      <c r="A195" s="110"/>
      <c r="B195" s="111"/>
      <c r="C195" s="112" t="str">
        <f t="shared" si="9"/>
        <v xml:space="preserve"> </v>
      </c>
      <c r="D195" s="113" t="str">
        <f t="shared" si="10"/>
        <v xml:space="preserve"> </v>
      </c>
      <c r="E195" s="114" t="str">
        <f t="shared" si="11"/>
        <v>0</v>
      </c>
      <c r="F195" s="115">
        <f t="shared" si="8"/>
        <v>0</v>
      </c>
    </row>
    <row r="196" spans="1:6" x14ac:dyDescent="0.2">
      <c r="A196" s="110"/>
      <c r="B196" s="111"/>
      <c r="C196" s="112" t="str">
        <f t="shared" si="9"/>
        <v xml:space="preserve"> </v>
      </c>
      <c r="D196" s="113" t="str">
        <f t="shared" si="10"/>
        <v xml:space="preserve"> </v>
      </c>
      <c r="E196" s="114" t="str">
        <f t="shared" si="11"/>
        <v>0</v>
      </c>
      <c r="F196" s="115">
        <f t="shared" si="8"/>
        <v>0</v>
      </c>
    </row>
    <row r="197" spans="1:6" x14ac:dyDescent="0.2">
      <c r="A197" s="110"/>
      <c r="B197" s="111"/>
      <c r="C197" s="112" t="str">
        <f t="shared" si="9"/>
        <v xml:space="preserve"> </v>
      </c>
      <c r="D197" s="113" t="str">
        <f t="shared" si="10"/>
        <v xml:space="preserve"> </v>
      </c>
      <c r="E197" s="114" t="str">
        <f t="shared" si="11"/>
        <v>0</v>
      </c>
      <c r="F197" s="115">
        <f t="shared" si="8"/>
        <v>0</v>
      </c>
    </row>
    <row r="198" spans="1:6" x14ac:dyDescent="0.2">
      <c r="A198" s="110"/>
      <c r="B198" s="111"/>
      <c r="C198" s="112" t="str">
        <f t="shared" si="9"/>
        <v xml:space="preserve"> </v>
      </c>
      <c r="D198" s="113" t="str">
        <f t="shared" si="10"/>
        <v xml:space="preserve"> </v>
      </c>
      <c r="E198" s="114" t="str">
        <f t="shared" si="11"/>
        <v>0</v>
      </c>
      <c r="F198" s="115">
        <f t="shared" si="8"/>
        <v>0</v>
      </c>
    </row>
    <row r="199" spans="1:6" x14ac:dyDescent="0.2">
      <c r="A199" s="110"/>
      <c r="B199" s="111"/>
      <c r="C199" s="112" t="str">
        <f t="shared" si="9"/>
        <v xml:space="preserve"> </v>
      </c>
      <c r="D199" s="113" t="str">
        <f t="shared" si="10"/>
        <v xml:space="preserve"> </v>
      </c>
      <c r="E199" s="114" t="str">
        <f t="shared" si="11"/>
        <v>0</v>
      </c>
      <c r="F199" s="115">
        <f t="shared" ref="F199:F262" si="12">E199*B199</f>
        <v>0</v>
      </c>
    </row>
    <row r="200" spans="1:6" x14ac:dyDescent="0.2">
      <c r="A200" s="110"/>
      <c r="B200" s="111"/>
      <c r="C200" s="112" t="str">
        <f t="shared" si="9"/>
        <v xml:space="preserve"> </v>
      </c>
      <c r="D200" s="113" t="str">
        <f t="shared" si="10"/>
        <v xml:space="preserve"> </v>
      </c>
      <c r="E200" s="114" t="str">
        <f t="shared" si="11"/>
        <v>0</v>
      </c>
      <c r="F200" s="115">
        <f t="shared" si="12"/>
        <v>0</v>
      </c>
    </row>
    <row r="201" spans="1:6" x14ac:dyDescent="0.2">
      <c r="A201" s="110"/>
      <c r="B201" s="111"/>
      <c r="C201" s="112" t="str">
        <f t="shared" ref="C201:C264" si="13">IFERROR(VLOOKUP(A201,ORDERLIST,2,FALSE)," ")</f>
        <v xml:space="preserve"> </v>
      </c>
      <c r="D201" s="113" t="str">
        <f t="shared" ref="D201:D264" si="14">IFERROR(VLOOKUP(A201,ORDERLIST,3,FALSE)," ")</f>
        <v xml:space="preserve"> </v>
      </c>
      <c r="E201" s="114" t="str">
        <f t="shared" ref="E201:E264" si="15">IFERROR(VLOOKUP(A201,ORDERLIST,4,FALSE),"0")</f>
        <v>0</v>
      </c>
      <c r="F201" s="115">
        <f t="shared" si="12"/>
        <v>0</v>
      </c>
    </row>
    <row r="202" spans="1:6" x14ac:dyDescent="0.2">
      <c r="A202" s="110"/>
      <c r="B202" s="111"/>
      <c r="C202" s="112" t="str">
        <f t="shared" si="13"/>
        <v xml:space="preserve"> </v>
      </c>
      <c r="D202" s="113" t="str">
        <f t="shared" si="14"/>
        <v xml:space="preserve"> </v>
      </c>
      <c r="E202" s="114" t="str">
        <f t="shared" si="15"/>
        <v>0</v>
      </c>
      <c r="F202" s="115">
        <f t="shared" si="12"/>
        <v>0</v>
      </c>
    </row>
    <row r="203" spans="1:6" x14ac:dyDescent="0.2">
      <c r="A203" s="110"/>
      <c r="B203" s="111"/>
      <c r="C203" s="112" t="str">
        <f t="shared" si="13"/>
        <v xml:space="preserve"> </v>
      </c>
      <c r="D203" s="113" t="str">
        <f t="shared" si="14"/>
        <v xml:space="preserve"> </v>
      </c>
      <c r="E203" s="114" t="str">
        <f t="shared" si="15"/>
        <v>0</v>
      </c>
      <c r="F203" s="115">
        <f t="shared" si="12"/>
        <v>0</v>
      </c>
    </row>
    <row r="204" spans="1:6" x14ac:dyDescent="0.2">
      <c r="A204" s="110"/>
      <c r="B204" s="111"/>
      <c r="C204" s="112" t="str">
        <f t="shared" si="13"/>
        <v xml:space="preserve"> </v>
      </c>
      <c r="D204" s="113" t="str">
        <f t="shared" si="14"/>
        <v xml:space="preserve"> </v>
      </c>
      <c r="E204" s="114" t="str">
        <f t="shared" si="15"/>
        <v>0</v>
      </c>
      <c r="F204" s="115">
        <f t="shared" si="12"/>
        <v>0</v>
      </c>
    </row>
    <row r="205" spans="1:6" x14ac:dyDescent="0.2">
      <c r="A205" s="110"/>
      <c r="B205" s="111"/>
      <c r="C205" s="112" t="str">
        <f t="shared" si="13"/>
        <v xml:space="preserve"> </v>
      </c>
      <c r="D205" s="113" t="str">
        <f t="shared" si="14"/>
        <v xml:space="preserve"> </v>
      </c>
      <c r="E205" s="114" t="str">
        <f t="shared" si="15"/>
        <v>0</v>
      </c>
      <c r="F205" s="115">
        <f t="shared" si="12"/>
        <v>0</v>
      </c>
    </row>
    <row r="206" spans="1:6" x14ac:dyDescent="0.2">
      <c r="A206" s="110"/>
      <c r="B206" s="111"/>
      <c r="C206" s="112" t="str">
        <f t="shared" si="13"/>
        <v xml:space="preserve"> </v>
      </c>
      <c r="D206" s="113" t="str">
        <f t="shared" si="14"/>
        <v xml:space="preserve"> </v>
      </c>
      <c r="E206" s="114" t="str">
        <f t="shared" si="15"/>
        <v>0</v>
      </c>
      <c r="F206" s="115">
        <f t="shared" si="12"/>
        <v>0</v>
      </c>
    </row>
    <row r="207" spans="1:6" x14ac:dyDescent="0.2">
      <c r="A207" s="110"/>
      <c r="B207" s="111"/>
      <c r="C207" s="112" t="str">
        <f t="shared" si="13"/>
        <v xml:space="preserve"> </v>
      </c>
      <c r="D207" s="113" t="str">
        <f t="shared" si="14"/>
        <v xml:space="preserve"> </v>
      </c>
      <c r="E207" s="114" t="str">
        <f t="shared" si="15"/>
        <v>0</v>
      </c>
      <c r="F207" s="115">
        <f t="shared" si="12"/>
        <v>0</v>
      </c>
    </row>
    <row r="208" spans="1:6" x14ac:dyDescent="0.2">
      <c r="A208" s="110"/>
      <c r="B208" s="111"/>
      <c r="C208" s="112" t="str">
        <f t="shared" si="13"/>
        <v xml:space="preserve"> </v>
      </c>
      <c r="D208" s="113" t="str">
        <f t="shared" si="14"/>
        <v xml:space="preserve"> </v>
      </c>
      <c r="E208" s="114" t="str">
        <f t="shared" si="15"/>
        <v>0</v>
      </c>
      <c r="F208" s="115">
        <f t="shared" si="12"/>
        <v>0</v>
      </c>
    </row>
    <row r="209" spans="1:6" x14ac:dyDescent="0.2">
      <c r="A209" s="110"/>
      <c r="B209" s="111"/>
      <c r="C209" s="112" t="str">
        <f t="shared" si="13"/>
        <v xml:space="preserve"> </v>
      </c>
      <c r="D209" s="113" t="str">
        <f t="shared" si="14"/>
        <v xml:space="preserve"> </v>
      </c>
      <c r="E209" s="114" t="str">
        <f t="shared" si="15"/>
        <v>0</v>
      </c>
      <c r="F209" s="115">
        <f t="shared" si="12"/>
        <v>0</v>
      </c>
    </row>
    <row r="210" spans="1:6" x14ac:dyDescent="0.2">
      <c r="A210" s="110"/>
      <c r="B210" s="111"/>
      <c r="C210" s="112" t="str">
        <f t="shared" si="13"/>
        <v xml:space="preserve"> </v>
      </c>
      <c r="D210" s="113" t="str">
        <f t="shared" si="14"/>
        <v xml:space="preserve"> </v>
      </c>
      <c r="E210" s="114" t="str">
        <f t="shared" si="15"/>
        <v>0</v>
      </c>
      <c r="F210" s="115">
        <f t="shared" si="12"/>
        <v>0</v>
      </c>
    </row>
    <row r="211" spans="1:6" x14ac:dyDescent="0.2">
      <c r="A211" s="110"/>
      <c r="B211" s="111"/>
      <c r="C211" s="112" t="str">
        <f t="shared" si="13"/>
        <v xml:space="preserve"> </v>
      </c>
      <c r="D211" s="113" t="str">
        <f t="shared" si="14"/>
        <v xml:space="preserve"> </v>
      </c>
      <c r="E211" s="114" t="str">
        <f t="shared" si="15"/>
        <v>0</v>
      </c>
      <c r="F211" s="115">
        <f t="shared" si="12"/>
        <v>0</v>
      </c>
    </row>
    <row r="212" spans="1:6" x14ac:dyDescent="0.2">
      <c r="A212" s="110"/>
      <c r="B212" s="111"/>
      <c r="C212" s="112" t="str">
        <f t="shared" si="13"/>
        <v xml:space="preserve"> </v>
      </c>
      <c r="D212" s="113" t="str">
        <f t="shared" si="14"/>
        <v xml:space="preserve"> </v>
      </c>
      <c r="E212" s="114" t="str">
        <f t="shared" si="15"/>
        <v>0</v>
      </c>
      <c r="F212" s="115">
        <f t="shared" si="12"/>
        <v>0</v>
      </c>
    </row>
    <row r="213" spans="1:6" x14ac:dyDescent="0.2">
      <c r="A213" s="110"/>
      <c r="B213" s="111"/>
      <c r="C213" s="112" t="str">
        <f t="shared" si="13"/>
        <v xml:space="preserve"> </v>
      </c>
      <c r="D213" s="113" t="str">
        <f t="shared" si="14"/>
        <v xml:space="preserve"> </v>
      </c>
      <c r="E213" s="114" t="str">
        <f t="shared" si="15"/>
        <v>0</v>
      </c>
      <c r="F213" s="115">
        <f t="shared" si="12"/>
        <v>0</v>
      </c>
    </row>
    <row r="214" spans="1:6" x14ac:dyDescent="0.2">
      <c r="A214" s="110"/>
      <c r="B214" s="111"/>
      <c r="C214" s="112" t="str">
        <f t="shared" si="13"/>
        <v xml:space="preserve"> </v>
      </c>
      <c r="D214" s="113" t="str">
        <f t="shared" si="14"/>
        <v xml:space="preserve"> </v>
      </c>
      <c r="E214" s="114" t="str">
        <f t="shared" si="15"/>
        <v>0</v>
      </c>
      <c r="F214" s="115">
        <f t="shared" si="12"/>
        <v>0</v>
      </c>
    </row>
    <row r="215" spans="1:6" x14ac:dyDescent="0.2">
      <c r="A215" s="110"/>
      <c r="B215" s="111"/>
      <c r="C215" s="112" t="str">
        <f t="shared" si="13"/>
        <v xml:space="preserve"> </v>
      </c>
      <c r="D215" s="113" t="str">
        <f t="shared" si="14"/>
        <v xml:space="preserve"> </v>
      </c>
      <c r="E215" s="114" t="str">
        <f t="shared" si="15"/>
        <v>0</v>
      </c>
      <c r="F215" s="115">
        <f t="shared" si="12"/>
        <v>0</v>
      </c>
    </row>
    <row r="216" spans="1:6" x14ac:dyDescent="0.2">
      <c r="A216" s="110"/>
      <c r="B216" s="111"/>
      <c r="C216" s="112" t="str">
        <f t="shared" si="13"/>
        <v xml:space="preserve"> </v>
      </c>
      <c r="D216" s="113" t="str">
        <f t="shared" si="14"/>
        <v xml:space="preserve"> </v>
      </c>
      <c r="E216" s="114" t="str">
        <f t="shared" si="15"/>
        <v>0</v>
      </c>
      <c r="F216" s="115">
        <f t="shared" si="12"/>
        <v>0</v>
      </c>
    </row>
    <row r="217" spans="1:6" x14ac:dyDescent="0.2">
      <c r="A217" s="110"/>
      <c r="B217" s="111"/>
      <c r="C217" s="112" t="str">
        <f t="shared" si="13"/>
        <v xml:space="preserve"> </v>
      </c>
      <c r="D217" s="113" t="str">
        <f t="shared" si="14"/>
        <v xml:space="preserve"> </v>
      </c>
      <c r="E217" s="114" t="str">
        <f t="shared" si="15"/>
        <v>0</v>
      </c>
      <c r="F217" s="115">
        <f t="shared" si="12"/>
        <v>0</v>
      </c>
    </row>
    <row r="218" spans="1:6" x14ac:dyDescent="0.2">
      <c r="A218" s="110"/>
      <c r="B218" s="111"/>
      <c r="C218" s="112" t="str">
        <f t="shared" si="13"/>
        <v xml:space="preserve"> </v>
      </c>
      <c r="D218" s="113" t="str">
        <f t="shared" si="14"/>
        <v xml:space="preserve"> </v>
      </c>
      <c r="E218" s="114" t="str">
        <f t="shared" si="15"/>
        <v>0</v>
      </c>
      <c r="F218" s="115">
        <f t="shared" si="12"/>
        <v>0</v>
      </c>
    </row>
    <row r="219" spans="1:6" x14ac:dyDescent="0.2">
      <c r="A219" s="110"/>
      <c r="B219" s="111"/>
      <c r="C219" s="112" t="str">
        <f t="shared" si="13"/>
        <v xml:space="preserve"> </v>
      </c>
      <c r="D219" s="113" t="str">
        <f t="shared" si="14"/>
        <v xml:space="preserve"> </v>
      </c>
      <c r="E219" s="114" t="str">
        <f t="shared" si="15"/>
        <v>0</v>
      </c>
      <c r="F219" s="115">
        <f t="shared" si="12"/>
        <v>0</v>
      </c>
    </row>
    <row r="220" spans="1:6" x14ac:dyDescent="0.2">
      <c r="A220" s="110"/>
      <c r="B220" s="111"/>
      <c r="C220" s="112" t="str">
        <f t="shared" si="13"/>
        <v xml:space="preserve"> </v>
      </c>
      <c r="D220" s="113" t="str">
        <f t="shared" si="14"/>
        <v xml:space="preserve"> </v>
      </c>
      <c r="E220" s="114" t="str">
        <f t="shared" si="15"/>
        <v>0</v>
      </c>
      <c r="F220" s="115">
        <f t="shared" si="12"/>
        <v>0</v>
      </c>
    </row>
    <row r="221" spans="1:6" x14ac:dyDescent="0.2">
      <c r="A221" s="110"/>
      <c r="B221" s="111"/>
      <c r="C221" s="112" t="str">
        <f t="shared" si="13"/>
        <v xml:space="preserve"> </v>
      </c>
      <c r="D221" s="113" t="str">
        <f t="shared" si="14"/>
        <v xml:space="preserve"> </v>
      </c>
      <c r="E221" s="114" t="str">
        <f t="shared" si="15"/>
        <v>0</v>
      </c>
      <c r="F221" s="115">
        <f t="shared" si="12"/>
        <v>0</v>
      </c>
    </row>
    <row r="222" spans="1:6" x14ac:dyDescent="0.2">
      <c r="A222" s="110"/>
      <c r="B222" s="111"/>
      <c r="C222" s="112" t="str">
        <f t="shared" si="13"/>
        <v xml:space="preserve"> </v>
      </c>
      <c r="D222" s="113" t="str">
        <f t="shared" si="14"/>
        <v xml:space="preserve"> </v>
      </c>
      <c r="E222" s="114" t="str">
        <f t="shared" si="15"/>
        <v>0</v>
      </c>
      <c r="F222" s="115">
        <f t="shared" si="12"/>
        <v>0</v>
      </c>
    </row>
    <row r="223" spans="1:6" x14ac:dyDescent="0.2">
      <c r="A223" s="110"/>
      <c r="B223" s="111"/>
      <c r="C223" s="112" t="str">
        <f t="shared" si="13"/>
        <v xml:space="preserve"> </v>
      </c>
      <c r="D223" s="113" t="str">
        <f t="shared" si="14"/>
        <v xml:space="preserve"> </v>
      </c>
      <c r="E223" s="114" t="str">
        <f t="shared" si="15"/>
        <v>0</v>
      </c>
      <c r="F223" s="115">
        <f t="shared" si="12"/>
        <v>0</v>
      </c>
    </row>
    <row r="224" spans="1:6" x14ac:dyDescent="0.2">
      <c r="A224" s="110"/>
      <c r="B224" s="111"/>
      <c r="C224" s="112" t="str">
        <f t="shared" si="13"/>
        <v xml:space="preserve"> </v>
      </c>
      <c r="D224" s="113" t="str">
        <f t="shared" si="14"/>
        <v xml:space="preserve"> </v>
      </c>
      <c r="E224" s="114" t="str">
        <f t="shared" si="15"/>
        <v>0</v>
      </c>
      <c r="F224" s="115">
        <f t="shared" si="12"/>
        <v>0</v>
      </c>
    </row>
    <row r="225" spans="1:6" x14ac:dyDescent="0.2">
      <c r="A225" s="110"/>
      <c r="B225" s="111"/>
      <c r="C225" s="112" t="str">
        <f t="shared" si="13"/>
        <v xml:space="preserve"> </v>
      </c>
      <c r="D225" s="113" t="str">
        <f t="shared" si="14"/>
        <v xml:space="preserve"> </v>
      </c>
      <c r="E225" s="114" t="str">
        <f t="shared" si="15"/>
        <v>0</v>
      </c>
      <c r="F225" s="115">
        <f t="shared" si="12"/>
        <v>0</v>
      </c>
    </row>
    <row r="226" spans="1:6" x14ac:dyDescent="0.2">
      <c r="A226" s="110"/>
      <c r="B226" s="111"/>
      <c r="C226" s="112" t="str">
        <f t="shared" si="13"/>
        <v xml:space="preserve"> </v>
      </c>
      <c r="D226" s="113" t="str">
        <f t="shared" si="14"/>
        <v xml:space="preserve"> </v>
      </c>
      <c r="E226" s="114" t="str">
        <f t="shared" si="15"/>
        <v>0</v>
      </c>
      <c r="F226" s="115">
        <f t="shared" si="12"/>
        <v>0</v>
      </c>
    </row>
    <row r="227" spans="1:6" x14ac:dyDescent="0.2">
      <c r="A227" s="110"/>
      <c r="B227" s="111"/>
      <c r="C227" s="112" t="str">
        <f t="shared" si="13"/>
        <v xml:space="preserve"> </v>
      </c>
      <c r="D227" s="113" t="str">
        <f t="shared" si="14"/>
        <v xml:space="preserve"> </v>
      </c>
      <c r="E227" s="114" t="str">
        <f t="shared" si="15"/>
        <v>0</v>
      </c>
      <c r="F227" s="115">
        <f t="shared" si="12"/>
        <v>0</v>
      </c>
    </row>
    <row r="228" spans="1:6" x14ac:dyDescent="0.2">
      <c r="A228" s="110"/>
      <c r="B228" s="111"/>
      <c r="C228" s="112" t="str">
        <f t="shared" si="13"/>
        <v xml:space="preserve"> </v>
      </c>
      <c r="D228" s="113" t="str">
        <f t="shared" si="14"/>
        <v xml:space="preserve"> </v>
      </c>
      <c r="E228" s="114" t="str">
        <f t="shared" si="15"/>
        <v>0</v>
      </c>
      <c r="F228" s="115">
        <f t="shared" si="12"/>
        <v>0</v>
      </c>
    </row>
    <row r="229" spans="1:6" x14ac:dyDescent="0.2">
      <c r="A229" s="110"/>
      <c r="B229" s="111"/>
      <c r="C229" s="112" t="str">
        <f t="shared" si="13"/>
        <v xml:space="preserve"> </v>
      </c>
      <c r="D229" s="113" t="str">
        <f t="shared" si="14"/>
        <v xml:space="preserve"> </v>
      </c>
      <c r="E229" s="114" t="str">
        <f t="shared" si="15"/>
        <v>0</v>
      </c>
      <c r="F229" s="115">
        <f t="shared" si="12"/>
        <v>0</v>
      </c>
    </row>
    <row r="230" spans="1:6" x14ac:dyDescent="0.2">
      <c r="A230" s="110"/>
      <c r="B230" s="111"/>
      <c r="C230" s="112" t="str">
        <f t="shared" si="13"/>
        <v xml:space="preserve"> </v>
      </c>
      <c r="D230" s="113" t="str">
        <f t="shared" si="14"/>
        <v xml:space="preserve"> </v>
      </c>
      <c r="E230" s="114" t="str">
        <f t="shared" si="15"/>
        <v>0</v>
      </c>
      <c r="F230" s="115">
        <f t="shared" si="12"/>
        <v>0</v>
      </c>
    </row>
    <row r="231" spans="1:6" x14ac:dyDescent="0.2">
      <c r="A231" s="110"/>
      <c r="B231" s="111"/>
      <c r="C231" s="112" t="str">
        <f t="shared" si="13"/>
        <v xml:space="preserve"> </v>
      </c>
      <c r="D231" s="113" t="str">
        <f t="shared" si="14"/>
        <v xml:space="preserve"> </v>
      </c>
      <c r="E231" s="114" t="str">
        <f t="shared" si="15"/>
        <v>0</v>
      </c>
      <c r="F231" s="115">
        <f t="shared" si="12"/>
        <v>0</v>
      </c>
    </row>
    <row r="232" spans="1:6" x14ac:dyDescent="0.2">
      <c r="A232" s="110"/>
      <c r="B232" s="111"/>
      <c r="C232" s="112" t="str">
        <f t="shared" si="13"/>
        <v xml:space="preserve"> </v>
      </c>
      <c r="D232" s="113" t="str">
        <f t="shared" si="14"/>
        <v xml:space="preserve"> </v>
      </c>
      <c r="E232" s="114" t="str">
        <f t="shared" si="15"/>
        <v>0</v>
      </c>
      <c r="F232" s="115">
        <f t="shared" si="12"/>
        <v>0</v>
      </c>
    </row>
    <row r="233" spans="1:6" x14ac:dyDescent="0.2">
      <c r="A233" s="110"/>
      <c r="B233" s="111"/>
      <c r="C233" s="112" t="str">
        <f t="shared" si="13"/>
        <v xml:space="preserve"> </v>
      </c>
      <c r="D233" s="113" t="str">
        <f t="shared" si="14"/>
        <v xml:space="preserve"> </v>
      </c>
      <c r="E233" s="114" t="str">
        <f t="shared" si="15"/>
        <v>0</v>
      </c>
      <c r="F233" s="115">
        <f t="shared" si="12"/>
        <v>0</v>
      </c>
    </row>
    <row r="234" spans="1:6" x14ac:dyDescent="0.2">
      <c r="A234" s="110"/>
      <c r="B234" s="111"/>
      <c r="C234" s="112" t="str">
        <f t="shared" si="13"/>
        <v xml:space="preserve"> </v>
      </c>
      <c r="D234" s="113" t="str">
        <f t="shared" si="14"/>
        <v xml:space="preserve"> </v>
      </c>
      <c r="E234" s="114" t="str">
        <f t="shared" si="15"/>
        <v>0</v>
      </c>
      <c r="F234" s="115">
        <f t="shared" si="12"/>
        <v>0</v>
      </c>
    </row>
    <row r="235" spans="1:6" x14ac:dyDescent="0.2">
      <c r="A235" s="110"/>
      <c r="B235" s="111"/>
      <c r="C235" s="112" t="str">
        <f t="shared" si="13"/>
        <v xml:space="preserve"> </v>
      </c>
      <c r="D235" s="113" t="str">
        <f t="shared" si="14"/>
        <v xml:space="preserve"> </v>
      </c>
      <c r="E235" s="114" t="str">
        <f t="shared" si="15"/>
        <v>0</v>
      </c>
      <c r="F235" s="115">
        <f t="shared" si="12"/>
        <v>0</v>
      </c>
    </row>
    <row r="236" spans="1:6" x14ac:dyDescent="0.2">
      <c r="A236" s="110"/>
      <c r="B236" s="111"/>
      <c r="C236" s="112" t="str">
        <f t="shared" si="13"/>
        <v xml:space="preserve"> </v>
      </c>
      <c r="D236" s="113" t="str">
        <f t="shared" si="14"/>
        <v xml:space="preserve"> </v>
      </c>
      <c r="E236" s="114" t="str">
        <f t="shared" si="15"/>
        <v>0</v>
      </c>
      <c r="F236" s="115">
        <f t="shared" si="12"/>
        <v>0</v>
      </c>
    </row>
    <row r="237" spans="1:6" x14ac:dyDescent="0.2">
      <c r="A237" s="110"/>
      <c r="B237" s="111"/>
      <c r="C237" s="112" t="str">
        <f t="shared" si="13"/>
        <v xml:space="preserve"> </v>
      </c>
      <c r="D237" s="113" t="str">
        <f t="shared" si="14"/>
        <v xml:space="preserve"> </v>
      </c>
      <c r="E237" s="114" t="str">
        <f t="shared" si="15"/>
        <v>0</v>
      </c>
      <c r="F237" s="115">
        <f t="shared" si="12"/>
        <v>0</v>
      </c>
    </row>
    <row r="238" spans="1:6" x14ac:dyDescent="0.2">
      <c r="A238" s="110"/>
      <c r="B238" s="111"/>
      <c r="C238" s="112" t="str">
        <f t="shared" si="13"/>
        <v xml:space="preserve"> </v>
      </c>
      <c r="D238" s="113" t="str">
        <f t="shared" si="14"/>
        <v xml:space="preserve"> </v>
      </c>
      <c r="E238" s="114" t="str">
        <f t="shared" si="15"/>
        <v>0</v>
      </c>
      <c r="F238" s="115">
        <f t="shared" si="12"/>
        <v>0</v>
      </c>
    </row>
    <row r="239" spans="1:6" x14ac:dyDescent="0.2">
      <c r="A239" s="110"/>
      <c r="B239" s="111"/>
      <c r="C239" s="112" t="str">
        <f t="shared" si="13"/>
        <v xml:space="preserve"> </v>
      </c>
      <c r="D239" s="113" t="str">
        <f t="shared" si="14"/>
        <v xml:space="preserve"> </v>
      </c>
      <c r="E239" s="114" t="str">
        <f t="shared" si="15"/>
        <v>0</v>
      </c>
      <c r="F239" s="115">
        <f t="shared" si="12"/>
        <v>0</v>
      </c>
    </row>
    <row r="240" spans="1:6" x14ac:dyDescent="0.2">
      <c r="A240" s="110"/>
      <c r="B240" s="111"/>
      <c r="C240" s="112" t="str">
        <f t="shared" si="13"/>
        <v xml:space="preserve"> </v>
      </c>
      <c r="D240" s="113" t="str">
        <f t="shared" si="14"/>
        <v xml:space="preserve"> </v>
      </c>
      <c r="E240" s="114" t="str">
        <f t="shared" si="15"/>
        <v>0</v>
      </c>
      <c r="F240" s="115">
        <f t="shared" si="12"/>
        <v>0</v>
      </c>
    </row>
    <row r="241" spans="1:6" x14ac:dyDescent="0.2">
      <c r="A241" s="110"/>
      <c r="B241" s="111"/>
      <c r="C241" s="112" t="str">
        <f t="shared" si="13"/>
        <v xml:space="preserve"> </v>
      </c>
      <c r="D241" s="113" t="str">
        <f t="shared" si="14"/>
        <v xml:space="preserve"> </v>
      </c>
      <c r="E241" s="114" t="str">
        <f t="shared" si="15"/>
        <v>0</v>
      </c>
      <c r="F241" s="115">
        <f t="shared" si="12"/>
        <v>0</v>
      </c>
    </row>
    <row r="242" spans="1:6" x14ac:dyDescent="0.2">
      <c r="A242" s="110"/>
      <c r="B242" s="111"/>
      <c r="C242" s="112" t="str">
        <f t="shared" si="13"/>
        <v xml:space="preserve"> </v>
      </c>
      <c r="D242" s="113" t="str">
        <f t="shared" si="14"/>
        <v xml:space="preserve"> </v>
      </c>
      <c r="E242" s="114" t="str">
        <f t="shared" si="15"/>
        <v>0</v>
      </c>
      <c r="F242" s="115">
        <f t="shared" si="12"/>
        <v>0</v>
      </c>
    </row>
    <row r="243" spans="1:6" x14ac:dyDescent="0.2">
      <c r="A243" s="110"/>
      <c r="B243" s="111"/>
      <c r="C243" s="112" t="str">
        <f t="shared" si="13"/>
        <v xml:space="preserve"> </v>
      </c>
      <c r="D243" s="113" t="str">
        <f t="shared" si="14"/>
        <v xml:space="preserve"> </v>
      </c>
      <c r="E243" s="114" t="str">
        <f t="shared" si="15"/>
        <v>0</v>
      </c>
      <c r="F243" s="115">
        <f t="shared" si="12"/>
        <v>0</v>
      </c>
    </row>
    <row r="244" spans="1:6" x14ac:dyDescent="0.2">
      <c r="A244" s="110"/>
      <c r="B244" s="111"/>
      <c r="C244" s="112" t="str">
        <f t="shared" si="13"/>
        <v xml:space="preserve"> </v>
      </c>
      <c r="D244" s="113" t="str">
        <f t="shared" si="14"/>
        <v xml:space="preserve"> </v>
      </c>
      <c r="E244" s="114" t="str">
        <f t="shared" si="15"/>
        <v>0</v>
      </c>
      <c r="F244" s="115">
        <f t="shared" si="12"/>
        <v>0</v>
      </c>
    </row>
    <row r="245" spans="1:6" x14ac:dyDescent="0.2">
      <c r="A245" s="110"/>
      <c r="B245" s="111"/>
      <c r="C245" s="112" t="str">
        <f t="shared" si="13"/>
        <v xml:space="preserve"> </v>
      </c>
      <c r="D245" s="113" t="str">
        <f t="shared" si="14"/>
        <v xml:space="preserve"> </v>
      </c>
      <c r="E245" s="114" t="str">
        <f t="shared" si="15"/>
        <v>0</v>
      </c>
      <c r="F245" s="115">
        <f t="shared" si="12"/>
        <v>0</v>
      </c>
    </row>
    <row r="246" spans="1:6" x14ac:dyDescent="0.2">
      <c r="A246" s="110"/>
      <c r="B246" s="111"/>
      <c r="C246" s="112" t="str">
        <f t="shared" si="13"/>
        <v xml:space="preserve"> </v>
      </c>
      <c r="D246" s="113" t="str">
        <f t="shared" si="14"/>
        <v xml:space="preserve"> </v>
      </c>
      <c r="E246" s="114" t="str">
        <f t="shared" si="15"/>
        <v>0</v>
      </c>
      <c r="F246" s="115">
        <f t="shared" si="12"/>
        <v>0</v>
      </c>
    </row>
    <row r="247" spans="1:6" x14ac:dyDescent="0.2">
      <c r="A247" s="110"/>
      <c r="B247" s="111"/>
      <c r="C247" s="112" t="str">
        <f t="shared" si="13"/>
        <v xml:space="preserve"> </v>
      </c>
      <c r="D247" s="113" t="str">
        <f t="shared" si="14"/>
        <v xml:space="preserve"> </v>
      </c>
      <c r="E247" s="114" t="str">
        <f t="shared" si="15"/>
        <v>0</v>
      </c>
      <c r="F247" s="115">
        <f t="shared" si="12"/>
        <v>0</v>
      </c>
    </row>
    <row r="248" spans="1:6" x14ac:dyDescent="0.2">
      <c r="A248" s="110"/>
      <c r="B248" s="111"/>
      <c r="C248" s="112" t="str">
        <f t="shared" si="13"/>
        <v xml:space="preserve"> </v>
      </c>
      <c r="D248" s="113" t="str">
        <f t="shared" si="14"/>
        <v xml:space="preserve"> </v>
      </c>
      <c r="E248" s="114" t="str">
        <f t="shared" si="15"/>
        <v>0</v>
      </c>
      <c r="F248" s="115">
        <f t="shared" si="12"/>
        <v>0</v>
      </c>
    </row>
    <row r="249" spans="1:6" x14ac:dyDescent="0.2">
      <c r="A249" s="110"/>
      <c r="B249" s="111"/>
      <c r="C249" s="112" t="str">
        <f t="shared" si="13"/>
        <v xml:space="preserve"> </v>
      </c>
      <c r="D249" s="113" t="str">
        <f t="shared" si="14"/>
        <v xml:space="preserve"> </v>
      </c>
      <c r="E249" s="114" t="str">
        <f t="shared" si="15"/>
        <v>0</v>
      </c>
      <c r="F249" s="115">
        <f t="shared" si="12"/>
        <v>0</v>
      </c>
    </row>
    <row r="250" spans="1:6" x14ac:dyDescent="0.2">
      <c r="A250" s="110"/>
      <c r="B250" s="111"/>
      <c r="C250" s="112" t="str">
        <f t="shared" si="13"/>
        <v xml:space="preserve"> </v>
      </c>
      <c r="D250" s="113" t="str">
        <f t="shared" si="14"/>
        <v xml:space="preserve"> </v>
      </c>
      <c r="E250" s="114" t="str">
        <f t="shared" si="15"/>
        <v>0</v>
      </c>
      <c r="F250" s="115">
        <f t="shared" si="12"/>
        <v>0</v>
      </c>
    </row>
    <row r="251" spans="1:6" x14ac:dyDescent="0.2">
      <c r="A251" s="110"/>
      <c r="B251" s="111"/>
      <c r="C251" s="112" t="str">
        <f t="shared" si="13"/>
        <v xml:space="preserve"> </v>
      </c>
      <c r="D251" s="113" t="str">
        <f t="shared" si="14"/>
        <v xml:space="preserve"> </v>
      </c>
      <c r="E251" s="114" t="str">
        <f t="shared" si="15"/>
        <v>0</v>
      </c>
      <c r="F251" s="115">
        <f t="shared" si="12"/>
        <v>0</v>
      </c>
    </row>
    <row r="252" spans="1:6" x14ac:dyDescent="0.2">
      <c r="A252" s="110"/>
      <c r="B252" s="111"/>
      <c r="C252" s="112" t="str">
        <f t="shared" si="13"/>
        <v xml:space="preserve"> </v>
      </c>
      <c r="D252" s="113" t="str">
        <f t="shared" si="14"/>
        <v xml:space="preserve"> </v>
      </c>
      <c r="E252" s="114" t="str">
        <f t="shared" si="15"/>
        <v>0</v>
      </c>
      <c r="F252" s="115">
        <f t="shared" si="12"/>
        <v>0</v>
      </c>
    </row>
    <row r="253" spans="1:6" x14ac:dyDescent="0.2">
      <c r="A253" s="110"/>
      <c r="B253" s="111"/>
      <c r="C253" s="112" t="str">
        <f t="shared" si="13"/>
        <v xml:space="preserve"> </v>
      </c>
      <c r="D253" s="113" t="str">
        <f t="shared" si="14"/>
        <v xml:space="preserve"> </v>
      </c>
      <c r="E253" s="114" t="str">
        <f t="shared" si="15"/>
        <v>0</v>
      </c>
      <c r="F253" s="115">
        <f t="shared" si="12"/>
        <v>0</v>
      </c>
    </row>
    <row r="254" spans="1:6" x14ac:dyDescent="0.2">
      <c r="A254" s="110"/>
      <c r="B254" s="111"/>
      <c r="C254" s="112" t="str">
        <f t="shared" si="13"/>
        <v xml:space="preserve"> </v>
      </c>
      <c r="D254" s="113" t="str">
        <f t="shared" si="14"/>
        <v xml:space="preserve"> </v>
      </c>
      <c r="E254" s="114" t="str">
        <f t="shared" si="15"/>
        <v>0</v>
      </c>
      <c r="F254" s="115">
        <f t="shared" si="12"/>
        <v>0</v>
      </c>
    </row>
    <row r="255" spans="1:6" x14ac:dyDescent="0.2">
      <c r="A255" s="110"/>
      <c r="B255" s="111"/>
      <c r="C255" s="112" t="str">
        <f t="shared" si="13"/>
        <v xml:space="preserve"> </v>
      </c>
      <c r="D255" s="113" t="str">
        <f t="shared" si="14"/>
        <v xml:space="preserve"> </v>
      </c>
      <c r="E255" s="114" t="str">
        <f t="shared" si="15"/>
        <v>0</v>
      </c>
      <c r="F255" s="115">
        <f t="shared" si="12"/>
        <v>0</v>
      </c>
    </row>
    <row r="256" spans="1:6" x14ac:dyDescent="0.2">
      <c r="A256" s="110"/>
      <c r="B256" s="111"/>
      <c r="C256" s="112" t="str">
        <f t="shared" si="13"/>
        <v xml:space="preserve"> </v>
      </c>
      <c r="D256" s="113" t="str">
        <f t="shared" si="14"/>
        <v xml:space="preserve"> </v>
      </c>
      <c r="E256" s="114" t="str">
        <f t="shared" si="15"/>
        <v>0</v>
      </c>
      <c r="F256" s="115">
        <f t="shared" si="12"/>
        <v>0</v>
      </c>
    </row>
    <row r="257" spans="1:6" x14ac:dyDescent="0.2">
      <c r="A257" s="110"/>
      <c r="B257" s="111"/>
      <c r="C257" s="112" t="str">
        <f t="shared" si="13"/>
        <v xml:space="preserve"> </v>
      </c>
      <c r="D257" s="113" t="str">
        <f t="shared" si="14"/>
        <v xml:space="preserve"> </v>
      </c>
      <c r="E257" s="114" t="str">
        <f t="shared" si="15"/>
        <v>0</v>
      </c>
      <c r="F257" s="115">
        <f t="shared" si="12"/>
        <v>0</v>
      </c>
    </row>
    <row r="258" spans="1:6" x14ac:dyDescent="0.2">
      <c r="A258" s="110"/>
      <c r="B258" s="111"/>
      <c r="C258" s="112" t="str">
        <f t="shared" si="13"/>
        <v xml:space="preserve"> </v>
      </c>
      <c r="D258" s="113" t="str">
        <f t="shared" si="14"/>
        <v xml:space="preserve"> </v>
      </c>
      <c r="E258" s="114" t="str">
        <f t="shared" si="15"/>
        <v>0</v>
      </c>
      <c r="F258" s="115">
        <f t="shared" si="12"/>
        <v>0</v>
      </c>
    </row>
    <row r="259" spans="1:6" x14ac:dyDescent="0.2">
      <c r="A259" s="110"/>
      <c r="B259" s="111"/>
      <c r="C259" s="112" t="str">
        <f t="shared" si="13"/>
        <v xml:space="preserve"> </v>
      </c>
      <c r="D259" s="113" t="str">
        <f t="shared" si="14"/>
        <v xml:space="preserve"> </v>
      </c>
      <c r="E259" s="114" t="str">
        <f t="shared" si="15"/>
        <v>0</v>
      </c>
      <c r="F259" s="115">
        <f t="shared" si="12"/>
        <v>0</v>
      </c>
    </row>
    <row r="260" spans="1:6" x14ac:dyDescent="0.2">
      <c r="A260" s="110"/>
      <c r="B260" s="111"/>
      <c r="C260" s="112" t="str">
        <f t="shared" si="13"/>
        <v xml:space="preserve"> </v>
      </c>
      <c r="D260" s="113" t="str">
        <f t="shared" si="14"/>
        <v xml:space="preserve"> </v>
      </c>
      <c r="E260" s="114" t="str">
        <f t="shared" si="15"/>
        <v>0</v>
      </c>
      <c r="F260" s="115">
        <f t="shared" si="12"/>
        <v>0</v>
      </c>
    </row>
    <row r="261" spans="1:6" x14ac:dyDescent="0.2">
      <c r="A261" s="110"/>
      <c r="B261" s="111"/>
      <c r="C261" s="112" t="str">
        <f t="shared" si="13"/>
        <v xml:space="preserve"> </v>
      </c>
      <c r="D261" s="113" t="str">
        <f t="shared" si="14"/>
        <v xml:space="preserve"> </v>
      </c>
      <c r="E261" s="114" t="str">
        <f t="shared" si="15"/>
        <v>0</v>
      </c>
      <c r="F261" s="115">
        <f t="shared" si="12"/>
        <v>0</v>
      </c>
    </row>
    <row r="262" spans="1:6" x14ac:dyDescent="0.2">
      <c r="A262" s="110"/>
      <c r="B262" s="111"/>
      <c r="C262" s="112" t="str">
        <f t="shared" si="13"/>
        <v xml:space="preserve"> </v>
      </c>
      <c r="D262" s="113" t="str">
        <f t="shared" si="14"/>
        <v xml:space="preserve"> </v>
      </c>
      <c r="E262" s="114" t="str">
        <f t="shared" si="15"/>
        <v>0</v>
      </c>
      <c r="F262" s="115">
        <f t="shared" si="12"/>
        <v>0</v>
      </c>
    </row>
    <row r="263" spans="1:6" x14ac:dyDescent="0.2">
      <c r="A263" s="110"/>
      <c r="B263" s="111"/>
      <c r="C263" s="112" t="str">
        <f t="shared" si="13"/>
        <v xml:space="preserve"> </v>
      </c>
      <c r="D263" s="113" t="str">
        <f t="shared" si="14"/>
        <v xml:space="preserve"> </v>
      </c>
      <c r="E263" s="114" t="str">
        <f t="shared" si="15"/>
        <v>0</v>
      </c>
      <c r="F263" s="115">
        <f t="shared" ref="F263:F326" si="16">E263*B263</f>
        <v>0</v>
      </c>
    </row>
    <row r="264" spans="1:6" x14ac:dyDescent="0.2">
      <c r="A264" s="110"/>
      <c r="B264" s="111"/>
      <c r="C264" s="112" t="str">
        <f t="shared" si="13"/>
        <v xml:space="preserve"> </v>
      </c>
      <c r="D264" s="113" t="str">
        <f t="shared" si="14"/>
        <v xml:space="preserve"> </v>
      </c>
      <c r="E264" s="114" t="str">
        <f t="shared" si="15"/>
        <v>0</v>
      </c>
      <c r="F264" s="115">
        <f t="shared" si="16"/>
        <v>0</v>
      </c>
    </row>
    <row r="265" spans="1:6" x14ac:dyDescent="0.2">
      <c r="A265" s="110"/>
      <c r="B265" s="111"/>
      <c r="C265" s="112" t="str">
        <f t="shared" ref="C265:C328" si="17">IFERROR(VLOOKUP(A265,ORDERLIST,2,FALSE)," ")</f>
        <v xml:space="preserve"> </v>
      </c>
      <c r="D265" s="113" t="str">
        <f t="shared" ref="D265:D328" si="18">IFERROR(VLOOKUP(A265,ORDERLIST,3,FALSE)," ")</f>
        <v xml:space="preserve"> </v>
      </c>
      <c r="E265" s="114" t="str">
        <f t="shared" ref="E265:E328" si="19">IFERROR(VLOOKUP(A265,ORDERLIST,4,FALSE),"0")</f>
        <v>0</v>
      </c>
      <c r="F265" s="115">
        <f t="shared" si="16"/>
        <v>0</v>
      </c>
    </row>
    <row r="266" spans="1:6" x14ac:dyDescent="0.2">
      <c r="A266" s="110"/>
      <c r="B266" s="111"/>
      <c r="C266" s="112" t="str">
        <f t="shared" si="17"/>
        <v xml:space="preserve"> </v>
      </c>
      <c r="D266" s="113" t="str">
        <f t="shared" si="18"/>
        <v xml:space="preserve"> </v>
      </c>
      <c r="E266" s="114" t="str">
        <f t="shared" si="19"/>
        <v>0</v>
      </c>
      <c r="F266" s="115">
        <f t="shared" si="16"/>
        <v>0</v>
      </c>
    </row>
    <row r="267" spans="1:6" x14ac:dyDescent="0.2">
      <c r="A267" s="110"/>
      <c r="B267" s="111"/>
      <c r="C267" s="112" t="str">
        <f t="shared" si="17"/>
        <v xml:space="preserve"> </v>
      </c>
      <c r="D267" s="113" t="str">
        <f t="shared" si="18"/>
        <v xml:space="preserve"> </v>
      </c>
      <c r="E267" s="114" t="str">
        <f t="shared" si="19"/>
        <v>0</v>
      </c>
      <c r="F267" s="115">
        <f t="shared" si="16"/>
        <v>0</v>
      </c>
    </row>
    <row r="268" spans="1:6" x14ac:dyDescent="0.2">
      <c r="A268" s="110"/>
      <c r="B268" s="111"/>
      <c r="C268" s="112" t="str">
        <f t="shared" si="17"/>
        <v xml:space="preserve"> </v>
      </c>
      <c r="D268" s="113" t="str">
        <f t="shared" si="18"/>
        <v xml:space="preserve"> </v>
      </c>
      <c r="E268" s="114" t="str">
        <f t="shared" si="19"/>
        <v>0</v>
      </c>
      <c r="F268" s="115">
        <f t="shared" si="16"/>
        <v>0</v>
      </c>
    </row>
    <row r="269" spans="1:6" x14ac:dyDescent="0.2">
      <c r="A269" s="110"/>
      <c r="B269" s="111"/>
      <c r="C269" s="112" t="str">
        <f t="shared" si="17"/>
        <v xml:space="preserve"> </v>
      </c>
      <c r="D269" s="113" t="str">
        <f t="shared" si="18"/>
        <v xml:space="preserve"> </v>
      </c>
      <c r="E269" s="114" t="str">
        <f t="shared" si="19"/>
        <v>0</v>
      </c>
      <c r="F269" s="115">
        <f t="shared" si="16"/>
        <v>0</v>
      </c>
    </row>
    <row r="270" spans="1:6" x14ac:dyDescent="0.2">
      <c r="A270" s="110"/>
      <c r="B270" s="111"/>
      <c r="C270" s="112" t="str">
        <f t="shared" si="17"/>
        <v xml:space="preserve"> </v>
      </c>
      <c r="D270" s="113" t="str">
        <f t="shared" si="18"/>
        <v xml:space="preserve"> </v>
      </c>
      <c r="E270" s="114" t="str">
        <f t="shared" si="19"/>
        <v>0</v>
      </c>
      <c r="F270" s="115">
        <f t="shared" si="16"/>
        <v>0</v>
      </c>
    </row>
    <row r="271" spans="1:6" x14ac:dyDescent="0.2">
      <c r="A271" s="110"/>
      <c r="B271" s="111"/>
      <c r="C271" s="112" t="str">
        <f t="shared" si="17"/>
        <v xml:space="preserve"> </v>
      </c>
      <c r="D271" s="113" t="str">
        <f t="shared" si="18"/>
        <v xml:space="preserve"> </v>
      </c>
      <c r="E271" s="114" t="str">
        <f t="shared" si="19"/>
        <v>0</v>
      </c>
      <c r="F271" s="115">
        <f t="shared" si="16"/>
        <v>0</v>
      </c>
    </row>
    <row r="272" spans="1:6" x14ac:dyDescent="0.2">
      <c r="A272" s="110"/>
      <c r="B272" s="111"/>
      <c r="C272" s="112" t="str">
        <f t="shared" si="17"/>
        <v xml:space="preserve"> </v>
      </c>
      <c r="D272" s="113" t="str">
        <f t="shared" si="18"/>
        <v xml:space="preserve"> </v>
      </c>
      <c r="E272" s="114" t="str">
        <f t="shared" si="19"/>
        <v>0</v>
      </c>
      <c r="F272" s="115">
        <f t="shared" si="16"/>
        <v>0</v>
      </c>
    </row>
    <row r="273" spans="1:6" x14ac:dyDescent="0.2">
      <c r="A273" s="110"/>
      <c r="B273" s="111"/>
      <c r="C273" s="112" t="str">
        <f t="shared" si="17"/>
        <v xml:space="preserve"> </v>
      </c>
      <c r="D273" s="113" t="str">
        <f t="shared" si="18"/>
        <v xml:space="preserve"> </v>
      </c>
      <c r="E273" s="114" t="str">
        <f t="shared" si="19"/>
        <v>0</v>
      </c>
      <c r="F273" s="115">
        <f t="shared" si="16"/>
        <v>0</v>
      </c>
    </row>
    <row r="274" spans="1:6" x14ac:dyDescent="0.2">
      <c r="A274" s="110"/>
      <c r="B274" s="111"/>
      <c r="C274" s="112" t="str">
        <f t="shared" si="17"/>
        <v xml:space="preserve"> </v>
      </c>
      <c r="D274" s="113" t="str">
        <f t="shared" si="18"/>
        <v xml:space="preserve"> </v>
      </c>
      <c r="E274" s="114" t="str">
        <f t="shared" si="19"/>
        <v>0</v>
      </c>
      <c r="F274" s="115">
        <f t="shared" si="16"/>
        <v>0</v>
      </c>
    </row>
    <row r="275" spans="1:6" x14ac:dyDescent="0.2">
      <c r="A275" s="110"/>
      <c r="B275" s="111"/>
      <c r="C275" s="112" t="str">
        <f t="shared" si="17"/>
        <v xml:space="preserve"> </v>
      </c>
      <c r="D275" s="113" t="str">
        <f t="shared" si="18"/>
        <v xml:space="preserve"> </v>
      </c>
      <c r="E275" s="114" t="str">
        <f t="shared" si="19"/>
        <v>0</v>
      </c>
      <c r="F275" s="115">
        <f t="shared" si="16"/>
        <v>0</v>
      </c>
    </row>
    <row r="276" spans="1:6" x14ac:dyDescent="0.2">
      <c r="A276" s="110"/>
      <c r="B276" s="111"/>
      <c r="C276" s="112" t="str">
        <f t="shared" si="17"/>
        <v xml:space="preserve"> </v>
      </c>
      <c r="D276" s="113" t="str">
        <f t="shared" si="18"/>
        <v xml:space="preserve"> </v>
      </c>
      <c r="E276" s="114" t="str">
        <f t="shared" si="19"/>
        <v>0</v>
      </c>
      <c r="F276" s="115">
        <f t="shared" si="16"/>
        <v>0</v>
      </c>
    </row>
    <row r="277" spans="1:6" x14ac:dyDescent="0.2">
      <c r="A277" s="110"/>
      <c r="B277" s="111"/>
      <c r="C277" s="112" t="str">
        <f t="shared" si="17"/>
        <v xml:space="preserve"> </v>
      </c>
      <c r="D277" s="113" t="str">
        <f t="shared" si="18"/>
        <v xml:space="preserve"> </v>
      </c>
      <c r="E277" s="114" t="str">
        <f t="shared" si="19"/>
        <v>0</v>
      </c>
      <c r="F277" s="115">
        <f t="shared" si="16"/>
        <v>0</v>
      </c>
    </row>
    <row r="278" spans="1:6" x14ac:dyDescent="0.2">
      <c r="A278" s="110"/>
      <c r="B278" s="111"/>
      <c r="C278" s="112" t="str">
        <f t="shared" si="17"/>
        <v xml:space="preserve"> </v>
      </c>
      <c r="D278" s="113" t="str">
        <f t="shared" si="18"/>
        <v xml:space="preserve"> </v>
      </c>
      <c r="E278" s="114" t="str">
        <f t="shared" si="19"/>
        <v>0</v>
      </c>
      <c r="F278" s="115">
        <f t="shared" si="16"/>
        <v>0</v>
      </c>
    </row>
    <row r="279" spans="1:6" x14ac:dyDescent="0.2">
      <c r="A279" s="110"/>
      <c r="B279" s="111"/>
      <c r="C279" s="112" t="str">
        <f t="shared" si="17"/>
        <v xml:space="preserve"> </v>
      </c>
      <c r="D279" s="113" t="str">
        <f t="shared" si="18"/>
        <v xml:space="preserve"> </v>
      </c>
      <c r="E279" s="114" t="str">
        <f t="shared" si="19"/>
        <v>0</v>
      </c>
      <c r="F279" s="115">
        <f t="shared" si="16"/>
        <v>0</v>
      </c>
    </row>
    <row r="280" spans="1:6" x14ac:dyDescent="0.2">
      <c r="A280" s="110"/>
      <c r="B280" s="111"/>
      <c r="C280" s="112" t="str">
        <f t="shared" si="17"/>
        <v xml:space="preserve"> </v>
      </c>
      <c r="D280" s="113" t="str">
        <f t="shared" si="18"/>
        <v xml:space="preserve"> </v>
      </c>
      <c r="E280" s="114" t="str">
        <f t="shared" si="19"/>
        <v>0</v>
      </c>
      <c r="F280" s="115">
        <f t="shared" si="16"/>
        <v>0</v>
      </c>
    </row>
    <row r="281" spans="1:6" x14ac:dyDescent="0.2">
      <c r="A281" s="110"/>
      <c r="B281" s="111"/>
      <c r="C281" s="112" t="str">
        <f t="shared" si="17"/>
        <v xml:space="preserve"> </v>
      </c>
      <c r="D281" s="113" t="str">
        <f t="shared" si="18"/>
        <v xml:space="preserve"> </v>
      </c>
      <c r="E281" s="114" t="str">
        <f t="shared" si="19"/>
        <v>0</v>
      </c>
      <c r="F281" s="115">
        <f t="shared" si="16"/>
        <v>0</v>
      </c>
    </row>
    <row r="282" spans="1:6" x14ac:dyDescent="0.2">
      <c r="A282" s="110"/>
      <c r="B282" s="111"/>
      <c r="C282" s="112" t="str">
        <f t="shared" si="17"/>
        <v xml:space="preserve"> </v>
      </c>
      <c r="D282" s="113" t="str">
        <f t="shared" si="18"/>
        <v xml:space="preserve"> </v>
      </c>
      <c r="E282" s="114" t="str">
        <f t="shared" si="19"/>
        <v>0</v>
      </c>
      <c r="F282" s="115">
        <f t="shared" si="16"/>
        <v>0</v>
      </c>
    </row>
    <row r="283" spans="1:6" x14ac:dyDescent="0.2">
      <c r="A283" s="110"/>
      <c r="B283" s="111"/>
      <c r="C283" s="112" t="str">
        <f t="shared" si="17"/>
        <v xml:space="preserve"> </v>
      </c>
      <c r="D283" s="113" t="str">
        <f t="shared" si="18"/>
        <v xml:space="preserve"> </v>
      </c>
      <c r="E283" s="114" t="str">
        <f t="shared" si="19"/>
        <v>0</v>
      </c>
      <c r="F283" s="115">
        <f t="shared" si="16"/>
        <v>0</v>
      </c>
    </row>
    <row r="284" spans="1:6" x14ac:dyDescent="0.2">
      <c r="A284" s="110"/>
      <c r="B284" s="111"/>
      <c r="C284" s="112" t="str">
        <f t="shared" si="17"/>
        <v xml:space="preserve"> </v>
      </c>
      <c r="D284" s="113" t="str">
        <f t="shared" si="18"/>
        <v xml:space="preserve"> </v>
      </c>
      <c r="E284" s="114" t="str">
        <f t="shared" si="19"/>
        <v>0</v>
      </c>
      <c r="F284" s="115">
        <f t="shared" si="16"/>
        <v>0</v>
      </c>
    </row>
    <row r="285" spans="1:6" x14ac:dyDescent="0.2">
      <c r="A285" s="110"/>
      <c r="B285" s="111"/>
      <c r="C285" s="112" t="str">
        <f t="shared" si="17"/>
        <v xml:space="preserve"> </v>
      </c>
      <c r="D285" s="113" t="str">
        <f t="shared" si="18"/>
        <v xml:space="preserve"> </v>
      </c>
      <c r="E285" s="114" t="str">
        <f t="shared" si="19"/>
        <v>0</v>
      </c>
      <c r="F285" s="115">
        <f t="shared" si="16"/>
        <v>0</v>
      </c>
    </row>
    <row r="286" spans="1:6" x14ac:dyDescent="0.2">
      <c r="A286" s="110"/>
      <c r="B286" s="111"/>
      <c r="C286" s="112" t="str">
        <f t="shared" si="17"/>
        <v xml:space="preserve"> </v>
      </c>
      <c r="D286" s="113" t="str">
        <f t="shared" si="18"/>
        <v xml:space="preserve"> </v>
      </c>
      <c r="E286" s="114" t="str">
        <f t="shared" si="19"/>
        <v>0</v>
      </c>
      <c r="F286" s="115">
        <f t="shared" si="16"/>
        <v>0</v>
      </c>
    </row>
    <row r="287" spans="1:6" x14ac:dyDescent="0.2">
      <c r="A287" s="110"/>
      <c r="B287" s="111"/>
      <c r="C287" s="112" t="str">
        <f t="shared" si="17"/>
        <v xml:space="preserve"> </v>
      </c>
      <c r="D287" s="113" t="str">
        <f t="shared" si="18"/>
        <v xml:space="preserve"> </v>
      </c>
      <c r="E287" s="114" t="str">
        <f t="shared" si="19"/>
        <v>0</v>
      </c>
      <c r="F287" s="115">
        <f t="shared" si="16"/>
        <v>0</v>
      </c>
    </row>
    <row r="288" spans="1:6" x14ac:dyDescent="0.2">
      <c r="A288" s="110"/>
      <c r="B288" s="111"/>
      <c r="C288" s="112" t="str">
        <f t="shared" si="17"/>
        <v xml:space="preserve"> </v>
      </c>
      <c r="D288" s="113" t="str">
        <f t="shared" si="18"/>
        <v xml:space="preserve"> </v>
      </c>
      <c r="E288" s="114" t="str">
        <f t="shared" si="19"/>
        <v>0</v>
      </c>
      <c r="F288" s="115">
        <f t="shared" si="16"/>
        <v>0</v>
      </c>
    </row>
    <row r="289" spans="1:6" x14ac:dyDescent="0.2">
      <c r="A289" s="110"/>
      <c r="B289" s="111"/>
      <c r="C289" s="112" t="str">
        <f t="shared" si="17"/>
        <v xml:space="preserve"> </v>
      </c>
      <c r="D289" s="113" t="str">
        <f t="shared" si="18"/>
        <v xml:space="preserve"> </v>
      </c>
      <c r="E289" s="114" t="str">
        <f t="shared" si="19"/>
        <v>0</v>
      </c>
      <c r="F289" s="115">
        <f t="shared" si="16"/>
        <v>0</v>
      </c>
    </row>
    <row r="290" spans="1:6" x14ac:dyDescent="0.2">
      <c r="A290" s="110"/>
      <c r="B290" s="111"/>
      <c r="C290" s="112" t="str">
        <f t="shared" si="17"/>
        <v xml:space="preserve"> </v>
      </c>
      <c r="D290" s="113" t="str">
        <f t="shared" si="18"/>
        <v xml:space="preserve"> </v>
      </c>
      <c r="E290" s="114" t="str">
        <f t="shared" si="19"/>
        <v>0</v>
      </c>
      <c r="F290" s="115">
        <f t="shared" si="16"/>
        <v>0</v>
      </c>
    </row>
    <row r="291" spans="1:6" x14ac:dyDescent="0.2">
      <c r="A291" s="110"/>
      <c r="B291" s="111"/>
      <c r="C291" s="112" t="str">
        <f t="shared" si="17"/>
        <v xml:space="preserve"> </v>
      </c>
      <c r="D291" s="113" t="str">
        <f t="shared" si="18"/>
        <v xml:space="preserve"> </v>
      </c>
      <c r="E291" s="114" t="str">
        <f t="shared" si="19"/>
        <v>0</v>
      </c>
      <c r="F291" s="115">
        <f t="shared" si="16"/>
        <v>0</v>
      </c>
    </row>
    <row r="292" spans="1:6" x14ac:dyDescent="0.2">
      <c r="A292" s="110"/>
      <c r="B292" s="111"/>
      <c r="C292" s="112" t="str">
        <f t="shared" si="17"/>
        <v xml:space="preserve"> </v>
      </c>
      <c r="D292" s="113" t="str">
        <f t="shared" si="18"/>
        <v xml:space="preserve"> </v>
      </c>
      <c r="E292" s="114" t="str">
        <f t="shared" si="19"/>
        <v>0</v>
      </c>
      <c r="F292" s="115">
        <f t="shared" si="16"/>
        <v>0</v>
      </c>
    </row>
    <row r="293" spans="1:6" x14ac:dyDescent="0.2">
      <c r="A293" s="110"/>
      <c r="B293" s="111"/>
      <c r="C293" s="112" t="str">
        <f t="shared" si="17"/>
        <v xml:space="preserve"> </v>
      </c>
      <c r="D293" s="113" t="str">
        <f t="shared" si="18"/>
        <v xml:space="preserve"> </v>
      </c>
      <c r="E293" s="114" t="str">
        <f t="shared" si="19"/>
        <v>0</v>
      </c>
      <c r="F293" s="115">
        <f t="shared" si="16"/>
        <v>0</v>
      </c>
    </row>
    <row r="294" spans="1:6" x14ac:dyDescent="0.2">
      <c r="A294" s="110"/>
      <c r="B294" s="111"/>
      <c r="C294" s="112" t="str">
        <f t="shared" si="17"/>
        <v xml:space="preserve"> </v>
      </c>
      <c r="D294" s="113" t="str">
        <f t="shared" si="18"/>
        <v xml:space="preserve"> </v>
      </c>
      <c r="E294" s="114" t="str">
        <f t="shared" si="19"/>
        <v>0</v>
      </c>
      <c r="F294" s="115">
        <f t="shared" si="16"/>
        <v>0</v>
      </c>
    </row>
    <row r="295" spans="1:6" x14ac:dyDescent="0.2">
      <c r="A295" s="110"/>
      <c r="B295" s="111"/>
      <c r="C295" s="112" t="str">
        <f t="shared" si="17"/>
        <v xml:space="preserve"> </v>
      </c>
      <c r="D295" s="113" t="str">
        <f t="shared" si="18"/>
        <v xml:space="preserve"> </v>
      </c>
      <c r="E295" s="114" t="str">
        <f t="shared" si="19"/>
        <v>0</v>
      </c>
      <c r="F295" s="115">
        <f t="shared" si="16"/>
        <v>0</v>
      </c>
    </row>
    <row r="296" spans="1:6" x14ac:dyDescent="0.2">
      <c r="A296" s="110"/>
      <c r="B296" s="111"/>
      <c r="C296" s="112" t="str">
        <f t="shared" si="17"/>
        <v xml:space="preserve"> </v>
      </c>
      <c r="D296" s="113" t="str">
        <f t="shared" si="18"/>
        <v xml:space="preserve"> </v>
      </c>
      <c r="E296" s="114" t="str">
        <f t="shared" si="19"/>
        <v>0</v>
      </c>
      <c r="F296" s="115">
        <f t="shared" si="16"/>
        <v>0</v>
      </c>
    </row>
    <row r="297" spans="1:6" x14ac:dyDescent="0.2">
      <c r="A297" s="110"/>
      <c r="B297" s="111"/>
      <c r="C297" s="112" t="str">
        <f t="shared" si="17"/>
        <v xml:space="preserve"> </v>
      </c>
      <c r="D297" s="113" t="str">
        <f t="shared" si="18"/>
        <v xml:space="preserve"> </v>
      </c>
      <c r="E297" s="114" t="str">
        <f t="shared" si="19"/>
        <v>0</v>
      </c>
      <c r="F297" s="115">
        <f t="shared" si="16"/>
        <v>0</v>
      </c>
    </row>
    <row r="298" spans="1:6" x14ac:dyDescent="0.2">
      <c r="A298" s="110"/>
      <c r="B298" s="111"/>
      <c r="C298" s="112" t="str">
        <f t="shared" si="17"/>
        <v xml:space="preserve"> </v>
      </c>
      <c r="D298" s="113" t="str">
        <f t="shared" si="18"/>
        <v xml:space="preserve"> </v>
      </c>
      <c r="E298" s="114" t="str">
        <f t="shared" si="19"/>
        <v>0</v>
      </c>
      <c r="F298" s="115">
        <f t="shared" si="16"/>
        <v>0</v>
      </c>
    </row>
    <row r="299" spans="1:6" x14ac:dyDescent="0.2">
      <c r="A299" s="110"/>
      <c r="B299" s="111"/>
      <c r="C299" s="112" t="str">
        <f t="shared" si="17"/>
        <v xml:space="preserve"> </v>
      </c>
      <c r="D299" s="113" t="str">
        <f t="shared" si="18"/>
        <v xml:space="preserve"> </v>
      </c>
      <c r="E299" s="114" t="str">
        <f t="shared" si="19"/>
        <v>0</v>
      </c>
      <c r="F299" s="115">
        <f t="shared" si="16"/>
        <v>0</v>
      </c>
    </row>
    <row r="300" spans="1:6" x14ac:dyDescent="0.2">
      <c r="A300" s="110"/>
      <c r="B300" s="111"/>
      <c r="C300" s="112" t="str">
        <f t="shared" si="17"/>
        <v xml:space="preserve"> </v>
      </c>
      <c r="D300" s="113" t="str">
        <f t="shared" si="18"/>
        <v xml:space="preserve"> </v>
      </c>
      <c r="E300" s="114" t="str">
        <f t="shared" si="19"/>
        <v>0</v>
      </c>
      <c r="F300" s="115">
        <f t="shared" si="16"/>
        <v>0</v>
      </c>
    </row>
    <row r="301" spans="1:6" x14ac:dyDescent="0.2">
      <c r="A301" s="110"/>
      <c r="B301" s="111"/>
      <c r="C301" s="112" t="str">
        <f t="shared" si="17"/>
        <v xml:space="preserve"> </v>
      </c>
      <c r="D301" s="113" t="str">
        <f t="shared" si="18"/>
        <v xml:space="preserve"> </v>
      </c>
      <c r="E301" s="114" t="str">
        <f t="shared" si="19"/>
        <v>0</v>
      </c>
      <c r="F301" s="115">
        <f t="shared" si="16"/>
        <v>0</v>
      </c>
    </row>
    <row r="302" spans="1:6" x14ac:dyDescent="0.2">
      <c r="A302" s="110"/>
      <c r="B302" s="111"/>
      <c r="C302" s="112" t="str">
        <f t="shared" si="17"/>
        <v xml:space="preserve"> </v>
      </c>
      <c r="D302" s="113" t="str">
        <f t="shared" si="18"/>
        <v xml:space="preserve"> </v>
      </c>
      <c r="E302" s="114" t="str">
        <f t="shared" si="19"/>
        <v>0</v>
      </c>
      <c r="F302" s="115">
        <f t="shared" si="16"/>
        <v>0</v>
      </c>
    </row>
    <row r="303" spans="1:6" x14ac:dyDescent="0.2">
      <c r="A303" s="110"/>
      <c r="B303" s="111"/>
      <c r="C303" s="112" t="str">
        <f t="shared" si="17"/>
        <v xml:space="preserve"> </v>
      </c>
      <c r="D303" s="113" t="str">
        <f t="shared" si="18"/>
        <v xml:space="preserve"> </v>
      </c>
      <c r="E303" s="114" t="str">
        <f t="shared" si="19"/>
        <v>0</v>
      </c>
      <c r="F303" s="115">
        <f t="shared" si="16"/>
        <v>0</v>
      </c>
    </row>
    <row r="304" spans="1:6" x14ac:dyDescent="0.2">
      <c r="A304" s="110"/>
      <c r="B304" s="111"/>
      <c r="C304" s="112" t="str">
        <f t="shared" si="17"/>
        <v xml:space="preserve"> </v>
      </c>
      <c r="D304" s="113" t="str">
        <f t="shared" si="18"/>
        <v xml:space="preserve"> </v>
      </c>
      <c r="E304" s="114" t="str">
        <f t="shared" si="19"/>
        <v>0</v>
      </c>
      <c r="F304" s="115">
        <f t="shared" si="16"/>
        <v>0</v>
      </c>
    </row>
    <row r="305" spans="1:6" x14ac:dyDescent="0.2">
      <c r="A305" s="110"/>
      <c r="B305" s="111"/>
      <c r="C305" s="112" t="str">
        <f t="shared" si="17"/>
        <v xml:space="preserve"> </v>
      </c>
      <c r="D305" s="113" t="str">
        <f t="shared" si="18"/>
        <v xml:space="preserve"> </v>
      </c>
      <c r="E305" s="114" t="str">
        <f t="shared" si="19"/>
        <v>0</v>
      </c>
      <c r="F305" s="115">
        <f t="shared" si="16"/>
        <v>0</v>
      </c>
    </row>
    <row r="306" spans="1:6" x14ac:dyDescent="0.2">
      <c r="A306" s="110"/>
      <c r="B306" s="111"/>
      <c r="C306" s="112" t="str">
        <f t="shared" si="17"/>
        <v xml:space="preserve"> </v>
      </c>
      <c r="D306" s="113" t="str">
        <f t="shared" si="18"/>
        <v xml:space="preserve"> </v>
      </c>
      <c r="E306" s="114" t="str">
        <f t="shared" si="19"/>
        <v>0</v>
      </c>
      <c r="F306" s="115">
        <f t="shared" si="16"/>
        <v>0</v>
      </c>
    </row>
    <row r="307" spans="1:6" x14ac:dyDescent="0.2">
      <c r="A307" s="110"/>
      <c r="B307" s="111"/>
      <c r="C307" s="112" t="str">
        <f t="shared" si="17"/>
        <v xml:space="preserve"> </v>
      </c>
      <c r="D307" s="113" t="str">
        <f t="shared" si="18"/>
        <v xml:space="preserve"> </v>
      </c>
      <c r="E307" s="114" t="str">
        <f t="shared" si="19"/>
        <v>0</v>
      </c>
      <c r="F307" s="115">
        <f t="shared" si="16"/>
        <v>0</v>
      </c>
    </row>
    <row r="308" spans="1:6" x14ac:dyDescent="0.2">
      <c r="A308" s="110"/>
      <c r="B308" s="111"/>
      <c r="C308" s="112" t="str">
        <f t="shared" si="17"/>
        <v xml:space="preserve"> </v>
      </c>
      <c r="D308" s="113" t="str">
        <f t="shared" si="18"/>
        <v xml:space="preserve"> </v>
      </c>
      <c r="E308" s="114" t="str">
        <f t="shared" si="19"/>
        <v>0</v>
      </c>
      <c r="F308" s="115">
        <f t="shared" si="16"/>
        <v>0</v>
      </c>
    </row>
    <row r="309" spans="1:6" x14ac:dyDescent="0.2">
      <c r="A309" s="110"/>
      <c r="B309" s="111"/>
      <c r="C309" s="112" t="str">
        <f t="shared" si="17"/>
        <v xml:space="preserve"> </v>
      </c>
      <c r="D309" s="113" t="str">
        <f t="shared" si="18"/>
        <v xml:space="preserve"> </v>
      </c>
      <c r="E309" s="114" t="str">
        <f t="shared" si="19"/>
        <v>0</v>
      </c>
      <c r="F309" s="115">
        <f t="shared" si="16"/>
        <v>0</v>
      </c>
    </row>
    <row r="310" spans="1:6" x14ac:dyDescent="0.2">
      <c r="A310" s="110"/>
      <c r="B310" s="111"/>
      <c r="C310" s="112" t="str">
        <f t="shared" si="17"/>
        <v xml:space="preserve"> </v>
      </c>
      <c r="D310" s="113" t="str">
        <f t="shared" si="18"/>
        <v xml:space="preserve"> </v>
      </c>
      <c r="E310" s="114" t="str">
        <f t="shared" si="19"/>
        <v>0</v>
      </c>
      <c r="F310" s="115">
        <f t="shared" si="16"/>
        <v>0</v>
      </c>
    </row>
    <row r="311" spans="1:6" x14ac:dyDescent="0.2">
      <c r="A311" s="110"/>
      <c r="B311" s="111"/>
      <c r="C311" s="112" t="str">
        <f t="shared" si="17"/>
        <v xml:space="preserve"> </v>
      </c>
      <c r="D311" s="113" t="str">
        <f t="shared" si="18"/>
        <v xml:space="preserve"> </v>
      </c>
      <c r="E311" s="114" t="str">
        <f t="shared" si="19"/>
        <v>0</v>
      </c>
      <c r="F311" s="115">
        <f t="shared" si="16"/>
        <v>0</v>
      </c>
    </row>
    <row r="312" spans="1:6" x14ac:dyDescent="0.2">
      <c r="A312" s="110"/>
      <c r="B312" s="111"/>
      <c r="C312" s="112" t="str">
        <f t="shared" si="17"/>
        <v xml:space="preserve"> </v>
      </c>
      <c r="D312" s="113" t="str">
        <f t="shared" si="18"/>
        <v xml:space="preserve"> </v>
      </c>
      <c r="E312" s="114" t="str">
        <f t="shared" si="19"/>
        <v>0</v>
      </c>
      <c r="F312" s="115">
        <f t="shared" si="16"/>
        <v>0</v>
      </c>
    </row>
    <row r="313" spans="1:6" x14ac:dyDescent="0.2">
      <c r="A313" s="110"/>
      <c r="B313" s="111"/>
      <c r="C313" s="112" t="str">
        <f t="shared" si="17"/>
        <v xml:space="preserve"> </v>
      </c>
      <c r="D313" s="113" t="str">
        <f t="shared" si="18"/>
        <v xml:space="preserve"> </v>
      </c>
      <c r="E313" s="114" t="str">
        <f t="shared" si="19"/>
        <v>0</v>
      </c>
      <c r="F313" s="115">
        <f t="shared" si="16"/>
        <v>0</v>
      </c>
    </row>
    <row r="314" spans="1:6" x14ac:dyDescent="0.2">
      <c r="A314" s="110"/>
      <c r="B314" s="111"/>
      <c r="C314" s="112" t="str">
        <f t="shared" si="17"/>
        <v xml:space="preserve"> </v>
      </c>
      <c r="D314" s="113" t="str">
        <f t="shared" si="18"/>
        <v xml:space="preserve"> </v>
      </c>
      <c r="E314" s="114" t="str">
        <f t="shared" si="19"/>
        <v>0</v>
      </c>
      <c r="F314" s="115">
        <f t="shared" si="16"/>
        <v>0</v>
      </c>
    </row>
    <row r="315" spans="1:6" x14ac:dyDescent="0.2">
      <c r="A315" s="110"/>
      <c r="B315" s="111"/>
      <c r="C315" s="112" t="str">
        <f t="shared" si="17"/>
        <v xml:space="preserve"> </v>
      </c>
      <c r="D315" s="113" t="str">
        <f t="shared" si="18"/>
        <v xml:space="preserve"> </v>
      </c>
      <c r="E315" s="114" t="str">
        <f t="shared" si="19"/>
        <v>0</v>
      </c>
      <c r="F315" s="115">
        <f t="shared" si="16"/>
        <v>0</v>
      </c>
    </row>
    <row r="316" spans="1:6" x14ac:dyDescent="0.2">
      <c r="A316" s="110"/>
      <c r="B316" s="111"/>
      <c r="C316" s="112" t="str">
        <f t="shared" si="17"/>
        <v xml:space="preserve"> </v>
      </c>
      <c r="D316" s="113" t="str">
        <f t="shared" si="18"/>
        <v xml:space="preserve"> </v>
      </c>
      <c r="E316" s="114" t="str">
        <f t="shared" si="19"/>
        <v>0</v>
      </c>
      <c r="F316" s="115">
        <f t="shared" si="16"/>
        <v>0</v>
      </c>
    </row>
    <row r="317" spans="1:6" x14ac:dyDescent="0.2">
      <c r="A317" s="110"/>
      <c r="B317" s="111"/>
      <c r="C317" s="112" t="str">
        <f t="shared" si="17"/>
        <v xml:space="preserve"> </v>
      </c>
      <c r="D317" s="113" t="str">
        <f t="shared" si="18"/>
        <v xml:space="preserve"> </v>
      </c>
      <c r="E317" s="114" t="str">
        <f t="shared" si="19"/>
        <v>0</v>
      </c>
      <c r="F317" s="115">
        <f t="shared" si="16"/>
        <v>0</v>
      </c>
    </row>
    <row r="318" spans="1:6" x14ac:dyDescent="0.2">
      <c r="A318" s="110"/>
      <c r="B318" s="111"/>
      <c r="C318" s="112" t="str">
        <f t="shared" si="17"/>
        <v xml:space="preserve"> </v>
      </c>
      <c r="D318" s="113" t="str">
        <f t="shared" si="18"/>
        <v xml:space="preserve"> </v>
      </c>
      <c r="E318" s="114" t="str">
        <f t="shared" si="19"/>
        <v>0</v>
      </c>
      <c r="F318" s="115">
        <f t="shared" si="16"/>
        <v>0</v>
      </c>
    </row>
    <row r="319" spans="1:6" x14ac:dyDescent="0.2">
      <c r="A319" s="110"/>
      <c r="B319" s="111"/>
      <c r="C319" s="112" t="str">
        <f t="shared" si="17"/>
        <v xml:space="preserve"> </v>
      </c>
      <c r="D319" s="113" t="str">
        <f t="shared" si="18"/>
        <v xml:space="preserve"> </v>
      </c>
      <c r="E319" s="114" t="str">
        <f t="shared" si="19"/>
        <v>0</v>
      </c>
      <c r="F319" s="115">
        <f t="shared" si="16"/>
        <v>0</v>
      </c>
    </row>
    <row r="320" spans="1:6" x14ac:dyDescent="0.2">
      <c r="A320" s="110"/>
      <c r="B320" s="111"/>
      <c r="C320" s="112" t="str">
        <f t="shared" si="17"/>
        <v xml:space="preserve"> </v>
      </c>
      <c r="D320" s="113" t="str">
        <f t="shared" si="18"/>
        <v xml:space="preserve"> </v>
      </c>
      <c r="E320" s="114" t="str">
        <f t="shared" si="19"/>
        <v>0</v>
      </c>
      <c r="F320" s="115">
        <f t="shared" si="16"/>
        <v>0</v>
      </c>
    </row>
    <row r="321" spans="1:6" x14ac:dyDescent="0.2">
      <c r="A321" s="110"/>
      <c r="B321" s="111"/>
      <c r="C321" s="112" t="str">
        <f t="shared" si="17"/>
        <v xml:space="preserve"> </v>
      </c>
      <c r="D321" s="113" t="str">
        <f t="shared" si="18"/>
        <v xml:space="preserve"> </v>
      </c>
      <c r="E321" s="114" t="str">
        <f t="shared" si="19"/>
        <v>0</v>
      </c>
      <c r="F321" s="115">
        <f t="shared" si="16"/>
        <v>0</v>
      </c>
    </row>
    <row r="322" spans="1:6" x14ac:dyDescent="0.2">
      <c r="A322" s="110"/>
      <c r="B322" s="111"/>
      <c r="C322" s="112" t="str">
        <f t="shared" si="17"/>
        <v xml:space="preserve"> </v>
      </c>
      <c r="D322" s="113" t="str">
        <f t="shared" si="18"/>
        <v xml:space="preserve"> </v>
      </c>
      <c r="E322" s="114" t="str">
        <f t="shared" si="19"/>
        <v>0</v>
      </c>
      <c r="F322" s="115">
        <f t="shared" si="16"/>
        <v>0</v>
      </c>
    </row>
    <row r="323" spans="1:6" x14ac:dyDescent="0.2">
      <c r="A323" s="110"/>
      <c r="B323" s="111"/>
      <c r="C323" s="112" t="str">
        <f t="shared" si="17"/>
        <v xml:space="preserve"> </v>
      </c>
      <c r="D323" s="113" t="str">
        <f t="shared" si="18"/>
        <v xml:space="preserve"> </v>
      </c>
      <c r="E323" s="114" t="str">
        <f t="shared" si="19"/>
        <v>0</v>
      </c>
      <c r="F323" s="115">
        <f t="shared" si="16"/>
        <v>0</v>
      </c>
    </row>
    <row r="324" spans="1:6" x14ac:dyDescent="0.2">
      <c r="A324" s="110"/>
      <c r="B324" s="111"/>
      <c r="C324" s="112" t="str">
        <f t="shared" si="17"/>
        <v xml:space="preserve"> </v>
      </c>
      <c r="D324" s="113" t="str">
        <f t="shared" si="18"/>
        <v xml:space="preserve"> </v>
      </c>
      <c r="E324" s="114" t="str">
        <f t="shared" si="19"/>
        <v>0</v>
      </c>
      <c r="F324" s="115">
        <f t="shared" si="16"/>
        <v>0</v>
      </c>
    </row>
    <row r="325" spans="1:6" x14ac:dyDescent="0.2">
      <c r="A325" s="110"/>
      <c r="B325" s="111"/>
      <c r="C325" s="112" t="str">
        <f t="shared" si="17"/>
        <v xml:space="preserve"> </v>
      </c>
      <c r="D325" s="113" t="str">
        <f t="shared" si="18"/>
        <v xml:space="preserve"> </v>
      </c>
      <c r="E325" s="114" t="str">
        <f t="shared" si="19"/>
        <v>0</v>
      </c>
      <c r="F325" s="115">
        <f t="shared" si="16"/>
        <v>0</v>
      </c>
    </row>
    <row r="326" spans="1:6" x14ac:dyDescent="0.2">
      <c r="A326" s="110"/>
      <c r="B326" s="111"/>
      <c r="C326" s="112" t="str">
        <f t="shared" si="17"/>
        <v xml:space="preserve"> </v>
      </c>
      <c r="D326" s="113" t="str">
        <f t="shared" si="18"/>
        <v xml:space="preserve"> </v>
      </c>
      <c r="E326" s="114" t="str">
        <f t="shared" si="19"/>
        <v>0</v>
      </c>
      <c r="F326" s="115">
        <f t="shared" si="16"/>
        <v>0</v>
      </c>
    </row>
    <row r="327" spans="1:6" x14ac:dyDescent="0.2">
      <c r="A327" s="110"/>
      <c r="B327" s="111"/>
      <c r="C327" s="112" t="str">
        <f t="shared" si="17"/>
        <v xml:space="preserve"> </v>
      </c>
      <c r="D327" s="113" t="str">
        <f t="shared" si="18"/>
        <v xml:space="preserve"> </v>
      </c>
      <c r="E327" s="114" t="str">
        <f t="shared" si="19"/>
        <v>0</v>
      </c>
      <c r="F327" s="115">
        <f t="shared" ref="F327:F390" si="20">E327*B327</f>
        <v>0</v>
      </c>
    </row>
    <row r="328" spans="1:6" x14ac:dyDescent="0.2">
      <c r="A328" s="110"/>
      <c r="B328" s="111"/>
      <c r="C328" s="112" t="str">
        <f t="shared" si="17"/>
        <v xml:space="preserve"> </v>
      </c>
      <c r="D328" s="113" t="str">
        <f t="shared" si="18"/>
        <v xml:space="preserve"> </v>
      </c>
      <c r="E328" s="114" t="str">
        <f t="shared" si="19"/>
        <v>0</v>
      </c>
      <c r="F328" s="115">
        <f t="shared" si="20"/>
        <v>0</v>
      </c>
    </row>
    <row r="329" spans="1:6" x14ac:dyDescent="0.2">
      <c r="A329" s="110"/>
      <c r="B329" s="111"/>
      <c r="C329" s="112" t="str">
        <f t="shared" ref="C329:C392" si="21">IFERROR(VLOOKUP(A329,ORDERLIST,2,FALSE)," ")</f>
        <v xml:space="preserve"> </v>
      </c>
      <c r="D329" s="113" t="str">
        <f t="shared" ref="D329:D392" si="22">IFERROR(VLOOKUP(A329,ORDERLIST,3,FALSE)," ")</f>
        <v xml:space="preserve"> </v>
      </c>
      <c r="E329" s="114" t="str">
        <f t="shared" ref="E329:E392" si="23">IFERROR(VLOOKUP(A329,ORDERLIST,4,FALSE),"0")</f>
        <v>0</v>
      </c>
      <c r="F329" s="115">
        <f t="shared" si="20"/>
        <v>0</v>
      </c>
    </row>
    <row r="330" spans="1:6" x14ac:dyDescent="0.2">
      <c r="A330" s="110"/>
      <c r="B330" s="111"/>
      <c r="C330" s="112" t="str">
        <f t="shared" si="21"/>
        <v xml:space="preserve"> </v>
      </c>
      <c r="D330" s="113" t="str">
        <f t="shared" si="22"/>
        <v xml:space="preserve"> </v>
      </c>
      <c r="E330" s="114" t="str">
        <f t="shared" si="23"/>
        <v>0</v>
      </c>
      <c r="F330" s="115">
        <f t="shared" si="20"/>
        <v>0</v>
      </c>
    </row>
    <row r="331" spans="1:6" x14ac:dyDescent="0.2">
      <c r="A331" s="110"/>
      <c r="B331" s="111"/>
      <c r="C331" s="112" t="str">
        <f t="shared" si="21"/>
        <v xml:space="preserve"> </v>
      </c>
      <c r="D331" s="113" t="str">
        <f t="shared" si="22"/>
        <v xml:space="preserve"> </v>
      </c>
      <c r="E331" s="114" t="str">
        <f t="shared" si="23"/>
        <v>0</v>
      </c>
      <c r="F331" s="115">
        <f t="shared" si="20"/>
        <v>0</v>
      </c>
    </row>
    <row r="332" spans="1:6" x14ac:dyDescent="0.2">
      <c r="A332" s="110"/>
      <c r="B332" s="111"/>
      <c r="C332" s="112" t="str">
        <f t="shared" si="21"/>
        <v xml:space="preserve"> </v>
      </c>
      <c r="D332" s="113" t="str">
        <f t="shared" si="22"/>
        <v xml:space="preserve"> </v>
      </c>
      <c r="E332" s="114" t="str">
        <f t="shared" si="23"/>
        <v>0</v>
      </c>
      <c r="F332" s="115">
        <f t="shared" si="20"/>
        <v>0</v>
      </c>
    </row>
    <row r="333" spans="1:6" x14ac:dyDescent="0.2">
      <c r="A333" s="110"/>
      <c r="B333" s="111"/>
      <c r="C333" s="112" t="str">
        <f t="shared" si="21"/>
        <v xml:space="preserve"> </v>
      </c>
      <c r="D333" s="113" t="str">
        <f t="shared" si="22"/>
        <v xml:space="preserve"> </v>
      </c>
      <c r="E333" s="114" t="str">
        <f t="shared" si="23"/>
        <v>0</v>
      </c>
      <c r="F333" s="115">
        <f t="shared" si="20"/>
        <v>0</v>
      </c>
    </row>
    <row r="334" spans="1:6" x14ac:dyDescent="0.2">
      <c r="A334" s="110"/>
      <c r="B334" s="111"/>
      <c r="C334" s="112" t="str">
        <f t="shared" si="21"/>
        <v xml:space="preserve"> </v>
      </c>
      <c r="D334" s="113" t="str">
        <f t="shared" si="22"/>
        <v xml:space="preserve"> </v>
      </c>
      <c r="E334" s="114" t="str">
        <f t="shared" si="23"/>
        <v>0</v>
      </c>
      <c r="F334" s="115">
        <f t="shared" si="20"/>
        <v>0</v>
      </c>
    </row>
    <row r="335" spans="1:6" x14ac:dyDescent="0.2">
      <c r="A335" s="110"/>
      <c r="B335" s="111"/>
      <c r="C335" s="112" t="str">
        <f t="shared" si="21"/>
        <v xml:space="preserve"> </v>
      </c>
      <c r="D335" s="113" t="str">
        <f t="shared" si="22"/>
        <v xml:space="preserve"> </v>
      </c>
      <c r="E335" s="114" t="str">
        <f t="shared" si="23"/>
        <v>0</v>
      </c>
      <c r="F335" s="115">
        <f t="shared" si="20"/>
        <v>0</v>
      </c>
    </row>
    <row r="336" spans="1:6" x14ac:dyDescent="0.2">
      <c r="A336" s="110"/>
      <c r="B336" s="111"/>
      <c r="C336" s="112" t="str">
        <f t="shared" si="21"/>
        <v xml:space="preserve"> </v>
      </c>
      <c r="D336" s="113" t="str">
        <f t="shared" si="22"/>
        <v xml:space="preserve"> </v>
      </c>
      <c r="E336" s="114" t="str">
        <f t="shared" si="23"/>
        <v>0</v>
      </c>
      <c r="F336" s="115">
        <f t="shared" si="20"/>
        <v>0</v>
      </c>
    </row>
    <row r="337" spans="1:6" x14ac:dyDescent="0.2">
      <c r="A337" s="110"/>
      <c r="B337" s="111"/>
      <c r="C337" s="112" t="str">
        <f t="shared" si="21"/>
        <v xml:space="preserve"> </v>
      </c>
      <c r="D337" s="113" t="str">
        <f t="shared" si="22"/>
        <v xml:space="preserve"> </v>
      </c>
      <c r="E337" s="114" t="str">
        <f t="shared" si="23"/>
        <v>0</v>
      </c>
      <c r="F337" s="115">
        <f t="shared" si="20"/>
        <v>0</v>
      </c>
    </row>
    <row r="338" spans="1:6" x14ac:dyDescent="0.2">
      <c r="A338" s="110"/>
      <c r="B338" s="111"/>
      <c r="C338" s="112" t="str">
        <f t="shared" si="21"/>
        <v xml:space="preserve"> </v>
      </c>
      <c r="D338" s="113" t="str">
        <f t="shared" si="22"/>
        <v xml:space="preserve"> </v>
      </c>
      <c r="E338" s="114" t="str">
        <f t="shared" si="23"/>
        <v>0</v>
      </c>
      <c r="F338" s="115">
        <f t="shared" si="20"/>
        <v>0</v>
      </c>
    </row>
    <row r="339" spans="1:6" x14ac:dyDescent="0.2">
      <c r="A339" s="110"/>
      <c r="B339" s="111"/>
      <c r="C339" s="112" t="str">
        <f t="shared" si="21"/>
        <v xml:space="preserve"> </v>
      </c>
      <c r="D339" s="113" t="str">
        <f t="shared" si="22"/>
        <v xml:space="preserve"> </v>
      </c>
      <c r="E339" s="114" t="str">
        <f t="shared" si="23"/>
        <v>0</v>
      </c>
      <c r="F339" s="115">
        <f t="shared" si="20"/>
        <v>0</v>
      </c>
    </row>
    <row r="340" spans="1:6" x14ac:dyDescent="0.2">
      <c r="A340" s="110"/>
      <c r="B340" s="111"/>
      <c r="C340" s="112" t="str">
        <f t="shared" si="21"/>
        <v xml:space="preserve"> </v>
      </c>
      <c r="D340" s="113" t="str">
        <f t="shared" si="22"/>
        <v xml:space="preserve"> </v>
      </c>
      <c r="E340" s="114" t="str">
        <f t="shared" si="23"/>
        <v>0</v>
      </c>
      <c r="F340" s="115">
        <f t="shared" si="20"/>
        <v>0</v>
      </c>
    </row>
    <row r="341" spans="1:6" x14ac:dyDescent="0.2">
      <c r="A341" s="110"/>
      <c r="B341" s="111"/>
      <c r="C341" s="112" t="str">
        <f t="shared" si="21"/>
        <v xml:space="preserve"> </v>
      </c>
      <c r="D341" s="113" t="str">
        <f t="shared" si="22"/>
        <v xml:space="preserve"> </v>
      </c>
      <c r="E341" s="114" t="str">
        <f t="shared" si="23"/>
        <v>0</v>
      </c>
      <c r="F341" s="115">
        <f t="shared" si="20"/>
        <v>0</v>
      </c>
    </row>
    <row r="342" spans="1:6" x14ac:dyDescent="0.2">
      <c r="A342" s="110"/>
      <c r="B342" s="111"/>
      <c r="C342" s="112" t="str">
        <f t="shared" si="21"/>
        <v xml:space="preserve"> </v>
      </c>
      <c r="D342" s="113" t="str">
        <f t="shared" si="22"/>
        <v xml:space="preserve"> </v>
      </c>
      <c r="E342" s="114" t="str">
        <f t="shared" si="23"/>
        <v>0</v>
      </c>
      <c r="F342" s="115">
        <f t="shared" si="20"/>
        <v>0</v>
      </c>
    </row>
    <row r="343" spans="1:6" x14ac:dyDescent="0.2">
      <c r="A343" s="110"/>
      <c r="B343" s="111"/>
      <c r="C343" s="112" t="str">
        <f t="shared" si="21"/>
        <v xml:space="preserve"> </v>
      </c>
      <c r="D343" s="113" t="str">
        <f t="shared" si="22"/>
        <v xml:space="preserve"> </v>
      </c>
      <c r="E343" s="114" t="str">
        <f t="shared" si="23"/>
        <v>0</v>
      </c>
      <c r="F343" s="115">
        <f t="shared" si="20"/>
        <v>0</v>
      </c>
    </row>
    <row r="344" spans="1:6" x14ac:dyDescent="0.2">
      <c r="A344" s="110"/>
      <c r="B344" s="111"/>
      <c r="C344" s="112" t="str">
        <f t="shared" si="21"/>
        <v xml:space="preserve"> </v>
      </c>
      <c r="D344" s="113" t="str">
        <f t="shared" si="22"/>
        <v xml:space="preserve"> </v>
      </c>
      <c r="E344" s="114" t="str">
        <f t="shared" si="23"/>
        <v>0</v>
      </c>
      <c r="F344" s="115">
        <f t="shared" si="20"/>
        <v>0</v>
      </c>
    </row>
    <row r="345" spans="1:6" x14ac:dyDescent="0.2">
      <c r="A345" s="110"/>
      <c r="B345" s="111"/>
      <c r="C345" s="112" t="str">
        <f t="shared" si="21"/>
        <v xml:space="preserve"> </v>
      </c>
      <c r="D345" s="113" t="str">
        <f t="shared" si="22"/>
        <v xml:space="preserve"> </v>
      </c>
      <c r="E345" s="114" t="str">
        <f t="shared" si="23"/>
        <v>0</v>
      </c>
      <c r="F345" s="115">
        <f t="shared" si="20"/>
        <v>0</v>
      </c>
    </row>
    <row r="346" spans="1:6" x14ac:dyDescent="0.2">
      <c r="A346" s="110"/>
      <c r="B346" s="111"/>
      <c r="C346" s="112" t="str">
        <f t="shared" si="21"/>
        <v xml:space="preserve"> </v>
      </c>
      <c r="D346" s="113" t="str">
        <f t="shared" si="22"/>
        <v xml:space="preserve"> </v>
      </c>
      <c r="E346" s="114" t="str">
        <f t="shared" si="23"/>
        <v>0</v>
      </c>
      <c r="F346" s="115">
        <f t="shared" si="20"/>
        <v>0</v>
      </c>
    </row>
    <row r="347" spans="1:6" x14ac:dyDescent="0.2">
      <c r="A347" s="110"/>
      <c r="B347" s="111"/>
      <c r="C347" s="112" t="str">
        <f t="shared" si="21"/>
        <v xml:space="preserve"> </v>
      </c>
      <c r="D347" s="113" t="str">
        <f t="shared" si="22"/>
        <v xml:space="preserve"> </v>
      </c>
      <c r="E347" s="114" t="str">
        <f t="shared" si="23"/>
        <v>0</v>
      </c>
      <c r="F347" s="115">
        <f t="shared" si="20"/>
        <v>0</v>
      </c>
    </row>
    <row r="348" spans="1:6" x14ac:dyDescent="0.2">
      <c r="A348" s="110"/>
      <c r="B348" s="111"/>
      <c r="C348" s="112" t="str">
        <f t="shared" si="21"/>
        <v xml:space="preserve"> </v>
      </c>
      <c r="D348" s="113" t="str">
        <f t="shared" si="22"/>
        <v xml:space="preserve"> </v>
      </c>
      <c r="E348" s="114" t="str">
        <f t="shared" si="23"/>
        <v>0</v>
      </c>
      <c r="F348" s="115">
        <f t="shared" si="20"/>
        <v>0</v>
      </c>
    </row>
    <row r="349" spans="1:6" x14ac:dyDescent="0.2">
      <c r="A349" s="110"/>
      <c r="B349" s="111"/>
      <c r="C349" s="112" t="str">
        <f t="shared" si="21"/>
        <v xml:space="preserve"> </v>
      </c>
      <c r="D349" s="113" t="str">
        <f t="shared" si="22"/>
        <v xml:space="preserve"> </v>
      </c>
      <c r="E349" s="114" t="str">
        <f t="shared" si="23"/>
        <v>0</v>
      </c>
      <c r="F349" s="115">
        <f t="shared" si="20"/>
        <v>0</v>
      </c>
    </row>
    <row r="350" spans="1:6" x14ac:dyDescent="0.2">
      <c r="A350" s="110"/>
      <c r="B350" s="111"/>
      <c r="C350" s="112" t="str">
        <f t="shared" si="21"/>
        <v xml:space="preserve"> </v>
      </c>
      <c r="D350" s="113" t="str">
        <f t="shared" si="22"/>
        <v xml:space="preserve"> </v>
      </c>
      <c r="E350" s="114" t="str">
        <f t="shared" si="23"/>
        <v>0</v>
      </c>
      <c r="F350" s="115">
        <f t="shared" si="20"/>
        <v>0</v>
      </c>
    </row>
    <row r="351" spans="1:6" x14ac:dyDescent="0.2">
      <c r="A351" s="110"/>
      <c r="B351" s="111"/>
      <c r="C351" s="112" t="str">
        <f t="shared" si="21"/>
        <v xml:space="preserve"> </v>
      </c>
      <c r="D351" s="113" t="str">
        <f t="shared" si="22"/>
        <v xml:space="preserve"> </v>
      </c>
      <c r="E351" s="114" t="str">
        <f t="shared" si="23"/>
        <v>0</v>
      </c>
      <c r="F351" s="115">
        <f t="shared" si="20"/>
        <v>0</v>
      </c>
    </row>
    <row r="352" spans="1:6" x14ac:dyDescent="0.2">
      <c r="A352" s="110"/>
      <c r="B352" s="111"/>
      <c r="C352" s="112" t="str">
        <f t="shared" si="21"/>
        <v xml:space="preserve"> </v>
      </c>
      <c r="D352" s="113" t="str">
        <f t="shared" si="22"/>
        <v xml:space="preserve"> </v>
      </c>
      <c r="E352" s="114" t="str">
        <f t="shared" si="23"/>
        <v>0</v>
      </c>
      <c r="F352" s="115">
        <f t="shared" si="20"/>
        <v>0</v>
      </c>
    </row>
    <row r="353" spans="1:6" x14ac:dyDescent="0.2">
      <c r="A353" s="110"/>
      <c r="B353" s="111"/>
      <c r="C353" s="112" t="str">
        <f t="shared" si="21"/>
        <v xml:space="preserve"> </v>
      </c>
      <c r="D353" s="113" t="str">
        <f t="shared" si="22"/>
        <v xml:space="preserve"> </v>
      </c>
      <c r="E353" s="114" t="str">
        <f t="shared" si="23"/>
        <v>0</v>
      </c>
      <c r="F353" s="115">
        <f t="shared" si="20"/>
        <v>0</v>
      </c>
    </row>
    <row r="354" spans="1:6" x14ac:dyDescent="0.2">
      <c r="A354" s="110"/>
      <c r="B354" s="111"/>
      <c r="C354" s="112" t="str">
        <f t="shared" si="21"/>
        <v xml:space="preserve"> </v>
      </c>
      <c r="D354" s="113" t="str">
        <f t="shared" si="22"/>
        <v xml:space="preserve"> </v>
      </c>
      <c r="E354" s="114" t="str">
        <f t="shared" si="23"/>
        <v>0</v>
      </c>
      <c r="F354" s="115">
        <f t="shared" si="20"/>
        <v>0</v>
      </c>
    </row>
    <row r="355" spans="1:6" x14ac:dyDescent="0.2">
      <c r="A355" s="110"/>
      <c r="B355" s="111"/>
      <c r="C355" s="112" t="str">
        <f t="shared" si="21"/>
        <v xml:space="preserve"> </v>
      </c>
      <c r="D355" s="113" t="str">
        <f t="shared" si="22"/>
        <v xml:space="preserve"> </v>
      </c>
      <c r="E355" s="114" t="str">
        <f t="shared" si="23"/>
        <v>0</v>
      </c>
      <c r="F355" s="115">
        <f t="shared" si="20"/>
        <v>0</v>
      </c>
    </row>
    <row r="356" spans="1:6" x14ac:dyDescent="0.2">
      <c r="A356" s="110"/>
      <c r="B356" s="111"/>
      <c r="C356" s="112" t="str">
        <f t="shared" si="21"/>
        <v xml:space="preserve"> </v>
      </c>
      <c r="D356" s="113" t="str">
        <f t="shared" si="22"/>
        <v xml:space="preserve"> </v>
      </c>
      <c r="E356" s="114" t="str">
        <f t="shared" si="23"/>
        <v>0</v>
      </c>
      <c r="F356" s="115">
        <f t="shared" si="20"/>
        <v>0</v>
      </c>
    </row>
    <row r="357" spans="1:6" x14ac:dyDescent="0.2">
      <c r="A357" s="110"/>
      <c r="B357" s="111"/>
      <c r="C357" s="112" t="str">
        <f t="shared" si="21"/>
        <v xml:space="preserve"> </v>
      </c>
      <c r="D357" s="113" t="str">
        <f t="shared" si="22"/>
        <v xml:space="preserve"> </v>
      </c>
      <c r="E357" s="114" t="str">
        <f t="shared" si="23"/>
        <v>0</v>
      </c>
      <c r="F357" s="115">
        <f t="shared" si="20"/>
        <v>0</v>
      </c>
    </row>
    <row r="358" spans="1:6" x14ac:dyDescent="0.2">
      <c r="A358" s="110"/>
      <c r="B358" s="111"/>
      <c r="C358" s="112" t="str">
        <f t="shared" si="21"/>
        <v xml:space="preserve"> </v>
      </c>
      <c r="D358" s="113" t="str">
        <f t="shared" si="22"/>
        <v xml:space="preserve"> </v>
      </c>
      <c r="E358" s="114" t="str">
        <f t="shared" si="23"/>
        <v>0</v>
      </c>
      <c r="F358" s="115">
        <f t="shared" si="20"/>
        <v>0</v>
      </c>
    </row>
    <row r="359" spans="1:6" x14ac:dyDescent="0.2">
      <c r="A359" s="110"/>
      <c r="B359" s="111"/>
      <c r="C359" s="112" t="str">
        <f t="shared" si="21"/>
        <v xml:space="preserve"> </v>
      </c>
      <c r="D359" s="113" t="str">
        <f t="shared" si="22"/>
        <v xml:space="preserve"> </v>
      </c>
      <c r="E359" s="114" t="str">
        <f t="shared" si="23"/>
        <v>0</v>
      </c>
      <c r="F359" s="115">
        <f t="shared" si="20"/>
        <v>0</v>
      </c>
    </row>
    <row r="360" spans="1:6" x14ac:dyDescent="0.2">
      <c r="A360" s="110"/>
      <c r="B360" s="111"/>
      <c r="C360" s="112" t="str">
        <f t="shared" si="21"/>
        <v xml:space="preserve"> </v>
      </c>
      <c r="D360" s="113" t="str">
        <f t="shared" si="22"/>
        <v xml:space="preserve"> </v>
      </c>
      <c r="E360" s="114" t="str">
        <f t="shared" si="23"/>
        <v>0</v>
      </c>
      <c r="F360" s="115">
        <f t="shared" si="20"/>
        <v>0</v>
      </c>
    </row>
    <row r="361" spans="1:6" x14ac:dyDescent="0.2">
      <c r="A361" s="110"/>
      <c r="B361" s="111"/>
      <c r="C361" s="112" t="str">
        <f t="shared" si="21"/>
        <v xml:space="preserve"> </v>
      </c>
      <c r="D361" s="113" t="str">
        <f t="shared" si="22"/>
        <v xml:space="preserve"> </v>
      </c>
      <c r="E361" s="114" t="str">
        <f t="shared" si="23"/>
        <v>0</v>
      </c>
      <c r="F361" s="115">
        <f t="shared" si="20"/>
        <v>0</v>
      </c>
    </row>
    <row r="362" spans="1:6" x14ac:dyDescent="0.2">
      <c r="A362" s="110"/>
      <c r="B362" s="111"/>
      <c r="C362" s="112" t="str">
        <f t="shared" si="21"/>
        <v xml:space="preserve"> </v>
      </c>
      <c r="D362" s="113" t="str">
        <f t="shared" si="22"/>
        <v xml:space="preserve"> </v>
      </c>
      <c r="E362" s="114" t="str">
        <f t="shared" si="23"/>
        <v>0</v>
      </c>
      <c r="F362" s="115">
        <f t="shared" si="20"/>
        <v>0</v>
      </c>
    </row>
    <row r="363" spans="1:6" x14ac:dyDescent="0.2">
      <c r="A363" s="110"/>
      <c r="B363" s="111"/>
      <c r="C363" s="112" t="str">
        <f t="shared" si="21"/>
        <v xml:space="preserve"> </v>
      </c>
      <c r="D363" s="113" t="str">
        <f t="shared" si="22"/>
        <v xml:space="preserve"> </v>
      </c>
      <c r="E363" s="114" t="str">
        <f t="shared" si="23"/>
        <v>0</v>
      </c>
      <c r="F363" s="115">
        <f t="shared" si="20"/>
        <v>0</v>
      </c>
    </row>
    <row r="364" spans="1:6" x14ac:dyDescent="0.2">
      <c r="A364" s="110"/>
      <c r="B364" s="111"/>
      <c r="C364" s="112" t="str">
        <f t="shared" si="21"/>
        <v xml:space="preserve"> </v>
      </c>
      <c r="D364" s="113" t="str">
        <f t="shared" si="22"/>
        <v xml:space="preserve"> </v>
      </c>
      <c r="E364" s="114" t="str">
        <f t="shared" si="23"/>
        <v>0</v>
      </c>
      <c r="F364" s="115">
        <f t="shared" si="20"/>
        <v>0</v>
      </c>
    </row>
    <row r="365" spans="1:6" x14ac:dyDescent="0.2">
      <c r="A365" s="110"/>
      <c r="B365" s="111"/>
      <c r="C365" s="112" t="str">
        <f t="shared" si="21"/>
        <v xml:space="preserve"> </v>
      </c>
      <c r="D365" s="113" t="str">
        <f t="shared" si="22"/>
        <v xml:space="preserve"> </v>
      </c>
      <c r="E365" s="114" t="str">
        <f t="shared" si="23"/>
        <v>0</v>
      </c>
      <c r="F365" s="115">
        <f t="shared" si="20"/>
        <v>0</v>
      </c>
    </row>
    <row r="366" spans="1:6" x14ac:dyDescent="0.2">
      <c r="A366" s="110"/>
      <c r="B366" s="111"/>
      <c r="C366" s="112" t="str">
        <f t="shared" si="21"/>
        <v xml:space="preserve"> </v>
      </c>
      <c r="D366" s="113" t="str">
        <f t="shared" si="22"/>
        <v xml:space="preserve"> </v>
      </c>
      <c r="E366" s="114" t="str">
        <f t="shared" si="23"/>
        <v>0</v>
      </c>
      <c r="F366" s="115">
        <f t="shared" si="20"/>
        <v>0</v>
      </c>
    </row>
    <row r="367" spans="1:6" x14ac:dyDescent="0.2">
      <c r="A367" s="110"/>
      <c r="B367" s="111"/>
      <c r="C367" s="112" t="str">
        <f t="shared" si="21"/>
        <v xml:space="preserve"> </v>
      </c>
      <c r="D367" s="113" t="str">
        <f t="shared" si="22"/>
        <v xml:space="preserve"> </v>
      </c>
      <c r="E367" s="114" t="str">
        <f t="shared" si="23"/>
        <v>0</v>
      </c>
      <c r="F367" s="115">
        <f t="shared" si="20"/>
        <v>0</v>
      </c>
    </row>
    <row r="368" spans="1:6" x14ac:dyDescent="0.2">
      <c r="A368" s="110"/>
      <c r="B368" s="111"/>
      <c r="C368" s="112" t="str">
        <f t="shared" si="21"/>
        <v xml:space="preserve"> </v>
      </c>
      <c r="D368" s="113" t="str">
        <f t="shared" si="22"/>
        <v xml:space="preserve"> </v>
      </c>
      <c r="E368" s="114" t="str">
        <f t="shared" si="23"/>
        <v>0</v>
      </c>
      <c r="F368" s="115">
        <f t="shared" si="20"/>
        <v>0</v>
      </c>
    </row>
    <row r="369" spans="1:6" x14ac:dyDescent="0.2">
      <c r="A369" s="110"/>
      <c r="B369" s="111"/>
      <c r="C369" s="112" t="str">
        <f t="shared" si="21"/>
        <v xml:space="preserve"> </v>
      </c>
      <c r="D369" s="113" t="str">
        <f t="shared" si="22"/>
        <v xml:space="preserve"> </v>
      </c>
      <c r="E369" s="114" t="str">
        <f t="shared" si="23"/>
        <v>0</v>
      </c>
      <c r="F369" s="115">
        <f t="shared" si="20"/>
        <v>0</v>
      </c>
    </row>
    <row r="370" spans="1:6" x14ac:dyDescent="0.2">
      <c r="A370" s="110"/>
      <c r="B370" s="111"/>
      <c r="C370" s="112" t="str">
        <f t="shared" si="21"/>
        <v xml:space="preserve"> </v>
      </c>
      <c r="D370" s="113" t="str">
        <f t="shared" si="22"/>
        <v xml:space="preserve"> </v>
      </c>
      <c r="E370" s="114" t="str">
        <f t="shared" si="23"/>
        <v>0</v>
      </c>
      <c r="F370" s="115">
        <f t="shared" si="20"/>
        <v>0</v>
      </c>
    </row>
    <row r="371" spans="1:6" x14ac:dyDescent="0.2">
      <c r="A371" s="110"/>
      <c r="B371" s="111"/>
      <c r="C371" s="112" t="str">
        <f t="shared" si="21"/>
        <v xml:space="preserve"> </v>
      </c>
      <c r="D371" s="113" t="str">
        <f t="shared" si="22"/>
        <v xml:space="preserve"> </v>
      </c>
      <c r="E371" s="114" t="str">
        <f t="shared" si="23"/>
        <v>0</v>
      </c>
      <c r="F371" s="115">
        <f t="shared" si="20"/>
        <v>0</v>
      </c>
    </row>
    <row r="372" spans="1:6" x14ac:dyDescent="0.2">
      <c r="A372" s="110"/>
      <c r="B372" s="111"/>
      <c r="C372" s="112" t="str">
        <f t="shared" si="21"/>
        <v xml:space="preserve"> </v>
      </c>
      <c r="D372" s="113" t="str">
        <f t="shared" si="22"/>
        <v xml:space="preserve"> </v>
      </c>
      <c r="E372" s="114" t="str">
        <f t="shared" si="23"/>
        <v>0</v>
      </c>
      <c r="F372" s="115">
        <f t="shared" si="20"/>
        <v>0</v>
      </c>
    </row>
    <row r="373" spans="1:6" x14ac:dyDescent="0.2">
      <c r="A373" s="110"/>
      <c r="B373" s="111"/>
      <c r="C373" s="112" t="str">
        <f t="shared" si="21"/>
        <v xml:space="preserve"> </v>
      </c>
      <c r="D373" s="113" t="str">
        <f t="shared" si="22"/>
        <v xml:space="preserve"> </v>
      </c>
      <c r="E373" s="114" t="str">
        <f t="shared" si="23"/>
        <v>0</v>
      </c>
      <c r="F373" s="115">
        <f t="shared" si="20"/>
        <v>0</v>
      </c>
    </row>
    <row r="374" spans="1:6" x14ac:dyDescent="0.2">
      <c r="A374" s="110"/>
      <c r="B374" s="111"/>
      <c r="C374" s="112" t="str">
        <f t="shared" si="21"/>
        <v xml:space="preserve"> </v>
      </c>
      <c r="D374" s="113" t="str">
        <f t="shared" si="22"/>
        <v xml:space="preserve"> </v>
      </c>
      <c r="E374" s="114" t="str">
        <f t="shared" si="23"/>
        <v>0</v>
      </c>
      <c r="F374" s="115">
        <f t="shared" si="20"/>
        <v>0</v>
      </c>
    </row>
    <row r="375" spans="1:6" x14ac:dyDescent="0.2">
      <c r="A375" s="110"/>
      <c r="B375" s="111"/>
      <c r="C375" s="112" t="str">
        <f t="shared" si="21"/>
        <v xml:space="preserve"> </v>
      </c>
      <c r="D375" s="113" t="str">
        <f t="shared" si="22"/>
        <v xml:space="preserve"> </v>
      </c>
      <c r="E375" s="114" t="str">
        <f t="shared" si="23"/>
        <v>0</v>
      </c>
      <c r="F375" s="115">
        <f t="shared" si="20"/>
        <v>0</v>
      </c>
    </row>
    <row r="376" spans="1:6" x14ac:dyDescent="0.2">
      <c r="A376" s="110"/>
      <c r="B376" s="111"/>
      <c r="C376" s="112" t="str">
        <f t="shared" si="21"/>
        <v xml:space="preserve"> </v>
      </c>
      <c r="D376" s="113" t="str">
        <f t="shared" si="22"/>
        <v xml:space="preserve"> </v>
      </c>
      <c r="E376" s="114" t="str">
        <f t="shared" si="23"/>
        <v>0</v>
      </c>
      <c r="F376" s="115">
        <f t="shared" si="20"/>
        <v>0</v>
      </c>
    </row>
    <row r="377" spans="1:6" x14ac:dyDescent="0.2">
      <c r="A377" s="110"/>
      <c r="B377" s="111"/>
      <c r="C377" s="112" t="str">
        <f t="shared" si="21"/>
        <v xml:space="preserve"> </v>
      </c>
      <c r="D377" s="113" t="str">
        <f t="shared" si="22"/>
        <v xml:space="preserve"> </v>
      </c>
      <c r="E377" s="114" t="str">
        <f t="shared" si="23"/>
        <v>0</v>
      </c>
      <c r="F377" s="115">
        <f t="shared" si="20"/>
        <v>0</v>
      </c>
    </row>
    <row r="378" spans="1:6" x14ac:dyDescent="0.2">
      <c r="A378" s="110"/>
      <c r="B378" s="111"/>
      <c r="C378" s="112" t="str">
        <f t="shared" si="21"/>
        <v xml:space="preserve"> </v>
      </c>
      <c r="D378" s="113" t="str">
        <f t="shared" si="22"/>
        <v xml:space="preserve"> </v>
      </c>
      <c r="E378" s="114" t="str">
        <f t="shared" si="23"/>
        <v>0</v>
      </c>
      <c r="F378" s="115">
        <f t="shared" si="20"/>
        <v>0</v>
      </c>
    </row>
    <row r="379" spans="1:6" x14ac:dyDescent="0.2">
      <c r="A379" s="110"/>
      <c r="B379" s="111"/>
      <c r="C379" s="112" t="str">
        <f t="shared" si="21"/>
        <v xml:space="preserve"> </v>
      </c>
      <c r="D379" s="113" t="str">
        <f t="shared" si="22"/>
        <v xml:space="preserve"> </v>
      </c>
      <c r="E379" s="114" t="str">
        <f t="shared" si="23"/>
        <v>0</v>
      </c>
      <c r="F379" s="115">
        <f t="shared" si="20"/>
        <v>0</v>
      </c>
    </row>
    <row r="380" spans="1:6" x14ac:dyDescent="0.2">
      <c r="A380" s="110"/>
      <c r="B380" s="111"/>
      <c r="C380" s="112" t="str">
        <f t="shared" si="21"/>
        <v xml:space="preserve"> </v>
      </c>
      <c r="D380" s="113" t="str">
        <f t="shared" si="22"/>
        <v xml:space="preserve"> </v>
      </c>
      <c r="E380" s="114" t="str">
        <f t="shared" si="23"/>
        <v>0</v>
      </c>
      <c r="F380" s="115">
        <f t="shared" si="20"/>
        <v>0</v>
      </c>
    </row>
    <row r="381" spans="1:6" x14ac:dyDescent="0.2">
      <c r="A381" s="110"/>
      <c r="B381" s="111"/>
      <c r="C381" s="112" t="str">
        <f t="shared" si="21"/>
        <v xml:space="preserve"> </v>
      </c>
      <c r="D381" s="113" t="str">
        <f t="shared" si="22"/>
        <v xml:space="preserve"> </v>
      </c>
      <c r="E381" s="114" t="str">
        <f t="shared" si="23"/>
        <v>0</v>
      </c>
      <c r="F381" s="115">
        <f t="shared" si="20"/>
        <v>0</v>
      </c>
    </row>
    <row r="382" spans="1:6" x14ac:dyDescent="0.2">
      <c r="A382" s="110"/>
      <c r="B382" s="111"/>
      <c r="C382" s="112" t="str">
        <f t="shared" si="21"/>
        <v xml:space="preserve"> </v>
      </c>
      <c r="D382" s="113" t="str">
        <f t="shared" si="22"/>
        <v xml:space="preserve"> </v>
      </c>
      <c r="E382" s="114" t="str">
        <f t="shared" si="23"/>
        <v>0</v>
      </c>
      <c r="F382" s="115">
        <f t="shared" si="20"/>
        <v>0</v>
      </c>
    </row>
    <row r="383" spans="1:6" x14ac:dyDescent="0.2">
      <c r="A383" s="110"/>
      <c r="B383" s="111"/>
      <c r="C383" s="112" t="str">
        <f t="shared" si="21"/>
        <v xml:space="preserve"> </v>
      </c>
      <c r="D383" s="113" t="str">
        <f t="shared" si="22"/>
        <v xml:space="preserve"> </v>
      </c>
      <c r="E383" s="114" t="str">
        <f t="shared" si="23"/>
        <v>0</v>
      </c>
      <c r="F383" s="115">
        <f t="shared" si="20"/>
        <v>0</v>
      </c>
    </row>
    <row r="384" spans="1:6" x14ac:dyDescent="0.2">
      <c r="A384" s="110"/>
      <c r="B384" s="111"/>
      <c r="C384" s="112" t="str">
        <f t="shared" si="21"/>
        <v xml:space="preserve"> </v>
      </c>
      <c r="D384" s="113" t="str">
        <f t="shared" si="22"/>
        <v xml:space="preserve"> </v>
      </c>
      <c r="E384" s="114" t="str">
        <f t="shared" si="23"/>
        <v>0</v>
      </c>
      <c r="F384" s="115">
        <f t="shared" si="20"/>
        <v>0</v>
      </c>
    </row>
    <row r="385" spans="1:6" x14ac:dyDescent="0.2">
      <c r="A385" s="110"/>
      <c r="B385" s="111"/>
      <c r="C385" s="112" t="str">
        <f t="shared" si="21"/>
        <v xml:space="preserve"> </v>
      </c>
      <c r="D385" s="113" t="str">
        <f t="shared" si="22"/>
        <v xml:space="preserve"> </v>
      </c>
      <c r="E385" s="114" t="str">
        <f t="shared" si="23"/>
        <v>0</v>
      </c>
      <c r="F385" s="115">
        <f t="shared" si="20"/>
        <v>0</v>
      </c>
    </row>
    <row r="386" spans="1:6" x14ac:dyDescent="0.2">
      <c r="A386" s="110"/>
      <c r="B386" s="111"/>
      <c r="C386" s="112" t="str">
        <f t="shared" si="21"/>
        <v xml:space="preserve"> </v>
      </c>
      <c r="D386" s="113" t="str">
        <f t="shared" si="22"/>
        <v xml:space="preserve"> </v>
      </c>
      <c r="E386" s="114" t="str">
        <f t="shared" si="23"/>
        <v>0</v>
      </c>
      <c r="F386" s="115">
        <f t="shared" si="20"/>
        <v>0</v>
      </c>
    </row>
    <row r="387" spans="1:6" x14ac:dyDescent="0.2">
      <c r="A387" s="110"/>
      <c r="B387" s="111"/>
      <c r="C387" s="112" t="str">
        <f t="shared" si="21"/>
        <v xml:space="preserve"> </v>
      </c>
      <c r="D387" s="113" t="str">
        <f t="shared" si="22"/>
        <v xml:space="preserve"> </v>
      </c>
      <c r="E387" s="114" t="str">
        <f t="shared" si="23"/>
        <v>0</v>
      </c>
      <c r="F387" s="115">
        <f t="shared" si="20"/>
        <v>0</v>
      </c>
    </row>
    <row r="388" spans="1:6" x14ac:dyDescent="0.2">
      <c r="A388" s="110"/>
      <c r="B388" s="111"/>
      <c r="C388" s="112" t="str">
        <f t="shared" si="21"/>
        <v xml:space="preserve"> </v>
      </c>
      <c r="D388" s="113" t="str">
        <f t="shared" si="22"/>
        <v xml:space="preserve"> </v>
      </c>
      <c r="E388" s="114" t="str">
        <f t="shared" si="23"/>
        <v>0</v>
      </c>
      <c r="F388" s="115">
        <f t="shared" si="20"/>
        <v>0</v>
      </c>
    </row>
    <row r="389" spans="1:6" x14ac:dyDescent="0.2">
      <c r="A389" s="110"/>
      <c r="B389" s="111"/>
      <c r="C389" s="112" t="str">
        <f t="shared" si="21"/>
        <v xml:space="preserve"> </v>
      </c>
      <c r="D389" s="113" t="str">
        <f t="shared" si="22"/>
        <v xml:space="preserve"> </v>
      </c>
      <c r="E389" s="114" t="str">
        <f t="shared" si="23"/>
        <v>0</v>
      </c>
      <c r="F389" s="115">
        <f t="shared" si="20"/>
        <v>0</v>
      </c>
    </row>
    <row r="390" spans="1:6" x14ac:dyDescent="0.2">
      <c r="A390" s="110"/>
      <c r="B390" s="111"/>
      <c r="C390" s="112" t="str">
        <f t="shared" si="21"/>
        <v xml:space="preserve"> </v>
      </c>
      <c r="D390" s="113" t="str">
        <f t="shared" si="22"/>
        <v xml:space="preserve"> </v>
      </c>
      <c r="E390" s="114" t="str">
        <f t="shared" si="23"/>
        <v>0</v>
      </c>
      <c r="F390" s="115">
        <f t="shared" si="20"/>
        <v>0</v>
      </c>
    </row>
    <row r="391" spans="1:6" x14ac:dyDescent="0.2">
      <c r="A391" s="110"/>
      <c r="B391" s="111"/>
      <c r="C391" s="112" t="str">
        <f t="shared" si="21"/>
        <v xml:space="preserve"> </v>
      </c>
      <c r="D391" s="113" t="str">
        <f t="shared" si="22"/>
        <v xml:space="preserve"> </v>
      </c>
      <c r="E391" s="114" t="str">
        <f t="shared" si="23"/>
        <v>0</v>
      </c>
      <c r="F391" s="115">
        <f t="shared" ref="F391:F454" si="24">E391*B391</f>
        <v>0</v>
      </c>
    </row>
    <row r="392" spans="1:6" x14ac:dyDescent="0.2">
      <c r="A392" s="110"/>
      <c r="B392" s="111"/>
      <c r="C392" s="112" t="str">
        <f t="shared" si="21"/>
        <v xml:space="preserve"> </v>
      </c>
      <c r="D392" s="113" t="str">
        <f t="shared" si="22"/>
        <v xml:space="preserve"> </v>
      </c>
      <c r="E392" s="114" t="str">
        <f t="shared" si="23"/>
        <v>0</v>
      </c>
      <c r="F392" s="115">
        <f t="shared" si="24"/>
        <v>0</v>
      </c>
    </row>
    <row r="393" spans="1:6" x14ac:dyDescent="0.2">
      <c r="A393" s="110"/>
      <c r="B393" s="111"/>
      <c r="C393" s="112" t="str">
        <f t="shared" ref="C393:C456" si="25">IFERROR(VLOOKUP(A393,ORDERLIST,2,FALSE)," ")</f>
        <v xml:space="preserve"> </v>
      </c>
      <c r="D393" s="113" t="str">
        <f t="shared" ref="D393:D456" si="26">IFERROR(VLOOKUP(A393,ORDERLIST,3,FALSE)," ")</f>
        <v xml:space="preserve"> </v>
      </c>
      <c r="E393" s="114" t="str">
        <f t="shared" ref="E393:E456" si="27">IFERROR(VLOOKUP(A393,ORDERLIST,4,FALSE),"0")</f>
        <v>0</v>
      </c>
      <c r="F393" s="115">
        <f t="shared" si="24"/>
        <v>0</v>
      </c>
    </row>
    <row r="394" spans="1:6" x14ac:dyDescent="0.2">
      <c r="A394" s="110"/>
      <c r="B394" s="111"/>
      <c r="C394" s="112" t="str">
        <f t="shared" si="25"/>
        <v xml:space="preserve"> </v>
      </c>
      <c r="D394" s="113" t="str">
        <f t="shared" si="26"/>
        <v xml:space="preserve"> </v>
      </c>
      <c r="E394" s="114" t="str">
        <f t="shared" si="27"/>
        <v>0</v>
      </c>
      <c r="F394" s="115">
        <f t="shared" si="24"/>
        <v>0</v>
      </c>
    </row>
    <row r="395" spans="1:6" x14ac:dyDescent="0.2">
      <c r="A395" s="110"/>
      <c r="B395" s="111"/>
      <c r="C395" s="112" t="str">
        <f t="shared" si="25"/>
        <v xml:space="preserve"> </v>
      </c>
      <c r="D395" s="113" t="str">
        <f t="shared" si="26"/>
        <v xml:space="preserve"> </v>
      </c>
      <c r="E395" s="114" t="str">
        <f t="shared" si="27"/>
        <v>0</v>
      </c>
      <c r="F395" s="115">
        <f t="shared" si="24"/>
        <v>0</v>
      </c>
    </row>
    <row r="396" spans="1:6" x14ac:dyDescent="0.2">
      <c r="A396" s="110"/>
      <c r="B396" s="111"/>
      <c r="C396" s="112" t="str">
        <f t="shared" si="25"/>
        <v xml:space="preserve"> </v>
      </c>
      <c r="D396" s="113" t="str">
        <f t="shared" si="26"/>
        <v xml:space="preserve"> </v>
      </c>
      <c r="E396" s="114" t="str">
        <f t="shared" si="27"/>
        <v>0</v>
      </c>
      <c r="F396" s="115">
        <f t="shared" si="24"/>
        <v>0</v>
      </c>
    </row>
    <row r="397" spans="1:6" x14ac:dyDescent="0.2">
      <c r="A397" s="110"/>
      <c r="B397" s="111"/>
      <c r="C397" s="112" t="str">
        <f t="shared" si="25"/>
        <v xml:space="preserve"> </v>
      </c>
      <c r="D397" s="113" t="str">
        <f t="shared" si="26"/>
        <v xml:space="preserve"> </v>
      </c>
      <c r="E397" s="114" t="str">
        <f t="shared" si="27"/>
        <v>0</v>
      </c>
      <c r="F397" s="115">
        <f t="shared" si="24"/>
        <v>0</v>
      </c>
    </row>
    <row r="398" spans="1:6" x14ac:dyDescent="0.2">
      <c r="A398" s="110"/>
      <c r="B398" s="111"/>
      <c r="C398" s="112" t="str">
        <f t="shared" si="25"/>
        <v xml:space="preserve"> </v>
      </c>
      <c r="D398" s="113" t="str">
        <f t="shared" si="26"/>
        <v xml:space="preserve"> </v>
      </c>
      <c r="E398" s="114" t="str">
        <f t="shared" si="27"/>
        <v>0</v>
      </c>
      <c r="F398" s="115">
        <f t="shared" si="24"/>
        <v>0</v>
      </c>
    </row>
    <row r="399" spans="1:6" x14ac:dyDescent="0.2">
      <c r="A399" s="110"/>
      <c r="B399" s="111"/>
      <c r="C399" s="112" t="str">
        <f t="shared" si="25"/>
        <v xml:space="preserve"> </v>
      </c>
      <c r="D399" s="113" t="str">
        <f t="shared" si="26"/>
        <v xml:space="preserve"> </v>
      </c>
      <c r="E399" s="114" t="str">
        <f t="shared" si="27"/>
        <v>0</v>
      </c>
      <c r="F399" s="115">
        <f t="shared" si="24"/>
        <v>0</v>
      </c>
    </row>
    <row r="400" spans="1:6" x14ac:dyDescent="0.2">
      <c r="A400" s="110"/>
      <c r="B400" s="111"/>
      <c r="C400" s="112" t="str">
        <f t="shared" si="25"/>
        <v xml:space="preserve"> </v>
      </c>
      <c r="D400" s="113" t="str">
        <f t="shared" si="26"/>
        <v xml:space="preserve"> </v>
      </c>
      <c r="E400" s="114" t="str">
        <f t="shared" si="27"/>
        <v>0</v>
      </c>
      <c r="F400" s="115">
        <f t="shared" si="24"/>
        <v>0</v>
      </c>
    </row>
    <row r="401" spans="1:6" x14ac:dyDescent="0.2">
      <c r="A401" s="110"/>
      <c r="B401" s="111"/>
      <c r="C401" s="112" t="str">
        <f t="shared" si="25"/>
        <v xml:space="preserve"> </v>
      </c>
      <c r="D401" s="113" t="str">
        <f t="shared" si="26"/>
        <v xml:space="preserve"> </v>
      </c>
      <c r="E401" s="114" t="str">
        <f t="shared" si="27"/>
        <v>0</v>
      </c>
      <c r="F401" s="115">
        <f t="shared" si="24"/>
        <v>0</v>
      </c>
    </row>
    <row r="402" spans="1:6" x14ac:dyDescent="0.2">
      <c r="A402" s="110"/>
      <c r="B402" s="111"/>
      <c r="C402" s="112" t="str">
        <f t="shared" si="25"/>
        <v xml:space="preserve"> </v>
      </c>
      <c r="D402" s="113" t="str">
        <f t="shared" si="26"/>
        <v xml:space="preserve"> </v>
      </c>
      <c r="E402" s="114" t="str">
        <f t="shared" si="27"/>
        <v>0</v>
      </c>
      <c r="F402" s="115">
        <f t="shared" si="24"/>
        <v>0</v>
      </c>
    </row>
    <row r="403" spans="1:6" x14ac:dyDescent="0.2">
      <c r="A403" s="110"/>
      <c r="B403" s="111"/>
      <c r="C403" s="112" t="str">
        <f t="shared" si="25"/>
        <v xml:space="preserve"> </v>
      </c>
      <c r="D403" s="113" t="str">
        <f t="shared" si="26"/>
        <v xml:space="preserve"> </v>
      </c>
      <c r="E403" s="114" t="str">
        <f t="shared" si="27"/>
        <v>0</v>
      </c>
      <c r="F403" s="115">
        <f t="shared" si="24"/>
        <v>0</v>
      </c>
    </row>
    <row r="404" spans="1:6" x14ac:dyDescent="0.2">
      <c r="A404" s="110"/>
      <c r="B404" s="111"/>
      <c r="C404" s="112" t="str">
        <f t="shared" si="25"/>
        <v xml:space="preserve"> </v>
      </c>
      <c r="D404" s="113" t="str">
        <f t="shared" si="26"/>
        <v xml:space="preserve"> </v>
      </c>
      <c r="E404" s="114" t="str">
        <f t="shared" si="27"/>
        <v>0</v>
      </c>
      <c r="F404" s="115">
        <f t="shared" si="24"/>
        <v>0</v>
      </c>
    </row>
    <row r="405" spans="1:6" x14ac:dyDescent="0.2">
      <c r="A405" s="110"/>
      <c r="B405" s="111"/>
      <c r="C405" s="112" t="str">
        <f t="shared" si="25"/>
        <v xml:space="preserve"> </v>
      </c>
      <c r="D405" s="113" t="str">
        <f t="shared" si="26"/>
        <v xml:space="preserve"> </v>
      </c>
      <c r="E405" s="114" t="str">
        <f t="shared" si="27"/>
        <v>0</v>
      </c>
      <c r="F405" s="115">
        <f t="shared" si="24"/>
        <v>0</v>
      </c>
    </row>
    <row r="406" spans="1:6" x14ac:dyDescent="0.2">
      <c r="A406" s="110"/>
      <c r="B406" s="111"/>
      <c r="C406" s="112" t="str">
        <f t="shared" si="25"/>
        <v xml:space="preserve"> </v>
      </c>
      <c r="D406" s="113" t="str">
        <f t="shared" si="26"/>
        <v xml:space="preserve"> </v>
      </c>
      <c r="E406" s="114" t="str">
        <f t="shared" si="27"/>
        <v>0</v>
      </c>
      <c r="F406" s="115">
        <f t="shared" si="24"/>
        <v>0</v>
      </c>
    </row>
    <row r="407" spans="1:6" x14ac:dyDescent="0.2">
      <c r="A407" s="110"/>
      <c r="B407" s="111"/>
      <c r="C407" s="112" t="str">
        <f t="shared" si="25"/>
        <v xml:space="preserve"> </v>
      </c>
      <c r="D407" s="113" t="str">
        <f t="shared" si="26"/>
        <v xml:space="preserve"> </v>
      </c>
      <c r="E407" s="114" t="str">
        <f t="shared" si="27"/>
        <v>0</v>
      </c>
      <c r="F407" s="115">
        <f t="shared" si="24"/>
        <v>0</v>
      </c>
    </row>
    <row r="408" spans="1:6" x14ac:dyDescent="0.2">
      <c r="A408" s="110"/>
      <c r="B408" s="111"/>
      <c r="C408" s="112" t="str">
        <f t="shared" si="25"/>
        <v xml:space="preserve"> </v>
      </c>
      <c r="D408" s="113" t="str">
        <f t="shared" si="26"/>
        <v xml:space="preserve"> </v>
      </c>
      <c r="E408" s="114" t="str">
        <f t="shared" si="27"/>
        <v>0</v>
      </c>
      <c r="F408" s="115">
        <f t="shared" si="24"/>
        <v>0</v>
      </c>
    </row>
    <row r="409" spans="1:6" x14ac:dyDescent="0.2">
      <c r="A409" s="110"/>
      <c r="B409" s="111"/>
      <c r="C409" s="112" t="str">
        <f t="shared" si="25"/>
        <v xml:space="preserve"> </v>
      </c>
      <c r="D409" s="113" t="str">
        <f t="shared" si="26"/>
        <v xml:space="preserve"> </v>
      </c>
      <c r="E409" s="114" t="str">
        <f t="shared" si="27"/>
        <v>0</v>
      </c>
      <c r="F409" s="115">
        <f t="shared" si="24"/>
        <v>0</v>
      </c>
    </row>
    <row r="410" spans="1:6" x14ac:dyDescent="0.2">
      <c r="A410" s="110"/>
      <c r="B410" s="111"/>
      <c r="C410" s="112" t="str">
        <f t="shared" si="25"/>
        <v xml:space="preserve"> </v>
      </c>
      <c r="D410" s="113" t="str">
        <f t="shared" si="26"/>
        <v xml:space="preserve"> </v>
      </c>
      <c r="E410" s="114" t="str">
        <f t="shared" si="27"/>
        <v>0</v>
      </c>
      <c r="F410" s="115">
        <f t="shared" si="24"/>
        <v>0</v>
      </c>
    </row>
    <row r="411" spans="1:6" x14ac:dyDescent="0.2">
      <c r="A411" s="110"/>
      <c r="B411" s="111"/>
      <c r="C411" s="112" t="str">
        <f t="shared" si="25"/>
        <v xml:space="preserve"> </v>
      </c>
      <c r="D411" s="113" t="str">
        <f t="shared" si="26"/>
        <v xml:space="preserve"> </v>
      </c>
      <c r="E411" s="114" t="str">
        <f t="shared" si="27"/>
        <v>0</v>
      </c>
      <c r="F411" s="115">
        <f t="shared" si="24"/>
        <v>0</v>
      </c>
    </row>
    <row r="412" spans="1:6" x14ac:dyDescent="0.2">
      <c r="A412" s="110"/>
      <c r="B412" s="111"/>
      <c r="C412" s="112" t="str">
        <f t="shared" si="25"/>
        <v xml:space="preserve"> </v>
      </c>
      <c r="D412" s="113" t="str">
        <f t="shared" si="26"/>
        <v xml:space="preserve"> </v>
      </c>
      <c r="E412" s="114" t="str">
        <f t="shared" si="27"/>
        <v>0</v>
      </c>
      <c r="F412" s="115">
        <f t="shared" si="24"/>
        <v>0</v>
      </c>
    </row>
    <row r="413" spans="1:6" x14ac:dyDescent="0.2">
      <c r="A413" s="110"/>
      <c r="B413" s="111"/>
      <c r="C413" s="112" t="str">
        <f t="shared" si="25"/>
        <v xml:space="preserve"> </v>
      </c>
      <c r="D413" s="113" t="str">
        <f t="shared" si="26"/>
        <v xml:space="preserve"> </v>
      </c>
      <c r="E413" s="114" t="str">
        <f t="shared" si="27"/>
        <v>0</v>
      </c>
      <c r="F413" s="115">
        <f t="shared" si="24"/>
        <v>0</v>
      </c>
    </row>
    <row r="414" spans="1:6" x14ac:dyDescent="0.2">
      <c r="A414" s="110"/>
      <c r="B414" s="111"/>
      <c r="C414" s="112" t="str">
        <f t="shared" si="25"/>
        <v xml:space="preserve"> </v>
      </c>
      <c r="D414" s="113" t="str">
        <f t="shared" si="26"/>
        <v xml:space="preserve"> </v>
      </c>
      <c r="E414" s="114" t="str">
        <f t="shared" si="27"/>
        <v>0</v>
      </c>
      <c r="F414" s="115">
        <f t="shared" si="24"/>
        <v>0</v>
      </c>
    </row>
    <row r="415" spans="1:6" x14ac:dyDescent="0.2">
      <c r="A415" s="110"/>
      <c r="B415" s="111"/>
      <c r="C415" s="112" t="str">
        <f t="shared" si="25"/>
        <v xml:space="preserve"> </v>
      </c>
      <c r="D415" s="113" t="str">
        <f t="shared" si="26"/>
        <v xml:space="preserve"> </v>
      </c>
      <c r="E415" s="114" t="str">
        <f t="shared" si="27"/>
        <v>0</v>
      </c>
      <c r="F415" s="115">
        <f t="shared" si="24"/>
        <v>0</v>
      </c>
    </row>
    <row r="416" spans="1:6" x14ac:dyDescent="0.2">
      <c r="A416" s="110"/>
      <c r="B416" s="111"/>
      <c r="C416" s="112" t="str">
        <f t="shared" si="25"/>
        <v xml:space="preserve"> </v>
      </c>
      <c r="D416" s="113" t="str">
        <f t="shared" si="26"/>
        <v xml:space="preserve"> </v>
      </c>
      <c r="E416" s="114" t="str">
        <f t="shared" si="27"/>
        <v>0</v>
      </c>
      <c r="F416" s="115">
        <f t="shared" si="24"/>
        <v>0</v>
      </c>
    </row>
    <row r="417" spans="1:6" x14ac:dyDescent="0.2">
      <c r="A417" s="110"/>
      <c r="B417" s="111"/>
      <c r="C417" s="112" t="str">
        <f t="shared" si="25"/>
        <v xml:space="preserve"> </v>
      </c>
      <c r="D417" s="113" t="str">
        <f t="shared" si="26"/>
        <v xml:space="preserve"> </v>
      </c>
      <c r="E417" s="114" t="str">
        <f t="shared" si="27"/>
        <v>0</v>
      </c>
      <c r="F417" s="115">
        <f t="shared" si="24"/>
        <v>0</v>
      </c>
    </row>
    <row r="418" spans="1:6" x14ac:dyDescent="0.2">
      <c r="A418" s="110"/>
      <c r="B418" s="111"/>
      <c r="C418" s="112" t="str">
        <f t="shared" si="25"/>
        <v xml:space="preserve"> </v>
      </c>
      <c r="D418" s="113" t="str">
        <f t="shared" si="26"/>
        <v xml:space="preserve"> </v>
      </c>
      <c r="E418" s="114" t="str">
        <f t="shared" si="27"/>
        <v>0</v>
      </c>
      <c r="F418" s="115">
        <f t="shared" si="24"/>
        <v>0</v>
      </c>
    </row>
    <row r="419" spans="1:6" x14ac:dyDescent="0.2">
      <c r="A419" s="110"/>
      <c r="B419" s="111"/>
      <c r="C419" s="112" t="str">
        <f t="shared" si="25"/>
        <v xml:space="preserve"> </v>
      </c>
      <c r="D419" s="113" t="str">
        <f t="shared" si="26"/>
        <v xml:space="preserve"> </v>
      </c>
      <c r="E419" s="114" t="str">
        <f t="shared" si="27"/>
        <v>0</v>
      </c>
      <c r="F419" s="115">
        <f t="shared" si="24"/>
        <v>0</v>
      </c>
    </row>
    <row r="420" spans="1:6" x14ac:dyDescent="0.2">
      <c r="A420" s="110"/>
      <c r="B420" s="111"/>
      <c r="C420" s="112" t="str">
        <f t="shared" si="25"/>
        <v xml:space="preserve"> </v>
      </c>
      <c r="D420" s="113" t="str">
        <f t="shared" si="26"/>
        <v xml:space="preserve"> </v>
      </c>
      <c r="E420" s="114" t="str">
        <f t="shared" si="27"/>
        <v>0</v>
      </c>
      <c r="F420" s="115">
        <f t="shared" si="24"/>
        <v>0</v>
      </c>
    </row>
    <row r="421" spans="1:6" x14ac:dyDescent="0.2">
      <c r="A421" s="110"/>
      <c r="B421" s="111"/>
      <c r="C421" s="112" t="str">
        <f t="shared" si="25"/>
        <v xml:space="preserve"> </v>
      </c>
      <c r="D421" s="113" t="str">
        <f t="shared" si="26"/>
        <v xml:space="preserve"> </v>
      </c>
      <c r="E421" s="114" t="str">
        <f t="shared" si="27"/>
        <v>0</v>
      </c>
      <c r="F421" s="115">
        <f t="shared" si="24"/>
        <v>0</v>
      </c>
    </row>
    <row r="422" spans="1:6" x14ac:dyDescent="0.2">
      <c r="A422" s="110"/>
      <c r="B422" s="111"/>
      <c r="C422" s="112" t="str">
        <f t="shared" si="25"/>
        <v xml:space="preserve"> </v>
      </c>
      <c r="D422" s="113" t="str">
        <f t="shared" si="26"/>
        <v xml:space="preserve"> </v>
      </c>
      <c r="E422" s="114" t="str">
        <f t="shared" si="27"/>
        <v>0</v>
      </c>
      <c r="F422" s="115">
        <f t="shared" si="24"/>
        <v>0</v>
      </c>
    </row>
    <row r="423" spans="1:6" x14ac:dyDescent="0.2">
      <c r="A423" s="110"/>
      <c r="B423" s="111"/>
      <c r="C423" s="112" t="str">
        <f t="shared" si="25"/>
        <v xml:space="preserve"> </v>
      </c>
      <c r="D423" s="113" t="str">
        <f t="shared" si="26"/>
        <v xml:space="preserve"> </v>
      </c>
      <c r="E423" s="114" t="str">
        <f t="shared" si="27"/>
        <v>0</v>
      </c>
      <c r="F423" s="115">
        <f t="shared" si="24"/>
        <v>0</v>
      </c>
    </row>
    <row r="424" spans="1:6" x14ac:dyDescent="0.2">
      <c r="A424" s="110"/>
      <c r="B424" s="111"/>
      <c r="C424" s="112" t="str">
        <f t="shared" si="25"/>
        <v xml:space="preserve"> </v>
      </c>
      <c r="D424" s="113" t="str">
        <f t="shared" si="26"/>
        <v xml:space="preserve"> </v>
      </c>
      <c r="E424" s="114" t="str">
        <f t="shared" si="27"/>
        <v>0</v>
      </c>
      <c r="F424" s="115">
        <f t="shared" si="24"/>
        <v>0</v>
      </c>
    </row>
    <row r="425" spans="1:6" x14ac:dyDescent="0.2">
      <c r="A425" s="110"/>
      <c r="B425" s="111"/>
      <c r="C425" s="112" t="str">
        <f t="shared" si="25"/>
        <v xml:space="preserve"> </v>
      </c>
      <c r="D425" s="113" t="str">
        <f t="shared" si="26"/>
        <v xml:space="preserve"> </v>
      </c>
      <c r="E425" s="114" t="str">
        <f t="shared" si="27"/>
        <v>0</v>
      </c>
      <c r="F425" s="115">
        <f t="shared" si="24"/>
        <v>0</v>
      </c>
    </row>
    <row r="426" spans="1:6" x14ac:dyDescent="0.2">
      <c r="A426" s="110"/>
      <c r="B426" s="111"/>
      <c r="C426" s="112" t="str">
        <f t="shared" si="25"/>
        <v xml:space="preserve"> </v>
      </c>
      <c r="D426" s="113" t="str">
        <f t="shared" si="26"/>
        <v xml:space="preserve"> </v>
      </c>
      <c r="E426" s="114" t="str">
        <f t="shared" si="27"/>
        <v>0</v>
      </c>
      <c r="F426" s="115">
        <f t="shared" si="24"/>
        <v>0</v>
      </c>
    </row>
    <row r="427" spans="1:6" x14ac:dyDescent="0.2">
      <c r="A427" s="110"/>
      <c r="B427" s="111"/>
      <c r="C427" s="112" t="str">
        <f t="shared" si="25"/>
        <v xml:space="preserve"> </v>
      </c>
      <c r="D427" s="113" t="str">
        <f t="shared" si="26"/>
        <v xml:space="preserve"> </v>
      </c>
      <c r="E427" s="114" t="str">
        <f t="shared" si="27"/>
        <v>0</v>
      </c>
      <c r="F427" s="115">
        <f t="shared" si="24"/>
        <v>0</v>
      </c>
    </row>
    <row r="428" spans="1:6" x14ac:dyDescent="0.2">
      <c r="A428" s="110"/>
      <c r="B428" s="111"/>
      <c r="C428" s="112" t="str">
        <f t="shared" si="25"/>
        <v xml:space="preserve"> </v>
      </c>
      <c r="D428" s="113" t="str">
        <f t="shared" si="26"/>
        <v xml:space="preserve"> </v>
      </c>
      <c r="E428" s="114" t="str">
        <f t="shared" si="27"/>
        <v>0</v>
      </c>
      <c r="F428" s="115">
        <f t="shared" si="24"/>
        <v>0</v>
      </c>
    </row>
    <row r="429" spans="1:6" x14ac:dyDescent="0.2">
      <c r="A429" s="110"/>
      <c r="B429" s="111"/>
      <c r="C429" s="112" t="str">
        <f t="shared" si="25"/>
        <v xml:space="preserve"> </v>
      </c>
      <c r="D429" s="113" t="str">
        <f t="shared" si="26"/>
        <v xml:space="preserve"> </v>
      </c>
      <c r="E429" s="114" t="str">
        <f t="shared" si="27"/>
        <v>0</v>
      </c>
      <c r="F429" s="115">
        <f t="shared" si="24"/>
        <v>0</v>
      </c>
    </row>
    <row r="430" spans="1:6" x14ac:dyDescent="0.2">
      <c r="A430" s="110"/>
      <c r="B430" s="111"/>
      <c r="C430" s="112" t="str">
        <f t="shared" si="25"/>
        <v xml:space="preserve"> </v>
      </c>
      <c r="D430" s="113" t="str">
        <f t="shared" si="26"/>
        <v xml:space="preserve"> </v>
      </c>
      <c r="E430" s="114" t="str">
        <f t="shared" si="27"/>
        <v>0</v>
      </c>
      <c r="F430" s="115">
        <f t="shared" si="24"/>
        <v>0</v>
      </c>
    </row>
    <row r="431" spans="1:6" x14ac:dyDescent="0.2">
      <c r="A431" s="110"/>
      <c r="B431" s="111"/>
      <c r="C431" s="112" t="str">
        <f t="shared" si="25"/>
        <v xml:space="preserve"> </v>
      </c>
      <c r="D431" s="113" t="str">
        <f t="shared" si="26"/>
        <v xml:space="preserve"> </v>
      </c>
      <c r="E431" s="114" t="str">
        <f t="shared" si="27"/>
        <v>0</v>
      </c>
      <c r="F431" s="115">
        <f t="shared" si="24"/>
        <v>0</v>
      </c>
    </row>
    <row r="432" spans="1:6" x14ac:dyDescent="0.2">
      <c r="A432" s="110"/>
      <c r="B432" s="111"/>
      <c r="C432" s="112" t="str">
        <f t="shared" si="25"/>
        <v xml:space="preserve"> </v>
      </c>
      <c r="D432" s="113" t="str">
        <f t="shared" si="26"/>
        <v xml:space="preserve"> </v>
      </c>
      <c r="E432" s="114" t="str">
        <f t="shared" si="27"/>
        <v>0</v>
      </c>
      <c r="F432" s="115">
        <f t="shared" si="24"/>
        <v>0</v>
      </c>
    </row>
    <row r="433" spans="1:6" x14ac:dyDescent="0.2">
      <c r="A433" s="110"/>
      <c r="B433" s="111"/>
      <c r="C433" s="112" t="str">
        <f t="shared" si="25"/>
        <v xml:space="preserve"> </v>
      </c>
      <c r="D433" s="113" t="str">
        <f t="shared" si="26"/>
        <v xml:space="preserve"> </v>
      </c>
      <c r="E433" s="114" t="str">
        <f t="shared" si="27"/>
        <v>0</v>
      </c>
      <c r="F433" s="115">
        <f t="shared" si="24"/>
        <v>0</v>
      </c>
    </row>
    <row r="434" spans="1:6" x14ac:dyDescent="0.2">
      <c r="A434" s="110"/>
      <c r="B434" s="111"/>
      <c r="C434" s="112" t="str">
        <f t="shared" si="25"/>
        <v xml:space="preserve"> </v>
      </c>
      <c r="D434" s="113" t="str">
        <f t="shared" si="26"/>
        <v xml:space="preserve"> </v>
      </c>
      <c r="E434" s="114" t="str">
        <f t="shared" si="27"/>
        <v>0</v>
      </c>
      <c r="F434" s="115">
        <f t="shared" si="24"/>
        <v>0</v>
      </c>
    </row>
    <row r="435" spans="1:6" x14ac:dyDescent="0.2">
      <c r="A435" s="110"/>
      <c r="B435" s="111"/>
      <c r="C435" s="112" t="str">
        <f t="shared" si="25"/>
        <v xml:space="preserve"> </v>
      </c>
      <c r="D435" s="113" t="str">
        <f t="shared" si="26"/>
        <v xml:space="preserve"> </v>
      </c>
      <c r="E435" s="114" t="str">
        <f t="shared" si="27"/>
        <v>0</v>
      </c>
      <c r="F435" s="115">
        <f t="shared" si="24"/>
        <v>0</v>
      </c>
    </row>
    <row r="436" spans="1:6" x14ac:dyDescent="0.2">
      <c r="A436" s="110"/>
      <c r="B436" s="111"/>
      <c r="C436" s="112" t="str">
        <f t="shared" si="25"/>
        <v xml:space="preserve"> </v>
      </c>
      <c r="D436" s="113" t="str">
        <f t="shared" si="26"/>
        <v xml:space="preserve"> </v>
      </c>
      <c r="E436" s="114" t="str">
        <f t="shared" si="27"/>
        <v>0</v>
      </c>
      <c r="F436" s="115">
        <f t="shared" si="24"/>
        <v>0</v>
      </c>
    </row>
    <row r="437" spans="1:6" x14ac:dyDescent="0.2">
      <c r="A437" s="110"/>
      <c r="B437" s="111"/>
      <c r="C437" s="112" t="str">
        <f t="shared" si="25"/>
        <v xml:space="preserve"> </v>
      </c>
      <c r="D437" s="113" t="str">
        <f t="shared" si="26"/>
        <v xml:space="preserve"> </v>
      </c>
      <c r="E437" s="114" t="str">
        <f t="shared" si="27"/>
        <v>0</v>
      </c>
      <c r="F437" s="115">
        <f t="shared" si="24"/>
        <v>0</v>
      </c>
    </row>
    <row r="438" spans="1:6" x14ac:dyDescent="0.2">
      <c r="A438" s="110"/>
      <c r="B438" s="111"/>
      <c r="C438" s="112" t="str">
        <f t="shared" si="25"/>
        <v xml:space="preserve"> </v>
      </c>
      <c r="D438" s="113" t="str">
        <f t="shared" si="26"/>
        <v xml:space="preserve"> </v>
      </c>
      <c r="E438" s="114" t="str">
        <f t="shared" si="27"/>
        <v>0</v>
      </c>
      <c r="F438" s="115">
        <f t="shared" si="24"/>
        <v>0</v>
      </c>
    </row>
    <row r="439" spans="1:6" x14ac:dyDescent="0.2">
      <c r="A439" s="110"/>
      <c r="B439" s="111"/>
      <c r="C439" s="112" t="str">
        <f t="shared" si="25"/>
        <v xml:space="preserve"> </v>
      </c>
      <c r="D439" s="113" t="str">
        <f t="shared" si="26"/>
        <v xml:space="preserve"> </v>
      </c>
      <c r="E439" s="114" t="str">
        <f t="shared" si="27"/>
        <v>0</v>
      </c>
      <c r="F439" s="115">
        <f t="shared" si="24"/>
        <v>0</v>
      </c>
    </row>
    <row r="440" spans="1:6" x14ac:dyDescent="0.2">
      <c r="A440" s="110"/>
      <c r="B440" s="111"/>
      <c r="C440" s="112" t="str">
        <f t="shared" si="25"/>
        <v xml:space="preserve"> </v>
      </c>
      <c r="D440" s="113" t="str">
        <f t="shared" si="26"/>
        <v xml:space="preserve"> </v>
      </c>
      <c r="E440" s="114" t="str">
        <f t="shared" si="27"/>
        <v>0</v>
      </c>
      <c r="F440" s="115">
        <f t="shared" si="24"/>
        <v>0</v>
      </c>
    </row>
    <row r="441" spans="1:6" x14ac:dyDescent="0.2">
      <c r="A441" s="110"/>
      <c r="B441" s="111"/>
      <c r="C441" s="112" t="str">
        <f t="shared" si="25"/>
        <v xml:space="preserve"> </v>
      </c>
      <c r="D441" s="113" t="str">
        <f t="shared" si="26"/>
        <v xml:space="preserve"> </v>
      </c>
      <c r="E441" s="114" t="str">
        <f t="shared" si="27"/>
        <v>0</v>
      </c>
      <c r="F441" s="115">
        <f t="shared" si="24"/>
        <v>0</v>
      </c>
    </row>
    <row r="442" spans="1:6" x14ac:dyDescent="0.2">
      <c r="A442" s="110"/>
      <c r="B442" s="111"/>
      <c r="C442" s="112" t="str">
        <f t="shared" si="25"/>
        <v xml:space="preserve"> </v>
      </c>
      <c r="D442" s="113" t="str">
        <f t="shared" si="26"/>
        <v xml:space="preserve"> </v>
      </c>
      <c r="E442" s="114" t="str">
        <f t="shared" si="27"/>
        <v>0</v>
      </c>
      <c r="F442" s="115">
        <f t="shared" si="24"/>
        <v>0</v>
      </c>
    </row>
    <row r="443" spans="1:6" x14ac:dyDescent="0.2">
      <c r="A443" s="110"/>
      <c r="B443" s="111"/>
      <c r="C443" s="112" t="str">
        <f t="shared" si="25"/>
        <v xml:space="preserve"> </v>
      </c>
      <c r="D443" s="113" t="str">
        <f t="shared" si="26"/>
        <v xml:space="preserve"> </v>
      </c>
      <c r="E443" s="114" t="str">
        <f t="shared" si="27"/>
        <v>0</v>
      </c>
      <c r="F443" s="115">
        <f t="shared" si="24"/>
        <v>0</v>
      </c>
    </row>
    <row r="444" spans="1:6" x14ac:dyDescent="0.2">
      <c r="A444" s="110"/>
      <c r="B444" s="111"/>
      <c r="C444" s="112" t="str">
        <f t="shared" si="25"/>
        <v xml:space="preserve"> </v>
      </c>
      <c r="D444" s="113" t="str">
        <f t="shared" si="26"/>
        <v xml:space="preserve"> </v>
      </c>
      <c r="E444" s="114" t="str">
        <f t="shared" si="27"/>
        <v>0</v>
      </c>
      <c r="F444" s="115">
        <f t="shared" si="24"/>
        <v>0</v>
      </c>
    </row>
    <row r="445" spans="1:6" x14ac:dyDescent="0.2">
      <c r="A445" s="110"/>
      <c r="B445" s="111"/>
      <c r="C445" s="112" t="str">
        <f t="shared" si="25"/>
        <v xml:space="preserve"> </v>
      </c>
      <c r="D445" s="113" t="str">
        <f t="shared" si="26"/>
        <v xml:space="preserve"> </v>
      </c>
      <c r="E445" s="114" t="str">
        <f t="shared" si="27"/>
        <v>0</v>
      </c>
      <c r="F445" s="115">
        <f t="shared" si="24"/>
        <v>0</v>
      </c>
    </row>
    <row r="446" spans="1:6" x14ac:dyDescent="0.2">
      <c r="A446" s="110"/>
      <c r="B446" s="111"/>
      <c r="C446" s="112" t="str">
        <f t="shared" si="25"/>
        <v xml:space="preserve"> </v>
      </c>
      <c r="D446" s="113" t="str">
        <f t="shared" si="26"/>
        <v xml:space="preserve"> </v>
      </c>
      <c r="E446" s="114" t="str">
        <f t="shared" si="27"/>
        <v>0</v>
      </c>
      <c r="F446" s="115">
        <f t="shared" si="24"/>
        <v>0</v>
      </c>
    </row>
    <row r="447" spans="1:6" x14ac:dyDescent="0.2">
      <c r="A447" s="110"/>
      <c r="B447" s="111"/>
      <c r="C447" s="112" t="str">
        <f t="shared" si="25"/>
        <v xml:space="preserve"> </v>
      </c>
      <c r="D447" s="113" t="str">
        <f t="shared" si="26"/>
        <v xml:space="preserve"> </v>
      </c>
      <c r="E447" s="114" t="str">
        <f t="shared" si="27"/>
        <v>0</v>
      </c>
      <c r="F447" s="115">
        <f t="shared" si="24"/>
        <v>0</v>
      </c>
    </row>
    <row r="448" spans="1:6" x14ac:dyDescent="0.2">
      <c r="A448" s="110"/>
      <c r="B448" s="111"/>
      <c r="C448" s="112" t="str">
        <f t="shared" si="25"/>
        <v xml:space="preserve"> </v>
      </c>
      <c r="D448" s="113" t="str">
        <f t="shared" si="26"/>
        <v xml:space="preserve"> </v>
      </c>
      <c r="E448" s="114" t="str">
        <f t="shared" si="27"/>
        <v>0</v>
      </c>
      <c r="F448" s="115">
        <f t="shared" si="24"/>
        <v>0</v>
      </c>
    </row>
    <row r="449" spans="1:6" x14ac:dyDescent="0.2">
      <c r="A449" s="110"/>
      <c r="B449" s="111"/>
      <c r="C449" s="112" t="str">
        <f t="shared" si="25"/>
        <v xml:space="preserve"> </v>
      </c>
      <c r="D449" s="113" t="str">
        <f t="shared" si="26"/>
        <v xml:space="preserve"> </v>
      </c>
      <c r="E449" s="114" t="str">
        <f t="shared" si="27"/>
        <v>0</v>
      </c>
      <c r="F449" s="115">
        <f t="shared" si="24"/>
        <v>0</v>
      </c>
    </row>
    <row r="450" spans="1:6" x14ac:dyDescent="0.2">
      <c r="A450" s="110"/>
      <c r="B450" s="111"/>
      <c r="C450" s="112" t="str">
        <f t="shared" si="25"/>
        <v xml:space="preserve"> </v>
      </c>
      <c r="D450" s="113" t="str">
        <f t="shared" si="26"/>
        <v xml:space="preserve"> </v>
      </c>
      <c r="E450" s="114" t="str">
        <f t="shared" si="27"/>
        <v>0</v>
      </c>
      <c r="F450" s="115">
        <f t="shared" si="24"/>
        <v>0</v>
      </c>
    </row>
    <row r="451" spans="1:6" x14ac:dyDescent="0.2">
      <c r="A451" s="110"/>
      <c r="B451" s="111"/>
      <c r="C451" s="112" t="str">
        <f t="shared" si="25"/>
        <v xml:space="preserve"> </v>
      </c>
      <c r="D451" s="113" t="str">
        <f t="shared" si="26"/>
        <v xml:space="preserve"> </v>
      </c>
      <c r="E451" s="114" t="str">
        <f t="shared" si="27"/>
        <v>0</v>
      </c>
      <c r="F451" s="115">
        <f t="shared" si="24"/>
        <v>0</v>
      </c>
    </row>
    <row r="452" spans="1:6" x14ac:dyDescent="0.2">
      <c r="A452" s="110"/>
      <c r="B452" s="111"/>
      <c r="C452" s="112" t="str">
        <f t="shared" si="25"/>
        <v xml:space="preserve"> </v>
      </c>
      <c r="D452" s="113" t="str">
        <f t="shared" si="26"/>
        <v xml:space="preserve"> </v>
      </c>
      <c r="E452" s="114" t="str">
        <f t="shared" si="27"/>
        <v>0</v>
      </c>
      <c r="F452" s="115">
        <f t="shared" si="24"/>
        <v>0</v>
      </c>
    </row>
    <row r="453" spans="1:6" x14ac:dyDescent="0.2">
      <c r="A453" s="110"/>
      <c r="B453" s="111"/>
      <c r="C453" s="112" t="str">
        <f t="shared" si="25"/>
        <v xml:space="preserve"> </v>
      </c>
      <c r="D453" s="113" t="str">
        <f t="shared" si="26"/>
        <v xml:space="preserve"> </v>
      </c>
      <c r="E453" s="114" t="str">
        <f t="shared" si="27"/>
        <v>0</v>
      </c>
      <c r="F453" s="115">
        <f t="shared" si="24"/>
        <v>0</v>
      </c>
    </row>
    <row r="454" spans="1:6" x14ac:dyDescent="0.2">
      <c r="A454" s="110"/>
      <c r="B454" s="111"/>
      <c r="C454" s="112" t="str">
        <f t="shared" si="25"/>
        <v xml:space="preserve"> </v>
      </c>
      <c r="D454" s="113" t="str">
        <f t="shared" si="26"/>
        <v xml:space="preserve"> </v>
      </c>
      <c r="E454" s="114" t="str">
        <f t="shared" si="27"/>
        <v>0</v>
      </c>
      <c r="F454" s="115">
        <f t="shared" si="24"/>
        <v>0</v>
      </c>
    </row>
    <row r="455" spans="1:6" x14ac:dyDescent="0.2">
      <c r="A455" s="110"/>
      <c r="B455" s="111"/>
      <c r="C455" s="112" t="str">
        <f t="shared" si="25"/>
        <v xml:space="preserve"> </v>
      </c>
      <c r="D455" s="113" t="str">
        <f t="shared" si="26"/>
        <v xml:space="preserve"> </v>
      </c>
      <c r="E455" s="114" t="str">
        <f t="shared" si="27"/>
        <v>0</v>
      </c>
      <c r="F455" s="115">
        <f t="shared" ref="F455:F502" si="28">E455*B455</f>
        <v>0</v>
      </c>
    </row>
    <row r="456" spans="1:6" x14ac:dyDescent="0.2">
      <c r="A456" s="110"/>
      <c r="B456" s="111"/>
      <c r="C456" s="112" t="str">
        <f t="shared" si="25"/>
        <v xml:space="preserve"> </v>
      </c>
      <c r="D456" s="113" t="str">
        <f t="shared" si="26"/>
        <v xml:space="preserve"> </v>
      </c>
      <c r="E456" s="114" t="str">
        <f t="shared" si="27"/>
        <v>0</v>
      </c>
      <c r="F456" s="115">
        <f t="shared" si="28"/>
        <v>0</v>
      </c>
    </row>
    <row r="457" spans="1:6" x14ac:dyDescent="0.2">
      <c r="A457" s="110"/>
      <c r="B457" s="111"/>
      <c r="C457" s="112" t="str">
        <f t="shared" ref="C457:C502" si="29">IFERROR(VLOOKUP(A457,ORDERLIST,2,FALSE)," ")</f>
        <v xml:space="preserve"> </v>
      </c>
      <c r="D457" s="113" t="str">
        <f t="shared" ref="D457:D502" si="30">IFERROR(VLOOKUP(A457,ORDERLIST,3,FALSE)," ")</f>
        <v xml:space="preserve"> </v>
      </c>
      <c r="E457" s="114" t="str">
        <f t="shared" ref="E457:E502" si="31">IFERROR(VLOOKUP(A457,ORDERLIST,4,FALSE),"0")</f>
        <v>0</v>
      </c>
      <c r="F457" s="115">
        <f t="shared" si="28"/>
        <v>0</v>
      </c>
    </row>
    <row r="458" spans="1:6" x14ac:dyDescent="0.2">
      <c r="A458" s="110"/>
      <c r="B458" s="111"/>
      <c r="C458" s="112" t="str">
        <f t="shared" si="29"/>
        <v xml:space="preserve"> </v>
      </c>
      <c r="D458" s="113" t="str">
        <f t="shared" si="30"/>
        <v xml:space="preserve"> </v>
      </c>
      <c r="E458" s="114" t="str">
        <f t="shared" si="31"/>
        <v>0</v>
      </c>
      <c r="F458" s="115">
        <f t="shared" si="28"/>
        <v>0</v>
      </c>
    </row>
    <row r="459" spans="1:6" x14ac:dyDescent="0.2">
      <c r="A459" s="110"/>
      <c r="B459" s="111"/>
      <c r="C459" s="112" t="str">
        <f t="shared" si="29"/>
        <v xml:space="preserve"> </v>
      </c>
      <c r="D459" s="113" t="str">
        <f t="shared" si="30"/>
        <v xml:space="preserve"> </v>
      </c>
      <c r="E459" s="114" t="str">
        <f t="shared" si="31"/>
        <v>0</v>
      </c>
      <c r="F459" s="115">
        <f t="shared" si="28"/>
        <v>0</v>
      </c>
    </row>
    <row r="460" spans="1:6" x14ac:dyDescent="0.2">
      <c r="A460" s="110"/>
      <c r="B460" s="111"/>
      <c r="C460" s="112" t="str">
        <f t="shared" si="29"/>
        <v xml:space="preserve"> </v>
      </c>
      <c r="D460" s="113" t="str">
        <f t="shared" si="30"/>
        <v xml:space="preserve"> </v>
      </c>
      <c r="E460" s="114" t="str">
        <f t="shared" si="31"/>
        <v>0</v>
      </c>
      <c r="F460" s="115">
        <f t="shared" si="28"/>
        <v>0</v>
      </c>
    </row>
    <row r="461" spans="1:6" x14ac:dyDescent="0.2">
      <c r="A461" s="110"/>
      <c r="B461" s="111"/>
      <c r="C461" s="112" t="str">
        <f t="shared" si="29"/>
        <v xml:space="preserve"> </v>
      </c>
      <c r="D461" s="113" t="str">
        <f t="shared" si="30"/>
        <v xml:space="preserve"> </v>
      </c>
      <c r="E461" s="114" t="str">
        <f t="shared" si="31"/>
        <v>0</v>
      </c>
      <c r="F461" s="115">
        <f t="shared" si="28"/>
        <v>0</v>
      </c>
    </row>
    <row r="462" spans="1:6" x14ac:dyDescent="0.2">
      <c r="A462" s="110"/>
      <c r="B462" s="111"/>
      <c r="C462" s="112" t="str">
        <f t="shared" si="29"/>
        <v xml:space="preserve"> </v>
      </c>
      <c r="D462" s="113" t="str">
        <f t="shared" si="30"/>
        <v xml:space="preserve"> </v>
      </c>
      <c r="E462" s="114" t="str">
        <f t="shared" si="31"/>
        <v>0</v>
      </c>
      <c r="F462" s="115">
        <f t="shared" si="28"/>
        <v>0</v>
      </c>
    </row>
    <row r="463" spans="1:6" x14ac:dyDescent="0.2">
      <c r="A463" s="110"/>
      <c r="B463" s="111"/>
      <c r="C463" s="112" t="str">
        <f t="shared" si="29"/>
        <v xml:space="preserve"> </v>
      </c>
      <c r="D463" s="113" t="str">
        <f t="shared" si="30"/>
        <v xml:space="preserve"> </v>
      </c>
      <c r="E463" s="114" t="str">
        <f t="shared" si="31"/>
        <v>0</v>
      </c>
      <c r="F463" s="115">
        <f t="shared" si="28"/>
        <v>0</v>
      </c>
    </row>
    <row r="464" spans="1:6" x14ac:dyDescent="0.2">
      <c r="A464" s="110"/>
      <c r="B464" s="111"/>
      <c r="C464" s="112" t="str">
        <f t="shared" si="29"/>
        <v xml:space="preserve"> </v>
      </c>
      <c r="D464" s="113" t="str">
        <f t="shared" si="30"/>
        <v xml:space="preserve"> </v>
      </c>
      <c r="E464" s="114" t="str">
        <f t="shared" si="31"/>
        <v>0</v>
      </c>
      <c r="F464" s="115">
        <f t="shared" si="28"/>
        <v>0</v>
      </c>
    </row>
    <row r="465" spans="1:6" x14ac:dyDescent="0.2">
      <c r="A465" s="110"/>
      <c r="B465" s="111"/>
      <c r="C465" s="112" t="str">
        <f t="shared" si="29"/>
        <v xml:space="preserve"> </v>
      </c>
      <c r="D465" s="113" t="str">
        <f t="shared" si="30"/>
        <v xml:space="preserve"> </v>
      </c>
      <c r="E465" s="114" t="str">
        <f t="shared" si="31"/>
        <v>0</v>
      </c>
      <c r="F465" s="115">
        <f t="shared" si="28"/>
        <v>0</v>
      </c>
    </row>
    <row r="466" spans="1:6" x14ac:dyDescent="0.2">
      <c r="A466" s="110"/>
      <c r="B466" s="111"/>
      <c r="C466" s="112" t="str">
        <f t="shared" si="29"/>
        <v xml:space="preserve"> </v>
      </c>
      <c r="D466" s="113" t="str">
        <f t="shared" si="30"/>
        <v xml:space="preserve"> </v>
      </c>
      <c r="E466" s="114" t="str">
        <f t="shared" si="31"/>
        <v>0</v>
      </c>
      <c r="F466" s="115">
        <f t="shared" si="28"/>
        <v>0</v>
      </c>
    </row>
    <row r="467" spans="1:6" x14ac:dyDescent="0.2">
      <c r="A467" s="110"/>
      <c r="B467" s="111"/>
      <c r="C467" s="112" t="str">
        <f t="shared" si="29"/>
        <v xml:space="preserve"> </v>
      </c>
      <c r="D467" s="113" t="str">
        <f t="shared" si="30"/>
        <v xml:space="preserve"> </v>
      </c>
      <c r="E467" s="114" t="str">
        <f t="shared" si="31"/>
        <v>0</v>
      </c>
      <c r="F467" s="115">
        <f t="shared" si="28"/>
        <v>0</v>
      </c>
    </row>
    <row r="468" spans="1:6" x14ac:dyDescent="0.2">
      <c r="A468" s="110"/>
      <c r="B468" s="111"/>
      <c r="C468" s="112" t="str">
        <f t="shared" si="29"/>
        <v xml:space="preserve"> </v>
      </c>
      <c r="D468" s="113" t="str">
        <f t="shared" si="30"/>
        <v xml:space="preserve"> </v>
      </c>
      <c r="E468" s="114" t="str">
        <f t="shared" si="31"/>
        <v>0</v>
      </c>
      <c r="F468" s="115">
        <f t="shared" si="28"/>
        <v>0</v>
      </c>
    </row>
    <row r="469" spans="1:6" x14ac:dyDescent="0.2">
      <c r="A469" s="110"/>
      <c r="B469" s="111"/>
      <c r="C469" s="112" t="str">
        <f t="shared" si="29"/>
        <v xml:space="preserve"> </v>
      </c>
      <c r="D469" s="113" t="str">
        <f t="shared" si="30"/>
        <v xml:space="preserve"> </v>
      </c>
      <c r="E469" s="114" t="str">
        <f t="shared" si="31"/>
        <v>0</v>
      </c>
      <c r="F469" s="115">
        <f t="shared" si="28"/>
        <v>0</v>
      </c>
    </row>
    <row r="470" spans="1:6" x14ac:dyDescent="0.2">
      <c r="A470" s="110"/>
      <c r="B470" s="111"/>
      <c r="C470" s="112" t="str">
        <f t="shared" si="29"/>
        <v xml:space="preserve"> </v>
      </c>
      <c r="D470" s="113" t="str">
        <f t="shared" si="30"/>
        <v xml:space="preserve"> </v>
      </c>
      <c r="E470" s="114" t="str">
        <f t="shared" si="31"/>
        <v>0</v>
      </c>
      <c r="F470" s="115">
        <f t="shared" si="28"/>
        <v>0</v>
      </c>
    </row>
    <row r="471" spans="1:6" x14ac:dyDescent="0.2">
      <c r="A471" s="110"/>
      <c r="B471" s="111"/>
      <c r="C471" s="112" t="str">
        <f t="shared" si="29"/>
        <v xml:space="preserve"> </v>
      </c>
      <c r="D471" s="113" t="str">
        <f t="shared" si="30"/>
        <v xml:space="preserve"> </v>
      </c>
      <c r="E471" s="114" t="str">
        <f t="shared" si="31"/>
        <v>0</v>
      </c>
      <c r="F471" s="115">
        <f t="shared" si="28"/>
        <v>0</v>
      </c>
    </row>
    <row r="472" spans="1:6" x14ac:dyDescent="0.2">
      <c r="A472" s="110"/>
      <c r="B472" s="111"/>
      <c r="C472" s="112" t="str">
        <f t="shared" si="29"/>
        <v xml:space="preserve"> </v>
      </c>
      <c r="D472" s="113" t="str">
        <f t="shared" si="30"/>
        <v xml:space="preserve"> </v>
      </c>
      <c r="E472" s="114" t="str">
        <f t="shared" si="31"/>
        <v>0</v>
      </c>
      <c r="F472" s="115">
        <f t="shared" si="28"/>
        <v>0</v>
      </c>
    </row>
    <row r="473" spans="1:6" x14ac:dyDescent="0.2">
      <c r="A473" s="110"/>
      <c r="B473" s="111"/>
      <c r="C473" s="112" t="str">
        <f t="shared" si="29"/>
        <v xml:space="preserve"> </v>
      </c>
      <c r="D473" s="113" t="str">
        <f t="shared" si="30"/>
        <v xml:space="preserve"> </v>
      </c>
      <c r="E473" s="114" t="str">
        <f t="shared" si="31"/>
        <v>0</v>
      </c>
      <c r="F473" s="115">
        <f t="shared" si="28"/>
        <v>0</v>
      </c>
    </row>
    <row r="474" spans="1:6" x14ac:dyDescent="0.2">
      <c r="A474" s="110"/>
      <c r="B474" s="111"/>
      <c r="C474" s="112" t="str">
        <f t="shared" si="29"/>
        <v xml:space="preserve"> </v>
      </c>
      <c r="D474" s="113" t="str">
        <f t="shared" si="30"/>
        <v xml:space="preserve"> </v>
      </c>
      <c r="E474" s="114" t="str">
        <f t="shared" si="31"/>
        <v>0</v>
      </c>
      <c r="F474" s="115">
        <f t="shared" si="28"/>
        <v>0</v>
      </c>
    </row>
    <row r="475" spans="1:6" x14ac:dyDescent="0.2">
      <c r="A475" s="110"/>
      <c r="B475" s="111"/>
      <c r="C475" s="112" t="str">
        <f t="shared" si="29"/>
        <v xml:space="preserve"> </v>
      </c>
      <c r="D475" s="113" t="str">
        <f t="shared" si="30"/>
        <v xml:space="preserve"> </v>
      </c>
      <c r="E475" s="114" t="str">
        <f t="shared" si="31"/>
        <v>0</v>
      </c>
      <c r="F475" s="115">
        <f t="shared" si="28"/>
        <v>0</v>
      </c>
    </row>
    <row r="476" spans="1:6" x14ac:dyDescent="0.2">
      <c r="A476" s="110"/>
      <c r="B476" s="111"/>
      <c r="C476" s="112" t="str">
        <f t="shared" si="29"/>
        <v xml:space="preserve"> </v>
      </c>
      <c r="D476" s="113" t="str">
        <f t="shared" si="30"/>
        <v xml:space="preserve"> </v>
      </c>
      <c r="E476" s="114" t="str">
        <f t="shared" si="31"/>
        <v>0</v>
      </c>
      <c r="F476" s="115">
        <f t="shared" si="28"/>
        <v>0</v>
      </c>
    </row>
    <row r="477" spans="1:6" x14ac:dyDescent="0.2">
      <c r="A477" s="110"/>
      <c r="B477" s="111"/>
      <c r="C477" s="112" t="str">
        <f t="shared" si="29"/>
        <v xml:space="preserve"> </v>
      </c>
      <c r="D477" s="113" t="str">
        <f t="shared" si="30"/>
        <v xml:space="preserve"> </v>
      </c>
      <c r="E477" s="114" t="str">
        <f t="shared" si="31"/>
        <v>0</v>
      </c>
      <c r="F477" s="115">
        <f t="shared" si="28"/>
        <v>0</v>
      </c>
    </row>
    <row r="478" spans="1:6" x14ac:dyDescent="0.2">
      <c r="A478" s="110"/>
      <c r="B478" s="111"/>
      <c r="C478" s="112" t="str">
        <f t="shared" si="29"/>
        <v xml:space="preserve"> </v>
      </c>
      <c r="D478" s="113" t="str">
        <f t="shared" si="30"/>
        <v xml:space="preserve"> </v>
      </c>
      <c r="E478" s="114" t="str">
        <f t="shared" si="31"/>
        <v>0</v>
      </c>
      <c r="F478" s="115">
        <f t="shared" si="28"/>
        <v>0</v>
      </c>
    </row>
    <row r="479" spans="1:6" x14ac:dyDescent="0.2">
      <c r="A479" s="110"/>
      <c r="B479" s="111"/>
      <c r="C479" s="112" t="str">
        <f t="shared" si="29"/>
        <v xml:space="preserve"> </v>
      </c>
      <c r="D479" s="113" t="str">
        <f t="shared" si="30"/>
        <v xml:space="preserve"> </v>
      </c>
      <c r="E479" s="114" t="str">
        <f t="shared" si="31"/>
        <v>0</v>
      </c>
      <c r="F479" s="115">
        <f t="shared" si="28"/>
        <v>0</v>
      </c>
    </row>
    <row r="480" spans="1:6" x14ac:dyDescent="0.2">
      <c r="A480" s="110"/>
      <c r="B480" s="111"/>
      <c r="C480" s="112" t="str">
        <f t="shared" si="29"/>
        <v xml:space="preserve"> </v>
      </c>
      <c r="D480" s="113" t="str">
        <f t="shared" si="30"/>
        <v xml:space="preserve"> </v>
      </c>
      <c r="E480" s="114" t="str">
        <f t="shared" si="31"/>
        <v>0</v>
      </c>
      <c r="F480" s="115">
        <f t="shared" si="28"/>
        <v>0</v>
      </c>
    </row>
    <row r="481" spans="1:6" x14ac:dyDescent="0.2">
      <c r="A481" s="110"/>
      <c r="B481" s="111"/>
      <c r="C481" s="112" t="str">
        <f t="shared" si="29"/>
        <v xml:space="preserve"> </v>
      </c>
      <c r="D481" s="113" t="str">
        <f t="shared" si="30"/>
        <v xml:space="preserve"> </v>
      </c>
      <c r="E481" s="114" t="str">
        <f t="shared" si="31"/>
        <v>0</v>
      </c>
      <c r="F481" s="115">
        <f t="shared" si="28"/>
        <v>0</v>
      </c>
    </row>
    <row r="482" spans="1:6" x14ac:dyDescent="0.2">
      <c r="A482" s="110"/>
      <c r="B482" s="111"/>
      <c r="C482" s="112" t="str">
        <f t="shared" si="29"/>
        <v xml:space="preserve"> </v>
      </c>
      <c r="D482" s="113" t="str">
        <f t="shared" si="30"/>
        <v xml:space="preserve"> </v>
      </c>
      <c r="E482" s="114" t="str">
        <f t="shared" si="31"/>
        <v>0</v>
      </c>
      <c r="F482" s="115">
        <f t="shared" si="28"/>
        <v>0</v>
      </c>
    </row>
    <row r="483" spans="1:6" x14ac:dyDescent="0.2">
      <c r="A483" s="110"/>
      <c r="B483" s="111"/>
      <c r="C483" s="112" t="str">
        <f t="shared" si="29"/>
        <v xml:space="preserve"> </v>
      </c>
      <c r="D483" s="113" t="str">
        <f t="shared" si="30"/>
        <v xml:space="preserve"> </v>
      </c>
      <c r="E483" s="114" t="str">
        <f t="shared" si="31"/>
        <v>0</v>
      </c>
      <c r="F483" s="115">
        <f t="shared" si="28"/>
        <v>0</v>
      </c>
    </row>
    <row r="484" spans="1:6" x14ac:dyDescent="0.2">
      <c r="A484" s="110"/>
      <c r="B484" s="111"/>
      <c r="C484" s="112" t="str">
        <f t="shared" si="29"/>
        <v xml:space="preserve"> </v>
      </c>
      <c r="D484" s="113" t="str">
        <f t="shared" si="30"/>
        <v xml:space="preserve"> </v>
      </c>
      <c r="E484" s="114" t="str">
        <f t="shared" si="31"/>
        <v>0</v>
      </c>
      <c r="F484" s="115">
        <f t="shared" si="28"/>
        <v>0</v>
      </c>
    </row>
    <row r="485" spans="1:6" x14ac:dyDescent="0.2">
      <c r="A485" s="110"/>
      <c r="B485" s="111"/>
      <c r="C485" s="112" t="str">
        <f t="shared" si="29"/>
        <v xml:space="preserve"> </v>
      </c>
      <c r="D485" s="113" t="str">
        <f t="shared" si="30"/>
        <v xml:space="preserve"> </v>
      </c>
      <c r="E485" s="114" t="str">
        <f t="shared" si="31"/>
        <v>0</v>
      </c>
      <c r="F485" s="115">
        <f t="shared" si="28"/>
        <v>0</v>
      </c>
    </row>
    <row r="486" spans="1:6" x14ac:dyDescent="0.2">
      <c r="A486" s="110"/>
      <c r="B486" s="111"/>
      <c r="C486" s="112" t="str">
        <f t="shared" si="29"/>
        <v xml:space="preserve"> </v>
      </c>
      <c r="D486" s="113" t="str">
        <f t="shared" si="30"/>
        <v xml:space="preserve"> </v>
      </c>
      <c r="E486" s="114" t="str">
        <f t="shared" si="31"/>
        <v>0</v>
      </c>
      <c r="F486" s="115">
        <f t="shared" si="28"/>
        <v>0</v>
      </c>
    </row>
    <row r="487" spans="1:6" x14ac:dyDescent="0.2">
      <c r="A487" s="110"/>
      <c r="B487" s="111"/>
      <c r="C487" s="112" t="str">
        <f t="shared" si="29"/>
        <v xml:space="preserve"> </v>
      </c>
      <c r="D487" s="113" t="str">
        <f t="shared" si="30"/>
        <v xml:space="preserve"> </v>
      </c>
      <c r="E487" s="114" t="str">
        <f t="shared" si="31"/>
        <v>0</v>
      </c>
      <c r="F487" s="115">
        <f t="shared" si="28"/>
        <v>0</v>
      </c>
    </row>
    <row r="488" spans="1:6" x14ac:dyDescent="0.2">
      <c r="A488" s="110"/>
      <c r="B488" s="111"/>
      <c r="C488" s="112" t="str">
        <f t="shared" si="29"/>
        <v xml:space="preserve"> </v>
      </c>
      <c r="D488" s="113" t="str">
        <f t="shared" si="30"/>
        <v xml:space="preserve"> </v>
      </c>
      <c r="E488" s="114" t="str">
        <f t="shared" si="31"/>
        <v>0</v>
      </c>
      <c r="F488" s="115">
        <f t="shared" si="28"/>
        <v>0</v>
      </c>
    </row>
    <row r="489" spans="1:6" x14ac:dyDescent="0.2">
      <c r="A489" s="110"/>
      <c r="B489" s="111"/>
      <c r="C489" s="112" t="str">
        <f t="shared" si="29"/>
        <v xml:space="preserve"> </v>
      </c>
      <c r="D489" s="113" t="str">
        <f t="shared" si="30"/>
        <v xml:space="preserve"> </v>
      </c>
      <c r="E489" s="114" t="str">
        <f t="shared" si="31"/>
        <v>0</v>
      </c>
      <c r="F489" s="115">
        <f t="shared" si="28"/>
        <v>0</v>
      </c>
    </row>
    <row r="490" spans="1:6" x14ac:dyDescent="0.2">
      <c r="A490" s="110"/>
      <c r="B490" s="111"/>
      <c r="C490" s="112" t="str">
        <f t="shared" si="29"/>
        <v xml:space="preserve"> </v>
      </c>
      <c r="D490" s="113" t="str">
        <f t="shared" si="30"/>
        <v xml:space="preserve"> </v>
      </c>
      <c r="E490" s="114" t="str">
        <f t="shared" si="31"/>
        <v>0</v>
      </c>
      <c r="F490" s="115">
        <f t="shared" si="28"/>
        <v>0</v>
      </c>
    </row>
    <row r="491" spans="1:6" x14ac:dyDescent="0.2">
      <c r="A491" s="110"/>
      <c r="B491" s="111"/>
      <c r="C491" s="112" t="str">
        <f t="shared" si="29"/>
        <v xml:space="preserve"> </v>
      </c>
      <c r="D491" s="113" t="str">
        <f t="shared" si="30"/>
        <v xml:space="preserve"> </v>
      </c>
      <c r="E491" s="114" t="str">
        <f t="shared" si="31"/>
        <v>0</v>
      </c>
      <c r="F491" s="115">
        <f t="shared" si="28"/>
        <v>0</v>
      </c>
    </row>
    <row r="492" spans="1:6" x14ac:dyDescent="0.2">
      <c r="A492" s="110"/>
      <c r="B492" s="111"/>
      <c r="C492" s="112" t="str">
        <f t="shared" si="29"/>
        <v xml:space="preserve"> </v>
      </c>
      <c r="D492" s="113" t="str">
        <f t="shared" si="30"/>
        <v xml:space="preserve"> </v>
      </c>
      <c r="E492" s="114" t="str">
        <f t="shared" si="31"/>
        <v>0</v>
      </c>
      <c r="F492" s="115">
        <f t="shared" si="28"/>
        <v>0</v>
      </c>
    </row>
    <row r="493" spans="1:6" x14ac:dyDescent="0.2">
      <c r="A493" s="110"/>
      <c r="B493" s="111"/>
      <c r="C493" s="112" t="str">
        <f t="shared" si="29"/>
        <v xml:space="preserve"> </v>
      </c>
      <c r="D493" s="113" t="str">
        <f t="shared" si="30"/>
        <v xml:space="preserve"> </v>
      </c>
      <c r="E493" s="114" t="str">
        <f t="shared" si="31"/>
        <v>0</v>
      </c>
      <c r="F493" s="115">
        <f t="shared" si="28"/>
        <v>0</v>
      </c>
    </row>
    <row r="494" spans="1:6" x14ac:dyDescent="0.2">
      <c r="A494" s="110"/>
      <c r="B494" s="111"/>
      <c r="C494" s="112" t="str">
        <f t="shared" si="29"/>
        <v xml:space="preserve"> </v>
      </c>
      <c r="D494" s="113" t="str">
        <f t="shared" si="30"/>
        <v xml:space="preserve"> </v>
      </c>
      <c r="E494" s="114" t="str">
        <f t="shared" si="31"/>
        <v>0</v>
      </c>
      <c r="F494" s="115">
        <f t="shared" si="28"/>
        <v>0</v>
      </c>
    </row>
    <row r="495" spans="1:6" x14ac:dyDescent="0.2">
      <c r="A495" s="110"/>
      <c r="B495" s="111"/>
      <c r="C495" s="112" t="str">
        <f t="shared" si="29"/>
        <v xml:space="preserve"> </v>
      </c>
      <c r="D495" s="113" t="str">
        <f t="shared" si="30"/>
        <v xml:space="preserve"> </v>
      </c>
      <c r="E495" s="114" t="str">
        <f t="shared" si="31"/>
        <v>0</v>
      </c>
      <c r="F495" s="115">
        <f t="shared" si="28"/>
        <v>0</v>
      </c>
    </row>
    <row r="496" spans="1:6" x14ac:dyDescent="0.2">
      <c r="A496" s="110"/>
      <c r="B496" s="111"/>
      <c r="C496" s="112" t="str">
        <f t="shared" si="29"/>
        <v xml:space="preserve"> </v>
      </c>
      <c r="D496" s="113" t="str">
        <f t="shared" si="30"/>
        <v xml:space="preserve"> </v>
      </c>
      <c r="E496" s="114" t="str">
        <f t="shared" si="31"/>
        <v>0</v>
      </c>
      <c r="F496" s="115">
        <f t="shared" si="28"/>
        <v>0</v>
      </c>
    </row>
    <row r="497" spans="1:6" x14ac:dyDescent="0.2">
      <c r="A497" s="110"/>
      <c r="B497" s="111"/>
      <c r="C497" s="112" t="str">
        <f t="shared" si="29"/>
        <v xml:space="preserve"> </v>
      </c>
      <c r="D497" s="113" t="str">
        <f t="shared" si="30"/>
        <v xml:space="preserve"> </v>
      </c>
      <c r="E497" s="114" t="str">
        <f t="shared" si="31"/>
        <v>0</v>
      </c>
      <c r="F497" s="115">
        <f t="shared" si="28"/>
        <v>0</v>
      </c>
    </row>
    <row r="498" spans="1:6" x14ac:dyDescent="0.2">
      <c r="A498" s="110"/>
      <c r="B498" s="111"/>
      <c r="C498" s="112" t="str">
        <f t="shared" si="29"/>
        <v xml:space="preserve"> </v>
      </c>
      <c r="D498" s="113" t="str">
        <f t="shared" si="30"/>
        <v xml:space="preserve"> </v>
      </c>
      <c r="E498" s="114" t="str">
        <f t="shared" si="31"/>
        <v>0</v>
      </c>
      <c r="F498" s="115">
        <f t="shared" si="28"/>
        <v>0</v>
      </c>
    </row>
    <row r="499" spans="1:6" x14ac:dyDescent="0.2">
      <c r="A499" s="110"/>
      <c r="B499" s="111"/>
      <c r="C499" s="112" t="str">
        <f t="shared" si="29"/>
        <v xml:space="preserve"> </v>
      </c>
      <c r="D499" s="113" t="str">
        <f t="shared" si="30"/>
        <v xml:space="preserve"> </v>
      </c>
      <c r="E499" s="114" t="str">
        <f t="shared" si="31"/>
        <v>0</v>
      </c>
      <c r="F499" s="115">
        <f t="shared" si="28"/>
        <v>0</v>
      </c>
    </row>
    <row r="500" spans="1:6" x14ac:dyDescent="0.2">
      <c r="A500" s="110"/>
      <c r="B500" s="111"/>
      <c r="C500" s="112" t="str">
        <f t="shared" si="29"/>
        <v xml:space="preserve"> </v>
      </c>
      <c r="D500" s="113" t="str">
        <f t="shared" si="30"/>
        <v xml:space="preserve"> </v>
      </c>
      <c r="E500" s="114" t="str">
        <f t="shared" si="31"/>
        <v>0</v>
      </c>
      <c r="F500" s="115">
        <f t="shared" si="28"/>
        <v>0</v>
      </c>
    </row>
    <row r="501" spans="1:6" x14ac:dyDescent="0.2">
      <c r="A501" s="110"/>
      <c r="B501" s="111"/>
      <c r="C501" s="112" t="str">
        <f t="shared" si="29"/>
        <v xml:space="preserve"> </v>
      </c>
      <c r="D501" s="113" t="str">
        <f t="shared" si="30"/>
        <v xml:space="preserve"> </v>
      </c>
      <c r="E501" s="114" t="str">
        <f t="shared" si="31"/>
        <v>0</v>
      </c>
      <c r="F501" s="115">
        <f t="shared" si="28"/>
        <v>0</v>
      </c>
    </row>
    <row r="502" spans="1:6" ht="13.6" thickBot="1" x14ac:dyDescent="0.25">
      <c r="A502" s="116"/>
      <c r="B502" s="117"/>
      <c r="C502" s="112" t="str">
        <f t="shared" si="29"/>
        <v xml:space="preserve"> </v>
      </c>
      <c r="D502" s="113" t="str">
        <f t="shared" si="30"/>
        <v xml:space="preserve"> </v>
      </c>
      <c r="E502" s="114" t="str">
        <f t="shared" si="31"/>
        <v>0</v>
      </c>
      <c r="F502" s="115">
        <f t="shared" si="28"/>
        <v>0</v>
      </c>
    </row>
  </sheetData>
  <sheetProtection selectLockedCells="1"/>
  <mergeCells count="2">
    <mergeCell ref="E2:F2"/>
    <mergeCell ref="A4:F4"/>
  </mergeCells>
  <conditionalFormatting sqref="A7">
    <cfRule type="cellIs" dxfId="1" priority="2" operator="equal">
      <formula>"AA0000"</formula>
    </cfRule>
  </conditionalFormatting>
  <conditionalFormatting sqref="A8">
    <cfRule type="cellIs" dxfId="0" priority="1" operator="equal">
      <formula>"AA0000"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Price List</vt:lpstr>
      <vt:lpstr>Product list</vt:lpstr>
      <vt:lpstr>Order</vt:lpstr>
      <vt:lpstr>'Price List'!Área_de_impresión</vt:lpstr>
      <vt:lpstr>'Product list'!Área_de_impresión</vt:lpstr>
      <vt:lpstr>ORDERLIST</vt:lpstr>
      <vt:lpstr>Prices</vt:lpstr>
      <vt:lpstr>'Price List'!Títulos_a_imprimir</vt:lpstr>
      <vt:lpstr>'Product list'!Títulos_a_imprimir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Camus</dc:creator>
  <cp:lastModifiedBy>Nicolas Goldenberg</cp:lastModifiedBy>
  <dcterms:created xsi:type="dcterms:W3CDTF">2020-01-02T12:22:17Z</dcterms:created>
  <dcterms:modified xsi:type="dcterms:W3CDTF">2020-02-05T14:48:18Z</dcterms:modified>
</cp:coreProperties>
</file>