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OneDrive\Escritorio\"/>
    </mc:Choice>
  </mc:AlternateContent>
  <xr:revisionPtr revIDLastSave="0" documentId="13_ncr:1_{11BEEFEB-1E4A-4DD2-A718-22C0F3DE9138}" xr6:coauthVersionLast="47" xr6:coauthVersionMax="47" xr10:uidLastSave="{00000000-0000-0000-0000-000000000000}"/>
  <bookViews>
    <workbookView xWindow="-120" yWindow="-120" windowWidth="29040" windowHeight="15720" activeTab="1" xr2:uid="{5031DD8D-4B3B-4573-B137-BD6290CF2AEB}"/>
  </bookViews>
  <sheets>
    <sheet name="S" sheetId="1" r:id="rId1"/>
    <sheet name="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Q8" i="2"/>
  <c r="L8" i="2"/>
  <c r="Q6" i="2"/>
  <c r="H6" i="2"/>
  <c r="H7" i="2"/>
  <c r="L6" i="2"/>
  <c r="Q5" i="2"/>
  <c r="H5" i="2"/>
  <c r="K9" i="1"/>
  <c r="H11" i="1"/>
  <c r="H10" i="1"/>
  <c r="H9" i="1"/>
  <c r="H6" i="1"/>
  <c r="H7" i="1"/>
  <c r="H8" i="1"/>
  <c r="H5" i="1"/>
  <c r="P5" i="1"/>
  <c r="P6" i="1"/>
  <c r="P7" i="1"/>
  <c r="P9" i="1"/>
  <c r="P4" i="1"/>
  <c r="L5" i="2" l="1"/>
</calcChain>
</file>

<file path=xl/sharedStrings.xml><?xml version="1.0" encoding="utf-8"?>
<sst xmlns="http://schemas.openxmlformats.org/spreadsheetml/2006/main" count="41" uniqueCount="28">
  <si>
    <t>Item</t>
  </si>
  <si>
    <t>N</t>
  </si>
  <si>
    <t>PF6 lashing</t>
  </si>
  <si>
    <t>u</t>
  </si>
  <si>
    <t>$</t>
  </si>
  <si>
    <t>€</t>
  </si>
  <si>
    <t>fee €</t>
  </si>
  <si>
    <t>d</t>
  </si>
  <si>
    <t>TDI 4 set</t>
  </si>
  <si>
    <t>ok</t>
  </si>
  <si>
    <t xml:space="preserve"> shackles 1,2,3</t>
  </si>
  <si>
    <t>PF8 pin + shaft swivel set</t>
  </si>
  <si>
    <t>inc fees &amp; shipping</t>
  </si>
  <si>
    <t>total €</t>
  </si>
  <si>
    <t>quote</t>
  </si>
  <si>
    <t xml:space="preserve">cage </t>
  </si>
  <si>
    <t>fitting</t>
  </si>
  <si>
    <t>$/u</t>
  </si>
  <si>
    <t>$ total</t>
  </si>
  <si>
    <t>$ shipping</t>
  </si>
  <si>
    <t>1718607580 01020000</t>
  </si>
  <si>
    <t>PF-8 headswivel</t>
  </si>
  <si>
    <t>$ fee</t>
  </si>
  <si>
    <t>1716901795 01020000</t>
  </si>
  <si>
    <t>mjib</t>
  </si>
  <si>
    <t>drum</t>
  </si>
  <si>
    <t>1745067740 01020280</t>
  </si>
  <si>
    <t>PF-8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</si>
</sst>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C74D-939F-4A3F-B793-BB21592384BB}">
  <dimension ref="B2:S11"/>
  <sheetViews>
    <sheetView workbookViewId="0">
      <selection activeCell="P4" sqref="P4"/>
    </sheetView>
  </sheetViews>
  <sheetFormatPr defaultRowHeight="15" x14ac:dyDescent="0.25"/>
  <cols>
    <col min="2" max="2" width="12.85546875" customWidth="1"/>
    <col min="3" max="3" width="22.7109375" style="1" customWidth="1"/>
    <col min="4" max="4" width="31.28515625" customWidth="1"/>
    <col min="8" max="8" width="7.85546875" customWidth="1"/>
    <col min="9" max="9" width="12.42578125" customWidth="1"/>
    <col min="13" max="13" width="5" customWidth="1"/>
  </cols>
  <sheetData>
    <row r="2" spans="2:19" x14ac:dyDescent="0.25">
      <c r="B2" s="4"/>
      <c r="C2" s="5"/>
      <c r="D2" s="4"/>
      <c r="E2" s="4"/>
      <c r="F2" s="4"/>
      <c r="G2" s="10" t="s">
        <v>14</v>
      </c>
      <c r="H2" s="10"/>
      <c r="I2" s="6"/>
      <c r="J2" s="4"/>
      <c r="K2" s="10" t="s">
        <v>12</v>
      </c>
      <c r="L2" s="10"/>
      <c r="M2" s="4"/>
      <c r="N2" s="4"/>
      <c r="O2" s="4"/>
      <c r="P2" s="4"/>
      <c r="Q2" s="4"/>
      <c r="R2" s="4"/>
      <c r="S2" s="4"/>
    </row>
    <row r="3" spans="2:19" s="9" customFormat="1" ht="15.75" thickBot="1" x14ac:dyDescent="0.3">
      <c r="B3" s="7" t="s">
        <v>7</v>
      </c>
      <c r="C3" s="8" t="s">
        <v>1</v>
      </c>
      <c r="D3" s="7" t="s">
        <v>0</v>
      </c>
      <c r="E3" s="7" t="s">
        <v>3</v>
      </c>
      <c r="F3" s="7"/>
      <c r="G3" s="7" t="s">
        <v>17</v>
      </c>
      <c r="H3" s="7" t="s">
        <v>18</v>
      </c>
      <c r="I3" s="7" t="s">
        <v>19</v>
      </c>
      <c r="J3" s="7"/>
      <c r="K3" s="7" t="s">
        <v>4</v>
      </c>
      <c r="L3" s="7" t="s">
        <v>5</v>
      </c>
      <c r="M3" s="7"/>
      <c r="N3" s="7" t="s">
        <v>6</v>
      </c>
      <c r="O3" s="7"/>
      <c r="P3" s="7" t="s">
        <v>13</v>
      </c>
      <c r="Q3" s="7"/>
      <c r="R3" s="7"/>
      <c r="S3" s="7"/>
    </row>
    <row r="4" spans="2:19" x14ac:dyDescent="0.25">
      <c r="B4" s="3">
        <v>45166</v>
      </c>
      <c r="C4" s="1">
        <v>1.7186158300102E+17</v>
      </c>
      <c r="D4" t="s">
        <v>11</v>
      </c>
      <c r="E4">
        <v>10</v>
      </c>
      <c r="K4">
        <v>698</v>
      </c>
      <c r="L4">
        <v>641.17999999999995</v>
      </c>
      <c r="N4">
        <v>19.18</v>
      </c>
      <c r="P4">
        <f>N4+L4</f>
        <v>660.3599999999999</v>
      </c>
      <c r="Q4" t="s">
        <v>9</v>
      </c>
    </row>
    <row r="5" spans="2:19" x14ac:dyDescent="0.25">
      <c r="B5" s="3">
        <v>44986</v>
      </c>
      <c r="C5" s="1">
        <v>1.6758578600102E+17</v>
      </c>
      <c r="D5" t="s">
        <v>2</v>
      </c>
      <c r="E5">
        <v>50</v>
      </c>
      <c r="G5">
        <v>51.8</v>
      </c>
      <c r="H5">
        <f>E5*G5</f>
        <v>2590</v>
      </c>
      <c r="I5">
        <v>80</v>
      </c>
      <c r="K5" s="2">
        <v>2670</v>
      </c>
      <c r="L5">
        <v>2531.67</v>
      </c>
      <c r="N5">
        <v>75.7</v>
      </c>
      <c r="P5">
        <f t="shared" ref="P5:P9" si="0">N5+L5</f>
        <v>2607.37</v>
      </c>
    </row>
    <row r="6" spans="2:19" x14ac:dyDescent="0.25">
      <c r="B6" s="3">
        <v>45006</v>
      </c>
      <c r="C6" s="1">
        <v>1.6955963100102E+17</v>
      </c>
      <c r="D6" t="s">
        <v>8</v>
      </c>
      <c r="E6">
        <v>10</v>
      </c>
      <c r="G6">
        <v>176.44</v>
      </c>
      <c r="H6">
        <f t="shared" ref="H6:H11" si="1">E6*G6</f>
        <v>1764.4</v>
      </c>
      <c r="I6">
        <v>80</v>
      </c>
      <c r="K6" s="2">
        <v>1844.5</v>
      </c>
      <c r="L6">
        <v>1729.38</v>
      </c>
      <c r="N6">
        <v>51.71</v>
      </c>
      <c r="P6">
        <f t="shared" si="0"/>
        <v>1781.0900000000001</v>
      </c>
    </row>
    <row r="7" spans="2:19" x14ac:dyDescent="0.25">
      <c r="B7" s="3">
        <v>45029</v>
      </c>
      <c r="C7" s="1">
        <v>1.7196462300102E+17</v>
      </c>
      <c r="D7" t="s">
        <v>15</v>
      </c>
      <c r="E7">
        <v>5</v>
      </c>
      <c r="G7">
        <v>110</v>
      </c>
      <c r="H7">
        <f t="shared" si="1"/>
        <v>550</v>
      </c>
      <c r="I7">
        <v>120</v>
      </c>
      <c r="K7" s="2">
        <v>1520</v>
      </c>
      <c r="L7">
        <v>1387.83</v>
      </c>
      <c r="N7">
        <v>41.5</v>
      </c>
      <c r="P7">
        <f t="shared" si="0"/>
        <v>1429.33</v>
      </c>
    </row>
    <row r="8" spans="2:19" x14ac:dyDescent="0.25">
      <c r="B8" s="3"/>
      <c r="D8" t="s">
        <v>16</v>
      </c>
      <c r="E8">
        <v>5</v>
      </c>
      <c r="G8">
        <v>170</v>
      </c>
      <c r="H8">
        <f t="shared" si="1"/>
        <v>850</v>
      </c>
      <c r="K8" s="2"/>
    </row>
    <row r="9" spans="2:19" x14ac:dyDescent="0.25">
      <c r="B9" s="3">
        <v>45029</v>
      </c>
      <c r="C9" s="1">
        <v>1.7181179450102E+17</v>
      </c>
      <c r="D9" t="s">
        <v>10</v>
      </c>
      <c r="E9">
        <v>50</v>
      </c>
      <c r="G9">
        <v>16</v>
      </c>
      <c r="H9">
        <f t="shared" si="1"/>
        <v>800</v>
      </c>
      <c r="I9">
        <v>120</v>
      </c>
      <c r="K9" s="2">
        <f>H9+H10+H11+I9</f>
        <v>3340</v>
      </c>
      <c r="L9">
        <v>3068.11</v>
      </c>
      <c r="N9">
        <v>91.74</v>
      </c>
      <c r="P9">
        <f t="shared" si="0"/>
        <v>3159.85</v>
      </c>
    </row>
    <row r="10" spans="2:19" x14ac:dyDescent="0.25">
      <c r="E10">
        <v>50</v>
      </c>
      <c r="G10">
        <v>21.2</v>
      </c>
      <c r="H10">
        <f t="shared" si="1"/>
        <v>1060</v>
      </c>
    </row>
    <row r="11" spans="2:19" x14ac:dyDescent="0.25">
      <c r="E11">
        <v>50</v>
      </c>
      <c r="G11">
        <v>27.2</v>
      </c>
      <c r="H11">
        <f t="shared" si="1"/>
        <v>1360</v>
      </c>
    </row>
  </sheetData>
  <mergeCells count="2">
    <mergeCell ref="K2:L2"/>
    <mergeCell ref="G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0ADC-6406-4489-91F9-3DE29C86193E}">
  <dimension ref="B1:T8"/>
  <sheetViews>
    <sheetView tabSelected="1" workbookViewId="0">
      <selection activeCell="H10" sqref="H10:J14"/>
    </sheetView>
  </sheetViews>
  <sheetFormatPr defaultRowHeight="15" x14ac:dyDescent="0.25"/>
  <cols>
    <col min="2" max="2" width="10.7109375" bestFit="1" customWidth="1"/>
    <col min="3" max="3" width="20.85546875" customWidth="1"/>
    <col min="4" max="4" width="19" customWidth="1"/>
    <col min="9" max="9" width="10.28515625" customWidth="1"/>
  </cols>
  <sheetData>
    <row r="1" spans="2:20" x14ac:dyDescent="0.25">
      <c r="C1" s="1"/>
    </row>
    <row r="2" spans="2:20" x14ac:dyDescent="0.25">
      <c r="B2" s="4"/>
      <c r="C2" s="5"/>
      <c r="D2" s="4"/>
      <c r="E2" s="4"/>
      <c r="F2" s="4"/>
      <c r="G2" s="10" t="s">
        <v>14</v>
      </c>
      <c r="H2" s="10"/>
      <c r="I2" s="6"/>
      <c r="J2" s="6"/>
      <c r="K2" s="4"/>
      <c r="L2" s="10" t="s">
        <v>12</v>
      </c>
      <c r="M2" s="10"/>
      <c r="N2" s="4"/>
      <c r="O2" s="4"/>
      <c r="P2" s="4"/>
      <c r="Q2" s="4"/>
      <c r="R2" s="4"/>
      <c r="S2" s="4"/>
      <c r="T2" s="4"/>
    </row>
    <row r="3" spans="2:20" s="9" customFormat="1" ht="15.75" thickBot="1" x14ac:dyDescent="0.3">
      <c r="B3" s="7" t="s">
        <v>7</v>
      </c>
      <c r="C3" s="8" t="s">
        <v>1</v>
      </c>
      <c r="D3" s="7" t="s">
        <v>0</v>
      </c>
      <c r="E3" s="7" t="s">
        <v>3</v>
      </c>
      <c r="F3" s="7"/>
      <c r="G3" s="7" t="s">
        <v>17</v>
      </c>
      <c r="H3" s="7" t="s">
        <v>18</v>
      </c>
      <c r="I3" s="7" t="s">
        <v>19</v>
      </c>
      <c r="J3" s="7" t="s">
        <v>22</v>
      </c>
      <c r="K3" s="7"/>
      <c r="L3" s="7" t="s">
        <v>4</v>
      </c>
      <c r="M3" s="7" t="s">
        <v>5</v>
      </c>
      <c r="N3" s="7"/>
      <c r="O3" s="7" t="s">
        <v>6</v>
      </c>
      <c r="P3" s="7"/>
      <c r="Q3" s="7" t="s">
        <v>13</v>
      </c>
      <c r="R3" s="7"/>
      <c r="S3" s="7"/>
      <c r="T3" s="7"/>
    </row>
    <row r="5" spans="2:20" ht="15.75" x14ac:dyDescent="0.3">
      <c r="B5" s="3">
        <v>45029</v>
      </c>
      <c r="C5" s="11" t="s">
        <v>20</v>
      </c>
      <c r="D5" t="s">
        <v>21</v>
      </c>
      <c r="E5">
        <v>10</v>
      </c>
      <c r="G5">
        <v>150</v>
      </c>
      <c r="H5">
        <f>E5*G5</f>
        <v>1500</v>
      </c>
      <c r="I5">
        <v>135</v>
      </c>
      <c r="J5">
        <v>32</v>
      </c>
      <c r="L5">
        <f>J5+I5+H5</f>
        <v>1667</v>
      </c>
      <c r="M5">
        <v>1522.04</v>
      </c>
      <c r="O5">
        <v>45.51</v>
      </c>
      <c r="Q5">
        <f>O5+M5</f>
        <v>1567.55</v>
      </c>
    </row>
    <row r="6" spans="2:20" ht="15.75" x14ac:dyDescent="0.3">
      <c r="B6" s="3">
        <v>45030</v>
      </c>
      <c r="C6" s="11" t="s">
        <v>23</v>
      </c>
      <c r="D6" t="s">
        <v>24</v>
      </c>
      <c r="E6">
        <v>2</v>
      </c>
      <c r="G6">
        <v>1400</v>
      </c>
      <c r="H6">
        <f>G6*E6</f>
        <v>2800</v>
      </c>
      <c r="I6">
        <v>185</v>
      </c>
      <c r="J6">
        <v>73</v>
      </c>
      <c r="L6">
        <f>J6+I6+H6+H7</f>
        <v>3756</v>
      </c>
      <c r="M6">
        <v>3420.25</v>
      </c>
      <c r="O6">
        <v>102.27</v>
      </c>
      <c r="Q6">
        <f>O6+M6</f>
        <v>3522.52</v>
      </c>
    </row>
    <row r="7" spans="2:20" x14ac:dyDescent="0.25">
      <c r="D7" t="s">
        <v>25</v>
      </c>
      <c r="E7">
        <v>2</v>
      </c>
      <c r="G7">
        <v>349</v>
      </c>
      <c r="H7">
        <f>G7*E7</f>
        <v>698</v>
      </c>
    </row>
    <row r="8" spans="2:20" ht="15.75" x14ac:dyDescent="0.3">
      <c r="B8" s="3">
        <v>45057</v>
      </c>
      <c r="C8" s="11" t="s">
        <v>26</v>
      </c>
      <c r="D8" t="s">
        <v>27</v>
      </c>
      <c r="E8">
        <v>3</v>
      </c>
      <c r="G8">
        <f>H8/3</f>
        <v>120</v>
      </c>
      <c r="H8">
        <v>360</v>
      </c>
      <c r="J8">
        <v>10</v>
      </c>
      <c r="L8">
        <f>J8+I8+H8</f>
        <v>370</v>
      </c>
      <c r="M8">
        <v>340.18</v>
      </c>
      <c r="O8">
        <v>10.18</v>
      </c>
      <c r="Q8">
        <f>O8+M8</f>
        <v>350.36</v>
      </c>
    </row>
  </sheetData>
  <mergeCells count="2">
    <mergeCell ref="G2:H2"/>
    <mergeCell ref="L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2023-05-10T08:09:53Z</dcterms:created>
  <dcterms:modified xsi:type="dcterms:W3CDTF">2023-05-11T13:33:06Z</dcterms:modified>
</cp:coreProperties>
</file>