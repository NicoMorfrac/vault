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Morfrac\morfrac\02.MORFRAC\SUPPLIERS\CNC\Ti sheaves\"/>
    </mc:Choice>
  </mc:AlternateContent>
  <xr:revisionPtr revIDLastSave="0" documentId="13_ncr:1_{8BC55A91-7CE9-4871-9F05-FDE1F6EEBEB9}" xr6:coauthVersionLast="47" xr6:coauthVersionMax="47" xr10:uidLastSave="{00000000-0000-0000-0000-000000000000}"/>
  <bookViews>
    <workbookView xWindow="28680" yWindow="-120" windowWidth="38640" windowHeight="21120" xr2:uid="{4A768450-D493-4162-8027-19E84A2F51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9" i="1" l="1"/>
  <c r="M10" i="1"/>
  <c r="M11" i="1"/>
  <c r="M8" i="1"/>
  <c r="L9" i="1"/>
  <c r="L10" i="1"/>
  <c r="L11" i="1"/>
  <c r="L8" i="1"/>
  <c r="I10" i="1"/>
  <c r="I11" i="1"/>
  <c r="I8" i="1"/>
  <c r="H9" i="1"/>
  <c r="I9" i="1" s="1"/>
  <c r="H10" i="1"/>
  <c r="H11" i="1"/>
  <c r="H8" i="1"/>
  <c r="J9" i="1" l="1"/>
  <c r="J8" i="1"/>
  <c r="J11" i="1"/>
  <c r="J10" i="1"/>
</calcChain>
</file>

<file path=xl/sharedStrings.xml><?xml version="1.0" encoding="utf-8"?>
<sst xmlns="http://schemas.openxmlformats.org/spreadsheetml/2006/main" count="30" uniqueCount="22">
  <si>
    <t xml:space="preserve">Supplier </t>
  </si>
  <si>
    <t>Shelly</t>
  </si>
  <si>
    <t>MQO</t>
  </si>
  <si>
    <t>Delivery</t>
  </si>
  <si>
    <t>days</t>
  </si>
  <si>
    <t>units/size</t>
  </si>
  <si>
    <t>ITEM</t>
  </si>
  <si>
    <t>MB-S-Ti-5T-80mm</t>
  </si>
  <si>
    <t>units</t>
  </si>
  <si>
    <t>MB-S-Ti-8T-90mm</t>
  </si>
  <si>
    <t>MB-S-Ti-10T-100mm</t>
  </si>
  <si>
    <t>MB-S-Ti-12T-110mm</t>
  </si>
  <si>
    <t>USD</t>
  </si>
  <si>
    <t>Machine</t>
  </si>
  <si>
    <t>Polish</t>
  </si>
  <si>
    <t>EUR</t>
  </si>
  <si>
    <t>VAT</t>
  </si>
  <si>
    <t>IMPORT</t>
  </si>
  <si>
    <t>ESTIMATED COST</t>
  </si>
  <si>
    <t>inc VAT</t>
  </si>
  <si>
    <t>ex VAT</t>
  </si>
  <si>
    <t>shipping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</si>
</sst>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33333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2" fontId="0" fillId="0" borderId="0" xfId="0" applyNumberFormat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D2C7B-3EF5-405D-B0E6-3C689B5AC620}">
  <dimension ref="B2:M16"/>
  <sheetViews>
    <sheetView tabSelected="1" workbookViewId="0">
      <selection activeCell="C14" sqref="C14"/>
    </sheetView>
  </sheetViews>
  <sheetFormatPr defaultRowHeight="15" x14ac:dyDescent="0.25"/>
  <cols>
    <col min="2" max="2" width="26.42578125" customWidth="1"/>
    <col min="3" max="3" width="14.140625" customWidth="1"/>
    <col min="4" max="4" width="14.42578125" customWidth="1"/>
    <col min="9" max="9" width="9.5703125" bestFit="1" customWidth="1"/>
  </cols>
  <sheetData>
    <row r="2" spans="2:13" x14ac:dyDescent="0.25">
      <c r="B2" t="s">
        <v>0</v>
      </c>
      <c r="C2" t="s">
        <v>1</v>
      </c>
      <c r="K2" t="s">
        <v>15</v>
      </c>
      <c r="L2" t="s">
        <v>12</v>
      </c>
    </row>
    <row r="3" spans="2:13" x14ac:dyDescent="0.25">
      <c r="B3" t="s">
        <v>2</v>
      </c>
      <c r="C3">
        <v>10</v>
      </c>
      <c r="D3" t="s">
        <v>5</v>
      </c>
      <c r="K3">
        <v>1</v>
      </c>
      <c r="L3">
        <v>1.06</v>
      </c>
    </row>
    <row r="4" spans="2:13" x14ac:dyDescent="0.25">
      <c r="B4" t="s">
        <v>3</v>
      </c>
      <c r="C4">
        <v>40</v>
      </c>
      <c r="D4" t="s">
        <v>4</v>
      </c>
    </row>
    <row r="5" spans="2:13" x14ac:dyDescent="0.25">
      <c r="I5" t="s">
        <v>17</v>
      </c>
      <c r="J5" t="s">
        <v>16</v>
      </c>
      <c r="L5" t="s">
        <v>18</v>
      </c>
    </row>
    <row r="6" spans="2:13" x14ac:dyDescent="0.25">
      <c r="D6" t="s">
        <v>13</v>
      </c>
      <c r="E6" t="s">
        <v>14</v>
      </c>
      <c r="F6" t="s">
        <v>21</v>
      </c>
      <c r="I6" s="3">
        <v>0.1</v>
      </c>
      <c r="J6" s="3">
        <v>0.21</v>
      </c>
      <c r="L6" t="s">
        <v>20</v>
      </c>
      <c r="M6" t="s">
        <v>19</v>
      </c>
    </row>
    <row r="7" spans="2:13" x14ac:dyDescent="0.25">
      <c r="B7" t="s">
        <v>6</v>
      </c>
      <c r="C7" t="s">
        <v>8</v>
      </c>
      <c r="D7" t="s">
        <v>12</v>
      </c>
      <c r="E7" t="s">
        <v>12</v>
      </c>
      <c r="F7" t="s">
        <v>15</v>
      </c>
      <c r="H7" t="s">
        <v>15</v>
      </c>
      <c r="I7" t="s">
        <v>15</v>
      </c>
      <c r="J7" t="s">
        <v>15</v>
      </c>
      <c r="L7" t="s">
        <v>15</v>
      </c>
      <c r="M7" t="s">
        <v>15</v>
      </c>
    </row>
    <row r="8" spans="2:13" x14ac:dyDescent="0.25">
      <c r="B8" t="s">
        <v>7</v>
      </c>
      <c r="C8">
        <v>10</v>
      </c>
      <c r="D8">
        <v>91</v>
      </c>
      <c r="E8">
        <v>15</v>
      </c>
      <c r="F8">
        <v>2</v>
      </c>
      <c r="H8" s="2">
        <f>(E8+D8)/$L$3</f>
        <v>100</v>
      </c>
      <c r="I8" s="2">
        <f>H8*$I$6+H8</f>
        <v>110</v>
      </c>
      <c r="J8" s="2">
        <f>I8*$J$6+I8</f>
        <v>133.1</v>
      </c>
      <c r="L8" s="2">
        <f>I8+F8</f>
        <v>112</v>
      </c>
      <c r="M8" s="2">
        <f>J8+F8</f>
        <v>135.1</v>
      </c>
    </row>
    <row r="9" spans="2:13" x14ac:dyDescent="0.25">
      <c r="B9" t="s">
        <v>9</v>
      </c>
      <c r="C9">
        <v>10</v>
      </c>
      <c r="D9">
        <v>123</v>
      </c>
      <c r="E9">
        <v>15</v>
      </c>
      <c r="F9">
        <v>2</v>
      </c>
      <c r="H9" s="2">
        <f t="shared" ref="H9:H11" si="0">(E9+D9)/$L$3</f>
        <v>130.18867924528303</v>
      </c>
      <c r="I9" s="2">
        <f>H9*$I$6+H9</f>
        <v>143.20754716981133</v>
      </c>
      <c r="J9" s="2">
        <f t="shared" ref="J9:J11" si="1">I9*$J$6+I9</f>
        <v>173.2811320754717</v>
      </c>
      <c r="L9" s="2">
        <f t="shared" ref="L9:L11" si="2">I9+F9</f>
        <v>145.20754716981133</v>
      </c>
      <c r="M9" s="2">
        <f t="shared" ref="M9:M11" si="3">J9+F9</f>
        <v>175.2811320754717</v>
      </c>
    </row>
    <row r="10" spans="2:13" x14ac:dyDescent="0.25">
      <c r="B10" t="s">
        <v>10</v>
      </c>
      <c r="C10">
        <v>10</v>
      </c>
      <c r="D10">
        <v>144</v>
      </c>
      <c r="E10">
        <v>15</v>
      </c>
      <c r="F10">
        <v>2</v>
      </c>
      <c r="H10" s="2">
        <f t="shared" si="0"/>
        <v>150</v>
      </c>
      <c r="I10" s="2">
        <f>H10*$I$6+H10</f>
        <v>165</v>
      </c>
      <c r="J10" s="2">
        <f t="shared" si="1"/>
        <v>199.65</v>
      </c>
      <c r="L10" s="2">
        <f t="shared" si="2"/>
        <v>167</v>
      </c>
      <c r="M10" s="2">
        <f t="shared" si="3"/>
        <v>201.65</v>
      </c>
    </row>
    <row r="11" spans="2:13" x14ac:dyDescent="0.25">
      <c r="B11" t="s">
        <v>11</v>
      </c>
      <c r="C11">
        <v>10</v>
      </c>
      <c r="D11">
        <v>166.8</v>
      </c>
      <c r="E11">
        <v>15</v>
      </c>
      <c r="F11">
        <v>2</v>
      </c>
      <c r="H11" s="2">
        <f t="shared" si="0"/>
        <v>171.50943396226415</v>
      </c>
      <c r="I11" s="2">
        <f>H11*$I$6+H11</f>
        <v>188.66037735849056</v>
      </c>
      <c r="J11" s="2">
        <f t="shared" si="1"/>
        <v>228.2790566037736</v>
      </c>
      <c r="L11" s="2">
        <f t="shared" si="2"/>
        <v>190.66037735849056</v>
      </c>
      <c r="M11" s="2">
        <f t="shared" si="3"/>
        <v>230.2790566037736</v>
      </c>
    </row>
    <row r="13" spans="2:13" x14ac:dyDescent="0.25">
      <c r="B13" s="1"/>
    </row>
    <row r="14" spans="2:13" x14ac:dyDescent="0.25">
      <c r="B14" s="1"/>
    </row>
    <row r="15" spans="2:13" x14ac:dyDescent="0.25">
      <c r="B15" s="1"/>
    </row>
    <row r="16" spans="2:13" x14ac:dyDescent="0.25">
      <c r="B16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Goldenberg</dc:creator>
  <cp:lastModifiedBy>Nicolas Goldenberg</cp:lastModifiedBy>
  <dcterms:created xsi:type="dcterms:W3CDTF">2023-06-28T09:19:26Z</dcterms:created>
  <dcterms:modified xsi:type="dcterms:W3CDTF">2023-06-28T09:43:19Z</dcterms:modified>
</cp:coreProperties>
</file>