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orfrac\morfrac\02.MORFRAC\SUPPLIERS\CNC\Ti Shackles\"/>
    </mc:Choice>
  </mc:AlternateContent>
  <xr:revisionPtr revIDLastSave="0" documentId="13_ncr:1_{0874C5A0-FDD6-484A-A88A-E74170FC9E14}" xr6:coauthVersionLast="47" xr6:coauthVersionMax="47" xr10:uidLastSave="{00000000-0000-0000-0000-000000000000}"/>
  <bookViews>
    <workbookView xWindow="28680" yWindow="-120" windowWidth="38640" windowHeight="21120" xr2:uid="{4A768450-D493-4162-8027-19E84A2F5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H11" i="1"/>
  <c r="H10" i="1"/>
  <c r="G12" i="1"/>
  <c r="G11" i="1"/>
  <c r="G10" i="1"/>
  <c r="K10" i="1"/>
  <c r="E12" i="1"/>
  <c r="E11" i="1"/>
  <c r="E10" i="1"/>
  <c r="D13" i="1"/>
  <c r="P18" i="1"/>
  <c r="J10" i="1"/>
  <c r="N10" i="1" s="1"/>
  <c r="J11" i="1"/>
  <c r="M11" i="1" s="1"/>
  <c r="J12" i="1"/>
  <c r="M12" i="1" s="1"/>
  <c r="L12" i="1" l="1"/>
  <c r="L10" i="1"/>
  <c r="L8" i="1" s="1"/>
  <c r="L11" i="1"/>
  <c r="N12" i="1"/>
  <c r="N11" i="1"/>
  <c r="M10" i="1"/>
  <c r="P10" i="1" l="1"/>
  <c r="Q10" i="1" s="1"/>
  <c r="T10" i="1" s="1"/>
  <c r="W10" i="1" s="1"/>
  <c r="K12" i="1"/>
  <c r="P12" i="1" s="1"/>
  <c r="K11" i="1"/>
  <c r="P11" i="1" s="1"/>
  <c r="S10" i="1" l="1"/>
  <c r="V10" i="1" s="1"/>
  <c r="Q12" i="1"/>
  <c r="T12" i="1" s="1"/>
  <c r="W12" i="1" s="1"/>
  <c r="S12" i="1"/>
  <c r="V12" i="1" s="1"/>
  <c r="Q11" i="1"/>
  <c r="S11" i="1"/>
  <c r="V11" i="1" s="1"/>
  <c r="P13" i="1"/>
  <c r="T11" i="1" l="1"/>
  <c r="W11" i="1" s="1"/>
  <c r="Q13" i="1"/>
  <c r="Q18" i="1" l="1"/>
  <c r="T16" i="1"/>
</calcChain>
</file>

<file path=xl/sharedStrings.xml><?xml version="1.0" encoding="utf-8"?>
<sst xmlns="http://schemas.openxmlformats.org/spreadsheetml/2006/main" count="67" uniqueCount="40">
  <si>
    <t xml:space="preserve">Supplier </t>
  </si>
  <si>
    <t>Shelly</t>
  </si>
  <si>
    <t>MQO</t>
  </si>
  <si>
    <t>Delivery</t>
  </si>
  <si>
    <t>days</t>
  </si>
  <si>
    <t>units/size</t>
  </si>
  <si>
    <t>ITEM</t>
  </si>
  <si>
    <t>units</t>
  </si>
  <si>
    <t>USD</t>
  </si>
  <si>
    <t>Machine</t>
  </si>
  <si>
    <t>Polish</t>
  </si>
  <si>
    <t>EUR</t>
  </si>
  <si>
    <t>VAT</t>
  </si>
  <si>
    <t>IMPORT</t>
  </si>
  <si>
    <t>ESTIMATED COST</t>
  </si>
  <si>
    <t>inc VAT</t>
  </si>
  <si>
    <t>ex VAT</t>
  </si>
  <si>
    <t>shipping</t>
  </si>
  <si>
    <t>REAL COST</t>
  </si>
  <si>
    <t>Date</t>
  </si>
  <si>
    <t>shackle 1</t>
  </si>
  <si>
    <t>shackle 2</t>
  </si>
  <si>
    <t>shackle 3</t>
  </si>
  <si>
    <t>Order</t>
  </si>
  <si>
    <t>TOTAL</t>
  </si>
  <si>
    <t>duty+vat</t>
  </si>
  <si>
    <t>brokerage</t>
  </si>
  <si>
    <t>iva</t>
  </si>
  <si>
    <t>Shipping</t>
  </si>
  <si>
    <t>ESTIMATED RRP</t>
  </si>
  <si>
    <t>fees</t>
  </si>
  <si>
    <t>total units</t>
  </si>
  <si>
    <t>fee</t>
  </si>
  <si>
    <t>TOTALS</t>
  </si>
  <si>
    <t>VERIFICATION</t>
  </si>
  <si>
    <t>ESTIMATED COST /unit</t>
  </si>
  <si>
    <t>PAID</t>
  </si>
  <si>
    <t>difference</t>
  </si>
  <si>
    <t>%</t>
  </si>
  <si>
    <t>proportional spread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</si>
</sst>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33333"/>
      <name val="Roboto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333333"/>
      <name val="Roboto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2" fontId="0" fillId="0" borderId="0" xfId="0" applyNumberFormat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/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0" xfId="0" applyFont="1" applyFill="1" applyBorder="1"/>
    <xf numFmtId="9" fontId="3" fillId="2" borderId="0" xfId="1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2" fontId="0" fillId="0" borderId="3" xfId="0" applyNumberFormat="1" applyBorder="1"/>
    <xf numFmtId="2" fontId="0" fillId="0" borderId="0" xfId="0" applyNumberFormat="1" applyBorder="1"/>
    <xf numFmtId="2" fontId="0" fillId="0" borderId="8" xfId="0" applyNumberFormat="1" applyBorder="1"/>
    <xf numFmtId="0" fontId="0" fillId="0" borderId="10" xfId="0" applyBorder="1"/>
    <xf numFmtId="2" fontId="0" fillId="0" borderId="11" xfId="0" applyNumberFormat="1" applyBorder="1"/>
    <xf numFmtId="2" fontId="0" fillId="0" borderId="12" xfId="0" applyNumberFormat="1" applyBorder="1"/>
    <xf numFmtId="0" fontId="3" fillId="0" borderId="10" xfId="0" applyFont="1" applyBorder="1"/>
    <xf numFmtId="2" fontId="0" fillId="0" borderId="2" xfId="0" applyNumberFormat="1" applyBorder="1"/>
    <xf numFmtId="2" fontId="0" fillId="0" borderId="4" xfId="0" applyNumberFormat="1" applyBorder="1"/>
    <xf numFmtId="2" fontId="0" fillId="0" borderId="5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9" xfId="0" applyNumberFormat="1" applyBorder="1"/>
    <xf numFmtId="0" fontId="0" fillId="0" borderId="0" xfId="0" applyFill="1" applyBorder="1"/>
    <xf numFmtId="17" fontId="0" fillId="3" borderId="3" xfId="0" applyNumberFormat="1" applyFill="1" applyBorder="1"/>
    <xf numFmtId="0" fontId="0" fillId="3" borderId="0" xfId="0" applyFill="1" applyBorder="1"/>
    <xf numFmtId="0" fontId="0" fillId="3" borderId="8" xfId="0" applyFill="1" applyBorder="1"/>
    <xf numFmtId="0" fontId="0" fillId="3" borderId="3" xfId="0" applyFill="1" applyBorder="1"/>
    <xf numFmtId="0" fontId="0" fillId="3" borderId="7" xfId="0" applyFill="1" applyBorder="1"/>
    <xf numFmtId="0" fontId="0" fillId="3" borderId="9" xfId="0" applyFill="1" applyBorder="1"/>
    <xf numFmtId="0" fontId="0" fillId="3" borderId="2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9" fontId="3" fillId="2" borderId="6" xfId="1" applyFont="1" applyFill="1" applyBorder="1"/>
    <xf numFmtId="0" fontId="0" fillId="2" borderId="2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9" xfId="0" applyFill="1" applyBorder="1"/>
    <xf numFmtId="2" fontId="0" fillId="0" borderId="13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9" fontId="0" fillId="3" borderId="3" xfId="1" applyFont="1" applyFill="1" applyBorder="1"/>
    <xf numFmtId="9" fontId="0" fillId="3" borderId="0" xfId="1" applyFont="1" applyFill="1" applyBorder="1"/>
    <xf numFmtId="9" fontId="0" fillId="3" borderId="8" xfId="1" applyFont="1" applyFill="1" applyBorder="1"/>
    <xf numFmtId="0" fontId="0" fillId="0" borderId="1" xfId="0" applyBorder="1"/>
    <xf numFmtId="0" fontId="2" fillId="0" borderId="11" xfId="0" applyFont="1" applyBorder="1"/>
    <xf numFmtId="0" fontId="0" fillId="0" borderId="11" xfId="0" applyBorder="1"/>
    <xf numFmtId="0" fontId="0" fillId="0" borderId="12" xfId="0" applyBorder="1"/>
    <xf numFmtId="0" fontId="0" fillId="3" borderId="1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5" fillId="2" borderId="3" xfId="0" applyFont="1" applyFill="1" applyBorder="1"/>
    <xf numFmtId="0" fontId="3" fillId="2" borderId="13" xfId="0" applyFont="1" applyFill="1" applyBorder="1"/>
    <xf numFmtId="14" fontId="0" fillId="2" borderId="5" xfId="0" applyNumberFormat="1" applyFill="1" applyBorder="1"/>
    <xf numFmtId="0" fontId="5" fillId="2" borderId="0" xfId="0" applyFont="1" applyFill="1" applyBorder="1"/>
    <xf numFmtId="0" fontId="3" fillId="2" borderId="14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D2C7B-3EF5-405D-B0E6-3C689B5AC620}">
  <dimension ref="B1:W18"/>
  <sheetViews>
    <sheetView tabSelected="1" workbookViewId="0">
      <selection activeCell="E27" sqref="E27"/>
    </sheetView>
  </sheetViews>
  <sheetFormatPr defaultRowHeight="15" x14ac:dyDescent="0.25"/>
  <cols>
    <col min="1" max="1" width="10.7109375" bestFit="1" customWidth="1"/>
    <col min="2" max="2" width="26.42578125" customWidth="1"/>
    <col min="3" max="3" width="14.140625" customWidth="1"/>
    <col min="4" max="4" width="14.42578125" customWidth="1"/>
    <col min="5" max="6" width="8.42578125" customWidth="1"/>
    <col min="7" max="7" width="10.5703125" customWidth="1"/>
    <col min="9" max="9" width="5.5703125" customWidth="1"/>
    <col min="12" max="12" width="9.5703125" bestFit="1" customWidth="1"/>
    <col min="15" max="15" width="9.5703125" customWidth="1"/>
    <col min="17" max="17" width="11" customWidth="1"/>
    <col min="18" max="18" width="4" customWidth="1"/>
    <col min="20" max="20" width="13.140625" customWidth="1"/>
  </cols>
  <sheetData>
    <row r="1" spans="2:23" ht="15.75" thickBot="1" x14ac:dyDescent="0.3"/>
    <row r="2" spans="2:23" ht="15.75" thickBot="1" x14ac:dyDescent="0.3">
      <c r="B2" s="12" t="s">
        <v>19</v>
      </c>
      <c r="C2" s="36">
        <v>45017</v>
      </c>
      <c r="D2" s="48"/>
      <c r="E2" s="35"/>
      <c r="G2" s="12" t="s">
        <v>28</v>
      </c>
      <c r="H2" s="39">
        <v>200</v>
      </c>
      <c r="I2" s="48" t="s">
        <v>8</v>
      </c>
    </row>
    <row r="3" spans="2:23" x14ac:dyDescent="0.25">
      <c r="B3" s="15" t="s">
        <v>0</v>
      </c>
      <c r="C3" s="37" t="s">
        <v>1</v>
      </c>
      <c r="D3" s="49"/>
      <c r="E3" s="35"/>
      <c r="G3" s="15" t="s">
        <v>30</v>
      </c>
      <c r="H3" s="37">
        <v>91.74</v>
      </c>
      <c r="I3" s="49" t="s">
        <v>11</v>
      </c>
      <c r="K3" s="12" t="s">
        <v>11</v>
      </c>
      <c r="L3" s="14" t="s">
        <v>8</v>
      </c>
    </row>
    <row r="4" spans="2:23" ht="15.75" thickBot="1" x14ac:dyDescent="0.3">
      <c r="B4" s="15" t="s">
        <v>2</v>
      </c>
      <c r="C4" s="37">
        <v>50</v>
      </c>
      <c r="D4" s="49" t="s">
        <v>5</v>
      </c>
      <c r="E4" s="35"/>
      <c r="G4" s="19" t="s">
        <v>31</v>
      </c>
      <c r="H4" s="38">
        <v>150</v>
      </c>
      <c r="I4" s="50"/>
      <c r="K4" s="40">
        <v>1</v>
      </c>
      <c r="L4" s="41">
        <v>1.06</v>
      </c>
    </row>
    <row r="5" spans="2:23" ht="15.75" thickBot="1" x14ac:dyDescent="0.3">
      <c r="B5" s="19" t="s">
        <v>3</v>
      </c>
      <c r="C5" s="38">
        <v>40</v>
      </c>
      <c r="D5" s="50" t="s">
        <v>4</v>
      </c>
      <c r="E5" s="35"/>
    </row>
    <row r="6" spans="2:23" ht="15.75" thickBot="1" x14ac:dyDescent="0.3">
      <c r="B6" s="6"/>
      <c r="C6" s="35"/>
      <c r="D6" s="6"/>
      <c r="E6" s="6"/>
    </row>
    <row r="7" spans="2:23" x14ac:dyDescent="0.25">
      <c r="B7" s="12"/>
      <c r="C7" s="12"/>
      <c r="D7" s="14"/>
      <c r="E7" s="13"/>
      <c r="F7" s="12"/>
      <c r="G7" s="12" t="s">
        <v>39</v>
      </c>
      <c r="H7" s="14"/>
      <c r="I7" s="13"/>
      <c r="J7" s="12" t="s">
        <v>24</v>
      </c>
      <c r="K7" s="13"/>
      <c r="L7" s="13" t="s">
        <v>32</v>
      </c>
      <c r="M7" s="13" t="s">
        <v>13</v>
      </c>
      <c r="N7" s="14" t="s">
        <v>12</v>
      </c>
      <c r="O7" s="13"/>
      <c r="P7" s="12" t="s">
        <v>14</v>
      </c>
      <c r="Q7" s="14"/>
      <c r="R7" s="13"/>
      <c r="S7" s="12" t="s">
        <v>35</v>
      </c>
      <c r="T7" s="14"/>
      <c r="U7" s="13"/>
      <c r="V7" s="12" t="s">
        <v>29</v>
      </c>
      <c r="W7" s="14"/>
    </row>
    <row r="8" spans="2:23" x14ac:dyDescent="0.25">
      <c r="B8" s="15"/>
      <c r="C8" s="15"/>
      <c r="D8" s="18" t="s">
        <v>9</v>
      </c>
      <c r="E8" s="16"/>
      <c r="F8" s="15" t="s">
        <v>10</v>
      </c>
      <c r="G8" s="15" t="s">
        <v>17</v>
      </c>
      <c r="H8" s="18" t="s">
        <v>30</v>
      </c>
      <c r="I8" s="16"/>
      <c r="J8" s="15" t="s">
        <v>9</v>
      </c>
      <c r="K8" s="16" t="s">
        <v>28</v>
      </c>
      <c r="L8" s="17">
        <f>L10/(J10+K10)</f>
        <v>2.8434035087719293E-2</v>
      </c>
      <c r="M8" s="17">
        <v>7.0000000000000007E-2</v>
      </c>
      <c r="N8" s="46">
        <v>0.21</v>
      </c>
      <c r="O8" s="16"/>
      <c r="P8" s="15" t="s">
        <v>16</v>
      </c>
      <c r="Q8" s="18" t="s">
        <v>15</v>
      </c>
      <c r="R8" s="16"/>
      <c r="S8" s="15" t="s">
        <v>16</v>
      </c>
      <c r="T8" s="18" t="s">
        <v>15</v>
      </c>
      <c r="U8" s="16"/>
      <c r="V8" s="15" t="s">
        <v>16</v>
      </c>
      <c r="W8" s="18" t="s">
        <v>15</v>
      </c>
    </row>
    <row r="9" spans="2:23" ht="15.75" thickBot="1" x14ac:dyDescent="0.3">
      <c r="B9" s="19" t="s">
        <v>6</v>
      </c>
      <c r="C9" s="19" t="s">
        <v>7</v>
      </c>
      <c r="D9" s="21" t="s">
        <v>8</v>
      </c>
      <c r="E9" s="20" t="s">
        <v>38</v>
      </c>
      <c r="F9" s="19" t="s">
        <v>8</v>
      </c>
      <c r="G9" s="19" t="s">
        <v>8</v>
      </c>
      <c r="H9" s="21" t="s">
        <v>11</v>
      </c>
      <c r="I9" s="20"/>
      <c r="J9" s="19" t="s">
        <v>11</v>
      </c>
      <c r="K9" s="20" t="s">
        <v>11</v>
      </c>
      <c r="L9" s="20" t="s">
        <v>11</v>
      </c>
      <c r="M9" s="20" t="s">
        <v>11</v>
      </c>
      <c r="N9" s="21" t="s">
        <v>11</v>
      </c>
      <c r="O9" s="20"/>
      <c r="P9" s="19" t="s">
        <v>11</v>
      </c>
      <c r="Q9" s="21" t="s">
        <v>11</v>
      </c>
      <c r="R9" s="20"/>
      <c r="S9" s="19" t="s">
        <v>11</v>
      </c>
      <c r="T9" s="21" t="s">
        <v>11</v>
      </c>
      <c r="U9" s="20"/>
      <c r="V9" s="19" t="s">
        <v>11</v>
      </c>
      <c r="W9" s="21" t="s">
        <v>11</v>
      </c>
    </row>
    <row r="10" spans="2:23" x14ac:dyDescent="0.25">
      <c r="B10" s="42" t="s">
        <v>20</v>
      </c>
      <c r="C10" s="42">
        <v>50</v>
      </c>
      <c r="D10" s="43">
        <v>16</v>
      </c>
      <c r="E10" s="54">
        <f>D10/$D$13</f>
        <v>0.24844720496894407</v>
      </c>
      <c r="F10" s="3"/>
      <c r="G10" s="3">
        <f>$H$2*E10/C10</f>
        <v>0.99378881987577627</v>
      </c>
      <c r="H10" s="4">
        <f>$H$3*E10/C10</f>
        <v>0.45585093167701857</v>
      </c>
      <c r="I10" s="11"/>
      <c r="J10" s="29">
        <f>D10*C10/$L$4</f>
        <v>754.71698113207549</v>
      </c>
      <c r="K10" s="22">
        <f>C10*G10/$L$4</f>
        <v>46.876831126215862</v>
      </c>
      <c r="L10" s="22">
        <f>H10*C10</f>
        <v>22.792546583850928</v>
      </c>
      <c r="M10" s="22">
        <f>J10*$M$8</f>
        <v>52.830188679245289</v>
      </c>
      <c r="N10" s="30">
        <f>J10*$N$8</f>
        <v>158.49056603773585</v>
      </c>
      <c r="O10" s="11"/>
      <c r="P10" s="29">
        <f>J10+K10+M10+L10</f>
        <v>877.21654752138761</v>
      </c>
      <c r="Q10" s="30">
        <f>P10+N10</f>
        <v>1035.7071135591234</v>
      </c>
      <c r="R10" s="11"/>
      <c r="S10" s="3">
        <f>P10/C10</f>
        <v>17.544330950427753</v>
      </c>
      <c r="T10" s="4">
        <f>Q10/C10</f>
        <v>20.714142271182467</v>
      </c>
      <c r="U10" s="11"/>
      <c r="V10" s="3">
        <f>S10*3</f>
        <v>52.632992851283262</v>
      </c>
      <c r="W10" s="4">
        <f>T10*3</f>
        <v>62.142426813547402</v>
      </c>
    </row>
    <row r="11" spans="2:23" x14ac:dyDescent="0.25">
      <c r="B11" s="44" t="s">
        <v>21</v>
      </c>
      <c r="C11" s="44">
        <v>50</v>
      </c>
      <c r="D11" s="45">
        <v>21.2</v>
      </c>
      <c r="E11" s="55">
        <f>D11/$D$13</f>
        <v>0.32919254658385089</v>
      </c>
      <c r="F11" s="5"/>
      <c r="G11" s="5">
        <f>$H$2*E11/C11</f>
        <v>1.3167701863354033</v>
      </c>
      <c r="H11" s="7">
        <f>$H$3*E11/C11</f>
        <v>0.60400248447204963</v>
      </c>
      <c r="I11" s="6"/>
      <c r="J11" s="31">
        <f>D11*C11/$L$4</f>
        <v>1000</v>
      </c>
      <c r="K11" s="23">
        <f>C11*G11/$L$4</f>
        <v>62.111801242236005</v>
      </c>
      <c r="L11" s="23">
        <f t="shared" ref="L11:L12" si="0">H11*C11</f>
        <v>30.200124223602483</v>
      </c>
      <c r="M11" s="23">
        <f>J11*$M$8</f>
        <v>70</v>
      </c>
      <c r="N11" s="32">
        <f>J11*$N$8</f>
        <v>210</v>
      </c>
      <c r="O11" s="6"/>
      <c r="P11" s="31">
        <f t="shared" ref="P11:P12" si="1">J11+K11+M11+L11</f>
        <v>1162.3119254658384</v>
      </c>
      <c r="Q11" s="32">
        <f t="shared" ref="Q11:Q12" si="2">P11+N11</f>
        <v>1372.3119254658384</v>
      </c>
      <c r="R11" s="6"/>
      <c r="S11" s="5">
        <f>P11/C11</f>
        <v>23.246238509316768</v>
      </c>
      <c r="T11" s="7">
        <f>Q11/C11</f>
        <v>27.446238509316768</v>
      </c>
      <c r="U11" s="6"/>
      <c r="V11" s="5">
        <f t="shared" ref="V11:W12" si="3">S11*3</f>
        <v>69.738715527950305</v>
      </c>
      <c r="W11" s="7">
        <f t="shared" si="3"/>
        <v>82.338715527950299</v>
      </c>
    </row>
    <row r="12" spans="2:23" ht="15.75" thickBot="1" x14ac:dyDescent="0.3">
      <c r="B12" s="40" t="s">
        <v>22</v>
      </c>
      <c r="C12" s="40">
        <v>50</v>
      </c>
      <c r="D12" s="41">
        <v>27.2</v>
      </c>
      <c r="E12" s="56">
        <f>D12/$D$13</f>
        <v>0.42236024844720493</v>
      </c>
      <c r="F12" s="8"/>
      <c r="G12" s="8">
        <f>$H$2*E12/C12</f>
        <v>1.68944099378882</v>
      </c>
      <c r="H12" s="10">
        <f>$H$3*E12/C12</f>
        <v>0.77494658385093163</v>
      </c>
      <c r="I12" s="9"/>
      <c r="J12" s="33">
        <f>D12*C12/$L$4</f>
        <v>1283.0188679245282</v>
      </c>
      <c r="K12" s="24">
        <f>C12*G12/$L$4</f>
        <v>79.690612914566969</v>
      </c>
      <c r="L12" s="24">
        <f t="shared" si="0"/>
        <v>38.74732919254658</v>
      </c>
      <c r="M12" s="24">
        <f>J12*$M$8</f>
        <v>89.811320754716988</v>
      </c>
      <c r="N12" s="34">
        <f>J12*$N$8</f>
        <v>269.43396226415092</v>
      </c>
      <c r="O12" s="9"/>
      <c r="P12" s="33">
        <f t="shared" si="1"/>
        <v>1491.2681307863588</v>
      </c>
      <c r="Q12" s="34">
        <f t="shared" si="2"/>
        <v>1760.7020930505098</v>
      </c>
      <c r="R12" s="9"/>
      <c r="S12" s="8">
        <f>P12/C12</f>
        <v>29.825362615727176</v>
      </c>
      <c r="T12" s="10">
        <f>Q12/C12</f>
        <v>35.214041861010195</v>
      </c>
      <c r="U12" s="9"/>
      <c r="V12" s="8">
        <f t="shared" si="3"/>
        <v>89.476087847181532</v>
      </c>
      <c r="W12" s="10">
        <f t="shared" si="3"/>
        <v>105.64212558303058</v>
      </c>
    </row>
    <row r="13" spans="2:23" ht="15.75" thickBot="1" x14ac:dyDescent="0.3">
      <c r="D13" s="57">
        <f>SUM(D10:D12)</f>
        <v>64.400000000000006</v>
      </c>
      <c r="J13" s="2"/>
      <c r="K13" s="2"/>
      <c r="L13" s="2"/>
      <c r="M13" s="2"/>
      <c r="O13" s="28" t="s">
        <v>33</v>
      </c>
      <c r="P13" s="26">
        <f>SUM(P10:P12)</f>
        <v>3530.796603773585</v>
      </c>
      <c r="Q13" s="27">
        <f>SUM(Q10:Q12)</f>
        <v>4168.7211320754714</v>
      </c>
    </row>
    <row r="15" spans="2:23" ht="15.75" thickBot="1" x14ac:dyDescent="0.3">
      <c r="B15" s="1"/>
    </row>
    <row r="16" spans="2:23" x14ac:dyDescent="0.25">
      <c r="B16" s="47"/>
      <c r="C16" s="65"/>
      <c r="D16" s="13"/>
      <c r="E16" s="13"/>
      <c r="F16" s="13"/>
      <c r="G16" s="13"/>
      <c r="H16" s="66" t="s">
        <v>36</v>
      </c>
      <c r="I16" s="13"/>
      <c r="J16" s="13"/>
      <c r="K16" s="12" t="s">
        <v>13</v>
      </c>
      <c r="L16" s="13"/>
      <c r="M16" s="14"/>
      <c r="N16" s="13"/>
      <c r="O16" s="13"/>
      <c r="P16" s="12"/>
      <c r="Q16" s="13" t="s">
        <v>37</v>
      </c>
      <c r="R16" s="14"/>
      <c r="T16" s="51">
        <f>P18-Q13</f>
        <v>-6.4311320754713961</v>
      </c>
    </row>
    <row r="17" spans="2:20" ht="15.75" thickBot="1" x14ac:dyDescent="0.3">
      <c r="B17" s="67">
        <v>45106</v>
      </c>
      <c r="C17" s="68" t="s">
        <v>18</v>
      </c>
      <c r="D17" s="16"/>
      <c r="E17" s="16"/>
      <c r="F17" s="16"/>
      <c r="G17" s="16"/>
      <c r="H17" s="69" t="s">
        <v>11</v>
      </c>
      <c r="I17" s="16"/>
      <c r="J17" s="16"/>
      <c r="K17" s="15" t="s">
        <v>25</v>
      </c>
      <c r="L17" s="16" t="s">
        <v>26</v>
      </c>
      <c r="M17" s="18" t="s">
        <v>27</v>
      </c>
      <c r="N17" s="16"/>
      <c r="O17" s="16"/>
      <c r="P17" s="15" t="s">
        <v>24</v>
      </c>
      <c r="Q17" s="16" t="s">
        <v>34</v>
      </c>
      <c r="R17" s="18"/>
      <c r="T17" s="52"/>
    </row>
    <row r="18" spans="2:20" ht="15.75" thickBot="1" x14ac:dyDescent="0.3">
      <c r="B18" s="25"/>
      <c r="C18" s="58" t="s">
        <v>23</v>
      </c>
      <c r="D18" s="59"/>
      <c r="E18" s="59"/>
      <c r="F18" s="59"/>
      <c r="G18" s="59"/>
      <c r="H18" s="61">
        <v>3160</v>
      </c>
      <c r="I18" s="59"/>
      <c r="J18" s="59"/>
      <c r="K18" s="62">
        <v>956.02</v>
      </c>
      <c r="L18" s="63">
        <v>38.24</v>
      </c>
      <c r="M18" s="64">
        <v>8.0299999999999994</v>
      </c>
      <c r="N18" s="59"/>
      <c r="O18" s="59"/>
      <c r="P18" s="25">
        <f>K18+H18+L18+M18</f>
        <v>4162.29</v>
      </c>
      <c r="Q18" s="26">
        <f>P18-Q13</f>
        <v>-6.4311320754713961</v>
      </c>
      <c r="R18" s="60"/>
      <c r="T18" s="53"/>
    </row>
  </sheetData>
  <mergeCells count="1">
    <mergeCell ref="T16:T18"/>
  </mergeCells>
  <phoneticPr fontId="4" type="noConversion"/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1655ACAA-67E9-463E-AAAC-3B7F4E0876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  <x14:cfIcon iconSet="3Symbols2" iconId="2"/>
              <x14:cfIcon iconSet="3Symbols2" iconId="1"/>
              <x14:cfIcon iconSet="3Symbols2" iconId="0"/>
            </x14:iconSet>
          </x14:cfRule>
          <x14:cfRule type="iconSet" priority="2" id="{31797DCF-0DE3-48BA-BC35-FF326C5B0CE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0.1</xm:f>
              </x14:cfvo>
              <x14:cfIcon iconSet="3Symbols2" iconId="2"/>
              <x14:cfIcon iconSet="3Symbols2" iconId="1"/>
              <x14:cfIcon iconSet="3Symbols2" iconId="0"/>
            </x14:iconSet>
          </x14:cfRule>
          <xm:sqref>T16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Goldenberg</dc:creator>
  <cp:lastModifiedBy>Nicolas Goldenberg</cp:lastModifiedBy>
  <dcterms:created xsi:type="dcterms:W3CDTF">2023-06-28T09:19:26Z</dcterms:created>
  <dcterms:modified xsi:type="dcterms:W3CDTF">2023-06-29T10:38:35Z</dcterms:modified>
</cp:coreProperties>
</file>