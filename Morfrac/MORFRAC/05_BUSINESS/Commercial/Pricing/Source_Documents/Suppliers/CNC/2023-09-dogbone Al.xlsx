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SUPPLIERS\CNC\"/>
    </mc:Choice>
  </mc:AlternateContent>
  <xr:revisionPtr revIDLastSave="0" documentId="13_ncr:1_{CC9829D1-BEBB-45EA-A6E0-21AABB0CC981}" xr6:coauthVersionLast="47" xr6:coauthVersionMax="47" xr10:uidLastSave="{00000000-0000-0000-0000-000000000000}"/>
  <bookViews>
    <workbookView xWindow="28680" yWindow="-120" windowWidth="38640" windowHeight="21120" xr2:uid="{4A768450-D493-4162-8027-19E84A2F5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" i="1" l="1"/>
  <c r="AN10" i="1"/>
  <c r="AM14" i="1"/>
  <c r="AM10" i="1"/>
  <c r="AM12" i="1"/>
  <c r="D15" i="1"/>
  <c r="E13" i="1" s="1"/>
  <c r="AB13" i="1" s="1"/>
  <c r="Y10" i="1"/>
  <c r="AA10" i="1"/>
  <c r="AA11" i="1"/>
  <c r="AA12" i="1"/>
  <c r="AA13" i="1"/>
  <c r="AA14" i="1"/>
  <c r="Y11" i="1"/>
  <c r="Y12" i="1"/>
  <c r="Y13" i="1"/>
  <c r="Y14" i="1"/>
  <c r="K27" i="1"/>
  <c r="P27" i="1" s="1"/>
  <c r="H27" i="1"/>
  <c r="J11" i="1"/>
  <c r="M11" i="1" s="1"/>
  <c r="J13" i="1"/>
  <c r="N13" i="1" s="1"/>
  <c r="J14" i="1"/>
  <c r="N14" i="1" s="1"/>
  <c r="J10" i="1"/>
  <c r="N10" i="1" s="1"/>
  <c r="J12" i="1"/>
  <c r="M12" i="1" s="1"/>
  <c r="E11" i="1" l="1"/>
  <c r="AB11" i="1" s="1"/>
  <c r="E10" i="1"/>
  <c r="AB10" i="1" s="1"/>
  <c r="E12" i="1"/>
  <c r="AB12" i="1" s="1"/>
  <c r="E14" i="1"/>
  <c r="AB14" i="1" s="1"/>
  <c r="G11" i="1"/>
  <c r="K11" i="1" s="1"/>
  <c r="N11" i="1"/>
  <c r="H11" i="1"/>
  <c r="M14" i="1"/>
  <c r="G13" i="1"/>
  <c r="K13" i="1" s="1"/>
  <c r="Z13" i="1" s="1"/>
  <c r="AG13" i="1" s="1"/>
  <c r="M13" i="1"/>
  <c r="H10" i="1"/>
  <c r="N12" i="1"/>
  <c r="M10" i="1"/>
  <c r="G10" i="1" l="1"/>
  <c r="K10" i="1" s="1"/>
  <c r="Z10" i="1" s="1"/>
  <c r="AG10" i="1" s="1"/>
  <c r="P11" i="1"/>
  <c r="Z11" i="1"/>
  <c r="AG11" i="1" s="1"/>
  <c r="AJ13" i="1"/>
  <c r="AH13" i="1"/>
  <c r="AH10" i="1"/>
  <c r="AJ10" i="1"/>
  <c r="P13" i="1"/>
  <c r="Q13" i="1" s="1"/>
  <c r="T13" i="1" s="1"/>
  <c r="W13" i="1" s="1"/>
  <c r="H13" i="1"/>
  <c r="G14" i="1"/>
  <c r="K14" i="1" s="1"/>
  <c r="H14" i="1"/>
  <c r="S13" i="1"/>
  <c r="V13" i="1" s="1"/>
  <c r="H12" i="1"/>
  <c r="G12" i="1"/>
  <c r="K12" i="1" s="1"/>
  <c r="Z12" i="1" s="1"/>
  <c r="AG12" i="1" s="1"/>
  <c r="P10" i="1"/>
  <c r="Q10" i="1" s="1"/>
  <c r="T10" i="1" s="1"/>
  <c r="W10" i="1" s="1"/>
  <c r="P14" i="1" l="1"/>
  <c r="Q14" i="1" s="1"/>
  <c r="T14" i="1" s="1"/>
  <c r="W14" i="1" s="1"/>
  <c r="Z14" i="1"/>
  <c r="AG14" i="1" s="1"/>
  <c r="AJ11" i="1"/>
  <c r="AH11" i="1"/>
  <c r="AJ12" i="1"/>
  <c r="AH12" i="1"/>
  <c r="Q11" i="1"/>
  <c r="T11" i="1" s="1"/>
  <c r="W11" i="1" s="1"/>
  <c r="S11" i="1"/>
  <c r="V11" i="1" s="1"/>
  <c r="AK13" i="1"/>
  <c r="AK10" i="1"/>
  <c r="S14" i="1"/>
  <c r="V14" i="1" s="1"/>
  <c r="P12" i="1"/>
  <c r="Q12" i="1" s="1"/>
  <c r="S10" i="1"/>
  <c r="V10" i="1" s="1"/>
  <c r="AH14" i="1" l="1"/>
  <c r="AJ14" i="1"/>
  <c r="AG15" i="1"/>
  <c r="AK11" i="1"/>
  <c r="P15" i="1"/>
  <c r="S12" i="1"/>
  <c r="V12" i="1" s="1"/>
  <c r="T12" i="1"/>
  <c r="W12" i="1" s="1"/>
  <c r="Q15" i="1"/>
  <c r="AK12" i="1" l="1"/>
  <c r="AK14" i="1"/>
  <c r="AH15" i="1"/>
  <c r="Q27" i="1"/>
  <c r="T25" i="1"/>
</calcChain>
</file>

<file path=xl/sharedStrings.xml><?xml version="1.0" encoding="utf-8"?>
<sst xmlns="http://schemas.openxmlformats.org/spreadsheetml/2006/main" count="95" uniqueCount="45">
  <si>
    <t xml:space="preserve">Supplier </t>
  </si>
  <si>
    <t>MQO</t>
  </si>
  <si>
    <t>Delivery</t>
  </si>
  <si>
    <t>days</t>
  </si>
  <si>
    <t>units/size</t>
  </si>
  <si>
    <t>ITEM</t>
  </si>
  <si>
    <t>units</t>
  </si>
  <si>
    <t>USD</t>
  </si>
  <si>
    <t>Machine</t>
  </si>
  <si>
    <t>Polish</t>
  </si>
  <si>
    <t>EUR</t>
  </si>
  <si>
    <t>VAT</t>
  </si>
  <si>
    <t>IMPORT</t>
  </si>
  <si>
    <t>ESTIMATED COST</t>
  </si>
  <si>
    <t>inc VAT</t>
  </si>
  <si>
    <t>ex VAT</t>
  </si>
  <si>
    <t>shipping</t>
  </si>
  <si>
    <t>REAL COST</t>
  </si>
  <si>
    <t>Date</t>
  </si>
  <si>
    <t>Order</t>
  </si>
  <si>
    <t>TOTAL</t>
  </si>
  <si>
    <t>duty+vat</t>
  </si>
  <si>
    <t>brokerage</t>
  </si>
  <si>
    <t>iva</t>
  </si>
  <si>
    <t>Shipping</t>
  </si>
  <si>
    <t>ESTIMATED RRP</t>
  </si>
  <si>
    <t>fees</t>
  </si>
  <si>
    <t>total units</t>
  </si>
  <si>
    <t>fee</t>
  </si>
  <si>
    <t>TOTALS</t>
  </si>
  <si>
    <t>VERIFICATION</t>
  </si>
  <si>
    <t>ESTIMATED COST /unit</t>
  </si>
  <si>
    <t>PAID</t>
  </si>
  <si>
    <t>difference</t>
  </si>
  <si>
    <t>%</t>
  </si>
  <si>
    <t>proportional spread</t>
  </si>
  <si>
    <t>M-DB 40-9 / 45-9 / 50-11</t>
  </si>
  <si>
    <t>Kevin</t>
  </si>
  <si>
    <t>rudder gudgeon 1</t>
  </si>
  <si>
    <t>PF 8 drum</t>
  </si>
  <si>
    <t>M-DB 40-9 / 45-9 / 50-12</t>
  </si>
  <si>
    <t>rudder gudgeon 2</t>
  </si>
  <si>
    <t>duty</t>
  </si>
  <si>
    <t>antidump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</si>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</sst>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Roboto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0" xfId="0" applyFont="1" applyFill="1"/>
    <xf numFmtId="9" fontId="3" fillId="2" borderId="0" xfId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2" fontId="0" fillId="0" borderId="3" xfId="0" applyNumberFormat="1" applyBorder="1"/>
    <xf numFmtId="2" fontId="0" fillId="0" borderId="8" xfId="0" applyNumberFormat="1" applyBorder="1"/>
    <xf numFmtId="0" fontId="0" fillId="0" borderId="10" xfId="0" applyBorder="1"/>
    <xf numFmtId="2" fontId="0" fillId="0" borderId="11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17" fontId="0" fillId="3" borderId="3" xfId="0" applyNumberFormat="1" applyFill="1" applyBorder="1"/>
    <xf numFmtId="0" fontId="0" fillId="3" borderId="0" xfId="0" applyFill="1"/>
    <xf numFmtId="0" fontId="0" fillId="3" borderId="8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9" fontId="3" fillId="2" borderId="6" xfId="1" applyFon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5" fillId="2" borderId="3" xfId="0" applyFont="1" applyFill="1" applyBorder="1"/>
    <xf numFmtId="0" fontId="3" fillId="2" borderId="13" xfId="0" applyFont="1" applyFill="1" applyBorder="1"/>
    <xf numFmtId="14" fontId="0" fillId="2" borderId="5" xfId="0" applyNumberFormat="1" applyFill="1" applyBorder="1"/>
    <xf numFmtId="0" fontId="5" fillId="2" borderId="0" xfId="0" applyFont="1" applyFill="1"/>
    <xf numFmtId="0" fontId="3" fillId="2" borderId="14" xfId="0" applyFont="1" applyFill="1" applyBorder="1"/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/>
    <xf numFmtId="0" fontId="3" fillId="0" borderId="7" xfId="0" applyFont="1" applyBorder="1"/>
    <xf numFmtId="169" fontId="0" fillId="3" borderId="4" xfId="1" applyNumberFormat="1" applyFont="1" applyFill="1" applyBorder="1"/>
    <xf numFmtId="0" fontId="3" fillId="2" borderId="0" xfId="0" applyFont="1" applyFill="1" applyBorder="1"/>
    <xf numFmtId="0" fontId="0" fillId="2" borderId="7" xfId="0" applyFill="1" applyBorder="1"/>
    <xf numFmtId="0" fontId="0" fillId="2" borderId="8" xfId="0" applyFill="1" applyBorder="1"/>
    <xf numFmtId="2" fontId="0" fillId="0" borderId="15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2C7B-3EF5-405D-B0E6-3C689B5AC620}">
  <dimension ref="B1:AO32"/>
  <sheetViews>
    <sheetView tabSelected="1" topLeftCell="E1" workbookViewId="0">
      <selection activeCell="AO12" sqref="AO12"/>
    </sheetView>
  </sheetViews>
  <sheetFormatPr defaultRowHeight="15" x14ac:dyDescent="0.25"/>
  <cols>
    <col min="1" max="1" width="10.7109375" bestFit="1" customWidth="1"/>
    <col min="2" max="2" width="26.42578125" customWidth="1"/>
    <col min="3" max="3" width="14.140625" customWidth="1"/>
    <col min="4" max="4" width="14.42578125" customWidth="1"/>
    <col min="5" max="5" width="14" customWidth="1"/>
    <col min="6" max="6" width="8.42578125" customWidth="1"/>
    <col min="7" max="7" width="10.5703125" customWidth="1"/>
    <col min="9" max="9" width="5.5703125" customWidth="1"/>
    <col min="12" max="12" width="9.5703125" bestFit="1" customWidth="1"/>
    <col min="15" max="15" width="9.5703125" customWidth="1"/>
    <col min="17" max="17" width="11" customWidth="1"/>
    <col min="18" max="18" width="4" customWidth="1"/>
    <col min="20" max="20" width="13.140625" customWidth="1"/>
    <col min="37" max="37" width="12.7109375" customWidth="1"/>
  </cols>
  <sheetData>
    <row r="1" spans="2:41" ht="15.75" thickBot="1" x14ac:dyDescent="0.3"/>
    <row r="2" spans="2:41" ht="15.75" thickBot="1" x14ac:dyDescent="0.3">
      <c r="B2" s="11" t="s">
        <v>18</v>
      </c>
      <c r="C2" s="31">
        <v>45238</v>
      </c>
      <c r="D2" s="43"/>
      <c r="G2" s="11" t="s">
        <v>24</v>
      </c>
      <c r="H2" s="34">
        <v>293</v>
      </c>
      <c r="I2" s="43" t="s">
        <v>7</v>
      </c>
    </row>
    <row r="3" spans="2:41" x14ac:dyDescent="0.25">
      <c r="B3" s="14" t="s">
        <v>0</v>
      </c>
      <c r="C3" s="32" t="s">
        <v>37</v>
      </c>
      <c r="D3" s="44"/>
      <c r="G3" s="14" t="s">
        <v>26</v>
      </c>
      <c r="H3" s="32">
        <v>83</v>
      </c>
      <c r="I3" s="44" t="s">
        <v>10</v>
      </c>
      <c r="K3" s="11" t="s">
        <v>10</v>
      </c>
      <c r="L3" s="13" t="s">
        <v>7</v>
      </c>
    </row>
    <row r="4" spans="2:41" ht="15.75" thickBot="1" x14ac:dyDescent="0.3">
      <c r="B4" s="14" t="s">
        <v>1</v>
      </c>
      <c r="C4" s="32"/>
      <c r="D4" s="44" t="s">
        <v>4</v>
      </c>
      <c r="G4" s="18" t="s">
        <v>27</v>
      </c>
      <c r="H4" s="33">
        <v>150</v>
      </c>
      <c r="I4" s="45"/>
      <c r="K4" s="35">
        <v>1</v>
      </c>
      <c r="L4" s="36">
        <v>1.06</v>
      </c>
    </row>
    <row r="5" spans="2:41" ht="15.75" thickBot="1" x14ac:dyDescent="0.3">
      <c r="B5" s="18" t="s">
        <v>2</v>
      </c>
      <c r="C5" s="33"/>
      <c r="D5" s="45" t="s">
        <v>3</v>
      </c>
    </row>
    <row r="6" spans="2:41" ht="15.75" thickBot="1" x14ac:dyDescent="0.3">
      <c r="Y6" t="s">
        <v>44</v>
      </c>
    </row>
    <row r="7" spans="2:41" x14ac:dyDescent="0.25">
      <c r="B7" s="11"/>
      <c r="C7" s="11"/>
      <c r="D7" s="13"/>
      <c r="E7" s="12"/>
      <c r="F7" s="11"/>
      <c r="G7" s="11" t="s">
        <v>35</v>
      </c>
      <c r="H7" s="13"/>
      <c r="I7" s="12"/>
      <c r="J7" s="11" t="s">
        <v>20</v>
      </c>
      <c r="K7" s="12"/>
      <c r="L7" s="12" t="s">
        <v>28</v>
      </c>
      <c r="M7" s="12" t="s">
        <v>12</v>
      </c>
      <c r="N7" s="13" t="s">
        <v>11</v>
      </c>
      <c r="O7" s="12"/>
      <c r="P7" s="11" t="s">
        <v>13</v>
      </c>
      <c r="Q7" s="13"/>
      <c r="R7" s="12"/>
      <c r="S7" s="11" t="s">
        <v>31</v>
      </c>
      <c r="T7" s="13"/>
      <c r="U7" s="12"/>
      <c r="V7" s="11" t="s">
        <v>25</v>
      </c>
      <c r="W7" s="13"/>
      <c r="Y7" s="11" t="s">
        <v>20</v>
      </c>
      <c r="Z7" s="12"/>
      <c r="AA7" s="12" t="s">
        <v>28</v>
      </c>
      <c r="AB7" s="11" t="s">
        <v>12</v>
      </c>
      <c r="AC7" s="12"/>
      <c r="AD7" s="13"/>
      <c r="AF7" s="12"/>
      <c r="AG7" s="11" t="s">
        <v>13</v>
      </c>
      <c r="AH7" s="13"/>
      <c r="AJ7" s="11" t="s">
        <v>31</v>
      </c>
      <c r="AK7" s="13"/>
    </row>
    <row r="8" spans="2:41" x14ac:dyDescent="0.25">
      <c r="B8" s="14"/>
      <c r="C8" s="14"/>
      <c r="D8" s="17" t="s">
        <v>8</v>
      </c>
      <c r="E8" s="15"/>
      <c r="F8" s="14" t="s">
        <v>9</v>
      </c>
      <c r="G8" s="14" t="s">
        <v>16</v>
      </c>
      <c r="H8" s="17" t="s">
        <v>26</v>
      </c>
      <c r="I8" s="15"/>
      <c r="J8" s="14" t="s">
        <v>8</v>
      </c>
      <c r="K8" s="15" t="s">
        <v>24</v>
      </c>
      <c r="L8" s="16"/>
      <c r="M8" s="16">
        <v>7.0000000000000007E-2</v>
      </c>
      <c r="N8" s="41">
        <v>0.21</v>
      </c>
      <c r="O8" s="15"/>
      <c r="P8" s="14" t="s">
        <v>15</v>
      </c>
      <c r="Q8" s="17" t="s">
        <v>14</v>
      </c>
      <c r="R8" s="15"/>
      <c r="S8" s="14" t="s">
        <v>15</v>
      </c>
      <c r="T8" s="17" t="s">
        <v>14</v>
      </c>
      <c r="U8" s="15"/>
      <c r="V8" s="14" t="s">
        <v>15</v>
      </c>
      <c r="W8" s="17" t="s">
        <v>14</v>
      </c>
      <c r="Y8" s="14" t="s">
        <v>8</v>
      </c>
      <c r="Z8" s="15" t="s">
        <v>24</v>
      </c>
      <c r="AA8" s="16"/>
      <c r="AB8" s="14" t="s">
        <v>21</v>
      </c>
      <c r="AC8" s="65" t="s">
        <v>22</v>
      </c>
      <c r="AD8" s="17" t="s">
        <v>23</v>
      </c>
      <c r="AF8" s="15"/>
      <c r="AG8" s="14" t="s">
        <v>15</v>
      </c>
      <c r="AH8" s="17" t="s">
        <v>14</v>
      </c>
      <c r="AJ8" s="14" t="s">
        <v>15</v>
      </c>
      <c r="AK8" s="17" t="s">
        <v>14</v>
      </c>
    </row>
    <row r="9" spans="2:41" ht="15.75" thickBot="1" x14ac:dyDescent="0.3">
      <c r="B9" s="18" t="s">
        <v>5</v>
      </c>
      <c r="C9" s="18" t="s">
        <v>6</v>
      </c>
      <c r="D9" s="20" t="s">
        <v>7</v>
      </c>
      <c r="E9" s="19" t="s">
        <v>34</v>
      </c>
      <c r="F9" s="18" t="s">
        <v>7</v>
      </c>
      <c r="G9" s="18" t="s">
        <v>7</v>
      </c>
      <c r="H9" s="20" t="s">
        <v>10</v>
      </c>
      <c r="I9" s="19"/>
      <c r="J9" s="18" t="s">
        <v>10</v>
      </c>
      <c r="K9" s="19" t="s">
        <v>10</v>
      </c>
      <c r="L9" s="19" t="s">
        <v>10</v>
      </c>
      <c r="M9" s="19" t="s">
        <v>10</v>
      </c>
      <c r="N9" s="20" t="s">
        <v>10</v>
      </c>
      <c r="O9" s="19"/>
      <c r="P9" s="18" t="s">
        <v>10</v>
      </c>
      <c r="Q9" s="20" t="s">
        <v>10</v>
      </c>
      <c r="R9" s="19"/>
      <c r="S9" s="18" t="s">
        <v>10</v>
      </c>
      <c r="T9" s="20" t="s">
        <v>10</v>
      </c>
      <c r="U9" s="19"/>
      <c r="V9" s="18" t="s">
        <v>10</v>
      </c>
      <c r="W9" s="20" t="s">
        <v>10</v>
      </c>
      <c r="Y9" s="18" t="s">
        <v>10</v>
      </c>
      <c r="Z9" s="19" t="s">
        <v>10</v>
      </c>
      <c r="AA9" s="19" t="s">
        <v>10</v>
      </c>
      <c r="AB9" s="66"/>
      <c r="AC9" s="67"/>
      <c r="AD9" s="45"/>
      <c r="AF9" s="19"/>
      <c r="AG9" s="14" t="s">
        <v>10</v>
      </c>
      <c r="AH9" s="17" t="s">
        <v>10</v>
      </c>
      <c r="AJ9" s="14" t="s">
        <v>10</v>
      </c>
      <c r="AK9" s="17" t="s">
        <v>10</v>
      </c>
    </row>
    <row r="10" spans="2:41" ht="15.75" thickBot="1" x14ac:dyDescent="0.3">
      <c r="B10" s="37" t="s">
        <v>36</v>
      </c>
      <c r="C10" s="37">
        <v>900</v>
      </c>
      <c r="D10" s="38">
        <v>1.5333399999999999</v>
      </c>
      <c r="E10" s="64">
        <f>J10/$D$15</f>
        <v>0.52913407202173579</v>
      </c>
      <c r="F10" s="3"/>
      <c r="G10" s="3">
        <f>$H$2*E10/C10</f>
        <v>0.17226253678040956</v>
      </c>
      <c r="H10" s="4">
        <f>$H$3*E10/C10</f>
        <v>4.8797919975337854E-2</v>
      </c>
      <c r="I10" s="10"/>
      <c r="J10" s="25">
        <f>D10*C10/$L$4</f>
        <v>1301.8924528301884</v>
      </c>
      <c r="K10" s="21">
        <f>C10*G10/$L$4</f>
        <v>146.2606444361968</v>
      </c>
      <c r="L10" s="21">
        <v>44.38</v>
      </c>
      <c r="M10" s="21">
        <f>J10*$M$8</f>
        <v>91.132471698113193</v>
      </c>
      <c r="N10" s="26">
        <f>J10*$N$8</f>
        <v>273.39741509433958</v>
      </c>
      <c r="O10" s="10"/>
      <c r="P10" s="25">
        <f>J10+K10+M10+L10</f>
        <v>1583.6655689644986</v>
      </c>
      <c r="Q10" s="26">
        <f>P10+N10</f>
        <v>1857.0629840588381</v>
      </c>
      <c r="R10" s="10"/>
      <c r="S10" s="3">
        <f>P10/C10</f>
        <v>1.7596284099605539</v>
      </c>
      <c r="T10" s="4">
        <f>Q10/C10</f>
        <v>2.0634033156209313</v>
      </c>
      <c r="U10" s="10"/>
      <c r="V10" s="3">
        <f>S10*3</f>
        <v>5.278885229881662</v>
      </c>
      <c r="W10" s="4">
        <f>T10*3</f>
        <v>6.1902099468627938</v>
      </c>
      <c r="Y10" s="2">
        <f>J10</f>
        <v>1301.8924528301884</v>
      </c>
      <c r="Z10" s="2">
        <f t="shared" ref="Z10:AA14" si="0">K10</f>
        <v>146.2606444361968</v>
      </c>
      <c r="AA10" s="2">
        <f t="shared" si="0"/>
        <v>44.38</v>
      </c>
      <c r="AB10">
        <f>$K$27*E10</f>
        <v>835.41803827079741</v>
      </c>
      <c r="AF10" s="10"/>
      <c r="AG10" s="25">
        <f>Y10+Z10+AB10+AA10</f>
        <v>2327.9511355371828</v>
      </c>
      <c r="AH10" s="26">
        <f>AG10+AE10</f>
        <v>2327.9511355371828</v>
      </c>
      <c r="AJ10" s="3">
        <f>AG10/C10</f>
        <v>2.5866123728190922</v>
      </c>
      <c r="AK10" s="4">
        <f>AH10/T10</f>
        <v>1128.2094576050647</v>
      </c>
      <c r="AM10">
        <f>(AJ10+AJ11)/2</f>
        <v>2.2861588851096313</v>
      </c>
      <c r="AN10">
        <f>AM10*3</f>
        <v>6.8584766553288938</v>
      </c>
      <c r="AO10">
        <v>10.59</v>
      </c>
    </row>
    <row r="11" spans="2:41" ht="15.75" thickBot="1" x14ac:dyDescent="0.3">
      <c r="B11" s="39" t="s">
        <v>40</v>
      </c>
      <c r="C11" s="39">
        <v>125</v>
      </c>
      <c r="D11" s="40">
        <v>1.2</v>
      </c>
      <c r="E11" s="64">
        <f t="shared" ref="E11:E14" si="1">J11/$D$15</f>
        <v>5.7514322983567019E-2</v>
      </c>
      <c r="F11" s="5"/>
      <c r="G11" s="5">
        <f>$H$2*E11/C11</f>
        <v>0.13481357307348107</v>
      </c>
      <c r="H11" s="6">
        <f>$H$3*E11/C11</f>
        <v>3.8189510461088504E-2</v>
      </c>
      <c r="I11" s="61"/>
      <c r="J11" s="27">
        <f>D11*C11/$L$4</f>
        <v>141.50943396226415</v>
      </c>
      <c r="K11" s="62">
        <f>C11*G11/$L$4</f>
        <v>15.897827013382201</v>
      </c>
      <c r="L11" s="62"/>
      <c r="M11" s="62">
        <f>J11*$M$8</f>
        <v>9.9056603773584921</v>
      </c>
      <c r="N11" s="28">
        <f>J11*$N$8</f>
        <v>29.716981132075471</v>
      </c>
      <c r="O11" s="61"/>
      <c r="P11" s="27">
        <f>J11+K11+M11+L11</f>
        <v>167.31292135300484</v>
      </c>
      <c r="Q11" s="28">
        <f>P11+N11</f>
        <v>197.0299024850803</v>
      </c>
      <c r="R11" s="61"/>
      <c r="S11" s="5">
        <f>P11/C11</f>
        <v>1.3385033708240388</v>
      </c>
      <c r="T11" s="6">
        <f>Q11/C11</f>
        <v>1.5762392198806423</v>
      </c>
      <c r="U11" s="61"/>
      <c r="V11" s="5">
        <f>S11*3</f>
        <v>4.015510112472116</v>
      </c>
      <c r="W11" s="6">
        <f>T11*3</f>
        <v>4.7287176596419265</v>
      </c>
      <c r="Y11" s="2">
        <f t="shared" ref="Y11:Y14" si="2">J11</f>
        <v>141.50943396226415</v>
      </c>
      <c r="Z11" s="2">
        <f t="shared" si="0"/>
        <v>15.897827013382201</v>
      </c>
      <c r="AA11" s="2">
        <f t="shared" si="0"/>
        <v>0</v>
      </c>
      <c r="AB11">
        <f t="shared" ref="AB11:AB14" si="3">$K$27*E11</f>
        <v>90.805913699374955</v>
      </c>
      <c r="AF11" s="61"/>
      <c r="AG11" s="27">
        <f t="shared" ref="AG11:AG14" si="4">Y11+Z11+AB11+AA11</f>
        <v>248.21317467502132</v>
      </c>
      <c r="AH11" s="28">
        <f>AG11+AE11</f>
        <v>248.21317467502132</v>
      </c>
      <c r="AJ11" s="5">
        <f t="shared" ref="AJ11:AJ14" si="5">AG11/C11</f>
        <v>1.9857053974001706</v>
      </c>
      <c r="AK11" s="6">
        <f>AH11/T11</f>
        <v>157.47176668641501</v>
      </c>
      <c r="AO11">
        <f>AO10/AM10</f>
        <v>4.6322239757593069</v>
      </c>
    </row>
    <row r="12" spans="2:41" ht="15.75" thickBot="1" x14ac:dyDescent="0.3">
      <c r="B12" s="39" t="s">
        <v>38</v>
      </c>
      <c r="C12" s="39">
        <v>12</v>
      </c>
      <c r="D12" s="40">
        <v>35.67</v>
      </c>
      <c r="E12" s="64">
        <f t="shared" si="1"/>
        <v>0.16412287206590684</v>
      </c>
      <c r="F12" s="5"/>
      <c r="G12" s="5">
        <f>$H$2*E12/C12</f>
        <v>4.0073334596092254</v>
      </c>
      <c r="H12" s="6">
        <f>$H$3*E12/C12</f>
        <v>1.1351831984558556</v>
      </c>
      <c r="I12" s="61"/>
      <c r="J12" s="27">
        <f>D12*C12/$L$4</f>
        <v>403.81132075471697</v>
      </c>
      <c r="K12" s="62">
        <f>C12*G12/$L$4</f>
        <v>45.366039165387456</v>
      </c>
      <c r="L12" s="61">
        <v>15.42</v>
      </c>
      <c r="M12" s="62">
        <f>J12*$M$8</f>
        <v>28.266792452830192</v>
      </c>
      <c r="N12" s="28">
        <f>J12*$N$8</f>
        <v>84.800377358490564</v>
      </c>
      <c r="O12" s="61"/>
      <c r="P12" s="27">
        <f t="shared" ref="P12" si="6">J12+K12+M12+L12</f>
        <v>492.86415237293465</v>
      </c>
      <c r="Q12" s="28">
        <f t="shared" ref="Q12" si="7">P12+N12</f>
        <v>577.6645297314252</v>
      </c>
      <c r="R12" s="61"/>
      <c r="S12" s="5">
        <f>P12/C12</f>
        <v>41.072012697744555</v>
      </c>
      <c r="T12" s="6">
        <f>Q12/C12</f>
        <v>48.138710810952098</v>
      </c>
      <c r="U12" s="61"/>
      <c r="V12" s="5">
        <f>S12*3</f>
        <v>123.21603809323366</v>
      </c>
      <c r="W12" s="6">
        <f t="shared" ref="V12:W12" si="8">T12*3</f>
        <v>144.4161324328563</v>
      </c>
      <c r="Y12" s="2">
        <f t="shared" si="2"/>
        <v>403.81132075471697</v>
      </c>
      <c r="Z12" s="2">
        <f t="shared" si="0"/>
        <v>45.366039165387456</v>
      </c>
      <c r="AA12" s="2">
        <f t="shared" si="0"/>
        <v>15.42</v>
      </c>
      <c r="AB12">
        <f t="shared" si="3"/>
        <v>259.1237553325364</v>
      </c>
      <c r="AF12" s="61"/>
      <c r="AG12" s="27">
        <f t="shared" si="4"/>
        <v>723.72111525264074</v>
      </c>
      <c r="AH12" s="28">
        <f t="shared" ref="AH12:AH14" si="9">AG12+AE12</f>
        <v>723.72111525264074</v>
      </c>
      <c r="AJ12" s="5">
        <f t="shared" si="5"/>
        <v>60.310092937720064</v>
      </c>
      <c r="AK12" s="6">
        <f>AH12/T12</f>
        <v>15.034077628185798</v>
      </c>
      <c r="AM12">
        <f>(AJ12+AJ13)/2</f>
        <v>50.839477691778477</v>
      </c>
    </row>
    <row r="13" spans="2:41" ht="15.75" thickBot="1" x14ac:dyDescent="0.3">
      <c r="B13" s="39" t="s">
        <v>41</v>
      </c>
      <c r="C13" s="39">
        <v>6</v>
      </c>
      <c r="D13" s="40">
        <v>25</v>
      </c>
      <c r="E13" s="64">
        <f t="shared" si="1"/>
        <v>5.7514322983567019E-2</v>
      </c>
      <c r="F13" s="5"/>
      <c r="G13" s="5">
        <f>$H$2*E13/C13</f>
        <v>2.8086161056975225</v>
      </c>
      <c r="H13" s="6">
        <f>$H$3*E13/C13</f>
        <v>0.79561480127267714</v>
      </c>
      <c r="I13" s="61"/>
      <c r="J13" s="27">
        <f t="shared" ref="J13:J14" si="10">D13*C13/$L$4</f>
        <v>141.50943396226415</v>
      </c>
      <c r="K13" s="62">
        <f t="shared" ref="K13:K14" si="11">C13*G13/$L$4</f>
        <v>15.897827013382201</v>
      </c>
      <c r="L13" s="61"/>
      <c r="M13" s="62">
        <f t="shared" ref="M13:M14" si="12">J13*$M$8</f>
        <v>9.9056603773584921</v>
      </c>
      <c r="N13" s="28">
        <f t="shared" ref="N13:N14" si="13">J13*$N$8</f>
        <v>29.716981132075471</v>
      </c>
      <c r="O13" s="61"/>
      <c r="P13" s="27">
        <f t="shared" ref="P13:P14" si="14">J13+K13+M13+L13</f>
        <v>167.31292135300484</v>
      </c>
      <c r="Q13" s="28">
        <f t="shared" ref="Q13:Q14" si="15">P13+N13</f>
        <v>197.0299024850803</v>
      </c>
      <c r="R13" s="61"/>
      <c r="S13" s="5">
        <f t="shared" ref="S13:S14" si="16">P13/C13</f>
        <v>27.885486892167474</v>
      </c>
      <c r="T13" s="6">
        <f t="shared" ref="T13:T14" si="17">Q13/C13</f>
        <v>32.838317080846714</v>
      </c>
      <c r="U13" s="61"/>
      <c r="V13" s="5">
        <f t="shared" ref="V13:V14" si="18">S13*3</f>
        <v>83.656460676502419</v>
      </c>
      <c r="W13" s="6">
        <f t="shared" ref="W13:W14" si="19">T13*3</f>
        <v>98.51495124254015</v>
      </c>
      <c r="Y13" s="2">
        <f t="shared" si="2"/>
        <v>141.50943396226415</v>
      </c>
      <c r="Z13" s="2">
        <f t="shared" si="0"/>
        <v>15.897827013382201</v>
      </c>
      <c r="AA13" s="2">
        <f t="shared" si="0"/>
        <v>0</v>
      </c>
      <c r="AB13">
        <f t="shared" si="3"/>
        <v>90.805913699374955</v>
      </c>
      <c r="AF13" s="61"/>
      <c r="AG13" s="27">
        <f t="shared" si="4"/>
        <v>248.21317467502132</v>
      </c>
      <c r="AH13" s="28">
        <f t="shared" si="9"/>
        <v>248.21317467502132</v>
      </c>
      <c r="AJ13" s="5">
        <f t="shared" si="5"/>
        <v>41.368862445836889</v>
      </c>
      <c r="AK13" s="6">
        <f t="shared" ref="AK13:AK14" si="20">AH13/T13</f>
        <v>7.5586448009479206</v>
      </c>
    </row>
    <row r="14" spans="2:41" ht="15.75" thickBot="1" x14ac:dyDescent="0.3">
      <c r="B14" s="35" t="s">
        <v>39</v>
      </c>
      <c r="C14" s="35">
        <v>2</v>
      </c>
      <c r="D14" s="36">
        <v>250</v>
      </c>
      <c r="E14" s="64">
        <f t="shared" si="1"/>
        <v>0.19171440994522337</v>
      </c>
      <c r="F14" s="7"/>
      <c r="G14" s="7">
        <f t="shared" ref="G14" si="21">$H$2*E14/C14</f>
        <v>28.086161056975225</v>
      </c>
      <c r="H14" s="9">
        <f t="shared" ref="H14" si="22">$H$3*E14/C14</f>
        <v>7.9561480127267696</v>
      </c>
      <c r="I14" s="8"/>
      <c r="J14" s="29">
        <f t="shared" si="10"/>
        <v>471.69811320754712</v>
      </c>
      <c r="K14" s="22">
        <f t="shared" si="11"/>
        <v>52.992756711274005</v>
      </c>
      <c r="L14" s="8">
        <v>19.14</v>
      </c>
      <c r="M14" s="22">
        <f t="shared" si="12"/>
        <v>33.018867924528301</v>
      </c>
      <c r="N14" s="30">
        <f t="shared" si="13"/>
        <v>99.056603773584897</v>
      </c>
      <c r="O14" s="8"/>
      <c r="P14" s="29">
        <f t="shared" si="14"/>
        <v>576.84973784334943</v>
      </c>
      <c r="Q14" s="30">
        <f t="shared" si="15"/>
        <v>675.90634161693436</v>
      </c>
      <c r="R14" s="8"/>
      <c r="S14" s="7">
        <f t="shared" si="16"/>
        <v>288.42486892167472</v>
      </c>
      <c r="T14" s="9">
        <f t="shared" si="17"/>
        <v>337.95317080846718</v>
      </c>
      <c r="U14" s="8"/>
      <c r="V14" s="7">
        <f t="shared" si="18"/>
        <v>865.27460676502415</v>
      </c>
      <c r="W14" s="9">
        <f t="shared" si="19"/>
        <v>1013.8595124254016</v>
      </c>
      <c r="Y14" s="2">
        <f t="shared" si="2"/>
        <v>471.69811320754712</v>
      </c>
      <c r="Z14" s="2">
        <f t="shared" si="0"/>
        <v>52.992756711274005</v>
      </c>
      <c r="AA14" s="2">
        <f t="shared" si="0"/>
        <v>19.14</v>
      </c>
      <c r="AB14">
        <f t="shared" si="3"/>
        <v>302.68637899791651</v>
      </c>
      <c r="AF14" s="8"/>
      <c r="AG14" s="29">
        <f t="shared" si="4"/>
        <v>846.51724891673769</v>
      </c>
      <c r="AH14" s="30">
        <f t="shared" si="9"/>
        <v>846.51724891673769</v>
      </c>
      <c r="AJ14" s="7">
        <f t="shared" si="5"/>
        <v>423.25862445836884</v>
      </c>
      <c r="AK14" s="9">
        <f t="shared" si="20"/>
        <v>2.5048359418899961</v>
      </c>
      <c r="AM14">
        <f>AJ14</f>
        <v>423.25862445836884</v>
      </c>
    </row>
    <row r="15" spans="2:41" ht="15.75" thickBot="1" x14ac:dyDescent="0.3">
      <c r="D15" s="68">
        <f>SUM(J10:J14)</f>
        <v>2460.4207547169808</v>
      </c>
      <c r="J15" s="2"/>
      <c r="K15" s="2"/>
      <c r="L15" s="2"/>
      <c r="M15" s="2"/>
      <c r="O15" s="63" t="s">
        <v>29</v>
      </c>
      <c r="P15" s="22">
        <f>SUM(P10:P14)</f>
        <v>2988.005301886792</v>
      </c>
      <c r="Q15" s="30">
        <f>SUM(Q10:Q14)</f>
        <v>3504.6936603773579</v>
      </c>
      <c r="AF15" s="63" t="s">
        <v>29</v>
      </c>
      <c r="AG15" s="22">
        <f>SUM(AG10:AG14)</f>
        <v>4394.615849056604</v>
      </c>
      <c r="AH15" s="30">
        <f>SUM(AH10:AH14)</f>
        <v>4394.615849056604</v>
      </c>
    </row>
    <row r="24" spans="2:20" ht="15.75" thickBot="1" x14ac:dyDescent="0.3">
      <c r="B24" s="1"/>
    </row>
    <row r="25" spans="2:20" x14ac:dyDescent="0.25">
      <c r="B25" s="42"/>
      <c r="C25" s="53"/>
      <c r="D25" s="12"/>
      <c r="E25" s="12"/>
      <c r="F25" s="12"/>
      <c r="G25" s="12"/>
      <c r="H25" s="54" t="s">
        <v>32</v>
      </c>
      <c r="I25" s="12"/>
      <c r="J25" s="12"/>
      <c r="K25" s="11" t="s">
        <v>12</v>
      </c>
      <c r="L25" s="12"/>
      <c r="M25" s="13"/>
      <c r="N25" s="12"/>
      <c r="O25" s="12"/>
      <c r="P25" s="11"/>
      <c r="Q25" s="12" t="s">
        <v>33</v>
      </c>
      <c r="R25" s="13"/>
      <c r="T25" s="58">
        <f>P27-Q15</f>
        <v>943.62633962264181</v>
      </c>
    </row>
    <row r="26" spans="2:20" ht="15.75" thickBot="1" x14ac:dyDescent="0.3">
      <c r="B26" s="55">
        <v>45106</v>
      </c>
      <c r="C26" s="56" t="s">
        <v>17</v>
      </c>
      <c r="D26" s="15"/>
      <c r="E26" s="15"/>
      <c r="F26" s="15"/>
      <c r="G26" s="15"/>
      <c r="H26" s="57" t="s">
        <v>10</v>
      </c>
      <c r="I26" s="15"/>
      <c r="J26" s="15"/>
      <c r="K26" s="14" t="s">
        <v>21</v>
      </c>
      <c r="L26" s="15" t="s">
        <v>22</v>
      </c>
      <c r="M26" s="17" t="s">
        <v>23</v>
      </c>
      <c r="N26" s="15"/>
      <c r="O26" s="15"/>
      <c r="P26" s="14" t="s">
        <v>20</v>
      </c>
      <c r="Q26" s="15" t="s">
        <v>30</v>
      </c>
      <c r="R26" s="17"/>
      <c r="T26" s="59"/>
    </row>
    <row r="27" spans="2:20" ht="15.75" thickBot="1" x14ac:dyDescent="0.3">
      <c r="B27" s="23"/>
      <c r="C27" s="46" t="s">
        <v>19</v>
      </c>
      <c r="D27" s="47"/>
      <c r="E27" s="47"/>
      <c r="F27" s="47"/>
      <c r="G27" s="47"/>
      <c r="H27" s="49">
        <f>SUM(H29:H32)</f>
        <v>2869.48</v>
      </c>
      <c r="I27" s="47"/>
      <c r="J27" s="47"/>
      <c r="K27" s="50">
        <f>K29+K30+K31</f>
        <v>1578.8400000000001</v>
      </c>
      <c r="L27" s="51"/>
      <c r="M27" s="52"/>
      <c r="N27" s="47"/>
      <c r="O27" s="47"/>
      <c r="P27" s="23">
        <f>K27+H27+L27+M27</f>
        <v>4448.32</v>
      </c>
      <c r="Q27" s="24">
        <f>P27-Q15</f>
        <v>943.62633962264181</v>
      </c>
      <c r="R27" s="48"/>
      <c r="T27" s="60"/>
    </row>
    <row r="29" spans="2:20" x14ac:dyDescent="0.25">
      <c r="H29">
        <v>1528.52</v>
      </c>
      <c r="K29">
        <v>171.82</v>
      </c>
      <c r="L29" t="s">
        <v>42</v>
      </c>
    </row>
    <row r="30" spans="2:20" x14ac:dyDescent="0.25">
      <c r="H30">
        <v>530.91999999999996</v>
      </c>
      <c r="K30">
        <v>735.4</v>
      </c>
      <c r="L30" t="s">
        <v>43</v>
      </c>
    </row>
    <row r="31" spans="2:20" x14ac:dyDescent="0.25">
      <c r="H31">
        <v>659.02</v>
      </c>
      <c r="K31">
        <v>671.62</v>
      </c>
      <c r="L31" t="s">
        <v>11</v>
      </c>
    </row>
    <row r="32" spans="2:20" x14ac:dyDescent="0.25">
      <c r="H32">
        <v>151.02000000000001</v>
      </c>
    </row>
  </sheetData>
  <mergeCells count="1">
    <mergeCell ref="T25:T27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55ACAA-67E9-463E-AAAC-3B7F4E0876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14:cfRule type="iconSet" priority="2" id="{31797DCF-0DE3-48BA-BC35-FF326C5B0C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T25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2023-06-28T09:19:26Z</dcterms:created>
  <dcterms:modified xsi:type="dcterms:W3CDTF">2023-11-08T12:16:33Z</dcterms:modified>
</cp:coreProperties>
</file>