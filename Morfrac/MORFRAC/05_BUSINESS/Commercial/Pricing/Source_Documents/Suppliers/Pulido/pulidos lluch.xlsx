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FRAC\morfrac\02.MORFRAC\COSTS\"/>
    </mc:Choice>
  </mc:AlternateContent>
  <xr:revisionPtr revIDLastSave="0" documentId="8_{D21ED55C-D8FE-450F-832C-EA9549433F00}" xr6:coauthVersionLast="47" xr6:coauthVersionMax="47" xr10:uidLastSave="{00000000-0000-0000-0000-000000000000}"/>
  <bookViews>
    <workbookView xWindow="-120" yWindow="-120" windowWidth="38640" windowHeight="21120" xr2:uid="{98F86099-A247-4802-AA05-4B8319E67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3" i="1"/>
  <c r="J4" i="1"/>
  <c r="J5" i="1"/>
  <c r="J3" i="1"/>
  <c r="D4" i="1"/>
  <c r="D5" i="1"/>
  <c r="D3" i="1"/>
  <c r="D6" i="1" s="1"/>
  <c r="H4" i="1"/>
  <c r="H5" i="1"/>
  <c r="K5" i="1" s="1"/>
  <c r="H3" i="1"/>
  <c r="H6" i="1" s="1"/>
  <c r="F4" i="1"/>
  <c r="F5" i="1"/>
  <c r="I5" i="1" s="1"/>
  <c r="F3" i="1"/>
  <c r="I3" i="1" s="1"/>
  <c r="K4" i="1" l="1"/>
  <c r="I4" i="1"/>
  <c r="K3" i="1"/>
  <c r="F6" i="1"/>
</calcChain>
</file>

<file path=xl/sharedStrings.xml><?xml version="1.0" encoding="utf-8"?>
<sst xmlns="http://schemas.openxmlformats.org/spreadsheetml/2006/main" count="16" uniqueCount="14">
  <si>
    <t>32*22</t>
  </si>
  <si>
    <t>39*34</t>
  </si>
  <si>
    <t>55*45</t>
  </si>
  <si>
    <t>brillo</t>
  </si>
  <si>
    <t>satinado</t>
  </si>
  <si>
    <t>unidades</t>
  </si>
  <si>
    <t>total brillo</t>
  </si>
  <si>
    <t>total satinado</t>
  </si>
  <si>
    <t>PULIDOS LLUCH</t>
  </si>
  <si>
    <t>MODELO</t>
  </si>
  <si>
    <t xml:space="preserve">producción </t>
  </si>
  <si>
    <t>TOTAL</t>
  </si>
  <si>
    <t xml:space="preserve">total produccion </t>
  </si>
  <si>
    <t>TOTAL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</si>
</sst>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€-2]\ * #,##0.00_-;\-[$€-2]\ * #,##0.00_-;_-[$€-2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2" fontId="0" fillId="5" borderId="0" xfId="0" applyNumberFormat="1" applyFill="1"/>
    <xf numFmtId="2" fontId="0" fillId="6" borderId="0" xfId="0" applyNumberFormat="1" applyFill="1"/>
    <xf numFmtId="165" fontId="0" fillId="2" borderId="0" xfId="0" applyNumberFormat="1" applyFill="1"/>
    <xf numFmtId="165" fontId="1" fillId="2" borderId="0" xfId="0" applyNumberFormat="1" applyFont="1" applyFill="1"/>
    <xf numFmtId="165" fontId="0" fillId="3" borderId="0" xfId="0" applyNumberFormat="1" applyFill="1"/>
    <xf numFmtId="165" fontId="1" fillId="3" borderId="0" xfId="0" applyNumberFormat="1" applyFont="1" applyFill="1"/>
    <xf numFmtId="165" fontId="0" fillId="4" borderId="0" xfId="0" applyNumberFormat="1" applyFill="1"/>
    <xf numFmtId="165" fontId="1" fillId="4" borderId="0" xfId="0" applyNumberFormat="1" applyFont="1" applyFill="1"/>
    <xf numFmtId="165" fontId="0" fillId="5" borderId="0" xfId="0" applyNumberFormat="1" applyFill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1D1E-396E-47A7-BF4C-BDDBCA14DA28}">
  <dimension ref="A1:L7"/>
  <sheetViews>
    <sheetView tabSelected="1" workbookViewId="0">
      <selection activeCell="P6" sqref="P6"/>
    </sheetView>
  </sheetViews>
  <sheetFormatPr defaultRowHeight="15" x14ac:dyDescent="0.25"/>
  <cols>
    <col min="1" max="1" width="14.85546875" bestFit="1" customWidth="1"/>
    <col min="2" max="2" width="10.28515625" bestFit="1" customWidth="1"/>
    <col min="3" max="3" width="15.7109375" style="2" customWidth="1"/>
    <col min="4" max="4" width="15.7109375" style="13" customWidth="1"/>
    <col min="5" max="5" width="15.7109375" style="3" customWidth="1"/>
    <col min="6" max="6" width="15.7109375" style="15" customWidth="1"/>
    <col min="7" max="7" width="15.7109375" style="5" customWidth="1"/>
    <col min="8" max="8" width="15.7109375" style="17" customWidth="1"/>
    <col min="9" max="10" width="17.85546875" style="8" customWidth="1"/>
    <col min="11" max="12" width="18.140625" style="10" customWidth="1"/>
  </cols>
  <sheetData>
    <row r="1" spans="1:12" x14ac:dyDescent="0.25">
      <c r="A1" s="1" t="s">
        <v>8</v>
      </c>
      <c r="I1" s="7" t="s">
        <v>11</v>
      </c>
      <c r="J1" s="7" t="s">
        <v>13</v>
      </c>
      <c r="K1" s="9" t="s">
        <v>11</v>
      </c>
      <c r="L1" s="9" t="s">
        <v>13</v>
      </c>
    </row>
    <row r="2" spans="1:12" x14ac:dyDescent="0.25">
      <c r="A2" t="s">
        <v>9</v>
      </c>
      <c r="B2" t="s">
        <v>5</v>
      </c>
      <c r="C2" s="2" t="s">
        <v>10</v>
      </c>
      <c r="D2" s="13" t="s">
        <v>12</v>
      </c>
      <c r="E2" s="3" t="s">
        <v>3</v>
      </c>
      <c r="F2" s="16" t="s">
        <v>6</v>
      </c>
      <c r="G2" s="5" t="s">
        <v>4</v>
      </c>
      <c r="H2" s="18" t="s">
        <v>7</v>
      </c>
    </row>
    <row r="3" spans="1:12" x14ac:dyDescent="0.25">
      <c r="A3" t="s">
        <v>0</v>
      </c>
      <c r="B3">
        <v>50</v>
      </c>
      <c r="C3" s="2">
        <v>16</v>
      </c>
      <c r="D3" s="13">
        <f>C3*B3</f>
        <v>800</v>
      </c>
      <c r="E3" s="3">
        <v>6</v>
      </c>
      <c r="F3" s="15">
        <f>B3*E3</f>
        <v>300</v>
      </c>
      <c r="G3" s="5">
        <v>4</v>
      </c>
      <c r="H3" s="17">
        <f>G3*B3</f>
        <v>200</v>
      </c>
      <c r="I3" s="19">
        <f>F3+D3</f>
        <v>1100</v>
      </c>
      <c r="J3" s="19">
        <f>I3/50</f>
        <v>22</v>
      </c>
      <c r="K3" s="20">
        <f>H3+D3</f>
        <v>1000</v>
      </c>
      <c r="L3" s="20">
        <f>K3/50</f>
        <v>20</v>
      </c>
    </row>
    <row r="4" spans="1:12" x14ac:dyDescent="0.25">
      <c r="A4" t="s">
        <v>1</v>
      </c>
      <c r="B4">
        <v>50</v>
      </c>
      <c r="C4" s="2">
        <v>21.2</v>
      </c>
      <c r="D4" s="13">
        <f t="shared" ref="D4:D5" si="0">C4*B4</f>
        <v>1060</v>
      </c>
      <c r="E4" s="3">
        <v>10</v>
      </c>
      <c r="F4" s="15">
        <f t="shared" ref="F4:F5" si="1">B4*E4</f>
        <v>500</v>
      </c>
      <c r="G4" s="5">
        <v>8</v>
      </c>
      <c r="H4" s="17">
        <f t="shared" ref="H4:H5" si="2">G4*B4</f>
        <v>400</v>
      </c>
      <c r="I4" s="19">
        <f t="shared" ref="I4:I5" si="3">F4+D4</f>
        <v>1560</v>
      </c>
      <c r="J4" s="19">
        <f t="shared" ref="J4:J5" si="4">I4/50</f>
        <v>31.2</v>
      </c>
      <c r="K4" s="20">
        <f t="shared" ref="K4:K5" si="5">H4+D4</f>
        <v>1460</v>
      </c>
      <c r="L4" s="20">
        <f t="shared" ref="L4:L5" si="6">K4/50</f>
        <v>29.2</v>
      </c>
    </row>
    <row r="5" spans="1:12" x14ac:dyDescent="0.25">
      <c r="A5" t="s">
        <v>2</v>
      </c>
      <c r="B5">
        <v>50</v>
      </c>
      <c r="C5" s="2">
        <v>27.2</v>
      </c>
      <c r="D5" s="13">
        <f t="shared" si="0"/>
        <v>1360</v>
      </c>
      <c r="E5" s="3">
        <v>15</v>
      </c>
      <c r="F5" s="15">
        <f t="shared" si="1"/>
        <v>750</v>
      </c>
      <c r="G5" s="5">
        <v>12</v>
      </c>
      <c r="H5" s="17">
        <f t="shared" si="2"/>
        <v>600</v>
      </c>
      <c r="I5" s="19">
        <f t="shared" si="3"/>
        <v>2110</v>
      </c>
      <c r="J5" s="19">
        <f t="shared" si="4"/>
        <v>42.2</v>
      </c>
      <c r="K5" s="20">
        <f t="shared" si="5"/>
        <v>1960</v>
      </c>
      <c r="L5" s="20">
        <f t="shared" si="6"/>
        <v>39.200000000000003</v>
      </c>
    </row>
    <row r="6" spans="1:12" x14ac:dyDescent="0.25">
      <c r="D6" s="14">
        <f>SUM(D3:D5)</f>
        <v>3220</v>
      </c>
      <c r="F6" s="16">
        <f>SUM(F3:F5)</f>
        <v>1550</v>
      </c>
      <c r="H6" s="18">
        <f>SUM(H3:H5)</f>
        <v>1200</v>
      </c>
    </row>
    <row r="7" spans="1:12" x14ac:dyDescent="0.25">
      <c r="E7" s="4"/>
      <c r="G7" s="6"/>
      <c r="I7" s="11"/>
      <c r="J7" s="11"/>
      <c r="K7" s="12"/>
      <c r="L7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De Rose</dc:creator>
  <cp:lastModifiedBy>Raffaele De Rose</cp:lastModifiedBy>
  <dcterms:created xsi:type="dcterms:W3CDTF">2023-06-05T09:41:33Z</dcterms:created>
  <dcterms:modified xsi:type="dcterms:W3CDTF">2023-06-05T10:12:58Z</dcterms:modified>
</cp:coreProperties>
</file>