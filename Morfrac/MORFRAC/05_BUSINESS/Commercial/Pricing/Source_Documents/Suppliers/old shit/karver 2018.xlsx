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A4240078-E533-452A-AC5F-2DF9AFDB91A0}" xr6:coauthVersionLast="36" xr6:coauthVersionMax="36" xr10:uidLastSave="{00000000-0000-0000-0000-000000000000}"/>
  <bookViews>
    <workbookView xWindow="0" yWindow="0" windowWidth="26083" windowHeight="10759" xr2:uid="{86608C9D-71F4-4F36-B840-DF082D3879B5}"/>
  </bookViews>
  <sheets>
    <sheet name="Hoja1" sheetId="1" r:id="rId1"/>
  </sheets>
  <calcPr calcId="179021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5" i="1" l="1"/>
  <c r="K5" i="1"/>
  <c r="I6" i="1"/>
  <c r="K6" i="1"/>
  <c r="I7" i="1"/>
  <c r="K7" i="1"/>
  <c r="I8" i="1"/>
  <c r="K8" i="1"/>
  <c r="I9" i="1"/>
  <c r="K9" i="1"/>
  <c r="I10" i="1"/>
  <c r="K10" i="1"/>
  <c r="I11" i="1"/>
  <c r="K11" i="1"/>
  <c r="I12" i="1"/>
  <c r="K12" i="1"/>
  <c r="I13" i="1"/>
  <c r="K13" i="1"/>
  <c r="I15" i="1"/>
  <c r="K15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7" i="1"/>
  <c r="K27" i="1"/>
  <c r="I29" i="1"/>
  <c r="K29" i="1"/>
  <c r="I30" i="1"/>
  <c r="K30" i="1"/>
  <c r="I31" i="1"/>
  <c r="K31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3" i="1"/>
  <c r="K43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I54" i="1"/>
  <c r="K54" i="1"/>
  <c r="I55" i="1"/>
  <c r="K55" i="1"/>
  <c r="I57" i="1"/>
  <c r="K57" i="1"/>
  <c r="I58" i="1"/>
  <c r="K58" i="1"/>
  <c r="I59" i="1"/>
  <c r="K59" i="1"/>
  <c r="I61" i="1"/>
  <c r="K61" i="1"/>
  <c r="I63" i="1"/>
  <c r="K63" i="1"/>
  <c r="I64" i="1"/>
  <c r="K64" i="1"/>
  <c r="I65" i="1"/>
  <c r="K65" i="1"/>
  <c r="I66" i="1"/>
  <c r="K66" i="1"/>
  <c r="I71" i="1"/>
  <c r="K71" i="1"/>
  <c r="I72" i="1"/>
  <c r="K72" i="1"/>
  <c r="I73" i="1"/>
  <c r="K73" i="1"/>
  <c r="I74" i="1"/>
  <c r="K74" i="1"/>
  <c r="I75" i="1"/>
  <c r="K75" i="1"/>
  <c r="I76" i="1"/>
  <c r="K76" i="1"/>
  <c r="I77" i="1"/>
  <c r="K77" i="1"/>
  <c r="I79" i="1"/>
  <c r="K79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4" i="1"/>
  <c r="K94" i="1"/>
  <c r="I95" i="1"/>
  <c r="K95" i="1"/>
  <c r="I96" i="1"/>
  <c r="K96" i="1"/>
  <c r="I97" i="1"/>
  <c r="K97" i="1"/>
  <c r="I98" i="1"/>
  <c r="K98" i="1"/>
  <c r="I99" i="1"/>
  <c r="K99" i="1"/>
  <c r="K4" i="1"/>
  <c r="I4" i="1"/>
</calcChain>
</file>

<file path=xl/sharedStrings.xml><?xml version="1.0" encoding="utf-8"?>
<sst xmlns="http://schemas.openxmlformats.org/spreadsheetml/2006/main" count="87" uniqueCount="87">
  <si>
    <t>Karver KF1 furler set - Bottom-up, drum &amp; swivel</t>
  </si>
  <si>
    <t>€+ IVA</t>
  </si>
  <si>
    <t>Karver KSF1 furler set - Top-down, drum &amp; swivel</t>
  </si>
  <si>
    <t>Karver KSF2 furler set - Top-down, drum &amp; swivel</t>
  </si>
  <si>
    <t>Karver KF2 furler set - Bottom-up, drum &amp; swivel</t>
  </si>
  <si>
    <t>RRP</t>
  </si>
  <si>
    <t>Karver KF5 furler set - Bottom-up, drum &amp; swivel</t>
  </si>
  <si>
    <t>Karver KF8 furler set - Bottom-up, drum &amp; swivel</t>
  </si>
  <si>
    <t>Karver KSF8 furler set - Top-down, drum &amp; swivel</t>
  </si>
  <si>
    <t>Karver KF10 furler set - Bottom-up, drum &amp; swivel</t>
  </si>
  <si>
    <t>Karver KF12 furler set - Bottom-up, drum &amp; swivel</t>
  </si>
  <si>
    <t>Karver KFX1 structural furler set - Bottom-up, drum &amp; swivel</t>
  </si>
  <si>
    <t>Karver KFX2 structural furler set - Bottom-up, drum &amp; swivel</t>
  </si>
  <si>
    <t>Karver KFX5 structural furler set - Bottom-up, drum &amp; swivel</t>
  </si>
  <si>
    <t>Karver KF1 furler - Drum, bottom-up</t>
  </si>
  <si>
    <t>Karver KF &amp; KSF furler - drum lock, KF1 &amp; KF2</t>
  </si>
  <si>
    <t>Karver KF1 furler - 2:1 removable block</t>
  </si>
  <si>
    <t>Karver KF1 MX6 Friction shackle 2:1</t>
  </si>
  <si>
    <t>Karver KF1 furler - 3:1 QR friction sheave</t>
  </si>
  <si>
    <t>Karver KF1 furler - Snap shackle</t>
  </si>
  <si>
    <t>Karver KF1 furler - Top swivel</t>
  </si>
  <si>
    <t>Karver KF1 furler - Top-down tack swivel</t>
  </si>
  <si>
    <t>Karver KF1 furler - Thimble</t>
  </si>
  <si>
    <t>KARVER</t>
  </si>
  <si>
    <t>Karver KF2 furler - Drum, bottom-up</t>
  </si>
  <si>
    <t>Karver KF2 furler - 2:1 removable block</t>
  </si>
  <si>
    <t>Karver KF2 MX8 Friction shackle 2:1</t>
  </si>
  <si>
    <t>Karver KF2 furler - 3:1 QR friction sheave</t>
  </si>
  <si>
    <t>Karver KF2 furler - Snap shackle</t>
  </si>
  <si>
    <t>Karver KF2 furler - Top swivel</t>
  </si>
  <si>
    <t>Karver KF2 furler - Top-down tack swivel</t>
  </si>
  <si>
    <t>Karver KF2 furler - Thimble</t>
  </si>
  <si>
    <t>Karver KF5 furler - Drum, bottom-up</t>
  </si>
  <si>
    <t>Karver KF &amp; KSF furler - drum lock, KF5 &amp; KF8</t>
  </si>
  <si>
    <t>Karver KF5 furler - 2:1 removable block</t>
  </si>
  <si>
    <t>Karver KF5 MX10 Friction shackle 2:1</t>
  </si>
  <si>
    <t>Karver KF5 furler - 3:1 QR friction sheave</t>
  </si>
  <si>
    <t>Karver KF5 furler - Snap shackle</t>
  </si>
  <si>
    <t>Karver KF5 furler - Top-down tack swivel</t>
  </si>
  <si>
    <t>Karver KF5 furler - Thimble</t>
  </si>
  <si>
    <t>Karver KF5 furler - Top swivel</t>
  </si>
  <si>
    <t>Karver KF5 furler - Snap shackle, fixed Tylaska</t>
  </si>
  <si>
    <t>Karver KF5 furler - Snap shackle, removable Tylaska</t>
  </si>
  <si>
    <t>Karver KF5 furler - High load single strop</t>
  </si>
  <si>
    <t>Karver KF8 furler - Drum, bottom-up</t>
  </si>
  <si>
    <t>Karver KF8 furler - 2:1 removable block</t>
  </si>
  <si>
    <t>Karver KF8 furler - 3:1 QR friction sheave</t>
  </si>
  <si>
    <t>Karver KF8 furler - HR shackle</t>
  </si>
  <si>
    <t>Karver KF8 furler - High load single strop</t>
  </si>
  <si>
    <t>Karver KF8 furler - Top swivel</t>
  </si>
  <si>
    <t>Karver KF8 furler - Top-down tack swivel</t>
  </si>
  <si>
    <t>Karver KF8 furler - Snap shackle, fixed Tylaska</t>
  </si>
  <si>
    <t>Karver KF8 furler - Snap shackle, removable Tylaska</t>
  </si>
  <si>
    <t>Karver KF8 furler - Top-down tack swivel, reinforced</t>
  </si>
  <si>
    <t>Karver KF10 furler - Drum, bottom-up</t>
  </si>
  <si>
    <t>Karver KF10 furler - Top swivel</t>
  </si>
  <si>
    <t>Karver KF10 furler - Top-down tack swivel</t>
  </si>
  <si>
    <t>Karver KF12 furler - 3:1 QR friction sheave</t>
  </si>
  <si>
    <t>Karver KF12 furler - Drum, bottom-up</t>
  </si>
  <si>
    <t>Karver KF12 furler - 2:1 fixed block</t>
  </si>
  <si>
    <t>Karver KF12 furler - High load single strop</t>
  </si>
  <si>
    <t>Karver KF12 furler - Top swivel</t>
  </si>
  <si>
    <t>Karver KF12 furler - Top-down tack swivel</t>
  </si>
  <si>
    <t>Karver KFH1 furler - furling lock</t>
  </si>
  <si>
    <t>Karver KFH1 furler set - Bottom-up, 3:1 block &amp; halyard lock</t>
  </si>
  <si>
    <t>Karver KFH2 furler set - Bottom-up, 3:1 block &amp; halyard lock</t>
  </si>
  <si>
    <t>Karver KFH5 furler - furling lock</t>
  </si>
  <si>
    <t>Karver KFH5 furler set - Bottom-up, 3:1 friction sheave &amp; halyard lock</t>
  </si>
  <si>
    <t>Karver KFH8 furler - furling lock</t>
  </si>
  <si>
    <t>Karver KFH8 furler set - Bottom-up, 3:1 sheave &amp; halyard lock</t>
  </si>
  <si>
    <t>Karver KFH10 furler - furling lock</t>
  </si>
  <si>
    <t>Karver KFH12 furler - furling lock</t>
  </si>
  <si>
    <t>Karver KSFH8 furler set - Top-down, 3:1 block &amp; halyard lock</t>
  </si>
  <si>
    <t>Karver KFX1 furler - halyard swivel</t>
  </si>
  <si>
    <t>Karver KFX5 furler - halyard swivel</t>
  </si>
  <si>
    <t>Karver KFX2 furler - halyard swivel</t>
  </si>
  <si>
    <t>Karver KSF5 furler set - Top-down, drum &amp; swivel</t>
  </si>
  <si>
    <t>Karver KF8 furler - Drum, top-down</t>
  </si>
  <si>
    <t>Karver KSF8R furler set - Top-down, drum &amp; swivel, reinforced</t>
  </si>
  <si>
    <t>Karver KF10 furler - Drum, top-down</t>
  </si>
  <si>
    <t>Karver KSF10 furler set - Top-down, drum &amp; swivel</t>
  </si>
  <si>
    <t>Karver KSF12 furler set - Top-down, drum &amp; swivel</t>
  </si>
  <si>
    <t>Karver KSFH1 furler set - Top-down, 3:1 block &amp; halyard lock</t>
  </si>
  <si>
    <t>Desc 40%</t>
  </si>
  <si>
    <t>distribuidor int</t>
  </si>
  <si>
    <t>Desc 30%</t>
  </si>
  <si>
    <t>dist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</si>
</sst>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9C5-65F4-4988-BC84-09C4C7F44928}">
  <dimension ref="B2:K101"/>
  <sheetViews>
    <sheetView tabSelected="1" topLeftCell="A31" workbookViewId="0">
      <selection activeCell="H7" sqref="H7"/>
    </sheetView>
  </sheetViews>
  <sheetFormatPr baseColWidth="10" defaultRowHeight="14.3" x14ac:dyDescent="0.25"/>
  <cols>
    <col min="1" max="8" width="11" style="1"/>
    <col min="9" max="9" width="13.125" style="1" customWidth="1"/>
    <col min="10" max="10" width="4.125" style="1" customWidth="1"/>
    <col min="11" max="11" width="11.375" style="1" bestFit="1" customWidth="1"/>
    <col min="12" max="16384" width="11" style="1"/>
  </cols>
  <sheetData>
    <row r="2" spans="2:11" x14ac:dyDescent="0.25">
      <c r="B2" s="5"/>
      <c r="C2" s="5"/>
      <c r="D2" s="5"/>
      <c r="E2" s="5"/>
      <c r="F2" s="5"/>
      <c r="G2" s="5" t="s">
        <v>5</v>
      </c>
      <c r="H2" s="5"/>
      <c r="I2" s="5" t="s">
        <v>83</v>
      </c>
      <c r="J2" s="5"/>
      <c r="K2" s="5" t="s">
        <v>85</v>
      </c>
    </row>
    <row r="3" spans="2:11" x14ac:dyDescent="0.25">
      <c r="B3" s="5" t="s">
        <v>23</v>
      </c>
      <c r="C3" s="5"/>
      <c r="D3" s="5"/>
      <c r="E3" s="5"/>
      <c r="F3" s="5"/>
      <c r="G3" s="5" t="s">
        <v>1</v>
      </c>
      <c r="H3" s="5"/>
      <c r="I3" s="5" t="s">
        <v>84</v>
      </c>
      <c r="J3" s="5"/>
      <c r="K3" s="5" t="s">
        <v>86</v>
      </c>
    </row>
    <row r="4" spans="2:11" x14ac:dyDescent="0.25">
      <c r="B4" s="2" t="s">
        <v>0</v>
      </c>
      <c r="G4" s="3">
        <v>903.95</v>
      </c>
      <c r="I4" s="4">
        <f>G4*0.6</f>
        <v>542.37</v>
      </c>
      <c r="J4" s="4"/>
      <c r="K4" s="4">
        <f>G4*0.6</f>
        <v>542.37</v>
      </c>
    </row>
    <row r="5" spans="2:11" x14ac:dyDescent="0.25">
      <c r="B5" s="2" t="s">
        <v>14</v>
      </c>
      <c r="G5" s="3">
        <v>741.13</v>
      </c>
      <c r="I5" s="4">
        <f t="shared" ref="I5:I66" si="0">G5*0.6</f>
        <v>444.678</v>
      </c>
      <c r="J5" s="4"/>
      <c r="K5" s="4">
        <f t="shared" ref="K5:K66" si="1">G5*0.6</f>
        <v>444.678</v>
      </c>
    </row>
    <row r="6" spans="2:11" x14ac:dyDescent="0.25">
      <c r="B6" s="2" t="s">
        <v>20</v>
      </c>
      <c r="G6" s="3">
        <v>421.9</v>
      </c>
      <c r="I6" s="4">
        <f t="shared" si="0"/>
        <v>253.14</v>
      </c>
      <c r="J6" s="4"/>
      <c r="K6" s="4">
        <f t="shared" si="1"/>
        <v>253.14</v>
      </c>
    </row>
    <row r="7" spans="2:11" x14ac:dyDescent="0.25">
      <c r="B7" s="2" t="s">
        <v>15</v>
      </c>
      <c r="G7" s="3">
        <v>75.25</v>
      </c>
      <c r="I7" s="4">
        <f t="shared" si="0"/>
        <v>45.15</v>
      </c>
      <c r="J7" s="4"/>
      <c r="K7" s="4">
        <f t="shared" si="1"/>
        <v>45.15</v>
      </c>
    </row>
    <row r="8" spans="2:11" x14ac:dyDescent="0.25">
      <c r="B8" s="2" t="s">
        <v>16</v>
      </c>
      <c r="G8" s="3">
        <v>245.59</v>
      </c>
      <c r="I8" s="4">
        <f t="shared" si="0"/>
        <v>147.35399999999998</v>
      </c>
      <c r="J8" s="4"/>
      <c r="K8" s="4">
        <f t="shared" si="1"/>
        <v>147.35399999999998</v>
      </c>
    </row>
    <row r="9" spans="2:11" x14ac:dyDescent="0.25">
      <c r="B9" s="2" t="s">
        <v>17</v>
      </c>
      <c r="G9" s="3">
        <v>74.33</v>
      </c>
      <c r="I9" s="4">
        <f t="shared" si="0"/>
        <v>44.597999999999999</v>
      </c>
      <c r="J9" s="4"/>
      <c r="K9" s="4">
        <f t="shared" si="1"/>
        <v>44.597999999999999</v>
      </c>
    </row>
    <row r="10" spans="2:11" x14ac:dyDescent="0.25">
      <c r="B10" s="2" t="s">
        <v>18</v>
      </c>
      <c r="G10" s="3">
        <v>89.75</v>
      </c>
      <c r="I10" s="4">
        <f t="shared" si="0"/>
        <v>53.85</v>
      </c>
      <c r="J10" s="4"/>
      <c r="K10" s="4">
        <f t="shared" si="1"/>
        <v>53.85</v>
      </c>
    </row>
    <row r="11" spans="2:11" x14ac:dyDescent="0.25">
      <c r="B11" s="2" t="s">
        <v>19</v>
      </c>
      <c r="G11" s="3">
        <v>80.42</v>
      </c>
      <c r="I11" s="4">
        <f t="shared" si="0"/>
        <v>48.252000000000002</v>
      </c>
      <c r="J11" s="4"/>
      <c r="K11" s="4">
        <f t="shared" si="1"/>
        <v>48.252000000000002</v>
      </c>
    </row>
    <row r="12" spans="2:11" x14ac:dyDescent="0.25">
      <c r="B12" s="2" t="s">
        <v>21</v>
      </c>
      <c r="G12" s="3">
        <v>429.62</v>
      </c>
      <c r="I12" s="4">
        <f t="shared" si="0"/>
        <v>257.77199999999999</v>
      </c>
      <c r="J12" s="4"/>
      <c r="K12" s="4">
        <f t="shared" si="1"/>
        <v>257.77199999999999</v>
      </c>
    </row>
    <row r="13" spans="2:11" x14ac:dyDescent="0.25">
      <c r="B13" s="2" t="s">
        <v>22</v>
      </c>
      <c r="G13" s="3">
        <v>27.1</v>
      </c>
      <c r="I13" s="4">
        <f t="shared" si="0"/>
        <v>16.260000000000002</v>
      </c>
      <c r="J13" s="4"/>
      <c r="K13" s="4">
        <f t="shared" si="1"/>
        <v>16.260000000000002</v>
      </c>
    </row>
    <row r="14" spans="2:11" x14ac:dyDescent="0.25">
      <c r="B14" s="2"/>
      <c r="G14" s="3"/>
      <c r="I14" s="4"/>
      <c r="J14" s="4"/>
      <c r="K14" s="4"/>
    </row>
    <row r="15" spans="2:11" x14ac:dyDescent="0.25">
      <c r="B15" s="1" t="s">
        <v>2</v>
      </c>
      <c r="G15" s="3">
        <v>1277.94</v>
      </c>
      <c r="I15" s="4">
        <f t="shared" si="0"/>
        <v>766.76400000000001</v>
      </c>
      <c r="J15" s="4"/>
      <c r="K15" s="4">
        <f t="shared" si="1"/>
        <v>766.76400000000001</v>
      </c>
    </row>
    <row r="16" spans="2:11" x14ac:dyDescent="0.25">
      <c r="G16" s="4"/>
      <c r="I16" s="4"/>
      <c r="J16" s="4"/>
      <c r="K16" s="4"/>
    </row>
    <row r="17" spans="2:11" x14ac:dyDescent="0.25">
      <c r="B17" s="1" t="s">
        <v>4</v>
      </c>
      <c r="G17" s="3">
        <v>1375.59</v>
      </c>
      <c r="I17" s="4">
        <f t="shared" si="0"/>
        <v>825.35399999999993</v>
      </c>
      <c r="J17" s="4"/>
      <c r="K17" s="4">
        <f t="shared" si="1"/>
        <v>825.35399999999993</v>
      </c>
    </row>
    <row r="18" spans="2:11" x14ac:dyDescent="0.25">
      <c r="B18" s="1" t="s">
        <v>24</v>
      </c>
      <c r="G18" s="3">
        <v>1127.77</v>
      </c>
      <c r="I18" s="4">
        <f t="shared" si="0"/>
        <v>676.66199999999992</v>
      </c>
      <c r="J18" s="4"/>
      <c r="K18" s="4">
        <f t="shared" si="1"/>
        <v>676.66199999999992</v>
      </c>
    </row>
    <row r="19" spans="2:11" x14ac:dyDescent="0.25">
      <c r="B19" s="1" t="s">
        <v>29</v>
      </c>
      <c r="G19" s="3">
        <v>539.45000000000005</v>
      </c>
      <c r="I19" s="4">
        <f t="shared" si="0"/>
        <v>323.67</v>
      </c>
      <c r="J19" s="4"/>
      <c r="K19" s="4">
        <f t="shared" si="1"/>
        <v>323.67</v>
      </c>
    </row>
    <row r="20" spans="2:11" x14ac:dyDescent="0.25">
      <c r="B20" s="1" t="s">
        <v>25</v>
      </c>
      <c r="G20" s="3">
        <v>358.19</v>
      </c>
      <c r="I20" s="4">
        <f t="shared" si="0"/>
        <v>214.91399999999999</v>
      </c>
      <c r="J20" s="4"/>
      <c r="K20" s="4">
        <f t="shared" si="1"/>
        <v>214.91399999999999</v>
      </c>
    </row>
    <row r="21" spans="2:11" x14ac:dyDescent="0.25">
      <c r="B21" s="1" t="s">
        <v>26</v>
      </c>
      <c r="G21" s="3">
        <v>118.61</v>
      </c>
      <c r="I21" s="4">
        <f t="shared" si="0"/>
        <v>71.165999999999997</v>
      </c>
      <c r="J21" s="4"/>
      <c r="K21" s="4">
        <f t="shared" si="1"/>
        <v>71.165999999999997</v>
      </c>
    </row>
    <row r="22" spans="2:11" x14ac:dyDescent="0.25">
      <c r="B22" s="1" t="s">
        <v>27</v>
      </c>
      <c r="G22" s="3">
        <v>92.69</v>
      </c>
      <c r="I22" s="4">
        <f t="shared" si="0"/>
        <v>55.613999999999997</v>
      </c>
      <c r="J22" s="4"/>
      <c r="K22" s="4">
        <f t="shared" si="1"/>
        <v>55.613999999999997</v>
      </c>
    </row>
    <row r="23" spans="2:11" x14ac:dyDescent="0.25">
      <c r="B23" s="1" t="s">
        <v>28</v>
      </c>
      <c r="G23" s="3">
        <v>121.68</v>
      </c>
      <c r="I23" s="4">
        <f t="shared" si="0"/>
        <v>73.007999999999996</v>
      </c>
      <c r="J23" s="4"/>
      <c r="K23" s="4">
        <f t="shared" si="1"/>
        <v>73.007999999999996</v>
      </c>
    </row>
    <row r="24" spans="2:11" x14ac:dyDescent="0.25">
      <c r="B24" s="1" t="s">
        <v>30</v>
      </c>
      <c r="G24" s="3">
        <v>666.43</v>
      </c>
      <c r="I24" s="4">
        <f t="shared" si="0"/>
        <v>399.85799999999995</v>
      </c>
      <c r="J24" s="4"/>
      <c r="K24" s="4">
        <f t="shared" si="1"/>
        <v>399.85799999999995</v>
      </c>
    </row>
    <row r="25" spans="2:11" x14ac:dyDescent="0.25">
      <c r="B25" s="1" t="s">
        <v>31</v>
      </c>
      <c r="G25" s="3">
        <v>79.92</v>
      </c>
      <c r="I25" s="4">
        <f t="shared" si="0"/>
        <v>47.951999999999998</v>
      </c>
      <c r="J25" s="4"/>
      <c r="K25" s="4">
        <f t="shared" si="1"/>
        <v>47.951999999999998</v>
      </c>
    </row>
    <row r="26" spans="2:11" x14ac:dyDescent="0.25">
      <c r="G26" s="3"/>
      <c r="I26" s="4"/>
      <c r="J26" s="4"/>
      <c r="K26" s="4"/>
    </row>
    <row r="27" spans="2:11" x14ac:dyDescent="0.25">
      <c r="B27" s="1" t="s">
        <v>3</v>
      </c>
      <c r="G27" s="3">
        <v>1761.51</v>
      </c>
      <c r="I27" s="4">
        <f t="shared" si="0"/>
        <v>1056.9059999999999</v>
      </c>
      <c r="J27" s="4"/>
      <c r="K27" s="4">
        <f t="shared" si="1"/>
        <v>1056.9059999999999</v>
      </c>
    </row>
    <row r="28" spans="2:11" x14ac:dyDescent="0.25">
      <c r="G28" s="3"/>
      <c r="I28" s="4"/>
      <c r="J28" s="4"/>
      <c r="K28" s="4"/>
    </row>
    <row r="29" spans="2:11" x14ac:dyDescent="0.25">
      <c r="B29" s="1" t="s">
        <v>6</v>
      </c>
      <c r="G29" s="4">
        <v>3195.9</v>
      </c>
      <c r="I29" s="4">
        <f t="shared" si="0"/>
        <v>1917.54</v>
      </c>
      <c r="J29" s="4"/>
      <c r="K29" s="4">
        <f t="shared" si="1"/>
        <v>1917.54</v>
      </c>
    </row>
    <row r="30" spans="2:11" x14ac:dyDescent="0.25">
      <c r="B30" s="1" t="s">
        <v>32</v>
      </c>
      <c r="G30" s="4">
        <v>2174.66</v>
      </c>
      <c r="I30" s="4">
        <f t="shared" si="0"/>
        <v>1304.7959999999998</v>
      </c>
      <c r="J30" s="4"/>
      <c r="K30" s="4">
        <f t="shared" si="1"/>
        <v>1304.7959999999998</v>
      </c>
    </row>
    <row r="31" spans="2:11" x14ac:dyDescent="0.25">
      <c r="B31" s="1" t="s">
        <v>33</v>
      </c>
      <c r="G31" s="4">
        <v>106.34</v>
      </c>
      <c r="I31" s="4">
        <f t="shared" si="0"/>
        <v>63.804000000000002</v>
      </c>
      <c r="J31" s="4"/>
      <c r="K31" s="4">
        <f t="shared" si="1"/>
        <v>63.804000000000002</v>
      </c>
    </row>
    <row r="32" spans="2:11" x14ac:dyDescent="0.25">
      <c r="B32" s="1" t="s">
        <v>40</v>
      </c>
      <c r="G32" s="4"/>
      <c r="I32" s="4"/>
      <c r="J32" s="4"/>
      <c r="K32" s="4"/>
    </row>
    <row r="33" spans="2:11" x14ac:dyDescent="0.25">
      <c r="B33" s="1" t="s">
        <v>34</v>
      </c>
      <c r="G33" s="4">
        <v>684.37</v>
      </c>
      <c r="I33" s="4">
        <f t="shared" si="0"/>
        <v>410.62200000000001</v>
      </c>
      <c r="J33" s="4"/>
      <c r="K33" s="4">
        <f t="shared" si="1"/>
        <v>410.62200000000001</v>
      </c>
    </row>
    <row r="34" spans="2:11" x14ac:dyDescent="0.25">
      <c r="B34" s="1" t="s">
        <v>35</v>
      </c>
      <c r="G34" s="4">
        <v>153.78151260504202</v>
      </c>
      <c r="I34" s="4">
        <f t="shared" si="0"/>
        <v>92.268907563025209</v>
      </c>
      <c r="J34" s="4"/>
      <c r="K34" s="4">
        <f t="shared" si="1"/>
        <v>92.268907563025209</v>
      </c>
    </row>
    <row r="35" spans="2:11" x14ac:dyDescent="0.25">
      <c r="B35" s="1" t="s">
        <v>36</v>
      </c>
      <c r="G35" s="4">
        <v>229.32773109243698</v>
      </c>
      <c r="I35" s="4">
        <f t="shared" si="0"/>
        <v>137.59663865546219</v>
      </c>
      <c r="J35" s="4"/>
      <c r="K35" s="4">
        <f t="shared" si="1"/>
        <v>137.59663865546219</v>
      </c>
    </row>
    <row r="36" spans="2:11" x14ac:dyDescent="0.25">
      <c r="B36" s="1" t="s">
        <v>37</v>
      </c>
      <c r="G36" s="4">
        <v>191.42857142857144</v>
      </c>
      <c r="I36" s="4">
        <f t="shared" si="0"/>
        <v>114.85714285714286</v>
      </c>
      <c r="J36" s="4"/>
      <c r="K36" s="4">
        <f t="shared" si="1"/>
        <v>114.85714285714286</v>
      </c>
    </row>
    <row r="37" spans="2:11" x14ac:dyDescent="0.25">
      <c r="B37" s="1" t="s">
        <v>38</v>
      </c>
      <c r="G37" s="4">
        <v>1080.3361344537816</v>
      </c>
      <c r="I37" s="4">
        <f t="shared" si="0"/>
        <v>648.20168067226894</v>
      </c>
      <c r="J37" s="4"/>
      <c r="K37" s="4">
        <f t="shared" si="1"/>
        <v>648.20168067226894</v>
      </c>
    </row>
    <row r="38" spans="2:11" x14ac:dyDescent="0.25">
      <c r="B38" s="1" t="s">
        <v>39</v>
      </c>
      <c r="G38" s="4">
        <v>114.20168067226892</v>
      </c>
      <c r="I38" s="4">
        <f t="shared" si="0"/>
        <v>68.52100840336135</v>
      </c>
      <c r="J38" s="4"/>
      <c r="K38" s="4">
        <f t="shared" si="1"/>
        <v>68.52100840336135</v>
      </c>
    </row>
    <row r="39" spans="2:11" x14ac:dyDescent="0.25">
      <c r="B39" s="1" t="s">
        <v>41</v>
      </c>
      <c r="G39" s="4">
        <v>555.420168067227</v>
      </c>
      <c r="I39" s="4">
        <f t="shared" si="0"/>
        <v>333.2521008403362</v>
      </c>
      <c r="J39" s="4"/>
      <c r="K39" s="4">
        <f t="shared" si="1"/>
        <v>333.2521008403362</v>
      </c>
    </row>
    <row r="40" spans="2:11" x14ac:dyDescent="0.25">
      <c r="B40" s="1" t="s">
        <v>42</v>
      </c>
      <c r="G40" s="4">
        <v>998.03361344537825</v>
      </c>
      <c r="I40" s="4">
        <f t="shared" si="0"/>
        <v>598.82016806722697</v>
      </c>
      <c r="J40" s="4"/>
      <c r="K40" s="4">
        <f t="shared" si="1"/>
        <v>598.82016806722697</v>
      </c>
    </row>
    <row r="41" spans="2:11" x14ac:dyDescent="0.25">
      <c r="B41" s="1" t="s">
        <v>43</v>
      </c>
      <c r="G41" s="4">
        <v>418.15126050420173</v>
      </c>
      <c r="I41" s="4">
        <f t="shared" si="0"/>
        <v>250.89075630252103</v>
      </c>
      <c r="J41" s="4"/>
      <c r="K41" s="4">
        <f t="shared" si="1"/>
        <v>250.89075630252103</v>
      </c>
    </row>
    <row r="42" spans="2:11" x14ac:dyDescent="0.25">
      <c r="G42" s="4"/>
      <c r="I42" s="4"/>
      <c r="J42" s="4"/>
      <c r="K42" s="4"/>
    </row>
    <row r="43" spans="2:11" x14ac:dyDescent="0.25">
      <c r="B43" s="1" t="s">
        <v>76</v>
      </c>
      <c r="G43" s="4">
        <v>3239.294117647059</v>
      </c>
      <c r="I43" s="4">
        <f t="shared" si="0"/>
        <v>1943.5764705882352</v>
      </c>
      <c r="J43" s="4"/>
      <c r="K43" s="4">
        <f t="shared" si="1"/>
        <v>1943.5764705882352</v>
      </c>
    </row>
    <row r="44" spans="2:11" x14ac:dyDescent="0.25">
      <c r="G44" s="4"/>
      <c r="I44" s="4"/>
      <c r="J44" s="4"/>
      <c r="K44" s="4"/>
    </row>
    <row r="45" spans="2:11" x14ac:dyDescent="0.25">
      <c r="B45" s="1" t="s">
        <v>7</v>
      </c>
      <c r="G45" s="4">
        <v>4585.21</v>
      </c>
      <c r="I45" s="4">
        <f t="shared" si="0"/>
        <v>2751.1259999999997</v>
      </c>
      <c r="J45" s="4"/>
      <c r="K45" s="4">
        <f t="shared" si="1"/>
        <v>2751.1259999999997</v>
      </c>
    </row>
    <row r="46" spans="2:11" x14ac:dyDescent="0.25">
      <c r="B46" s="1" t="s">
        <v>44</v>
      </c>
      <c r="G46" s="4">
        <v>1087.3109243697481</v>
      </c>
      <c r="I46" s="4">
        <f t="shared" si="0"/>
        <v>652.38655462184886</v>
      </c>
      <c r="J46" s="4"/>
      <c r="K46" s="4">
        <f t="shared" si="1"/>
        <v>652.38655462184886</v>
      </c>
    </row>
    <row r="47" spans="2:11" x14ac:dyDescent="0.25">
      <c r="B47" s="1" t="s">
        <v>49</v>
      </c>
      <c r="G47" s="4">
        <v>1798.1932773109245</v>
      </c>
      <c r="I47" s="4">
        <f t="shared" si="0"/>
        <v>1078.9159663865546</v>
      </c>
      <c r="J47" s="4"/>
      <c r="K47" s="4">
        <f t="shared" si="1"/>
        <v>1078.9159663865546</v>
      </c>
    </row>
    <row r="48" spans="2:11" x14ac:dyDescent="0.25">
      <c r="B48" s="1" t="s">
        <v>45</v>
      </c>
      <c r="G48" s="4">
        <v>1643.6134453781515</v>
      </c>
      <c r="I48" s="4">
        <f t="shared" si="0"/>
        <v>986.1680672268908</v>
      </c>
      <c r="J48" s="4"/>
      <c r="K48" s="4">
        <f t="shared" si="1"/>
        <v>986.1680672268908</v>
      </c>
    </row>
    <row r="49" spans="2:11" x14ac:dyDescent="0.25">
      <c r="B49" s="1" t="s">
        <v>46</v>
      </c>
      <c r="G49" s="4">
        <v>381.3865546218488</v>
      </c>
      <c r="I49" s="4">
        <f t="shared" si="0"/>
        <v>228.83193277310929</v>
      </c>
      <c r="J49" s="4"/>
      <c r="K49" s="4">
        <f t="shared" si="1"/>
        <v>228.83193277310929</v>
      </c>
    </row>
    <row r="50" spans="2:11" x14ac:dyDescent="0.25">
      <c r="B50" s="1" t="s">
        <v>47</v>
      </c>
      <c r="G50" s="4">
        <v>174.74789915966386</v>
      </c>
      <c r="I50" s="4">
        <f t="shared" si="0"/>
        <v>104.84873949579831</v>
      </c>
      <c r="J50" s="4"/>
      <c r="K50" s="4">
        <f t="shared" si="1"/>
        <v>104.84873949579831</v>
      </c>
    </row>
    <row r="51" spans="2:11" x14ac:dyDescent="0.25">
      <c r="B51" s="1" t="s">
        <v>48</v>
      </c>
      <c r="G51" s="4">
        <v>494.95798319327736</v>
      </c>
      <c r="I51" s="4">
        <f t="shared" si="0"/>
        <v>296.97478991596643</v>
      </c>
      <c r="J51" s="4"/>
      <c r="K51" s="4">
        <f t="shared" si="1"/>
        <v>296.97478991596643</v>
      </c>
    </row>
    <row r="52" spans="2:11" x14ac:dyDescent="0.25">
      <c r="B52" s="1" t="s">
        <v>50</v>
      </c>
      <c r="G52" s="4">
        <v>2429.4537815126055</v>
      </c>
      <c r="I52" s="4">
        <f t="shared" si="0"/>
        <v>1457.6722689075632</v>
      </c>
      <c r="J52" s="4"/>
      <c r="K52" s="4">
        <f t="shared" si="1"/>
        <v>1457.6722689075632</v>
      </c>
    </row>
    <row r="53" spans="2:11" x14ac:dyDescent="0.25">
      <c r="B53" s="1" t="s">
        <v>51</v>
      </c>
      <c r="G53" s="4">
        <v>1335.7563025210084</v>
      </c>
      <c r="I53" s="4">
        <f t="shared" si="0"/>
        <v>801.45378151260502</v>
      </c>
      <c r="J53" s="4"/>
      <c r="K53" s="4">
        <f t="shared" si="1"/>
        <v>801.45378151260502</v>
      </c>
    </row>
    <row r="54" spans="2:11" x14ac:dyDescent="0.25">
      <c r="B54" s="1" t="s">
        <v>52</v>
      </c>
      <c r="G54" s="4">
        <v>1756.8067226890757</v>
      </c>
      <c r="I54" s="4">
        <f t="shared" si="0"/>
        <v>1054.0840336134454</v>
      </c>
      <c r="J54" s="4"/>
      <c r="K54" s="4">
        <f t="shared" si="1"/>
        <v>1054.0840336134454</v>
      </c>
    </row>
    <row r="55" spans="2:11" x14ac:dyDescent="0.25">
      <c r="B55" s="1" t="s">
        <v>53</v>
      </c>
      <c r="G55" s="4">
        <v>2858.2773109243699</v>
      </c>
      <c r="I55" s="4">
        <f t="shared" si="0"/>
        <v>1714.966386554622</v>
      </c>
      <c r="J55" s="4"/>
      <c r="K55" s="4">
        <f t="shared" si="1"/>
        <v>1714.966386554622</v>
      </c>
    </row>
    <row r="56" spans="2:11" x14ac:dyDescent="0.25">
      <c r="G56" s="4"/>
      <c r="I56" s="4"/>
      <c r="J56" s="4"/>
      <c r="K56" s="4"/>
    </row>
    <row r="57" spans="2:11" x14ac:dyDescent="0.25">
      <c r="B57" s="1" t="s">
        <v>8</v>
      </c>
      <c r="G57" s="3">
        <v>6359.71</v>
      </c>
      <c r="I57" s="4">
        <f t="shared" si="0"/>
        <v>3815.826</v>
      </c>
      <c r="J57" s="4"/>
      <c r="K57" s="4">
        <f t="shared" si="1"/>
        <v>3815.826</v>
      </c>
    </row>
    <row r="58" spans="2:11" x14ac:dyDescent="0.25">
      <c r="B58" s="1" t="s">
        <v>77</v>
      </c>
      <c r="G58" s="4">
        <v>6359.7058823529414</v>
      </c>
      <c r="I58" s="4">
        <f t="shared" si="0"/>
        <v>3815.8235294117649</v>
      </c>
      <c r="J58" s="4"/>
      <c r="K58" s="4">
        <f t="shared" si="1"/>
        <v>3815.8235294117649</v>
      </c>
    </row>
    <row r="59" spans="2:11" x14ac:dyDescent="0.25">
      <c r="B59" s="1" t="s">
        <v>78</v>
      </c>
      <c r="G59" s="4">
        <v>7621.722689075631</v>
      </c>
      <c r="I59" s="4">
        <f t="shared" si="0"/>
        <v>4573.0336134453783</v>
      </c>
      <c r="J59" s="4"/>
      <c r="K59" s="4">
        <f t="shared" si="1"/>
        <v>4573.0336134453783</v>
      </c>
    </row>
    <row r="60" spans="2:11" x14ac:dyDescent="0.25">
      <c r="G60" s="3"/>
      <c r="I60" s="4"/>
      <c r="J60" s="4"/>
      <c r="K60" s="4"/>
    </row>
    <row r="61" spans="2:11" x14ac:dyDescent="0.25">
      <c r="B61" s="1" t="s">
        <v>72</v>
      </c>
      <c r="G61" s="4">
        <v>14890.966386554623</v>
      </c>
      <c r="I61" s="4">
        <f t="shared" si="0"/>
        <v>8934.5798319327732</v>
      </c>
      <c r="J61" s="4"/>
      <c r="K61" s="4">
        <f t="shared" si="1"/>
        <v>8934.5798319327732</v>
      </c>
    </row>
    <row r="62" spans="2:11" x14ac:dyDescent="0.25">
      <c r="G62" s="3"/>
      <c r="I62" s="4"/>
      <c r="J62" s="4"/>
      <c r="K62" s="4"/>
    </row>
    <row r="63" spans="2:11" x14ac:dyDescent="0.25">
      <c r="B63" s="1" t="s">
        <v>9</v>
      </c>
      <c r="G63" s="3">
        <v>7269.71</v>
      </c>
      <c r="I63" s="4">
        <f t="shared" si="0"/>
        <v>4361.826</v>
      </c>
      <c r="J63" s="4"/>
      <c r="K63" s="4">
        <f t="shared" si="1"/>
        <v>4361.826</v>
      </c>
    </row>
    <row r="64" spans="2:11" x14ac:dyDescent="0.25">
      <c r="B64" s="1" t="s">
        <v>54</v>
      </c>
      <c r="G64" s="4">
        <v>5960.1680672268913</v>
      </c>
      <c r="I64" s="4">
        <f t="shared" si="0"/>
        <v>3576.1008403361348</v>
      </c>
      <c r="J64" s="4"/>
      <c r="K64" s="4">
        <f t="shared" si="1"/>
        <v>3576.1008403361348</v>
      </c>
    </row>
    <row r="65" spans="2:11" x14ac:dyDescent="0.25">
      <c r="B65" s="1" t="s">
        <v>55</v>
      </c>
      <c r="G65" s="4">
        <v>2850.9663865546222</v>
      </c>
      <c r="I65" s="4">
        <f t="shared" si="0"/>
        <v>1710.5798319327732</v>
      </c>
      <c r="J65" s="4"/>
      <c r="K65" s="4">
        <f t="shared" si="1"/>
        <v>1710.5798319327732</v>
      </c>
    </row>
    <row r="66" spans="2:11" x14ac:dyDescent="0.25">
      <c r="B66" s="1" t="s">
        <v>56</v>
      </c>
      <c r="G66" s="4">
        <v>3875.0840336134461</v>
      </c>
      <c r="I66" s="4">
        <f t="shared" si="0"/>
        <v>2325.0504201680674</v>
      </c>
      <c r="J66" s="4"/>
      <c r="K66" s="4">
        <f t="shared" si="1"/>
        <v>2325.0504201680674</v>
      </c>
    </row>
    <row r="67" spans="2:11" x14ac:dyDescent="0.25">
      <c r="G67" s="3"/>
      <c r="I67" s="4"/>
      <c r="J67" s="4"/>
      <c r="K67" s="4"/>
    </row>
    <row r="68" spans="2:11" x14ac:dyDescent="0.25">
      <c r="B68" s="1" t="s">
        <v>79</v>
      </c>
      <c r="G68" s="3"/>
      <c r="I68" s="4"/>
      <c r="J68" s="4"/>
      <c r="K68" s="4"/>
    </row>
    <row r="69" spans="2:11" x14ac:dyDescent="0.25">
      <c r="B69" s="1" t="s">
        <v>80</v>
      </c>
      <c r="G69" s="3"/>
      <c r="I69" s="4"/>
      <c r="J69" s="4"/>
      <c r="K69" s="4"/>
    </row>
    <row r="70" spans="2:11" x14ac:dyDescent="0.25">
      <c r="G70" s="3"/>
      <c r="I70" s="4"/>
      <c r="J70" s="4"/>
      <c r="K70" s="4"/>
    </row>
    <row r="71" spans="2:11" x14ac:dyDescent="0.25">
      <c r="B71" s="1" t="s">
        <v>10</v>
      </c>
      <c r="G71" s="4">
        <v>10873.45</v>
      </c>
      <c r="I71" s="4">
        <f t="shared" ref="I71:I99" si="2">G71*0.6</f>
        <v>6524.0700000000006</v>
      </c>
      <c r="J71" s="4"/>
      <c r="K71" s="4">
        <f t="shared" ref="K71:K99" si="3">G71*0.6</f>
        <v>6524.0700000000006</v>
      </c>
    </row>
    <row r="72" spans="2:11" x14ac:dyDescent="0.25">
      <c r="B72" s="1" t="s">
        <v>57</v>
      </c>
      <c r="G72" s="4">
        <v>1047.2689075630253</v>
      </c>
      <c r="I72" s="4">
        <f t="shared" si="2"/>
        <v>628.36134453781517</v>
      </c>
      <c r="J72" s="4"/>
      <c r="K72" s="4">
        <f t="shared" si="3"/>
        <v>628.36134453781517</v>
      </c>
    </row>
    <row r="73" spans="2:11" x14ac:dyDescent="0.25">
      <c r="B73" s="1" t="s">
        <v>58</v>
      </c>
      <c r="G73" s="4">
        <v>8804.6638655462175</v>
      </c>
      <c r="I73" s="4">
        <f t="shared" si="2"/>
        <v>5282.7983193277305</v>
      </c>
      <c r="J73" s="4"/>
      <c r="K73" s="4">
        <f t="shared" si="3"/>
        <v>5282.7983193277305</v>
      </c>
    </row>
    <row r="74" spans="2:11" x14ac:dyDescent="0.25">
      <c r="B74" s="1" t="s">
        <v>59</v>
      </c>
      <c r="G74" s="4">
        <v>2113.5294117647059</v>
      </c>
      <c r="I74" s="4">
        <f t="shared" si="2"/>
        <v>1268.1176470588234</v>
      </c>
      <c r="J74" s="4"/>
      <c r="K74" s="4">
        <f t="shared" si="3"/>
        <v>1268.1176470588234</v>
      </c>
    </row>
    <row r="75" spans="2:11" x14ac:dyDescent="0.25">
      <c r="B75" s="1" t="s">
        <v>60</v>
      </c>
      <c r="G75" s="4">
        <v>617.52100840336141</v>
      </c>
      <c r="I75" s="4">
        <f t="shared" si="2"/>
        <v>370.51260504201684</v>
      </c>
      <c r="J75" s="4"/>
      <c r="K75" s="4">
        <f t="shared" si="3"/>
        <v>370.51260504201684</v>
      </c>
    </row>
    <row r="76" spans="2:11" x14ac:dyDescent="0.25">
      <c r="B76" s="1" t="s">
        <v>61</v>
      </c>
      <c r="G76" s="4">
        <v>4264.1596638655465</v>
      </c>
      <c r="I76" s="4">
        <f t="shared" si="2"/>
        <v>2558.4957983193276</v>
      </c>
      <c r="J76" s="4"/>
      <c r="K76" s="4">
        <f t="shared" si="3"/>
        <v>2558.4957983193276</v>
      </c>
    </row>
    <row r="77" spans="2:11" x14ac:dyDescent="0.25">
      <c r="B77" s="1" t="s">
        <v>62</v>
      </c>
      <c r="G77" s="4">
        <v>6879.2941176470586</v>
      </c>
      <c r="I77" s="4">
        <f t="shared" si="2"/>
        <v>4127.5764705882348</v>
      </c>
      <c r="J77" s="4"/>
      <c r="K77" s="4">
        <f t="shared" si="3"/>
        <v>4127.5764705882348</v>
      </c>
    </row>
    <row r="78" spans="2:11" x14ac:dyDescent="0.25">
      <c r="G78" s="4"/>
      <c r="I78" s="4"/>
      <c r="J78" s="4"/>
      <c r="K78" s="4"/>
    </row>
    <row r="79" spans="2:11" x14ac:dyDescent="0.25">
      <c r="B79" s="1" t="s">
        <v>81</v>
      </c>
      <c r="G79" s="4">
        <v>14626.008403361346</v>
      </c>
      <c r="I79" s="4">
        <f t="shared" si="2"/>
        <v>8775.6050420168067</v>
      </c>
      <c r="J79" s="4"/>
      <c r="K79" s="4">
        <f t="shared" si="3"/>
        <v>8775.6050420168067</v>
      </c>
    </row>
    <row r="80" spans="2:11" x14ac:dyDescent="0.25">
      <c r="G80" s="4"/>
      <c r="I80" s="4"/>
      <c r="J80" s="4"/>
      <c r="K80" s="4"/>
    </row>
    <row r="81" spans="2:11" x14ac:dyDescent="0.25">
      <c r="B81" s="1" t="s">
        <v>63</v>
      </c>
      <c r="G81" s="4"/>
      <c r="I81" s="4"/>
      <c r="J81" s="4"/>
      <c r="K81" s="4"/>
    </row>
    <row r="82" spans="2:11" x14ac:dyDescent="0.25">
      <c r="B82" s="1" t="s">
        <v>64</v>
      </c>
      <c r="G82" s="4">
        <v>1956.8487394957986</v>
      </c>
      <c r="I82" s="4">
        <f t="shared" si="2"/>
        <v>1174.1092436974791</v>
      </c>
      <c r="J82" s="4"/>
      <c r="K82" s="4">
        <f t="shared" si="3"/>
        <v>1174.1092436974791</v>
      </c>
    </row>
    <row r="83" spans="2:11" x14ac:dyDescent="0.25">
      <c r="B83" s="1" t="s">
        <v>82</v>
      </c>
      <c r="G83" s="4">
        <v>2092.5210084033615</v>
      </c>
      <c r="I83" s="4">
        <f t="shared" si="2"/>
        <v>1255.512605042017</v>
      </c>
      <c r="J83" s="4"/>
      <c r="K83" s="4">
        <f t="shared" si="3"/>
        <v>1255.512605042017</v>
      </c>
    </row>
    <row r="84" spans="2:11" x14ac:dyDescent="0.25">
      <c r="B84" s="1" t="s">
        <v>65</v>
      </c>
      <c r="G84" s="4">
        <v>2479.0336134453783</v>
      </c>
      <c r="I84" s="4">
        <f t="shared" si="2"/>
        <v>1487.420168067227</v>
      </c>
      <c r="J84" s="4"/>
      <c r="K84" s="4">
        <f t="shared" si="3"/>
        <v>1487.420168067227</v>
      </c>
    </row>
    <row r="85" spans="2:11" x14ac:dyDescent="0.25">
      <c r="B85" s="1" t="s">
        <v>66</v>
      </c>
      <c r="G85" s="4">
        <v>5878.4033613445381</v>
      </c>
      <c r="I85" s="4">
        <f t="shared" si="2"/>
        <v>3527.0420168067226</v>
      </c>
      <c r="J85" s="4"/>
      <c r="K85" s="4">
        <f t="shared" si="3"/>
        <v>3527.0420168067226</v>
      </c>
    </row>
    <row r="86" spans="2:11" x14ac:dyDescent="0.25">
      <c r="B86" s="1" t="s">
        <v>67</v>
      </c>
      <c r="G86" s="4">
        <v>7277.0588235294126</v>
      </c>
      <c r="I86" s="4">
        <f t="shared" si="2"/>
        <v>4366.2352941176478</v>
      </c>
      <c r="J86" s="4"/>
      <c r="K86" s="4">
        <f t="shared" si="3"/>
        <v>4366.2352941176478</v>
      </c>
    </row>
    <row r="87" spans="2:11" x14ac:dyDescent="0.25">
      <c r="B87" s="1" t="s">
        <v>68</v>
      </c>
      <c r="G87" s="4">
        <v>9428.7815126050427</v>
      </c>
      <c r="I87" s="4">
        <f t="shared" si="2"/>
        <v>5657.2689075630251</v>
      </c>
      <c r="J87" s="4"/>
      <c r="K87" s="4">
        <f t="shared" si="3"/>
        <v>5657.2689075630251</v>
      </c>
    </row>
    <row r="88" spans="2:11" x14ac:dyDescent="0.25">
      <c r="B88" s="1" t="s">
        <v>69</v>
      </c>
      <c r="G88" s="4">
        <v>11854.504201680673</v>
      </c>
      <c r="I88" s="4">
        <f t="shared" si="2"/>
        <v>7112.7025210084039</v>
      </c>
      <c r="J88" s="4"/>
      <c r="K88" s="4">
        <f t="shared" si="3"/>
        <v>7112.7025210084039</v>
      </c>
    </row>
    <row r="89" spans="2:11" x14ac:dyDescent="0.25">
      <c r="B89" s="1" t="s">
        <v>70</v>
      </c>
      <c r="G89" s="4">
        <v>14699.537815126052</v>
      </c>
      <c r="I89" s="4">
        <f t="shared" si="2"/>
        <v>8819.7226890756301</v>
      </c>
      <c r="J89" s="4"/>
      <c r="K89" s="4">
        <f t="shared" si="3"/>
        <v>8819.7226890756301</v>
      </c>
    </row>
    <row r="90" spans="2:11" x14ac:dyDescent="0.25">
      <c r="B90" s="1" t="s">
        <v>71</v>
      </c>
      <c r="G90" s="4">
        <v>15434.53781512605</v>
      </c>
      <c r="I90" s="4">
        <f t="shared" si="2"/>
        <v>9260.7226890756301</v>
      </c>
      <c r="J90" s="4"/>
      <c r="K90" s="4">
        <f t="shared" si="3"/>
        <v>9260.7226890756301</v>
      </c>
    </row>
    <row r="91" spans="2:11" x14ac:dyDescent="0.25">
      <c r="G91" s="4"/>
      <c r="I91" s="4"/>
      <c r="J91" s="4"/>
      <c r="K91" s="4"/>
    </row>
    <row r="92" spans="2:11" x14ac:dyDescent="0.25">
      <c r="G92" s="4"/>
      <c r="I92" s="4"/>
      <c r="J92" s="4"/>
      <c r="K92" s="4"/>
    </row>
    <row r="93" spans="2:11" x14ac:dyDescent="0.25">
      <c r="G93" s="4"/>
      <c r="I93" s="4"/>
      <c r="J93" s="4"/>
      <c r="K93" s="4"/>
    </row>
    <row r="94" spans="2:11" x14ac:dyDescent="0.25">
      <c r="B94" s="1" t="s">
        <v>11</v>
      </c>
      <c r="G94" s="4">
        <v>1339.71</v>
      </c>
      <c r="I94" s="4">
        <f t="shared" si="2"/>
        <v>803.82600000000002</v>
      </c>
      <c r="J94" s="4"/>
      <c r="K94" s="4">
        <f t="shared" si="3"/>
        <v>803.82600000000002</v>
      </c>
    </row>
    <row r="95" spans="2:11" x14ac:dyDescent="0.25">
      <c r="B95" s="1" t="s">
        <v>73</v>
      </c>
      <c r="G95" s="4">
        <v>424.74789915966386</v>
      </c>
      <c r="I95" s="4">
        <f t="shared" si="2"/>
        <v>254.8487394957983</v>
      </c>
      <c r="J95" s="4"/>
      <c r="K95" s="4">
        <f t="shared" si="3"/>
        <v>254.8487394957983</v>
      </c>
    </row>
    <row r="96" spans="2:11" x14ac:dyDescent="0.25">
      <c r="B96" s="1" t="s">
        <v>12</v>
      </c>
      <c r="G96" s="3">
        <v>1880.84</v>
      </c>
      <c r="I96" s="4">
        <f t="shared" si="2"/>
        <v>1128.5039999999999</v>
      </c>
      <c r="J96" s="4"/>
      <c r="K96" s="4">
        <f t="shared" si="3"/>
        <v>1128.5039999999999</v>
      </c>
    </row>
    <row r="97" spans="2:11" x14ac:dyDescent="0.25">
      <c r="B97" s="1" t="s">
        <v>75</v>
      </c>
      <c r="G97" s="4">
        <v>483.24369747899158</v>
      </c>
      <c r="I97" s="4">
        <f t="shared" si="2"/>
        <v>289.94621848739496</v>
      </c>
      <c r="J97" s="4"/>
      <c r="K97" s="4">
        <f t="shared" si="3"/>
        <v>289.94621848739496</v>
      </c>
    </row>
    <row r="98" spans="2:11" x14ac:dyDescent="0.25">
      <c r="B98" s="1" t="s">
        <v>13</v>
      </c>
      <c r="G98" s="4">
        <v>3712.27</v>
      </c>
      <c r="I98" s="4">
        <f t="shared" si="2"/>
        <v>2227.3620000000001</v>
      </c>
      <c r="J98" s="4"/>
      <c r="K98" s="4">
        <f t="shared" si="3"/>
        <v>2227.3620000000001</v>
      </c>
    </row>
    <row r="99" spans="2:11" x14ac:dyDescent="0.25">
      <c r="B99" s="1" t="s">
        <v>74</v>
      </c>
      <c r="G99" s="4">
        <v>978.8739495798319</v>
      </c>
      <c r="I99" s="4">
        <f t="shared" si="2"/>
        <v>587.32436974789914</v>
      </c>
      <c r="J99" s="4"/>
      <c r="K99" s="4">
        <f t="shared" si="3"/>
        <v>587.32436974789914</v>
      </c>
    </row>
    <row r="100" spans="2:11" x14ac:dyDescent="0.25">
      <c r="G100" s="4"/>
    </row>
    <row r="101" spans="2:11" x14ac:dyDescent="0.25">
      <c r="G10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2018-09-13T08:04:10Z</dcterms:created>
  <dcterms:modified xsi:type="dcterms:W3CDTF">2018-09-13T10:08:58Z</dcterms:modified>
</cp:coreProperties>
</file>