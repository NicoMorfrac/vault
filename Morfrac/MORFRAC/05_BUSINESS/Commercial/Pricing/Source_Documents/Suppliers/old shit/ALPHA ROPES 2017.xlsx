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80" yWindow="-90" windowWidth="11340" windowHeight="7095" activeTab="12"/>
  </bookViews>
  <sheets>
    <sheet name="Pro Race" sheetId="1" r:id="rId1"/>
    <sheet name="Skincovers" sheetId="13" r:id="rId2"/>
    <sheet name="Regatta" sheetId="3" r:id="rId3"/>
    <sheet name="Classic" sheetId="15" r:id="rId4"/>
    <sheet name="Cruising" sheetId="2" r:id="rId5"/>
    <sheet name="Olympic Line" sheetId="4" r:id="rId6"/>
    <sheet name="Sailmaker" sheetId="6" r:id="rId7"/>
    <sheet name="Kite &amp; Wind" sheetId="5" r:id="rId8"/>
    <sheet name="Mooring" sheetId="7" r:id="rId9"/>
    <sheet name="Mini-Boxes" sheetId="11" r:id="rId10"/>
    <sheet name="Acessories" sheetId="9" r:id="rId11"/>
    <sheet name="Ready Made" sheetId="16" r:id="rId12"/>
    <sheet name="Webbings" sheetId="10" r:id="rId13"/>
    <sheet name="Folha1" sheetId="20" r:id="rId14"/>
  </sheets>
  <definedNames>
    <definedName name="_xlnm.Print_Area" localSheetId="10">Acessories!$B$1:$G$54</definedName>
    <definedName name="_xlnm.Print_Area" localSheetId="3">Classic!$B$1:$G$121</definedName>
    <definedName name="_xlnm.Print_Area" localSheetId="4">Cruising!$B$1:$G$146</definedName>
    <definedName name="_xlnm.Print_Area" localSheetId="7">'Kite &amp; Wind'!$B$1:$G$53</definedName>
    <definedName name="_xlnm.Print_Area" localSheetId="9">'Mini-Boxes'!$B$1:$G$44</definedName>
    <definedName name="_xlnm.Print_Area" localSheetId="8">Mooring!$B$1:$G$118</definedName>
    <definedName name="_xlnm.Print_Area" localSheetId="5">'Olympic Line'!$B$1:$G$175</definedName>
    <definedName name="_xlnm.Print_Area" localSheetId="0">'Pro Race'!$B$218:$H$396</definedName>
    <definedName name="_xlnm.Print_Area" localSheetId="11">'Ready Made'!$B$1:$G$64</definedName>
    <definedName name="_xlnm.Print_Area" localSheetId="2">Regatta!$B$1:$G$132</definedName>
    <definedName name="_xlnm.Print_Area" localSheetId="6">Sailmaker!$B$1:$G$122</definedName>
    <definedName name="_xlnm.Print_Area" localSheetId="1">Skincovers!$B$1:$G$99</definedName>
    <definedName name="_xlnm.Print_Area" localSheetId="12">Webbings!$B$1:$G$86</definedName>
    <definedName name="_xlnm.Print_Titles" localSheetId="10">Acessories!$24:$26</definedName>
    <definedName name="_xlnm.Print_Titles" localSheetId="3">Classic!$24:$26</definedName>
    <definedName name="_xlnm.Print_Titles" localSheetId="4">Cruising!$24:$26</definedName>
    <definedName name="_xlnm.Print_Titles" localSheetId="7">'Kite &amp; Wind'!$24:$26</definedName>
    <definedName name="_xlnm.Print_Titles" localSheetId="9">'Mini-Boxes'!$24:$26</definedName>
    <definedName name="_xlnm.Print_Titles" localSheetId="8">Mooring!$24:$26</definedName>
    <definedName name="_xlnm.Print_Titles" localSheetId="5">'Olympic Line'!$24:$26</definedName>
    <definedName name="_xlnm.Print_Titles" localSheetId="0">'Pro Race'!$24:$26</definedName>
    <definedName name="_xlnm.Print_Titles" localSheetId="11">'Ready Made'!$28:$30</definedName>
    <definedName name="_xlnm.Print_Titles" localSheetId="2">Regatta!$24:$26</definedName>
    <definedName name="_xlnm.Print_Titles" localSheetId="6">Sailmaker!$24:$26</definedName>
    <definedName name="_xlnm.Print_Titles" localSheetId="1">Skincovers!$24:$26</definedName>
    <definedName name="_xlnm.Print_Titles" localSheetId="12">Webbings!$24:$26</definedName>
  </definedNames>
  <calcPr calcId="145621"/>
</workbook>
</file>

<file path=xl/calcChain.xml><?xml version="1.0" encoding="utf-8"?>
<calcChain xmlns="http://schemas.openxmlformats.org/spreadsheetml/2006/main">
  <c r="G63" i="10" l="1"/>
  <c r="G64" i="10"/>
  <c r="G67" i="10"/>
  <c r="G68" i="10"/>
  <c r="G69" i="10"/>
  <c r="G72" i="10"/>
  <c r="G73" i="10"/>
  <c r="G76" i="10"/>
  <c r="G77" i="10"/>
  <c r="G78" i="10"/>
  <c r="G79" i="10"/>
  <c r="G80" i="10"/>
  <c r="G81" i="10"/>
  <c r="G84" i="10"/>
  <c r="G85" i="10"/>
  <c r="G86" i="10"/>
  <c r="G62" i="10"/>
  <c r="G59" i="10"/>
  <c r="G56" i="10"/>
  <c r="G51" i="10"/>
  <c r="G52" i="10"/>
  <c r="G53" i="10"/>
  <c r="G50" i="10"/>
  <c r="G37" i="10"/>
  <c r="G38" i="10"/>
  <c r="G39" i="10"/>
  <c r="G40" i="10"/>
  <c r="G41" i="10"/>
  <c r="G42" i="10"/>
  <c r="G43" i="10"/>
  <c r="G44" i="10"/>
  <c r="G45" i="10"/>
  <c r="G46" i="10"/>
  <c r="G47" i="10"/>
  <c r="G36" i="10"/>
  <c r="G29" i="10"/>
  <c r="G30" i="10"/>
  <c r="G31" i="10"/>
  <c r="G28" i="10"/>
  <c r="G117" i="7"/>
  <c r="G118" i="7"/>
  <c r="G116" i="7"/>
  <c r="G113" i="7"/>
  <c r="G114" i="7"/>
  <c r="G112" i="7"/>
  <c r="G109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93" i="7"/>
  <c r="G85" i="7"/>
  <c r="G86" i="7"/>
  <c r="G87" i="7"/>
  <c r="G88" i="7"/>
  <c r="G89" i="7"/>
  <c r="G90" i="7"/>
  <c r="G84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65" i="7"/>
  <c r="G56" i="7"/>
  <c r="G57" i="7"/>
  <c r="G58" i="7"/>
  <c r="G59" i="7"/>
  <c r="G60" i="7"/>
  <c r="G61" i="7"/>
  <c r="G62" i="7"/>
  <c r="G55" i="7"/>
  <c r="G52" i="7"/>
  <c r="G43" i="7"/>
  <c r="G44" i="7"/>
  <c r="G45" i="7"/>
  <c r="G46" i="7"/>
  <c r="G47" i="7"/>
  <c r="G48" i="7"/>
  <c r="G49" i="7"/>
  <c r="G50" i="7"/>
  <c r="G51" i="7"/>
  <c r="G42" i="7"/>
  <c r="G40" i="7"/>
  <c r="G29" i="7"/>
  <c r="G30" i="7"/>
  <c r="G31" i="7"/>
  <c r="G32" i="7"/>
  <c r="G33" i="7"/>
  <c r="G34" i="7"/>
  <c r="G35" i="7"/>
  <c r="G36" i="7"/>
  <c r="G37" i="7"/>
  <c r="G38" i="7"/>
  <c r="G39" i="7"/>
  <c r="G28" i="7"/>
  <c r="G26" i="7"/>
  <c r="G34" i="5"/>
  <c r="G53" i="5"/>
  <c r="G50" i="5"/>
  <c r="G47" i="5"/>
  <c r="G46" i="5"/>
  <c r="G43" i="5"/>
  <c r="G40" i="5"/>
  <c r="G37" i="5"/>
  <c r="G29" i="5"/>
  <c r="G30" i="5"/>
  <c r="G31" i="5"/>
  <c r="G32" i="5"/>
  <c r="G33" i="5"/>
  <c r="G28" i="5"/>
  <c r="G26" i="5"/>
  <c r="G81" i="6"/>
  <c r="G120" i="6"/>
  <c r="G121" i="6"/>
  <c r="G122" i="6"/>
  <c r="G119" i="6"/>
  <c r="G116" i="6"/>
  <c r="G115" i="6"/>
  <c r="G112" i="6"/>
  <c r="G111" i="6"/>
  <c r="G110" i="6"/>
  <c r="G103" i="6"/>
  <c r="G104" i="6"/>
  <c r="G105" i="6"/>
  <c r="G106" i="6"/>
  <c r="G107" i="6"/>
  <c r="G102" i="6"/>
  <c r="G99" i="6"/>
  <c r="G94" i="6"/>
  <c r="G95" i="6"/>
  <c r="G96" i="6"/>
  <c r="G97" i="6"/>
  <c r="G98" i="6"/>
  <c r="G93" i="6"/>
  <c r="G85" i="6"/>
  <c r="G86" i="6"/>
  <c r="G87" i="6"/>
  <c r="G88" i="6"/>
  <c r="G89" i="6"/>
  <c r="G90" i="6"/>
  <c r="G84" i="6"/>
  <c r="G78" i="6"/>
  <c r="G79" i="6"/>
  <c r="G80" i="6"/>
  <c r="G77" i="6"/>
  <c r="G71" i="6"/>
  <c r="G72" i="6"/>
  <c r="G73" i="6"/>
  <c r="G74" i="6"/>
  <c r="G70" i="6"/>
  <c r="G61" i="6"/>
  <c r="G62" i="6"/>
  <c r="G63" i="6"/>
  <c r="G64" i="6"/>
  <c r="G65" i="6"/>
  <c r="G66" i="6"/>
  <c r="G67" i="6"/>
  <c r="G60" i="6"/>
  <c r="G48" i="6"/>
  <c r="G49" i="6"/>
  <c r="G50" i="6"/>
  <c r="G51" i="6"/>
  <c r="G52" i="6"/>
  <c r="G53" i="6"/>
  <c r="G54" i="6"/>
  <c r="G55" i="6"/>
  <c r="G56" i="6"/>
  <c r="G57" i="6"/>
  <c r="G47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28" i="6"/>
  <c r="G26" i="6"/>
  <c r="G175" i="4"/>
  <c r="G174" i="4"/>
  <c r="G170" i="4"/>
  <c r="G171" i="4"/>
  <c r="G169" i="4"/>
  <c r="G162" i="4"/>
  <c r="G163" i="4"/>
  <c r="G164" i="4"/>
  <c r="G165" i="4"/>
  <c r="G166" i="4"/>
  <c r="G161" i="4"/>
  <c r="G156" i="4"/>
  <c r="G157" i="4"/>
  <c r="G158" i="4"/>
  <c r="G155" i="4"/>
  <c r="G151" i="4"/>
  <c r="G152" i="4"/>
  <c r="G150" i="4"/>
  <c r="G143" i="4"/>
  <c r="G144" i="4"/>
  <c r="G145" i="4"/>
  <c r="G146" i="4"/>
  <c r="G147" i="4"/>
  <c r="G142" i="4"/>
  <c r="G134" i="4"/>
  <c r="G135" i="4"/>
  <c r="G136" i="4"/>
  <c r="G137" i="4"/>
  <c r="G138" i="4"/>
  <c r="G139" i="4"/>
  <c r="G133" i="4"/>
  <c r="G125" i="4"/>
  <c r="G126" i="4"/>
  <c r="G127" i="4"/>
  <c r="G128" i="4"/>
  <c r="G129" i="4"/>
  <c r="G130" i="4"/>
  <c r="G124" i="4"/>
  <c r="G116" i="4"/>
  <c r="G117" i="4"/>
  <c r="G118" i="4"/>
  <c r="G119" i="4"/>
  <c r="G120" i="4"/>
  <c r="G121" i="4"/>
  <c r="G115" i="4"/>
  <c r="G112" i="4"/>
  <c r="G107" i="4"/>
  <c r="G108" i="4"/>
  <c r="G109" i="4"/>
  <c r="G106" i="4"/>
  <c r="G102" i="4"/>
  <c r="G103" i="4"/>
  <c r="G101" i="4"/>
  <c r="G96" i="4"/>
  <c r="G97" i="4"/>
  <c r="G98" i="4"/>
  <c r="G95" i="4"/>
  <c r="G86" i="4"/>
  <c r="G87" i="4"/>
  <c r="G88" i="4"/>
  <c r="G89" i="4"/>
  <c r="G90" i="4"/>
  <c r="G91" i="4"/>
  <c r="G92" i="4"/>
  <c r="G85" i="4"/>
  <c r="G82" i="4"/>
  <c r="G81" i="4"/>
  <c r="G74" i="4"/>
  <c r="G75" i="4"/>
  <c r="G76" i="4"/>
  <c r="G77" i="4"/>
  <c r="G78" i="4"/>
  <c r="G73" i="4"/>
  <c r="G65" i="4"/>
  <c r="G66" i="4"/>
  <c r="G67" i="4"/>
  <c r="G68" i="4"/>
  <c r="G69" i="4"/>
  <c r="G70" i="4"/>
  <c r="G64" i="4"/>
  <c r="G56" i="4"/>
  <c r="G57" i="4"/>
  <c r="G58" i="4"/>
  <c r="G59" i="4"/>
  <c r="G60" i="4"/>
  <c r="G61" i="4"/>
  <c r="G55" i="4"/>
  <c r="G50" i="4"/>
  <c r="G51" i="4"/>
  <c r="G52" i="4"/>
  <c r="G49" i="4"/>
  <c r="G44" i="4"/>
  <c r="G45" i="4"/>
  <c r="G46" i="4"/>
  <c r="G43" i="4"/>
  <c r="G38" i="4"/>
  <c r="G39" i="4"/>
  <c r="G40" i="4"/>
  <c r="G37" i="4"/>
  <c r="G29" i="4"/>
  <c r="G30" i="4"/>
  <c r="G31" i="4"/>
  <c r="G32" i="4"/>
  <c r="G33" i="4"/>
  <c r="G34" i="4"/>
  <c r="G28" i="4"/>
  <c r="G26" i="4"/>
  <c r="G145" i="2"/>
  <c r="G146" i="2"/>
  <c r="G144" i="2"/>
  <c r="G139" i="2"/>
  <c r="G140" i="2"/>
  <c r="G141" i="2"/>
  <c r="G138" i="2"/>
  <c r="G134" i="2"/>
  <c r="G135" i="2"/>
  <c r="G136" i="2"/>
  <c r="G133" i="2"/>
  <c r="G123" i="2"/>
  <c r="G124" i="2"/>
  <c r="G125" i="2"/>
  <c r="G126" i="2"/>
  <c r="G127" i="2"/>
  <c r="G128" i="2"/>
  <c r="G129" i="2"/>
  <c r="G130" i="2"/>
  <c r="G122" i="2"/>
  <c r="G114" i="2"/>
  <c r="G115" i="2"/>
  <c r="G116" i="2"/>
  <c r="G117" i="2"/>
  <c r="G118" i="2"/>
  <c r="G119" i="2"/>
  <c r="G113" i="2"/>
  <c r="G110" i="2"/>
  <c r="G101" i="2"/>
  <c r="G102" i="2"/>
  <c r="G103" i="2"/>
  <c r="G104" i="2"/>
  <c r="G105" i="2"/>
  <c r="G106" i="2"/>
  <c r="G107" i="2"/>
  <c r="G108" i="2"/>
  <c r="G109" i="2"/>
  <c r="G100" i="2"/>
  <c r="G98" i="2"/>
  <c r="G89" i="2"/>
  <c r="G90" i="2"/>
  <c r="G91" i="2"/>
  <c r="G92" i="2"/>
  <c r="G93" i="2"/>
  <c r="G94" i="2"/>
  <c r="G95" i="2"/>
  <c r="G96" i="2"/>
  <c r="G97" i="2"/>
  <c r="G88" i="2"/>
  <c r="G78" i="2"/>
  <c r="G79" i="2"/>
  <c r="G80" i="2"/>
  <c r="G81" i="2"/>
  <c r="G82" i="2"/>
  <c r="G83" i="2"/>
  <c r="G84" i="2"/>
  <c r="G85" i="2"/>
  <c r="G77" i="2"/>
  <c r="G64" i="2"/>
  <c r="G65" i="2"/>
  <c r="G66" i="2"/>
  <c r="G67" i="2"/>
  <c r="G68" i="2"/>
  <c r="G69" i="2"/>
  <c r="G70" i="2"/>
  <c r="G71" i="2"/>
  <c r="G72" i="2"/>
  <c r="G73" i="2"/>
  <c r="G74" i="2"/>
  <c r="G63" i="2"/>
  <c r="G52" i="2"/>
  <c r="G53" i="2"/>
  <c r="G54" i="2"/>
  <c r="G55" i="2"/>
  <c r="G56" i="2"/>
  <c r="G57" i="2"/>
  <c r="G58" i="2"/>
  <c r="G59" i="2"/>
  <c r="G60" i="2"/>
  <c r="G61" i="2"/>
  <c r="G51" i="2"/>
  <c r="G40" i="2"/>
  <c r="G41" i="2"/>
  <c r="G42" i="2"/>
  <c r="G43" i="2"/>
  <c r="G44" i="2"/>
  <c r="G45" i="2"/>
  <c r="G46" i="2"/>
  <c r="G47" i="2"/>
  <c r="G48" i="2"/>
  <c r="G39" i="2"/>
  <c r="G29" i="2"/>
  <c r="G30" i="2"/>
  <c r="G31" i="2"/>
  <c r="G32" i="2"/>
  <c r="G33" i="2"/>
  <c r="G34" i="2"/>
  <c r="G35" i="2"/>
  <c r="G36" i="2"/>
  <c r="G37" i="2"/>
  <c r="G28" i="2"/>
  <c r="G26" i="2"/>
  <c r="G121" i="15"/>
  <c r="G113" i="15"/>
  <c r="G114" i="15"/>
  <c r="G115" i="15"/>
  <c r="G116" i="15"/>
  <c r="G117" i="15"/>
  <c r="G118" i="15"/>
  <c r="G119" i="15"/>
  <c r="G120" i="15"/>
  <c r="G112" i="15"/>
  <c r="G102" i="15"/>
  <c r="G103" i="15"/>
  <c r="G104" i="15"/>
  <c r="G105" i="15"/>
  <c r="G106" i="15"/>
  <c r="G107" i="15"/>
  <c r="G108" i="15"/>
  <c r="G109" i="15"/>
  <c r="G110" i="15"/>
  <c r="G101" i="15"/>
  <c r="G91" i="15"/>
  <c r="G92" i="15"/>
  <c r="G93" i="15"/>
  <c r="G94" i="15"/>
  <c r="G95" i="15"/>
  <c r="G96" i="15"/>
  <c r="G97" i="15"/>
  <c r="G98" i="15"/>
  <c r="G90" i="15"/>
  <c r="G81" i="15"/>
  <c r="G82" i="15"/>
  <c r="G83" i="15"/>
  <c r="G84" i="15"/>
  <c r="G85" i="15"/>
  <c r="G86" i="15"/>
  <c r="G87" i="15"/>
  <c r="G88" i="15"/>
  <c r="G80" i="15"/>
  <c r="G68" i="15"/>
  <c r="G69" i="15"/>
  <c r="G70" i="15"/>
  <c r="G71" i="15"/>
  <c r="G72" i="15"/>
  <c r="G73" i="15"/>
  <c r="G74" i="15"/>
  <c r="G75" i="15"/>
  <c r="G76" i="15"/>
  <c r="G77" i="15"/>
  <c r="G67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52" i="15"/>
  <c r="G43" i="15"/>
  <c r="G44" i="15"/>
  <c r="G45" i="15"/>
  <c r="G46" i="15"/>
  <c r="G47" i="15"/>
  <c r="G48" i="15"/>
  <c r="G49" i="15"/>
  <c r="G42" i="15"/>
  <c r="G29" i="15"/>
  <c r="G30" i="15"/>
  <c r="G31" i="15"/>
  <c r="G32" i="15"/>
  <c r="G33" i="15"/>
  <c r="G34" i="15"/>
  <c r="G35" i="15"/>
  <c r="G36" i="15"/>
  <c r="G37" i="15"/>
  <c r="G38" i="15"/>
  <c r="G39" i="15"/>
  <c r="G28" i="15"/>
  <c r="G127" i="3"/>
  <c r="G128" i="3"/>
  <c r="G129" i="3"/>
  <c r="G130" i="3"/>
  <c r="G131" i="3"/>
  <c r="G132" i="3"/>
  <c r="G126" i="3"/>
  <c r="G120" i="3"/>
  <c r="G121" i="3"/>
  <c r="G122" i="3"/>
  <c r="G123" i="3"/>
  <c r="G119" i="3"/>
  <c r="G107" i="3"/>
  <c r="G108" i="3"/>
  <c r="G109" i="3"/>
  <c r="G110" i="3"/>
  <c r="G111" i="3"/>
  <c r="G112" i="3"/>
  <c r="G113" i="3"/>
  <c r="G114" i="3"/>
  <c r="G115" i="3"/>
  <c r="G116" i="3"/>
  <c r="G106" i="3"/>
  <c r="G94" i="3"/>
  <c r="G95" i="3"/>
  <c r="G96" i="3"/>
  <c r="G97" i="3"/>
  <c r="G98" i="3"/>
  <c r="G99" i="3"/>
  <c r="G100" i="3"/>
  <c r="G101" i="3"/>
  <c r="G102" i="3"/>
  <c r="G103" i="3"/>
  <c r="G93" i="3"/>
  <c r="G82" i="3"/>
  <c r="G83" i="3"/>
  <c r="G84" i="3"/>
  <c r="G85" i="3"/>
  <c r="G86" i="3"/>
  <c r="G87" i="3"/>
  <c r="G88" i="3"/>
  <c r="G89" i="3"/>
  <c r="G90" i="3"/>
  <c r="G81" i="3"/>
  <c r="G69" i="3"/>
  <c r="G70" i="3"/>
  <c r="G71" i="3"/>
  <c r="G72" i="3"/>
  <c r="G73" i="3"/>
  <c r="G74" i="3"/>
  <c r="G75" i="3"/>
  <c r="G76" i="3"/>
  <c r="G77" i="3"/>
  <c r="G68" i="3"/>
  <c r="G60" i="3"/>
  <c r="G61" i="3"/>
  <c r="G62" i="3"/>
  <c r="G63" i="3"/>
  <c r="G64" i="3"/>
  <c r="G65" i="3"/>
  <c r="G59" i="3"/>
  <c r="G47" i="3"/>
  <c r="G48" i="3"/>
  <c r="G49" i="3"/>
  <c r="G50" i="3"/>
  <c r="G51" i="3"/>
  <c r="G52" i="3"/>
  <c r="G53" i="3"/>
  <c r="G54" i="3"/>
  <c r="G55" i="3"/>
  <c r="G56" i="3"/>
  <c r="G46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28" i="3"/>
  <c r="G26" i="3"/>
  <c r="G99" i="13"/>
  <c r="G98" i="13"/>
  <c r="G92" i="13"/>
  <c r="G93" i="13"/>
  <c r="G94" i="13"/>
  <c r="G95" i="13"/>
  <c r="G91" i="13"/>
  <c r="G86" i="13"/>
  <c r="G87" i="13"/>
  <c r="G88" i="13"/>
  <c r="G85" i="13"/>
  <c r="G82" i="13"/>
  <c r="G81" i="13"/>
  <c r="G76" i="13"/>
  <c r="G77" i="13"/>
  <c r="G78" i="13"/>
  <c r="G75" i="13"/>
  <c r="G70" i="13"/>
  <c r="G71" i="13"/>
  <c r="G72" i="13"/>
  <c r="G69" i="13"/>
  <c r="G64" i="13"/>
  <c r="G65" i="13"/>
  <c r="G66" i="13"/>
  <c r="G63" i="13"/>
  <c r="G60" i="13"/>
  <c r="G59" i="13"/>
  <c r="G54" i="13"/>
  <c r="G55" i="13"/>
  <c r="G56" i="13"/>
  <c r="G53" i="13"/>
  <c r="G48" i="13"/>
  <c r="G49" i="13"/>
  <c r="G50" i="13"/>
  <c r="G47" i="13"/>
  <c r="G43" i="13"/>
  <c r="G44" i="13"/>
  <c r="G42" i="13"/>
  <c r="G38" i="13"/>
  <c r="G39" i="13"/>
  <c r="G37" i="13"/>
  <c r="G29" i="13"/>
  <c r="G30" i="13"/>
  <c r="G31" i="13"/>
  <c r="G32" i="13"/>
  <c r="G33" i="13"/>
  <c r="G34" i="13"/>
  <c r="G28" i="13"/>
  <c r="G401" i="1"/>
  <c r="G402" i="1"/>
  <c r="G403" i="1"/>
  <c r="G404" i="1"/>
  <c r="G405" i="1"/>
  <c r="G406" i="1"/>
  <c r="G407" i="1"/>
  <c r="G408" i="1"/>
  <c r="G409" i="1"/>
  <c r="G410" i="1"/>
  <c r="G400" i="1"/>
  <c r="G397" i="1"/>
  <c r="G396" i="1"/>
  <c r="G391" i="1"/>
  <c r="G392" i="1"/>
  <c r="G393" i="1"/>
  <c r="G390" i="1"/>
  <c r="G385" i="1"/>
  <c r="G386" i="1"/>
  <c r="G387" i="1"/>
  <c r="G384" i="1"/>
  <c r="G379" i="1"/>
  <c r="G380" i="1"/>
  <c r="G381" i="1"/>
  <c r="G378" i="1"/>
  <c r="G371" i="1"/>
  <c r="G372" i="1"/>
  <c r="G373" i="1"/>
  <c r="G374" i="1"/>
  <c r="G375" i="1"/>
  <c r="G370" i="1"/>
  <c r="G363" i="1"/>
  <c r="G364" i="1"/>
  <c r="G365" i="1"/>
  <c r="G366" i="1"/>
  <c r="G367" i="1"/>
  <c r="G362" i="1"/>
  <c r="G359" i="1"/>
  <c r="G357" i="1"/>
  <c r="G358" i="1"/>
  <c r="G356" i="1"/>
  <c r="G350" i="1"/>
  <c r="G351" i="1"/>
  <c r="G352" i="1"/>
  <c r="G353" i="1"/>
  <c r="G349" i="1"/>
  <c r="G343" i="1"/>
  <c r="G344" i="1"/>
  <c r="G345" i="1"/>
  <c r="G346" i="1"/>
  <c r="G342" i="1"/>
  <c r="G333" i="1"/>
  <c r="G334" i="1"/>
  <c r="G335" i="1"/>
  <c r="G336" i="1"/>
  <c r="G337" i="1"/>
  <c r="G338" i="1"/>
  <c r="G339" i="1"/>
  <c r="G332" i="1"/>
  <c r="G323" i="1"/>
  <c r="G324" i="1"/>
  <c r="G325" i="1"/>
  <c r="G326" i="1"/>
  <c r="G327" i="1"/>
  <c r="G328" i="1"/>
  <c r="G329" i="1"/>
  <c r="G322" i="1"/>
  <c r="G311" i="1"/>
  <c r="G312" i="1"/>
  <c r="G313" i="1"/>
  <c r="G314" i="1"/>
  <c r="G315" i="1"/>
  <c r="G316" i="1"/>
  <c r="G317" i="1"/>
  <c r="G318" i="1"/>
  <c r="G319" i="1"/>
  <c r="G310" i="1"/>
  <c r="G299" i="1"/>
  <c r="G300" i="1"/>
  <c r="G301" i="1"/>
  <c r="G302" i="1"/>
  <c r="G303" i="1"/>
  <c r="G304" i="1"/>
  <c r="G305" i="1"/>
  <c r="G306" i="1"/>
  <c r="G307" i="1"/>
  <c r="G298" i="1"/>
  <c r="G295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82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63" i="1"/>
  <c r="G260" i="1"/>
  <c r="G251" i="1"/>
  <c r="G252" i="1"/>
  <c r="G253" i="1"/>
  <c r="G254" i="1"/>
  <c r="G255" i="1"/>
  <c r="G256" i="1"/>
  <c r="G257" i="1"/>
  <c r="G258" i="1"/>
  <c r="G259" i="1"/>
  <c r="G250" i="1"/>
  <c r="G240" i="1"/>
  <c r="G241" i="1"/>
  <c r="G242" i="1"/>
  <c r="G243" i="1"/>
  <c r="G244" i="1"/>
  <c r="G245" i="1"/>
  <c r="G246" i="1"/>
  <c r="G247" i="1"/>
  <c r="G23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19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00" i="1"/>
  <c r="G195" i="1"/>
  <c r="G196" i="1"/>
  <c r="G197" i="1"/>
  <c r="G194" i="1"/>
  <c r="G189" i="1"/>
  <c r="G190" i="1"/>
  <c r="G191" i="1"/>
  <c r="G188" i="1"/>
  <c r="G183" i="1"/>
  <c r="G184" i="1"/>
  <c r="G185" i="1"/>
  <c r="G182" i="1"/>
  <c r="G177" i="1"/>
  <c r="G178" i="1"/>
  <c r="G179" i="1"/>
  <c r="G176" i="1"/>
  <c r="G171" i="1"/>
  <c r="G172" i="1"/>
  <c r="G173" i="1"/>
  <c r="G170" i="1"/>
  <c r="G165" i="1"/>
  <c r="G166" i="1"/>
  <c r="G167" i="1"/>
  <c r="G164" i="1"/>
  <c r="G158" i="1"/>
  <c r="G159" i="1"/>
  <c r="G160" i="1"/>
  <c r="G161" i="1"/>
  <c r="G157" i="1"/>
  <c r="G151" i="1"/>
  <c r="G152" i="1"/>
  <c r="G153" i="1"/>
  <c r="G154" i="1"/>
  <c r="G150" i="1"/>
  <c r="G141" i="1"/>
  <c r="G142" i="1"/>
  <c r="G143" i="1"/>
  <c r="G144" i="1"/>
  <c r="G145" i="1"/>
  <c r="G146" i="1"/>
  <c r="G147" i="1"/>
  <c r="G140" i="1"/>
  <c r="G131" i="1"/>
  <c r="G132" i="1"/>
  <c r="G133" i="1"/>
  <c r="G134" i="1"/>
  <c r="G135" i="1"/>
  <c r="G136" i="1"/>
  <c r="G137" i="1"/>
  <c r="G130" i="1"/>
  <c r="G120" i="1"/>
  <c r="G121" i="1"/>
  <c r="G122" i="1"/>
  <c r="G123" i="1"/>
  <c r="G124" i="1"/>
  <c r="G125" i="1"/>
  <c r="G126" i="1"/>
  <c r="G127" i="1"/>
  <c r="G119" i="1"/>
  <c r="G111" i="1"/>
  <c r="G112" i="1"/>
  <c r="G113" i="1"/>
  <c r="G114" i="1"/>
  <c r="G115" i="1"/>
  <c r="G116" i="1"/>
  <c r="G110" i="1"/>
  <c r="G98" i="1"/>
  <c r="G99" i="1"/>
  <c r="G100" i="1"/>
  <c r="G101" i="1"/>
  <c r="G102" i="1"/>
  <c r="G103" i="1"/>
  <c r="G104" i="1"/>
  <c r="G105" i="1"/>
  <c r="G106" i="1"/>
  <c r="G107" i="1"/>
  <c r="G97" i="1"/>
  <c r="G85" i="1"/>
  <c r="G86" i="1"/>
  <c r="G87" i="1"/>
  <c r="G88" i="1"/>
  <c r="G89" i="1"/>
  <c r="G90" i="1"/>
  <c r="G91" i="1"/>
  <c r="G92" i="1"/>
  <c r="G93" i="1"/>
  <c r="G94" i="1"/>
  <c r="G84" i="1"/>
  <c r="G73" i="1"/>
  <c r="G74" i="1"/>
  <c r="G75" i="1"/>
  <c r="G76" i="1"/>
  <c r="G77" i="1"/>
  <c r="G78" i="1"/>
  <c r="G79" i="1"/>
  <c r="G80" i="1"/>
  <c r="G81" i="1"/>
  <c r="G72" i="1"/>
  <c r="G63" i="1"/>
  <c r="G64" i="1"/>
  <c r="G65" i="1"/>
  <c r="G66" i="1"/>
  <c r="G67" i="1"/>
  <c r="G68" i="1"/>
  <c r="G69" i="1"/>
  <c r="G62" i="1"/>
  <c r="G48" i="1"/>
  <c r="G49" i="1"/>
  <c r="G50" i="1"/>
  <c r="G51" i="1"/>
  <c r="G52" i="1"/>
  <c r="G53" i="1"/>
  <c r="G54" i="1"/>
  <c r="G55" i="1"/>
  <c r="G56" i="1"/>
  <c r="G57" i="1"/>
  <c r="G58" i="1"/>
  <c r="G59" i="1"/>
  <c r="G4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8" i="1"/>
  <c r="H26" i="7" l="1"/>
  <c r="H26" i="5"/>
  <c r="H26" i="6"/>
  <c r="H26" i="4"/>
  <c r="H26" i="2"/>
  <c r="H26" i="3"/>
  <c r="B16" i="13"/>
  <c r="B11" i="13"/>
  <c r="B16" i="16"/>
  <c r="B15" i="16"/>
  <c r="B14" i="16"/>
  <c r="B13" i="16"/>
  <c r="B11" i="16"/>
  <c r="B10" i="16"/>
  <c r="B16" i="15"/>
  <c r="B15" i="15"/>
  <c r="B14" i="15"/>
  <c r="B13" i="15"/>
  <c r="B11" i="15"/>
  <c r="B10" i="15"/>
  <c r="B16" i="11"/>
  <c r="B15" i="11"/>
  <c r="B14" i="11"/>
  <c r="B13" i="11"/>
  <c r="B11" i="11"/>
  <c r="B10" i="11"/>
  <c r="B16" i="10"/>
  <c r="B15" i="10"/>
  <c r="B14" i="10"/>
  <c r="B13" i="10"/>
  <c r="B11" i="10"/>
  <c r="B10" i="10"/>
  <c r="B16" i="9"/>
  <c r="B15" i="9"/>
  <c r="B14" i="9"/>
  <c r="B13" i="9"/>
  <c r="B11" i="9"/>
  <c r="B10" i="9"/>
  <c r="B11" i="7"/>
  <c r="B11" i="5"/>
  <c r="B11" i="6"/>
  <c r="B11" i="4"/>
  <c r="B11" i="2"/>
  <c r="B11" i="3"/>
  <c r="B10" i="7"/>
  <c r="B10" i="5"/>
  <c r="B10" i="6"/>
  <c r="B10" i="4"/>
  <c r="B10" i="2"/>
  <c r="B10" i="3"/>
  <c r="B16" i="7"/>
  <c r="B15" i="7"/>
  <c r="B14" i="7"/>
  <c r="B13" i="7"/>
  <c r="B16" i="5"/>
  <c r="B15" i="5"/>
  <c r="B14" i="5"/>
  <c r="B13" i="5"/>
  <c r="B16" i="6"/>
  <c r="B15" i="6"/>
  <c r="B14" i="6"/>
  <c r="B13" i="6"/>
  <c r="B16" i="4"/>
  <c r="B15" i="4"/>
  <c r="B14" i="4"/>
  <c r="B13" i="4"/>
  <c r="B16" i="2"/>
  <c r="B15" i="2"/>
  <c r="B14" i="2"/>
  <c r="B13" i="2"/>
  <c r="B16" i="3"/>
  <c r="B15" i="3"/>
  <c r="B14" i="3"/>
  <c r="B13" i="3"/>
</calcChain>
</file>

<file path=xl/sharedStrings.xml><?xml version="1.0" encoding="utf-8"?>
<sst xmlns="http://schemas.openxmlformats.org/spreadsheetml/2006/main" count="3293" uniqueCount="324">
  <si>
    <t>Product</t>
  </si>
  <si>
    <t>Colour</t>
  </si>
  <si>
    <t>Diam.</t>
  </si>
  <si>
    <t>Mts</t>
  </si>
  <si>
    <t>Spool</t>
  </si>
  <si>
    <t>200</t>
  </si>
  <si>
    <t>Coil</t>
  </si>
  <si>
    <t>solid</t>
  </si>
  <si>
    <t>mix kevlar + colour</t>
  </si>
  <si>
    <t>mix white+ grey + colour</t>
  </si>
  <si>
    <t>solid colour</t>
  </si>
  <si>
    <t>white</t>
  </si>
  <si>
    <t>black</t>
  </si>
  <si>
    <t>neon yellow</t>
  </si>
  <si>
    <t>blue</t>
  </si>
  <si>
    <t>neon green</t>
  </si>
  <si>
    <t>white + colour</t>
  </si>
  <si>
    <t>Mooring</t>
  </si>
  <si>
    <t>Flyneema</t>
  </si>
  <si>
    <t>mix grey + colour</t>
  </si>
  <si>
    <t>mix vectran + colour</t>
  </si>
  <si>
    <t>V-Cup</t>
  </si>
  <si>
    <t>D-Core 78</t>
  </si>
  <si>
    <t>D-Cup 78</t>
  </si>
  <si>
    <t>V-Core</t>
  </si>
  <si>
    <t>solid natural</t>
  </si>
  <si>
    <t>Z-Core</t>
  </si>
  <si>
    <t>SSR</t>
  </si>
  <si>
    <t>Ultraneema</t>
  </si>
  <si>
    <t>Ultraneema Pro</t>
  </si>
  <si>
    <t>Trimstar</t>
  </si>
  <si>
    <t>Matt</t>
  </si>
  <si>
    <t>SSC</t>
  </si>
  <si>
    <t>Superior</t>
  </si>
  <si>
    <t>Luffline</t>
  </si>
  <si>
    <t>Flag</t>
  </si>
  <si>
    <t>alpha ropes®</t>
  </si>
  <si>
    <t>D-Cup 78 Kmix</t>
  </si>
  <si>
    <t>D-Cup 78 PBO</t>
  </si>
  <si>
    <t>D-Cup 78 Kmix PBO</t>
  </si>
  <si>
    <t>prices can be changed without prior notice</t>
  </si>
  <si>
    <t>white + fleck</t>
  </si>
  <si>
    <t>Cruiser 16</t>
  </si>
  <si>
    <t>Cruiser 24</t>
  </si>
  <si>
    <t>Cruiser 32</t>
  </si>
  <si>
    <t>SSR Light</t>
  </si>
  <si>
    <t>solid colours</t>
  </si>
  <si>
    <t>Softline</t>
  </si>
  <si>
    <t>colour</t>
  </si>
  <si>
    <t>12 to 14</t>
  </si>
  <si>
    <t>D-Core 78 XTM</t>
  </si>
  <si>
    <t>November 1st, 2010</t>
  </si>
  <si>
    <t>Dockline</t>
  </si>
  <si>
    <t>PES/PES</t>
  </si>
  <si>
    <t>SkinCover Kmix KV</t>
  </si>
  <si>
    <t>SkinCover Kmix TN</t>
  </si>
  <si>
    <t>SkinCover Kmix VT</t>
  </si>
  <si>
    <t>SkinCover Kmix PBO</t>
  </si>
  <si>
    <t>SkinCover VT</t>
  </si>
  <si>
    <t>SkinCover PBO</t>
  </si>
  <si>
    <t>16 to 18</t>
  </si>
  <si>
    <t>SkinCover PES</t>
  </si>
  <si>
    <t>SkinCover KMIX</t>
  </si>
  <si>
    <t>4 to 7</t>
  </si>
  <si>
    <t>8 to 11</t>
  </si>
  <si>
    <t>position EXW Factory Portugal</t>
  </si>
  <si>
    <t>PRICE LIST</t>
  </si>
  <si>
    <t>prices are ex-taxes and can be changed without prior notice</t>
  </si>
  <si>
    <t>PRO RACE</t>
  </si>
  <si>
    <t xml:space="preserve">Suggested Retail Price  </t>
  </si>
  <si>
    <t>REGATTA</t>
  </si>
  <si>
    <t>CRUISING</t>
  </si>
  <si>
    <t>SAILMAKER</t>
  </si>
  <si>
    <t>KITE</t>
  </si>
  <si>
    <t>MOORING</t>
  </si>
  <si>
    <t>solid white - 12mm flat</t>
  </si>
  <si>
    <t>solid white - 15mm flat</t>
  </si>
  <si>
    <t>solid colours - 12mm flat</t>
  </si>
  <si>
    <t>solid colours - 15mm flat</t>
  </si>
  <si>
    <t>core 25mm</t>
  </si>
  <si>
    <t>core 30mm</t>
  </si>
  <si>
    <t>core 35mm</t>
  </si>
  <si>
    <t>10mm</t>
  </si>
  <si>
    <t>12mm</t>
  </si>
  <si>
    <t>ShockCord</t>
  </si>
  <si>
    <t>black or white</t>
  </si>
  <si>
    <t>Softline PS</t>
  </si>
  <si>
    <t>Selma Needles</t>
  </si>
  <si>
    <t>ACESSORIES</t>
  </si>
  <si>
    <t>Alpha Ropes Dinghy Display</t>
  </si>
  <si>
    <t xml:space="preserve">SSR Light 8mm Royal Blue </t>
  </si>
  <si>
    <t>500mt</t>
  </si>
  <si>
    <t>200mt</t>
  </si>
  <si>
    <t>100mt</t>
  </si>
  <si>
    <t xml:space="preserve">Flyneema 1mm Blue </t>
  </si>
  <si>
    <t xml:space="preserve">Ultraneema 2mm Red </t>
  </si>
  <si>
    <t xml:space="preserve">Ultraneema 3mm Royal Blue </t>
  </si>
  <si>
    <t xml:space="preserve">Ultraneema 4mm Black </t>
  </si>
  <si>
    <t xml:space="preserve">Trimstar 3mm Green </t>
  </si>
  <si>
    <t xml:space="preserve">Trimstar 4mm Yellow </t>
  </si>
  <si>
    <t xml:space="preserve">D-Core 3mm Black </t>
  </si>
  <si>
    <t>D-Cup Kmix 5mm Yellow</t>
  </si>
  <si>
    <t>D-Cup Kmix 6mm Royal Blue</t>
  </si>
  <si>
    <t>D-Cup Kmix 7mm Vermelho</t>
  </si>
  <si>
    <t>SSR 5mm Grey</t>
  </si>
  <si>
    <t>Alpha Ropes Dinghy Display with Ropes:</t>
  </si>
  <si>
    <t>D-Cup 78 Kmix Special</t>
  </si>
  <si>
    <t>Windsurf Line</t>
  </si>
  <si>
    <t>Retail €/unit</t>
  </si>
  <si>
    <t>Alpha Ropes Shop Display - Single</t>
  </si>
  <si>
    <t>Alpha Ropes Shop Display - Double</t>
  </si>
  <si>
    <t>D-Cup 78 XTM</t>
  </si>
  <si>
    <t>P-Core</t>
  </si>
  <si>
    <t>Cruiser 24 Kmix</t>
  </si>
  <si>
    <t xml:space="preserve">white or grey </t>
  </si>
  <si>
    <t>WEBBINGS</t>
  </si>
  <si>
    <t>30mm</t>
  </si>
  <si>
    <t>25mm</t>
  </si>
  <si>
    <t>20mm</t>
  </si>
  <si>
    <t>50mm</t>
  </si>
  <si>
    <t>40mm</t>
  </si>
  <si>
    <t>63mm</t>
  </si>
  <si>
    <t>25m</t>
  </si>
  <si>
    <t>Aramid</t>
  </si>
  <si>
    <t>45mm</t>
  </si>
  <si>
    <t>Bload</t>
  </si>
  <si>
    <t>Color</t>
  </si>
  <si>
    <t>S-BOX</t>
  </si>
  <si>
    <t>Whipping Twine Colors</t>
  </si>
  <si>
    <t>Whipping Twine White</t>
  </si>
  <si>
    <t>Whipping Twine Dyneema</t>
  </si>
  <si>
    <t>Flyneema 1.2mm</t>
  </si>
  <si>
    <t>Softline 3mm</t>
  </si>
  <si>
    <t>12 x S spools</t>
  </si>
  <si>
    <t>12 x S Spools</t>
  </si>
  <si>
    <t>4 x M spools</t>
  </si>
  <si>
    <t>Trimstar 3mm</t>
  </si>
  <si>
    <t>Ultraneema 3mm</t>
  </si>
  <si>
    <t>D-Core 78  3mm</t>
  </si>
  <si>
    <t>1 x Ultraneema 3mm M spool</t>
  </si>
  <si>
    <t>1 x Ultraneema 6mm L spool</t>
  </si>
  <si>
    <t xml:space="preserve">3 x Flyneema 1.2mm S spools </t>
  </si>
  <si>
    <t>3mm</t>
  </si>
  <si>
    <t>1.0mm</t>
  </si>
  <si>
    <t>1.2mm</t>
  </si>
  <si>
    <t>12 x 35mt</t>
  </si>
  <si>
    <t>4 x 20mt</t>
  </si>
  <si>
    <t>4 x 16mt</t>
  </si>
  <si>
    <t>BOXES</t>
  </si>
  <si>
    <t>contents:</t>
  </si>
  <si>
    <t>Whipping Twine Polyester 1.0mm x 500mt</t>
  </si>
  <si>
    <t>Any color (white, black red, blue)</t>
  </si>
  <si>
    <t>Whipping Twine Dyneema x 1500mt</t>
  </si>
  <si>
    <t>White</t>
  </si>
  <si>
    <t xml:space="preserve">White </t>
  </si>
  <si>
    <t>Yellow</t>
  </si>
  <si>
    <t>D-Cover 32</t>
  </si>
  <si>
    <t>D-Cover 40</t>
  </si>
  <si>
    <t>colour + colour</t>
  </si>
  <si>
    <t>12 to 15</t>
  </si>
  <si>
    <t>Flyneema 1.0mm</t>
  </si>
  <si>
    <t>Kite Line 8-78</t>
  </si>
  <si>
    <t>11,0-15,0</t>
  </si>
  <si>
    <t>Top Cruiser MAX</t>
  </si>
  <si>
    <t>D-Core 99</t>
  </si>
  <si>
    <t>D-Core 99 XTM</t>
  </si>
  <si>
    <t>D-Cup 99</t>
  </si>
  <si>
    <t>D-Cup 99 Kmix</t>
  </si>
  <si>
    <t>D-Cup 99 XTM</t>
  </si>
  <si>
    <t>D-Cup 99 Kmix PBO</t>
  </si>
  <si>
    <t>D-Cup 99 PBO</t>
  </si>
  <si>
    <t>D-Cup 99 XTM - D</t>
  </si>
  <si>
    <t xml:space="preserve">D-Cup 78 XTM Kmix </t>
  </si>
  <si>
    <t xml:space="preserve">D-Cup 99 XTM Kmix </t>
  </si>
  <si>
    <t>D-Cup 99 XTM Kmix PBO</t>
  </si>
  <si>
    <t>D-Cup 99 XTM PBO</t>
  </si>
  <si>
    <t>D-Cup 78 XTM Kmix PBO</t>
  </si>
  <si>
    <t>D-Cup 78 XTM PBO</t>
  </si>
  <si>
    <t xml:space="preserve">Fender Line </t>
  </si>
  <si>
    <t>solid white - 10mm flat</t>
  </si>
  <si>
    <t>solid colours - 10mm flat</t>
  </si>
  <si>
    <t>Fender Line</t>
  </si>
  <si>
    <t>SKINCOVERS</t>
  </si>
  <si>
    <t>Top Cruiser MAX Kmix</t>
  </si>
  <si>
    <t>LIFE LINE   D-Cup 78 XTM - D</t>
  </si>
  <si>
    <t xml:space="preserve">grey </t>
  </si>
  <si>
    <t xml:space="preserve">One Design Backstay 99  </t>
  </si>
  <si>
    <t xml:space="preserve">One Design Backstay 99   </t>
  </si>
  <si>
    <t>Kite Line 8-99</t>
  </si>
  <si>
    <t>Skincover Kite Line</t>
  </si>
  <si>
    <t>SSR Light - Furling Line</t>
  </si>
  <si>
    <t>CLASSIC</t>
  </si>
  <si>
    <t>D-Cup 78 Classic</t>
  </si>
  <si>
    <t>solid beige</t>
  </si>
  <si>
    <t>vectran beige</t>
  </si>
  <si>
    <t>vectran beige + polyester beige</t>
  </si>
  <si>
    <t>Cruiser 32 Classic</t>
  </si>
  <si>
    <t>solid white</t>
  </si>
  <si>
    <t>Cruiser 24 Classic</t>
  </si>
  <si>
    <t>D-Scissor</t>
  </si>
  <si>
    <t>Splicing Tape 15mm</t>
  </si>
  <si>
    <t>READY MADE</t>
  </si>
  <si>
    <t>Anchorline</t>
  </si>
  <si>
    <t>Fender Line SUPERIOR</t>
  </si>
  <si>
    <t>3 Strand PES</t>
  </si>
  <si>
    <t>white + one eye 40mm</t>
  </si>
  <si>
    <t>colour + one eye 40mm</t>
  </si>
  <si>
    <t>Unit</t>
  </si>
  <si>
    <t>Dockline Eye+M.Thimble</t>
  </si>
  <si>
    <t>white + Eye 250mm</t>
  </si>
  <si>
    <t>white + Eye 200mm</t>
  </si>
  <si>
    <t xml:space="preserve">Dockline </t>
  </si>
  <si>
    <t>solid color + Eye 200mm</t>
  </si>
  <si>
    <t>solid color + Eye 250mm</t>
  </si>
  <si>
    <t>white with Eye + Stain Thimble</t>
  </si>
  <si>
    <t>color with Eye + Stain Thimble</t>
  </si>
  <si>
    <t xml:space="preserve">Superior </t>
  </si>
  <si>
    <t>Leechline PSKV</t>
  </si>
  <si>
    <t>Kite Line 12-99</t>
  </si>
  <si>
    <t>SkinCover Kmix PBO/VT</t>
  </si>
  <si>
    <t>D-Power 78</t>
  </si>
  <si>
    <t>SkinCover Kmix TN MAXI 70%</t>
  </si>
  <si>
    <t>D-Splicer Set - includes handle + 4 needles</t>
  </si>
  <si>
    <t>D-Splicer F10</t>
  </si>
  <si>
    <t>D-Splicer F15</t>
  </si>
  <si>
    <t>D-Splicer F20</t>
  </si>
  <si>
    <t>D-Splicer F25</t>
  </si>
  <si>
    <t>OLYMPIC &amp; ONE DESIGN</t>
  </si>
  <si>
    <t>D-Cup 99 Kmix PBO/VT</t>
  </si>
  <si>
    <t>D-Cup 99 XTM Kmix KV</t>
  </si>
  <si>
    <t>D-Cup 99 XTM Kmix TN</t>
  </si>
  <si>
    <t>D-Cup 99 XTM Kmix VT</t>
  </si>
  <si>
    <t>D-Cup 99 Kmix TN</t>
  </si>
  <si>
    <t>D-Cup 99 Kmix VT</t>
  </si>
  <si>
    <t>D-Cup 99 Kmix KV</t>
  </si>
  <si>
    <t>D-Cup 99 XTM Kmix PBO/VT</t>
  </si>
  <si>
    <t>D-Cup 78 Kmix KV</t>
  </si>
  <si>
    <t>D-Cup 78 Kmix TN</t>
  </si>
  <si>
    <t>D-Cup 78 Kmix VT</t>
  </si>
  <si>
    <t>D-Cup 78 Kmix PBO/VT</t>
  </si>
  <si>
    <t>mix pbo + vectran</t>
  </si>
  <si>
    <t>mix black technora + colour</t>
  </si>
  <si>
    <t>100% pbo cover</t>
  </si>
  <si>
    <t>mix pbo + colour</t>
  </si>
  <si>
    <t>D-Cup 78 XTM Kmix KV</t>
  </si>
  <si>
    <t>D-Cup 78 XTM Kmix TN</t>
  </si>
  <si>
    <t>D-Cup 78 XTM Kmix PBO/VT</t>
  </si>
  <si>
    <t xml:space="preserve">mix kevlar + colour </t>
  </si>
  <si>
    <t xml:space="preserve">SkinCover Kmix TN MAXI </t>
  </si>
  <si>
    <t>mix vectran beige + colour</t>
  </si>
  <si>
    <t>solid vectran beige</t>
  </si>
  <si>
    <t>solid pbo</t>
  </si>
  <si>
    <t>D-Cup 78 Kmix VT Classic</t>
  </si>
  <si>
    <t>grey + colour flecks</t>
  </si>
  <si>
    <t>mix white + colour</t>
  </si>
  <si>
    <t xml:space="preserve">ShockCord Olympic </t>
  </si>
  <si>
    <t>Luffline PP Film</t>
  </si>
  <si>
    <t>Code Zero</t>
  </si>
  <si>
    <t>Tack Locker for Code Zero</t>
  </si>
  <si>
    <t>Superior Polyester</t>
  </si>
  <si>
    <t>PES cover / PA core</t>
  </si>
  <si>
    <t>PES cover / PES core</t>
  </si>
  <si>
    <t>Polyester</t>
  </si>
  <si>
    <t>Retail  €/100mt</t>
  </si>
  <si>
    <t>Tack Locker for Code Zero  -  price per unit</t>
  </si>
  <si>
    <t>Retail €/100mt</t>
  </si>
  <si>
    <t>D-Cup 78 XTM Kmix VT</t>
  </si>
  <si>
    <t>800kgf</t>
  </si>
  <si>
    <t>Dyneema Heavy 1.8mm</t>
  </si>
  <si>
    <t>2.000kgf</t>
  </si>
  <si>
    <t>SkinCover KMIX Special</t>
  </si>
  <si>
    <t xml:space="preserve">SkinCover KMIX Special </t>
  </si>
  <si>
    <t>Dyneema Standard 1.0mm</t>
  </si>
  <si>
    <t>Dinghy MAX PP</t>
  </si>
  <si>
    <t xml:space="preserve">Trimstar - mini spools </t>
  </si>
  <si>
    <t xml:space="preserve">Ultraneema - mini spools </t>
  </si>
  <si>
    <t>Mooring Master</t>
  </si>
  <si>
    <t>Dockline Master</t>
  </si>
  <si>
    <t xml:space="preserve">Coated PES cover / PES core </t>
  </si>
  <si>
    <t>madre top cruiser max - capa PP</t>
  </si>
  <si>
    <t>Dinghy PRO</t>
  </si>
  <si>
    <t>Towing Line</t>
  </si>
  <si>
    <t>PE Mono</t>
  </si>
  <si>
    <t>2.600kgf</t>
  </si>
  <si>
    <t>1.900kgf</t>
  </si>
  <si>
    <t>320kgf</t>
  </si>
  <si>
    <t>500kgf</t>
  </si>
  <si>
    <t>600kgf</t>
  </si>
  <si>
    <t>850kgf</t>
  </si>
  <si>
    <t>400kgf</t>
  </si>
  <si>
    <t>960kgf</t>
  </si>
  <si>
    <t>1.100kgf</t>
  </si>
  <si>
    <t>1.450kgf</t>
  </si>
  <si>
    <t>1.800kgf</t>
  </si>
  <si>
    <t>1.270kgf</t>
  </si>
  <si>
    <t>2.400kgf</t>
  </si>
  <si>
    <t>3.100kgf</t>
  </si>
  <si>
    <t>1.700kgf</t>
  </si>
  <si>
    <t>1.370kgf</t>
  </si>
  <si>
    <t>1.760kgf</t>
  </si>
  <si>
    <t>2.150kgf</t>
  </si>
  <si>
    <t>4.300kgf</t>
  </si>
  <si>
    <t>5.800kgf</t>
  </si>
  <si>
    <t>55mm</t>
  </si>
  <si>
    <t>12.000kgf</t>
  </si>
  <si>
    <t>Polyester Standard</t>
  </si>
  <si>
    <t>Polyester Heavy Weight</t>
  </si>
  <si>
    <t>Polyester XT Heavy Weight</t>
  </si>
  <si>
    <t>Polyester Extreme - Truck (para Doyle Sails USA)</t>
  </si>
  <si>
    <t>Polyester Tubular Super Heavy</t>
  </si>
  <si>
    <t>Polypropylene Standard</t>
  </si>
  <si>
    <t>Polypropylene Heavy</t>
  </si>
  <si>
    <t>Ultraneema Race</t>
  </si>
  <si>
    <t>Ultraneema Race     (coated core)</t>
  </si>
  <si>
    <t>ref. 01-2017</t>
  </si>
  <si>
    <t>valid from January 1st, 2017</t>
  </si>
  <si>
    <t>Retail €/box</t>
  </si>
  <si>
    <t xml:space="preserve">OPTI BOX - S </t>
  </si>
  <si>
    <t xml:space="preserve">ShockCord </t>
  </si>
  <si>
    <t xml:space="preserve">Coated PES cover  / PA core </t>
  </si>
  <si>
    <t>Net Price €/unit</t>
  </si>
  <si>
    <t>Retail  €/mt</t>
  </si>
  <si>
    <t>Suggested Retail Price</t>
  </si>
  <si>
    <t>Retail €/mt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</si>
</sst>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€&quot;_-;\-* #,##0.00\ &quot;€&quot;_-;_-* &quot;-&quot;??\ &quot;€&quot;_-;_-@_-"/>
    <numFmt numFmtId="164" formatCode="0.0"/>
    <numFmt numFmtId="165" formatCode="#,##0.00\ &quot;€&quot;"/>
    <numFmt numFmtId="166" formatCode="_-* #,##0.000\ &quot;€&quot;_-;\-* #,##0.000\ &quot;€&quot;_-;_-* &quot;-&quot;???\ &quot;€&quot;_-;_-@_-"/>
    <numFmt numFmtId="167" formatCode="0.000"/>
    <numFmt numFmtId="168" formatCode="#,##0.000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rgb="FFFFCC00"/>
      </top>
      <bottom/>
      <diagonal/>
    </border>
    <border>
      <left/>
      <right/>
      <top style="thick">
        <color rgb="FFFFC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6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0" fontId="0" fillId="0" borderId="0" xfId="0" applyBorder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center"/>
    </xf>
    <xf numFmtId="165" fontId="8" fillId="0" borderId="0" xfId="0" applyNumberFormat="1" applyFont="1"/>
    <xf numFmtId="0" fontId="10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center"/>
    </xf>
    <xf numFmtId="0" fontId="7" fillId="2" borderId="1" xfId="0" applyFont="1" applyFill="1" applyBorder="1"/>
    <xf numFmtId="164" fontId="7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/>
    <xf numFmtId="164" fontId="8" fillId="3" borderId="1" xfId="0" applyNumberFormat="1" applyFont="1" applyFill="1" applyBorder="1"/>
    <xf numFmtId="0" fontId="8" fillId="3" borderId="1" xfId="0" applyFont="1" applyFill="1" applyBorder="1" applyAlignment="1">
      <alignment horizontal="center"/>
    </xf>
    <xf numFmtId="165" fontId="8" fillId="3" borderId="1" xfId="0" applyNumberFormat="1" applyFont="1" applyFill="1" applyBorder="1"/>
    <xf numFmtId="0" fontId="7" fillId="0" borderId="1" xfId="0" applyFont="1" applyFill="1" applyBorder="1"/>
    <xf numFmtId="0" fontId="8" fillId="0" borderId="1" xfId="0" applyFont="1" applyFill="1" applyBorder="1" applyAlignment="1">
      <alignment horizontal="left"/>
    </xf>
    <xf numFmtId="164" fontId="8" fillId="0" borderId="1" xfId="0" applyNumberFormat="1" applyFont="1" applyFill="1" applyBorder="1"/>
    <xf numFmtId="2" fontId="8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right"/>
    </xf>
    <xf numFmtId="164" fontId="8" fillId="0" borderId="1" xfId="0" applyNumberFormat="1" applyFont="1" applyBorder="1"/>
    <xf numFmtId="0" fontId="9" fillId="0" borderId="0" xfId="0" applyFont="1"/>
    <xf numFmtId="2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/>
    <xf numFmtId="0" fontId="9" fillId="0" borderId="0" xfId="0" applyFont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2" fontId="7" fillId="3" borderId="3" xfId="0" applyNumberFormat="1" applyFont="1" applyFill="1" applyBorder="1" applyAlignment="1">
      <alignment horizontal="center"/>
    </xf>
    <xf numFmtId="165" fontId="8" fillId="3" borderId="4" xfId="0" applyNumberFormat="1" applyFont="1" applyFill="1" applyBorder="1"/>
    <xf numFmtId="0" fontId="7" fillId="0" borderId="1" xfId="0" applyFont="1" applyFill="1" applyBorder="1" applyAlignment="1">
      <alignment horizontal="left"/>
    </xf>
    <xf numFmtId="164" fontId="8" fillId="0" borderId="1" xfId="0" applyNumberFormat="1" applyFont="1" applyFill="1" applyBorder="1" applyProtection="1">
      <protection hidden="1"/>
    </xf>
    <xf numFmtId="0" fontId="8" fillId="0" borderId="1" xfId="0" applyFont="1" applyFill="1" applyBorder="1" applyProtection="1">
      <protection hidden="1"/>
    </xf>
    <xf numFmtId="0" fontId="7" fillId="0" borderId="2" xfId="0" applyFont="1" applyFill="1" applyBorder="1" applyAlignment="1">
      <alignment horizontal="left"/>
    </xf>
    <xf numFmtId="0" fontId="7" fillId="3" borderId="2" xfId="0" applyFont="1" applyFill="1" applyBorder="1"/>
    <xf numFmtId="0" fontId="8" fillId="3" borderId="3" xfId="0" applyFont="1" applyFill="1" applyBorder="1"/>
    <xf numFmtId="164" fontId="8" fillId="3" borderId="3" xfId="0" applyNumberFormat="1" applyFont="1" applyFill="1" applyBorder="1"/>
    <xf numFmtId="2" fontId="8" fillId="3" borderId="3" xfId="0" applyNumberFormat="1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165" fontId="8" fillId="0" borderId="0" xfId="0" applyNumberFormat="1" applyFont="1" applyBorder="1"/>
    <xf numFmtId="164" fontId="8" fillId="0" borderId="0" xfId="0" applyNumberFormat="1" applyFont="1" applyFill="1" applyBorder="1" applyProtection="1">
      <protection hidden="1"/>
    </xf>
    <xf numFmtId="0" fontId="7" fillId="0" borderId="0" xfId="0" applyFont="1" applyFill="1" applyBorder="1" applyAlignment="1">
      <alignment horizontal="left"/>
    </xf>
    <xf numFmtId="0" fontId="7" fillId="3" borderId="3" xfId="0" applyFont="1" applyFill="1" applyBorder="1"/>
    <xf numFmtId="164" fontId="7" fillId="3" borderId="3" xfId="0" applyNumberFormat="1" applyFont="1" applyFill="1" applyBorder="1"/>
    <xf numFmtId="0" fontId="7" fillId="3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0" xfId="0" applyFont="1" applyAlignment="1">
      <alignment horizontal="left"/>
    </xf>
    <xf numFmtId="2" fontId="8" fillId="3" borderId="1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"/>
      <protection hidden="1"/>
    </xf>
    <xf numFmtId="0" fontId="8" fillId="0" borderId="1" xfId="0" applyFont="1" applyFill="1" applyBorder="1" applyAlignment="1" applyProtection="1">
      <alignment horizontal="center"/>
      <protection hidden="1"/>
    </xf>
    <xf numFmtId="0" fontId="8" fillId="0" borderId="1" xfId="0" applyFont="1" applyBorder="1" applyProtection="1">
      <protection hidden="1"/>
    </xf>
    <xf numFmtId="0" fontId="7" fillId="3" borderId="1" xfId="0" applyFont="1" applyFill="1" applyBorder="1" applyProtection="1">
      <protection hidden="1"/>
    </xf>
    <xf numFmtId="164" fontId="8" fillId="3" borderId="1" xfId="0" applyNumberFormat="1" applyFont="1" applyFill="1" applyBorder="1" applyAlignment="1" applyProtection="1">
      <alignment horizontal="center"/>
      <protection hidden="1"/>
    </xf>
    <xf numFmtId="164" fontId="8" fillId="0" borderId="1" xfId="0" applyNumberFormat="1" applyFont="1" applyFill="1" applyBorder="1" applyAlignment="1" applyProtection="1">
      <alignment horizontal="center"/>
      <protection hidden="1"/>
    </xf>
    <xf numFmtId="0" fontId="8" fillId="0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5" fillId="0" borderId="0" xfId="0" applyFont="1"/>
    <xf numFmtId="44" fontId="5" fillId="0" borderId="0" xfId="1" applyFont="1"/>
    <xf numFmtId="166" fontId="5" fillId="0" borderId="0" xfId="1" applyNumberFormat="1" applyFont="1"/>
    <xf numFmtId="0" fontId="7" fillId="0" borderId="11" xfId="0" applyFont="1" applyFill="1" applyBorder="1" applyAlignment="1">
      <alignment horizontal="left"/>
    </xf>
    <xf numFmtId="0" fontId="8" fillId="0" borderId="11" xfId="0" applyFont="1" applyBorder="1"/>
    <xf numFmtId="164" fontId="8" fillId="0" borderId="11" xfId="0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center"/>
    </xf>
    <xf numFmtId="164" fontId="8" fillId="3" borderId="3" xfId="0" applyNumberFormat="1" applyFont="1" applyFill="1" applyBorder="1" applyAlignment="1">
      <alignment horizontal="right"/>
    </xf>
    <xf numFmtId="0" fontId="7" fillId="0" borderId="11" xfId="0" applyFont="1" applyBorder="1"/>
    <xf numFmtId="0" fontId="7" fillId="2" borderId="12" xfId="0" applyFont="1" applyFill="1" applyBorder="1"/>
    <xf numFmtId="0" fontId="7" fillId="2" borderId="12" xfId="0" applyFont="1" applyFill="1" applyBorder="1" applyAlignment="1">
      <alignment horizontal="center"/>
    </xf>
    <xf numFmtId="0" fontId="7" fillId="0" borderId="11" xfId="0" applyFont="1" applyFill="1" applyBorder="1"/>
    <xf numFmtId="0" fontId="8" fillId="0" borderId="11" xfId="0" applyFont="1" applyFill="1" applyBorder="1" applyAlignment="1">
      <alignment horizontal="left"/>
    </xf>
    <xf numFmtId="2" fontId="8" fillId="0" borderId="11" xfId="0" applyNumberFormat="1" applyFont="1" applyFill="1" applyBorder="1" applyAlignment="1">
      <alignment horizontal="center"/>
    </xf>
    <xf numFmtId="164" fontId="8" fillId="0" borderId="11" xfId="0" applyNumberFormat="1" applyFont="1" applyBorder="1"/>
    <xf numFmtId="0" fontId="6" fillId="3" borderId="3" xfId="0" applyFont="1" applyFill="1" applyBorder="1"/>
    <xf numFmtId="164" fontId="6" fillId="3" borderId="3" xfId="0" applyNumberFormat="1" applyFont="1" applyFill="1" applyBorder="1"/>
    <xf numFmtId="0" fontId="6" fillId="3" borderId="3" xfId="0" applyFont="1" applyFill="1" applyBorder="1" applyAlignment="1">
      <alignment horizontal="center"/>
    </xf>
    <xf numFmtId="165" fontId="6" fillId="3" borderId="4" xfId="0" applyNumberFormat="1" applyFont="1" applyFill="1" applyBorder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4" fontId="8" fillId="0" borderId="0" xfId="0" applyNumberFormat="1" applyFont="1" applyFill="1" applyBorder="1"/>
    <xf numFmtId="165" fontId="5" fillId="0" borderId="0" xfId="0" applyNumberFormat="1" applyFont="1"/>
    <xf numFmtId="4" fontId="3" fillId="0" borderId="0" xfId="0" applyNumberFormat="1" applyFont="1" applyAlignment="1">
      <alignment horizontal="center"/>
    </xf>
    <xf numFmtId="4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/>
    <xf numFmtId="0" fontId="6" fillId="0" borderId="0" xfId="0" applyFont="1" applyAlignment="1">
      <alignment horizontal="left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 applyProtection="1">
      <protection hidden="1"/>
    </xf>
    <xf numFmtId="0" fontId="0" fillId="0" borderId="0" xfId="0" applyFill="1"/>
    <xf numFmtId="164" fontId="7" fillId="2" borderId="1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8" fillId="0" borderId="0" xfId="0" applyFont="1" applyFill="1" applyBorder="1" applyAlignment="1" applyProtection="1">
      <alignment horizont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4" fontId="8" fillId="0" borderId="1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8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center"/>
    </xf>
    <xf numFmtId="4" fontId="8" fillId="0" borderId="1" xfId="0" applyNumberFormat="1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4" fontId="8" fillId="3" borderId="4" xfId="0" applyNumberFormat="1" applyFont="1" applyFill="1" applyBorder="1" applyAlignment="1">
      <alignment horizontal="center"/>
    </xf>
    <xf numFmtId="4" fontId="8" fillId="0" borderId="0" xfId="0" applyNumberFormat="1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0" borderId="1" xfId="0" applyFont="1" applyFill="1" applyBorder="1" applyAlignment="1">
      <alignment horizontal="center"/>
    </xf>
    <xf numFmtId="164" fontId="8" fillId="0" borderId="1" xfId="0" applyNumberFormat="1" applyFont="1" applyFill="1" applyBorder="1" applyAlignment="1" applyProtection="1">
      <alignment horizontal="right"/>
      <protection hidden="1"/>
    </xf>
    <xf numFmtId="164" fontId="8" fillId="0" borderId="0" xfId="0" applyNumberFormat="1" applyFont="1" applyFill="1" applyBorder="1" applyAlignment="1" applyProtection="1">
      <alignment horizontal="right"/>
      <protection hidden="1"/>
    </xf>
    <xf numFmtId="0" fontId="8" fillId="0" borderId="11" xfId="0" applyFont="1" applyFill="1" applyBorder="1" applyAlignment="1" applyProtection="1">
      <alignment horizontal="center"/>
      <protection hidden="1"/>
    </xf>
    <xf numFmtId="0" fontId="8" fillId="3" borderId="3" xfId="0" applyFont="1" applyFill="1" applyBorder="1" applyAlignment="1">
      <alignment horizontal="left"/>
    </xf>
    <xf numFmtId="164" fontId="8" fillId="3" borderId="3" xfId="0" applyNumberFormat="1" applyFont="1" applyFill="1" applyBorder="1" applyProtection="1">
      <protection hidden="1"/>
    </xf>
    <xf numFmtId="164" fontId="8" fillId="3" borderId="3" xfId="0" applyNumberFormat="1" applyFont="1" applyFill="1" applyBorder="1" applyAlignment="1" applyProtection="1">
      <alignment horizontal="right"/>
      <protection hidden="1"/>
    </xf>
    <xf numFmtId="0" fontId="5" fillId="0" borderId="1" xfId="0" applyFont="1" applyFill="1" applyBorder="1" applyAlignment="1">
      <alignment horizontal="left"/>
    </xf>
    <xf numFmtId="164" fontId="8" fillId="0" borderId="0" xfId="0" applyNumberFormat="1" applyFont="1" applyBorder="1"/>
    <xf numFmtId="0" fontId="5" fillId="0" borderId="1" xfId="0" applyFont="1" applyFill="1" applyBorder="1"/>
    <xf numFmtId="164" fontId="5" fillId="0" borderId="1" xfId="0" applyNumberFormat="1" applyFont="1" applyFill="1" applyBorder="1" applyAlignment="1" applyProtection="1">
      <alignment horizontal="right"/>
      <protection hidden="1"/>
    </xf>
    <xf numFmtId="0" fontId="5" fillId="0" borderId="11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right"/>
    </xf>
    <xf numFmtId="164" fontId="5" fillId="0" borderId="11" xfId="0" applyNumberFormat="1" applyFont="1" applyFill="1" applyBorder="1" applyAlignment="1" applyProtection="1">
      <alignment horizontal="right"/>
      <protection hidden="1"/>
    </xf>
    <xf numFmtId="0" fontId="5" fillId="0" borderId="1" xfId="0" applyFont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0" fontId="5" fillId="0" borderId="11" xfId="0" applyFont="1" applyBorder="1"/>
    <xf numFmtId="0" fontId="7" fillId="0" borderId="1" xfId="0" applyFont="1" applyBorder="1"/>
    <xf numFmtId="164" fontId="7" fillId="2" borderId="1" xfId="0" applyNumberFormat="1" applyFont="1" applyFill="1" applyBorder="1" applyAlignment="1">
      <alignment horizontal="center"/>
    </xf>
    <xf numFmtId="4" fontId="8" fillId="0" borderId="1" xfId="0" applyNumberFormat="1" applyFont="1" applyFill="1" applyBorder="1" applyAlignment="1" applyProtection="1">
      <alignment horizontal="center"/>
      <protection hidden="1"/>
    </xf>
    <xf numFmtId="0" fontId="8" fillId="0" borderId="0" xfId="0" applyFont="1" applyFill="1" applyBorder="1" applyProtection="1">
      <protection hidden="1"/>
    </xf>
    <xf numFmtId="164" fontId="6" fillId="0" borderId="0" xfId="0" applyNumberFormat="1" applyFont="1"/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5" borderId="13" xfId="0" applyFont="1" applyFill="1" applyBorder="1"/>
    <xf numFmtId="0" fontId="7" fillId="5" borderId="13" xfId="0" applyFont="1" applyFill="1" applyBorder="1"/>
    <xf numFmtId="164" fontId="7" fillId="5" borderId="13" xfId="0" applyNumberFormat="1" applyFont="1" applyFill="1" applyBorder="1"/>
    <xf numFmtId="0" fontId="7" fillId="5" borderId="13" xfId="0" applyFont="1" applyFill="1" applyBorder="1" applyAlignment="1">
      <alignment horizontal="center"/>
    </xf>
    <xf numFmtId="165" fontId="5" fillId="5" borderId="13" xfId="0" applyNumberFormat="1" applyFont="1" applyFill="1" applyBorder="1"/>
    <xf numFmtId="0" fontId="13" fillId="5" borderId="13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2" fillId="5" borderId="14" xfId="0" applyFont="1" applyFill="1" applyBorder="1"/>
    <xf numFmtId="0" fontId="7" fillId="5" borderId="14" xfId="0" applyFont="1" applyFill="1" applyBorder="1"/>
    <xf numFmtId="164" fontId="7" fillId="5" borderId="14" xfId="0" applyNumberFormat="1" applyFont="1" applyFill="1" applyBorder="1"/>
    <xf numFmtId="0" fontId="7" fillId="5" borderId="14" xfId="0" applyFont="1" applyFill="1" applyBorder="1" applyAlignment="1">
      <alignment horizontal="center"/>
    </xf>
    <xf numFmtId="165" fontId="5" fillId="5" borderId="14" xfId="0" applyNumberFormat="1" applyFont="1" applyFill="1" applyBorder="1"/>
    <xf numFmtId="0" fontId="14" fillId="5" borderId="14" xfId="0" applyFont="1" applyFill="1" applyBorder="1" applyAlignment="1">
      <alignment horizontal="center"/>
    </xf>
    <xf numFmtId="165" fontId="8" fillId="3" borderId="4" xfId="0" applyNumberFormat="1" applyFont="1" applyFill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" fillId="0" borderId="0" xfId="0" applyFont="1" applyFill="1"/>
    <xf numFmtId="0" fontId="5" fillId="0" borderId="1" xfId="0" applyFont="1" applyBorder="1" applyProtection="1">
      <protection hidden="1"/>
    </xf>
    <xf numFmtId="2" fontId="5" fillId="0" borderId="0" xfId="0" applyNumberFormat="1" applyFont="1" applyFill="1" applyBorder="1" applyAlignment="1">
      <alignment horizontal="center"/>
    </xf>
    <xf numFmtId="0" fontId="8" fillId="0" borderId="11" xfId="0" applyFont="1" applyFill="1" applyBorder="1"/>
    <xf numFmtId="4" fontId="0" fillId="0" borderId="0" xfId="0" applyNumberFormat="1" applyFill="1" applyAlignment="1">
      <alignment horizontal="center"/>
    </xf>
    <xf numFmtId="4" fontId="7" fillId="2" borderId="4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4" fontId="8" fillId="0" borderId="4" xfId="0" applyNumberFormat="1" applyFont="1" applyFill="1" applyBorder="1" applyAlignment="1" applyProtection="1">
      <alignment horizontal="center"/>
      <protection hidden="1"/>
    </xf>
    <xf numFmtId="0" fontId="7" fillId="2" borderId="5" xfId="0" applyFont="1" applyFill="1" applyBorder="1"/>
    <xf numFmtId="0" fontId="7" fillId="2" borderId="6" xfId="0" applyFont="1" applyFill="1" applyBorder="1"/>
    <xf numFmtId="164" fontId="7" fillId="2" borderId="6" xfId="0" applyNumberFormat="1" applyFont="1" applyFill="1" applyBorder="1"/>
    <xf numFmtId="0" fontId="7" fillId="2" borderId="7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left"/>
    </xf>
    <xf numFmtId="0" fontId="8" fillId="0" borderId="16" xfId="0" applyFont="1" applyFill="1" applyBorder="1" applyAlignment="1" applyProtection="1">
      <alignment horizontal="center"/>
      <protection hidden="1"/>
    </xf>
    <xf numFmtId="0" fontId="5" fillId="0" borderId="8" xfId="0" applyFont="1" applyFill="1" applyBorder="1" applyAlignment="1">
      <alignment horizontal="left"/>
    </xf>
    <xf numFmtId="0" fontId="8" fillId="0" borderId="9" xfId="0" applyFont="1" applyFill="1" applyBorder="1" applyAlignment="1" applyProtection="1">
      <alignment horizontal="center"/>
      <protection hidden="1"/>
    </xf>
    <xf numFmtId="0" fontId="8" fillId="0" borderId="10" xfId="0" applyFont="1" applyFill="1" applyBorder="1" applyAlignment="1" applyProtection="1">
      <alignment horizontal="center"/>
      <protection hidden="1"/>
    </xf>
    <xf numFmtId="0" fontId="7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164" fontId="7" fillId="3" borderId="6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8" fillId="0" borderId="6" xfId="0" applyFont="1" applyFill="1" applyBorder="1" applyProtection="1">
      <protection hidden="1"/>
    </xf>
    <xf numFmtId="164" fontId="8" fillId="0" borderId="6" xfId="0" applyNumberFormat="1" applyFont="1" applyFill="1" applyBorder="1" applyProtection="1">
      <protection hidden="1"/>
    </xf>
    <xf numFmtId="0" fontId="8" fillId="0" borderId="6" xfId="0" applyFont="1" applyFill="1" applyBorder="1" applyAlignment="1" applyProtection="1">
      <alignment horizontal="center"/>
      <protection hidden="1"/>
    </xf>
    <xf numFmtId="0" fontId="8" fillId="0" borderId="7" xfId="0" applyFont="1" applyFill="1" applyBorder="1" applyAlignment="1" applyProtection="1">
      <alignment horizontal="center"/>
      <protection hidden="1"/>
    </xf>
    <xf numFmtId="0" fontId="5" fillId="0" borderId="2" xfId="0" applyFont="1" applyFill="1" applyBorder="1" applyAlignment="1">
      <alignment horizontal="left"/>
    </xf>
    <xf numFmtId="0" fontId="8" fillId="0" borderId="3" xfId="0" applyFont="1" applyFill="1" applyBorder="1" applyProtection="1">
      <protection hidden="1"/>
    </xf>
    <xf numFmtId="164" fontId="8" fillId="0" borderId="3" xfId="0" applyNumberFormat="1" applyFont="1" applyFill="1" applyBorder="1" applyProtection="1">
      <protection hidden="1"/>
    </xf>
    <xf numFmtId="0" fontId="8" fillId="0" borderId="3" xfId="0" applyFont="1" applyFill="1" applyBorder="1" applyAlignment="1" applyProtection="1">
      <alignment horizontal="center"/>
      <protection hidden="1"/>
    </xf>
    <xf numFmtId="0" fontId="8" fillId="0" borderId="4" xfId="0" applyFont="1" applyFill="1" applyBorder="1" applyAlignment="1" applyProtection="1">
      <alignment horizontal="center"/>
      <protection hidden="1"/>
    </xf>
    <xf numFmtId="0" fontId="9" fillId="0" borderId="3" xfId="0" applyFont="1" applyBorder="1"/>
    <xf numFmtId="0" fontId="9" fillId="0" borderId="4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6" xfId="0" applyFont="1" applyFill="1" applyBorder="1" applyProtection="1">
      <protection hidden="1"/>
    </xf>
    <xf numFmtId="0" fontId="5" fillId="0" borderId="3" xfId="0" applyFont="1" applyFill="1" applyBorder="1" applyProtection="1">
      <protection hidden="1"/>
    </xf>
    <xf numFmtId="0" fontId="5" fillId="0" borderId="0" xfId="0" applyFont="1" applyFill="1" applyBorder="1" applyProtection="1">
      <protection hidden="1"/>
    </xf>
    <xf numFmtId="164" fontId="5" fillId="0" borderId="6" xfId="0" applyNumberFormat="1" applyFont="1" applyFill="1" applyBorder="1" applyProtection="1">
      <protection hidden="1"/>
    </xf>
    <xf numFmtId="164" fontId="5" fillId="0" borderId="3" xfId="0" applyNumberFormat="1" applyFont="1" applyFill="1" applyBorder="1" applyProtection="1">
      <protection hidden="1"/>
    </xf>
    <xf numFmtId="164" fontId="5" fillId="0" borderId="0" xfId="0" applyNumberFormat="1" applyFont="1" applyFill="1" applyBorder="1" applyProtection="1">
      <protection hidden="1"/>
    </xf>
    <xf numFmtId="3" fontId="8" fillId="0" borderId="4" xfId="0" applyNumberFormat="1" applyFont="1" applyFill="1" applyBorder="1" applyAlignment="1" applyProtection="1">
      <alignment horizontal="center"/>
      <protection hidden="1"/>
    </xf>
    <xf numFmtId="0" fontId="0" fillId="0" borderId="0" xfId="0" applyFill="1" applyBorder="1"/>
    <xf numFmtId="4" fontId="7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0" fontId="9" fillId="3" borderId="3" xfId="0" applyFont="1" applyFill="1" applyBorder="1"/>
    <xf numFmtId="164" fontId="9" fillId="3" borderId="3" xfId="0" applyNumberFormat="1" applyFont="1" applyFill="1" applyBorder="1"/>
    <xf numFmtId="0" fontId="9" fillId="3" borderId="3" xfId="0" applyFont="1" applyFill="1" applyBorder="1" applyAlignment="1">
      <alignment horizontal="center"/>
    </xf>
    <xf numFmtId="0" fontId="5" fillId="0" borderId="1" xfId="0" applyFont="1" applyFill="1" applyBorder="1" applyProtection="1">
      <protection hidden="1"/>
    </xf>
    <xf numFmtId="164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Protection="1">
      <protection hidden="1"/>
    </xf>
    <xf numFmtId="0" fontId="5" fillId="0" borderId="9" xfId="0" applyFont="1" applyFill="1" applyBorder="1" applyProtection="1">
      <protection hidden="1"/>
    </xf>
    <xf numFmtId="0" fontId="5" fillId="0" borderId="0" xfId="0" applyFont="1" applyAlignment="1">
      <alignment horizontal="center"/>
    </xf>
    <xf numFmtId="0" fontId="7" fillId="0" borderId="3" xfId="0" applyFont="1" applyFill="1" applyBorder="1" applyProtection="1">
      <protection hidden="1"/>
    </xf>
    <xf numFmtId="0" fontId="9" fillId="0" borderId="6" xfId="0" applyFont="1" applyBorder="1"/>
    <xf numFmtId="0" fontId="9" fillId="0" borderId="7" xfId="0" applyFont="1" applyBorder="1"/>
    <xf numFmtId="0" fontId="0" fillId="0" borderId="6" xfId="0" applyBorder="1"/>
    <xf numFmtId="0" fontId="0" fillId="0" borderId="5" xfId="0" applyBorder="1"/>
    <xf numFmtId="0" fontId="9" fillId="0" borderId="5" xfId="0" applyFont="1" applyBorder="1"/>
    <xf numFmtId="0" fontId="0" fillId="0" borderId="7" xfId="0" applyBorder="1"/>
    <xf numFmtId="0" fontId="0" fillId="0" borderId="3" xfId="0" applyBorder="1"/>
    <xf numFmtId="0" fontId="1" fillId="0" borderId="6" xfId="0" applyFont="1" applyBorder="1"/>
    <xf numFmtId="0" fontId="5" fillId="0" borderId="3" xfId="0" applyFont="1" applyFill="1" applyBorder="1" applyAlignment="1">
      <alignment horizontal="left"/>
    </xf>
    <xf numFmtId="164" fontId="5" fillId="0" borderId="9" xfId="0" applyNumberFormat="1" applyFont="1" applyFill="1" applyBorder="1" applyProtection="1">
      <protection hidden="1"/>
    </xf>
    <xf numFmtId="164" fontId="7" fillId="0" borderId="3" xfId="0" applyNumberFormat="1" applyFont="1" applyFill="1" applyBorder="1" applyProtection="1">
      <protection hidden="1"/>
    </xf>
    <xf numFmtId="3" fontId="5" fillId="0" borderId="3" xfId="0" applyNumberFormat="1" applyFont="1" applyFill="1" applyBorder="1" applyProtection="1">
      <protection hidden="1"/>
    </xf>
    <xf numFmtId="164" fontId="7" fillId="0" borderId="9" xfId="0" applyNumberFormat="1" applyFont="1" applyFill="1" applyBorder="1" applyProtection="1">
      <protection hidden="1"/>
    </xf>
    <xf numFmtId="164" fontId="7" fillId="0" borderId="0" xfId="0" applyNumberFormat="1" applyFont="1" applyFill="1" applyBorder="1" applyProtection="1">
      <protection hidden="1"/>
    </xf>
    <xf numFmtId="168" fontId="8" fillId="0" borderId="0" xfId="0" applyNumberFormat="1" applyFont="1" applyFill="1" applyBorder="1" applyAlignment="1">
      <alignment horizontal="center"/>
    </xf>
    <xf numFmtId="168" fontId="8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68" fontId="8" fillId="3" borderId="4" xfId="0" applyNumberFormat="1" applyFont="1" applyFill="1" applyBorder="1" applyAlignment="1">
      <alignment horizontal="center"/>
    </xf>
    <xf numFmtId="168" fontId="8" fillId="0" borderId="0" xfId="0" applyNumberFormat="1" applyFont="1" applyBorder="1" applyAlignment="1">
      <alignment horizontal="center"/>
    </xf>
    <xf numFmtId="0" fontId="5" fillId="0" borderId="0" xfId="0" applyFont="1" applyBorder="1" applyProtection="1">
      <protection hidden="1"/>
    </xf>
    <xf numFmtId="164" fontId="8" fillId="0" borderId="0" xfId="0" applyNumberFormat="1" applyFont="1" applyFill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5" fillId="0" borderId="0" xfId="0" applyFont="1" applyFill="1"/>
    <xf numFmtId="167" fontId="9" fillId="0" borderId="0" xfId="0" applyNumberFormat="1" applyFont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8" fillId="0" borderId="1" xfId="0" applyFont="1" applyFill="1" applyBorder="1"/>
    <xf numFmtId="0" fontId="7" fillId="6" borderId="2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9" fillId="0" borderId="1" xfId="0" applyFont="1" applyBorder="1"/>
    <xf numFmtId="4" fontId="7" fillId="2" borderId="12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0" xfId="0" applyFont="1" applyBorder="1" applyProtection="1">
      <protection hidden="1"/>
    </xf>
    <xf numFmtId="0" fontId="5" fillId="0" borderId="0" xfId="0" applyFont="1" applyFill="1" applyBorder="1" applyAlignment="1">
      <alignment horizontal="center"/>
    </xf>
    <xf numFmtId="164" fontId="7" fillId="2" borderId="12" xfId="0" applyNumberFormat="1" applyFont="1" applyFill="1" applyBorder="1" applyAlignment="1">
      <alignment horizontal="right"/>
    </xf>
    <xf numFmtId="164" fontId="8" fillId="0" borderId="11" xfId="0" applyNumberFormat="1" applyFont="1" applyFill="1" applyBorder="1"/>
    <xf numFmtId="0" fontId="5" fillId="0" borderId="10" xfId="0" applyFont="1" applyFill="1" applyBorder="1" applyAlignment="1">
      <alignment horizontal="left"/>
    </xf>
    <xf numFmtId="164" fontId="5" fillId="0" borderId="11" xfId="0" applyNumberFormat="1" applyFont="1" applyFill="1" applyBorder="1" applyAlignment="1">
      <alignment horizontal="right"/>
    </xf>
    <xf numFmtId="0" fontId="7" fillId="0" borderId="6" xfId="0" applyFont="1" applyFill="1" applyBorder="1"/>
    <xf numFmtId="0" fontId="8" fillId="0" borderId="6" xfId="0" applyFont="1" applyFill="1" applyBorder="1" applyAlignment="1">
      <alignment horizontal="left"/>
    </xf>
    <xf numFmtId="164" fontId="8" fillId="0" borderId="6" xfId="0" applyNumberFormat="1" applyFont="1" applyFill="1" applyBorder="1" applyAlignment="1">
      <alignment horizontal="right"/>
    </xf>
    <xf numFmtId="0" fontId="8" fillId="0" borderId="6" xfId="0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5" fillId="0" borderId="11" xfId="0" applyNumberFormat="1" applyFont="1" applyFill="1" applyBorder="1" applyAlignment="1">
      <alignment horizontal="center"/>
    </xf>
    <xf numFmtId="1" fontId="8" fillId="0" borderId="11" xfId="0" applyNumberFormat="1" applyFont="1" applyFill="1" applyBorder="1" applyAlignment="1">
      <alignment horizontal="center"/>
    </xf>
    <xf numFmtId="164" fontId="8" fillId="0" borderId="11" xfId="0" applyNumberFormat="1" applyFont="1" applyFill="1" applyBorder="1" applyProtection="1">
      <protection hidden="1"/>
    </xf>
    <xf numFmtId="0" fontId="7" fillId="2" borderId="7" xfId="0" applyFont="1" applyFill="1" applyBorder="1"/>
    <xf numFmtId="164" fontId="7" fillId="2" borderId="7" xfId="0" applyNumberFormat="1" applyFont="1" applyFill="1" applyBorder="1" applyAlignment="1">
      <alignment horizontal="center"/>
    </xf>
    <xf numFmtId="1" fontId="8" fillId="0" borderId="11" xfId="0" applyNumberFormat="1" applyFont="1" applyFill="1" applyBorder="1" applyAlignment="1">
      <alignment horizontal="right"/>
    </xf>
    <xf numFmtId="167" fontId="7" fillId="3" borderId="4" xfId="0" applyNumberFormat="1" applyFont="1" applyFill="1" applyBorder="1" applyAlignment="1">
      <alignment horizontal="center"/>
    </xf>
    <xf numFmtId="0" fontId="8" fillId="0" borderId="11" xfId="0" applyFont="1" applyFill="1" applyBorder="1" applyProtection="1">
      <protection hidden="1"/>
    </xf>
    <xf numFmtId="0" fontId="8" fillId="3" borderId="3" xfId="0" applyFont="1" applyFill="1" applyBorder="1" applyProtection="1">
      <protection hidden="1"/>
    </xf>
    <xf numFmtId="0" fontId="8" fillId="3" borderId="3" xfId="0" applyFont="1" applyFill="1" applyBorder="1" applyAlignment="1" applyProtection="1">
      <alignment horizontal="center"/>
      <protection hidden="1"/>
    </xf>
    <xf numFmtId="0" fontId="5" fillId="0" borderId="11" xfId="0" applyFont="1" applyFill="1" applyBorder="1" applyProtection="1">
      <protection hidden="1"/>
    </xf>
    <xf numFmtId="0" fontId="5" fillId="0" borderId="11" xfId="0" applyFont="1" applyFill="1" applyBorder="1"/>
    <xf numFmtId="164" fontId="7" fillId="2" borderId="12" xfId="0" applyNumberFormat="1" applyFont="1" applyFill="1" applyBorder="1"/>
    <xf numFmtId="0" fontId="8" fillId="0" borderId="11" xfId="0" applyFont="1" applyBorder="1" applyProtection="1">
      <protection hidden="1"/>
    </xf>
    <xf numFmtId="164" fontId="8" fillId="0" borderId="11" xfId="0" applyNumberFormat="1" applyFont="1" applyFill="1" applyBorder="1" applyAlignment="1" applyProtection="1">
      <alignment horizontal="center"/>
      <protection hidden="1"/>
    </xf>
    <xf numFmtId="0" fontId="7" fillId="3" borderId="2" xfId="0" applyFont="1" applyFill="1" applyBorder="1" applyProtection="1">
      <protection hidden="1"/>
    </xf>
    <xf numFmtId="0" fontId="5" fillId="3" borderId="3" xfId="0" applyFont="1" applyFill="1" applyBorder="1" applyProtection="1">
      <protection hidden="1"/>
    </xf>
    <xf numFmtId="164" fontId="8" fillId="3" borderId="3" xfId="0" applyNumberFormat="1" applyFont="1" applyFill="1" applyBorder="1" applyAlignment="1" applyProtection="1">
      <alignment horizont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5" fillId="0" borderId="11" xfId="0" applyFont="1" applyBorder="1" applyProtection="1">
      <protection hidden="1"/>
    </xf>
    <xf numFmtId="0" fontId="5" fillId="0" borderId="3" xfId="0" applyFont="1" applyFill="1" applyBorder="1" applyAlignment="1" applyProtection="1">
      <alignment horizontal="left"/>
      <protection hidden="1"/>
    </xf>
    <xf numFmtId="0" fontId="15" fillId="0" borderId="0" xfId="0" applyFont="1" applyFill="1" applyBorder="1"/>
    <xf numFmtId="0" fontId="8" fillId="0" borderId="3" xfId="0" applyFont="1" applyFill="1" applyBorder="1" applyAlignment="1">
      <alignment horizontal="left"/>
    </xf>
    <xf numFmtId="164" fontId="8" fillId="0" borderId="3" xfId="0" applyNumberFormat="1" applyFont="1" applyFill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4" fontId="8" fillId="0" borderId="4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5" fillId="3" borderId="3" xfId="0" applyFont="1" applyFill="1" applyBorder="1"/>
    <xf numFmtId="164" fontId="5" fillId="0" borderId="0" xfId="0" applyNumberFormat="1" applyFont="1" applyFill="1" applyBorder="1" applyAlignment="1" applyProtection="1">
      <alignment horizontal="right"/>
      <protection hidden="1"/>
    </xf>
    <xf numFmtId="2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0" fillId="0" borderId="1" xfId="0" applyBorder="1"/>
    <xf numFmtId="0" fontId="7" fillId="4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7" fillId="6" borderId="3" xfId="0" applyFont="1" applyFill="1" applyBorder="1" applyProtection="1">
      <protection hidden="1"/>
    </xf>
    <xf numFmtId="164" fontId="5" fillId="6" borderId="3" xfId="0" applyNumberFormat="1" applyFont="1" applyFill="1" applyBorder="1" applyProtection="1">
      <protection hidden="1"/>
    </xf>
    <xf numFmtId="0" fontId="8" fillId="6" borderId="3" xfId="0" applyFont="1" applyFill="1" applyBorder="1" applyAlignment="1" applyProtection="1">
      <alignment horizontal="center"/>
      <protection hidden="1"/>
    </xf>
    <xf numFmtId="0" fontId="9" fillId="6" borderId="3" xfId="0" applyFont="1" applyFill="1" applyBorder="1"/>
    <xf numFmtId="0" fontId="0" fillId="6" borderId="3" xfId="0" applyFill="1" applyBorder="1"/>
    <xf numFmtId="164" fontId="8" fillId="6" borderId="3" xfId="0" applyNumberFormat="1" applyFont="1" applyFill="1" applyBorder="1" applyProtection="1">
      <protection hidden="1"/>
    </xf>
    <xf numFmtId="3" fontId="8" fillId="6" borderId="4" xfId="0" applyNumberFormat="1" applyFont="1" applyFill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4" fontId="8" fillId="6" borderId="4" xfId="0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9" fillId="0" borderId="0" xfId="0" applyFont="1" applyBorder="1"/>
    <xf numFmtId="0" fontId="9" fillId="0" borderId="16" xfId="0" applyFont="1" applyBorder="1"/>
    <xf numFmtId="0" fontId="1" fillId="0" borderId="9" xfId="0" applyFont="1" applyBorder="1"/>
    <xf numFmtId="0" fontId="5" fillId="0" borderId="6" xfId="0" applyFont="1" applyFill="1" applyBorder="1" applyAlignment="1" applyProtection="1">
      <alignment horizontal="left"/>
      <protection hidden="1"/>
    </xf>
    <xf numFmtId="0" fontId="5" fillId="0" borderId="9" xfId="0" applyFont="1" applyFill="1" applyBorder="1" applyAlignment="1" applyProtection="1">
      <alignment horizontal="left"/>
      <protection hidden="1"/>
    </xf>
    <xf numFmtId="0" fontId="14" fillId="5" borderId="14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2" fontId="5" fillId="0" borderId="1" xfId="1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/>
    <xf numFmtId="0" fontId="14" fillId="5" borderId="13" xfId="0" applyFont="1" applyFill="1" applyBorder="1" applyAlignment="1"/>
    <xf numFmtId="0" fontId="14" fillId="5" borderId="13" xfId="0" applyFont="1" applyFill="1" applyBorder="1" applyAlignment="1">
      <alignment horizontal="center" vertical="center"/>
    </xf>
    <xf numFmtId="4" fontId="8" fillId="0" borderId="10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4" fontId="8" fillId="0" borderId="7" xfId="0" applyNumberFormat="1" applyFont="1" applyBorder="1" applyAlignment="1">
      <alignment horizontal="center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colors>
    <mruColors>
      <color rgb="FFA496A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152400</xdr:rowOff>
    </xdr:from>
    <xdr:to>
      <xdr:col>4</xdr:col>
      <xdr:colOff>69850</xdr:colOff>
      <xdr:row>4</xdr:row>
      <xdr:rowOff>131799</xdr:rowOff>
    </xdr:to>
    <xdr:pic>
      <xdr:nvPicPr>
        <xdr:cNvPr id="1028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1" y="15240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152401</xdr:rowOff>
    </xdr:from>
    <xdr:to>
      <xdr:col>4</xdr:col>
      <xdr:colOff>76200</xdr:colOff>
      <xdr:row>4</xdr:row>
      <xdr:rowOff>144647</xdr:rowOff>
    </xdr:to>
    <xdr:pic>
      <xdr:nvPicPr>
        <xdr:cNvPr id="2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6" y="152401"/>
          <a:ext cx="3724274" cy="6272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4</xdr:col>
      <xdr:colOff>171449</xdr:colOff>
      <xdr:row>5</xdr:row>
      <xdr:rowOff>1624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80975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152400</xdr:rowOff>
    </xdr:from>
    <xdr:to>
      <xdr:col>4</xdr:col>
      <xdr:colOff>104775</xdr:colOff>
      <xdr:row>4</xdr:row>
      <xdr:rowOff>131799</xdr:rowOff>
    </xdr:to>
    <xdr:pic>
      <xdr:nvPicPr>
        <xdr:cNvPr id="2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1" y="15240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152400</xdr:rowOff>
    </xdr:from>
    <xdr:to>
      <xdr:col>4</xdr:col>
      <xdr:colOff>190499</xdr:colOff>
      <xdr:row>4</xdr:row>
      <xdr:rowOff>131799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8650" y="15240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4</xdr:col>
      <xdr:colOff>180974</xdr:colOff>
      <xdr:row>4</xdr:row>
      <xdr:rowOff>150849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7145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4</xdr:col>
      <xdr:colOff>180974</xdr:colOff>
      <xdr:row>4</xdr:row>
      <xdr:rowOff>150849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7145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4</xdr:col>
      <xdr:colOff>190499</xdr:colOff>
      <xdr:row>4</xdr:row>
      <xdr:rowOff>150849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8650" y="171450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180974</xdr:colOff>
      <xdr:row>4</xdr:row>
      <xdr:rowOff>141324</xdr:rowOff>
    </xdr:to>
    <xdr:pic>
      <xdr:nvPicPr>
        <xdr:cNvPr id="3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61925"/>
          <a:ext cx="3533774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190500</xdr:colOff>
      <xdr:row>4</xdr:row>
      <xdr:rowOff>141324</xdr:rowOff>
    </xdr:to>
    <xdr:pic>
      <xdr:nvPicPr>
        <xdr:cNvPr id="2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61925"/>
          <a:ext cx="3543300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266700</xdr:colOff>
      <xdr:row>4</xdr:row>
      <xdr:rowOff>141324</xdr:rowOff>
    </xdr:to>
    <xdr:pic>
      <xdr:nvPicPr>
        <xdr:cNvPr id="2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61925"/>
          <a:ext cx="3619500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285750</xdr:colOff>
      <xdr:row>4</xdr:row>
      <xdr:rowOff>141324</xdr:rowOff>
    </xdr:to>
    <xdr:pic>
      <xdr:nvPicPr>
        <xdr:cNvPr id="4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61925"/>
          <a:ext cx="3638550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4</xdr:col>
      <xdr:colOff>323850</xdr:colOff>
      <xdr:row>4</xdr:row>
      <xdr:rowOff>141324</xdr:rowOff>
    </xdr:to>
    <xdr:pic>
      <xdr:nvPicPr>
        <xdr:cNvPr id="2" name="Picture 3" descr="amarel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9125" y="161925"/>
          <a:ext cx="3676650" cy="627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H439"/>
  <sheetViews>
    <sheetView topLeftCell="A7" zoomScaleNormal="100" workbookViewId="0">
      <selection activeCell="I18" sqref="I18"/>
    </sheetView>
  </sheetViews>
  <sheetFormatPr defaultRowHeight="12.75" x14ac:dyDescent="0.2"/>
  <cols>
    <col min="1" max="1" width="9" style="104" customWidth="1"/>
    <col min="2" max="2" width="21.5703125" customWidth="1"/>
    <col min="3" max="3" width="22.42578125" customWidth="1"/>
    <col min="4" max="4" width="8" style="7" customWidth="1"/>
    <col min="5" max="6" width="7.85546875" style="5" customWidth="1"/>
    <col min="7" max="7" width="16.140625" style="113" customWidth="1"/>
    <col min="8" max="8" width="13.5703125" customWidth="1"/>
  </cols>
  <sheetData>
    <row r="7" spans="2:7" x14ac:dyDescent="0.2">
      <c r="G7" s="171"/>
    </row>
    <row r="8" spans="2:7" x14ac:dyDescent="0.2">
      <c r="G8" s="171"/>
    </row>
    <row r="9" spans="2:7" x14ac:dyDescent="0.2">
      <c r="G9" s="171"/>
    </row>
    <row r="10" spans="2:7" x14ac:dyDescent="0.2">
      <c r="G10" s="171"/>
    </row>
    <row r="11" spans="2:7" ht="12.75" customHeight="1" x14ac:dyDescent="0.2">
      <c r="B11" s="100" t="s">
        <v>66</v>
      </c>
      <c r="C11" s="3"/>
      <c r="D11" s="6"/>
      <c r="E11" s="4"/>
      <c r="F11" s="4"/>
      <c r="G11" s="98"/>
    </row>
    <row r="12" spans="2:7" ht="12.75" customHeight="1" x14ac:dyDescent="0.2">
      <c r="B12" s="151" t="s">
        <v>314</v>
      </c>
      <c r="D12" s="150"/>
      <c r="E12" s="4"/>
      <c r="F12" s="4"/>
      <c r="G12" s="98"/>
    </row>
    <row r="13" spans="2:7" ht="15" x14ac:dyDescent="0.2">
      <c r="C13" s="3"/>
      <c r="D13" s="6"/>
      <c r="E13" s="4"/>
      <c r="F13" s="4"/>
      <c r="G13" s="98"/>
    </row>
    <row r="14" spans="2:7" x14ac:dyDescent="0.2">
      <c r="B14" s="56" t="s">
        <v>67</v>
      </c>
      <c r="G14" s="98"/>
    </row>
    <row r="15" spans="2:7" x14ac:dyDescent="0.2">
      <c r="B15" s="56" t="s">
        <v>65</v>
      </c>
      <c r="C15" s="1"/>
      <c r="D15" s="6"/>
      <c r="E15" s="4"/>
      <c r="F15" s="4"/>
      <c r="G15" s="98"/>
    </row>
    <row r="16" spans="2:7" x14ac:dyDescent="0.2">
      <c r="B16" s="56" t="s">
        <v>36</v>
      </c>
      <c r="C16" s="1"/>
      <c r="D16" s="6"/>
      <c r="E16" s="4"/>
      <c r="F16" s="4"/>
      <c r="G16" s="98"/>
    </row>
    <row r="17" spans="2:8" x14ac:dyDescent="0.2">
      <c r="B17" s="56" t="s">
        <v>315</v>
      </c>
      <c r="C17" s="1"/>
      <c r="D17" s="6"/>
      <c r="E17" s="4"/>
      <c r="F17" s="4"/>
      <c r="G17" s="97"/>
    </row>
    <row r="18" spans="2:8" x14ac:dyDescent="0.2">
      <c r="C18" s="1"/>
      <c r="D18" s="6"/>
      <c r="E18" s="4"/>
      <c r="F18" s="4"/>
      <c r="G18" s="97"/>
    </row>
    <row r="19" spans="2:8" x14ac:dyDescent="0.2">
      <c r="C19" s="10"/>
      <c r="D19" s="11"/>
      <c r="E19" s="12"/>
      <c r="F19" s="13"/>
      <c r="G19" s="115"/>
    </row>
    <row r="20" spans="2:8" x14ac:dyDescent="0.2">
      <c r="C20" s="10"/>
      <c r="D20" s="11"/>
      <c r="E20" s="12"/>
      <c r="F20" s="13"/>
      <c r="G20" s="115"/>
    </row>
    <row r="21" spans="2:8" x14ac:dyDescent="0.2">
      <c r="C21" s="10"/>
      <c r="D21" s="11"/>
      <c r="E21" s="12"/>
      <c r="F21" s="13"/>
      <c r="G21" s="115"/>
    </row>
    <row r="22" spans="2:8" x14ac:dyDescent="0.2">
      <c r="C22" s="10"/>
      <c r="D22" s="11"/>
      <c r="E22" s="12"/>
      <c r="F22" s="13"/>
      <c r="G22" s="115"/>
    </row>
    <row r="23" spans="2:8" ht="13.5" thickBot="1" x14ac:dyDescent="0.25">
      <c r="C23" s="10"/>
      <c r="D23" s="11"/>
      <c r="E23" s="12"/>
      <c r="F23" s="13"/>
      <c r="G23" s="115"/>
    </row>
    <row r="24" spans="2:8" ht="24.75" customHeight="1" thickTop="1" x14ac:dyDescent="0.2">
      <c r="B24" s="159" t="s">
        <v>68</v>
      </c>
      <c r="C24" s="160"/>
      <c r="D24" s="161"/>
      <c r="E24" s="162"/>
      <c r="F24" s="163"/>
      <c r="G24" s="164" t="s">
        <v>322</v>
      </c>
      <c r="H24" s="164"/>
    </row>
    <row r="25" spans="2:8" x14ac:dyDescent="0.2">
      <c r="B25" s="10"/>
      <c r="C25" s="15"/>
      <c r="D25" s="16"/>
      <c r="E25" s="17"/>
      <c r="F25" s="17"/>
      <c r="G25" s="114"/>
      <c r="H25" s="114"/>
    </row>
    <row r="26" spans="2:8" x14ac:dyDescent="0.2">
      <c r="B26" s="82" t="s">
        <v>0</v>
      </c>
      <c r="C26" s="82" t="s">
        <v>1</v>
      </c>
      <c r="D26" s="262" t="s">
        <v>2</v>
      </c>
      <c r="E26" s="83" t="s">
        <v>3</v>
      </c>
      <c r="F26" s="83"/>
      <c r="G26" s="256" t="s">
        <v>321</v>
      </c>
      <c r="H26" s="256" t="s">
        <v>263</v>
      </c>
    </row>
    <row r="27" spans="2:8" x14ac:dyDescent="0.2">
      <c r="B27" s="46" t="s">
        <v>164</v>
      </c>
      <c r="C27" s="47"/>
      <c r="D27" s="48"/>
      <c r="E27" s="64"/>
      <c r="F27" s="64"/>
      <c r="G27" s="64"/>
      <c r="H27" s="243"/>
    </row>
    <row r="28" spans="2:8" x14ac:dyDescent="0.2">
      <c r="B28" s="84" t="s">
        <v>164</v>
      </c>
      <c r="C28" s="85" t="s">
        <v>7</v>
      </c>
      <c r="D28" s="263">
        <v>2.5</v>
      </c>
      <c r="E28" s="107">
        <v>200</v>
      </c>
      <c r="F28" s="86" t="s">
        <v>4</v>
      </c>
      <c r="G28" s="301">
        <f>(H28/100)</f>
        <v>1.3028175</v>
      </c>
      <c r="H28" s="112">
        <v>130.28174999999999</v>
      </c>
    </row>
    <row r="29" spans="2:8" x14ac:dyDescent="0.2">
      <c r="B29" s="26" t="s">
        <v>164</v>
      </c>
      <c r="C29" s="27" t="s">
        <v>7</v>
      </c>
      <c r="D29" s="30">
        <v>3</v>
      </c>
      <c r="E29" s="71">
        <v>200</v>
      </c>
      <c r="F29" s="29" t="s">
        <v>4</v>
      </c>
      <c r="G29" s="301">
        <f t="shared" ref="G29:G44" si="0">(H29/100)</f>
        <v>2.0346562500000003</v>
      </c>
      <c r="H29" s="111">
        <v>203.46562500000002</v>
      </c>
    </row>
    <row r="30" spans="2:8" x14ac:dyDescent="0.2">
      <c r="B30" s="26" t="s">
        <v>164</v>
      </c>
      <c r="C30" s="27" t="s">
        <v>7</v>
      </c>
      <c r="D30" s="30">
        <v>4</v>
      </c>
      <c r="E30" s="71">
        <v>200</v>
      </c>
      <c r="F30" s="29" t="s">
        <v>4</v>
      </c>
      <c r="G30" s="301">
        <f t="shared" si="0"/>
        <v>2.8756901408450712</v>
      </c>
      <c r="H30" s="111">
        <v>287.5690140845071</v>
      </c>
    </row>
    <row r="31" spans="2:8" x14ac:dyDescent="0.2">
      <c r="B31" s="26" t="s">
        <v>164</v>
      </c>
      <c r="C31" s="27" t="s">
        <v>7</v>
      </c>
      <c r="D31" s="30">
        <v>5</v>
      </c>
      <c r="E31" s="71">
        <v>200</v>
      </c>
      <c r="F31" s="29" t="s">
        <v>4</v>
      </c>
      <c r="G31" s="301">
        <f t="shared" si="0"/>
        <v>5.5230000000000006</v>
      </c>
      <c r="H31" s="111">
        <v>552.30000000000007</v>
      </c>
    </row>
    <row r="32" spans="2:8" x14ac:dyDescent="0.2">
      <c r="B32" s="26" t="s">
        <v>164</v>
      </c>
      <c r="C32" s="27" t="s">
        <v>7</v>
      </c>
      <c r="D32" s="30">
        <v>6</v>
      </c>
      <c r="E32" s="71">
        <v>200</v>
      </c>
      <c r="F32" s="29" t="s">
        <v>4</v>
      </c>
      <c r="G32" s="301">
        <f t="shared" si="0"/>
        <v>7.5124500000000003</v>
      </c>
      <c r="H32" s="111">
        <v>751.245</v>
      </c>
    </row>
    <row r="33" spans="2:8" x14ac:dyDescent="0.2">
      <c r="B33" s="26" t="s">
        <v>164</v>
      </c>
      <c r="C33" s="27" t="s">
        <v>7</v>
      </c>
      <c r="D33" s="30">
        <v>7</v>
      </c>
      <c r="E33" s="71">
        <v>200</v>
      </c>
      <c r="F33" s="29" t="s">
        <v>4</v>
      </c>
      <c r="G33" s="301">
        <f t="shared" si="0"/>
        <v>9.5612999999999992</v>
      </c>
      <c r="H33" s="111">
        <v>956.12999999999988</v>
      </c>
    </row>
    <row r="34" spans="2:8" x14ac:dyDescent="0.2">
      <c r="B34" s="26" t="s">
        <v>164</v>
      </c>
      <c r="C34" s="27" t="s">
        <v>7</v>
      </c>
      <c r="D34" s="30">
        <v>8</v>
      </c>
      <c r="E34" s="71">
        <v>200</v>
      </c>
      <c r="F34" s="29" t="s">
        <v>4</v>
      </c>
      <c r="G34" s="301">
        <f t="shared" si="0"/>
        <v>13.2692625</v>
      </c>
      <c r="H34" s="111">
        <v>1326.92625</v>
      </c>
    </row>
    <row r="35" spans="2:8" x14ac:dyDescent="0.2">
      <c r="B35" s="26" t="s">
        <v>164</v>
      </c>
      <c r="C35" s="27" t="s">
        <v>7</v>
      </c>
      <c r="D35" s="30">
        <v>9</v>
      </c>
      <c r="E35" s="71">
        <v>200</v>
      </c>
      <c r="F35" s="29" t="s">
        <v>4</v>
      </c>
      <c r="G35" s="301">
        <f t="shared" si="0"/>
        <v>18.032587499999998</v>
      </c>
      <c r="H35" s="111">
        <v>1803.2587499999997</v>
      </c>
    </row>
    <row r="36" spans="2:8" x14ac:dyDescent="0.2">
      <c r="B36" s="26" t="s">
        <v>164</v>
      </c>
      <c r="C36" s="27" t="s">
        <v>7</v>
      </c>
      <c r="D36" s="30">
        <v>10</v>
      </c>
      <c r="E36" s="71">
        <v>200</v>
      </c>
      <c r="F36" s="29" t="s">
        <v>4</v>
      </c>
      <c r="G36" s="301">
        <f t="shared" si="0"/>
        <v>20.754487500000003</v>
      </c>
      <c r="H36" s="111">
        <v>2075.4487500000005</v>
      </c>
    </row>
    <row r="37" spans="2:8" x14ac:dyDescent="0.2">
      <c r="B37" s="26" t="s">
        <v>164</v>
      </c>
      <c r="C37" s="27" t="s">
        <v>7</v>
      </c>
      <c r="D37" s="30">
        <v>12</v>
      </c>
      <c r="E37" s="71">
        <v>200</v>
      </c>
      <c r="F37" s="29" t="s">
        <v>4</v>
      </c>
      <c r="G37" s="301">
        <f t="shared" si="0"/>
        <v>23.668695652173916</v>
      </c>
      <c r="H37" s="111">
        <v>2366.8695652173915</v>
      </c>
    </row>
    <row r="38" spans="2:8" x14ac:dyDescent="0.2">
      <c r="B38" s="26" t="s">
        <v>164</v>
      </c>
      <c r="C38" s="27" t="s">
        <v>7</v>
      </c>
      <c r="D38" s="30">
        <v>14</v>
      </c>
      <c r="E38" s="71">
        <v>100</v>
      </c>
      <c r="F38" s="29" t="s">
        <v>4</v>
      </c>
      <c r="G38" s="301">
        <f t="shared" si="0"/>
        <v>26.627837837837834</v>
      </c>
      <c r="H38" s="111">
        <v>2662.7837837837833</v>
      </c>
    </row>
    <row r="39" spans="2:8" x14ac:dyDescent="0.2">
      <c r="B39" s="26" t="s">
        <v>164</v>
      </c>
      <c r="C39" s="27" t="s">
        <v>7</v>
      </c>
      <c r="D39" s="30">
        <v>16</v>
      </c>
      <c r="E39" s="71">
        <v>100</v>
      </c>
      <c r="F39" s="29" t="s">
        <v>4</v>
      </c>
      <c r="G39" s="301">
        <f t="shared" si="0"/>
        <v>35.503783783783774</v>
      </c>
      <c r="H39" s="111">
        <v>3550.3783783783774</v>
      </c>
    </row>
    <row r="40" spans="2:8" x14ac:dyDescent="0.2">
      <c r="B40" s="26" t="s">
        <v>164</v>
      </c>
      <c r="C40" s="27" t="s">
        <v>7</v>
      </c>
      <c r="D40" s="30">
        <v>18</v>
      </c>
      <c r="E40" s="71">
        <v>100</v>
      </c>
      <c r="F40" s="29" t="s">
        <v>4</v>
      </c>
      <c r="G40" s="301">
        <f t="shared" si="0"/>
        <v>44.675594594594585</v>
      </c>
      <c r="H40" s="111">
        <v>4467.5594594594586</v>
      </c>
    </row>
    <row r="41" spans="2:8" x14ac:dyDescent="0.2">
      <c r="B41" s="26" t="s">
        <v>164</v>
      </c>
      <c r="C41" s="27" t="s">
        <v>7</v>
      </c>
      <c r="D41" s="30">
        <v>20</v>
      </c>
      <c r="E41" s="71">
        <v>100</v>
      </c>
      <c r="F41" s="29" t="s">
        <v>4</v>
      </c>
      <c r="G41" s="301">
        <f t="shared" si="0"/>
        <v>50.297027027027028</v>
      </c>
      <c r="H41" s="111">
        <v>5029.7027027027025</v>
      </c>
    </row>
    <row r="42" spans="2:8" x14ac:dyDescent="0.2">
      <c r="B42" s="26" t="s">
        <v>164</v>
      </c>
      <c r="C42" s="27" t="s">
        <v>7</v>
      </c>
      <c r="D42" s="31">
        <v>22</v>
      </c>
      <c r="E42" s="71">
        <v>100</v>
      </c>
      <c r="F42" s="29" t="s">
        <v>4</v>
      </c>
      <c r="G42" s="301">
        <f t="shared" si="0"/>
        <v>56.214324324324316</v>
      </c>
      <c r="H42" s="111">
        <v>5621.4324324324316</v>
      </c>
    </row>
    <row r="43" spans="2:8" x14ac:dyDescent="0.2">
      <c r="B43" s="26" t="s">
        <v>164</v>
      </c>
      <c r="C43" s="27" t="s">
        <v>7</v>
      </c>
      <c r="D43" s="31">
        <v>24</v>
      </c>
      <c r="E43" s="71">
        <v>100</v>
      </c>
      <c r="F43" s="29" t="s">
        <v>4</v>
      </c>
      <c r="G43" s="301">
        <f t="shared" si="0"/>
        <v>68.640648648648636</v>
      </c>
      <c r="H43" s="111">
        <v>6864.0648648648639</v>
      </c>
    </row>
    <row r="44" spans="2:8" x14ac:dyDescent="0.2">
      <c r="B44" s="26" t="s">
        <v>164</v>
      </c>
      <c r="C44" s="27" t="s">
        <v>7</v>
      </c>
      <c r="D44" s="31">
        <v>26</v>
      </c>
      <c r="E44" s="71">
        <v>100</v>
      </c>
      <c r="F44" s="29" t="s">
        <v>4</v>
      </c>
      <c r="G44" s="301">
        <f t="shared" si="0"/>
        <v>97.931270270270247</v>
      </c>
      <c r="H44" s="111">
        <v>9793.1270270270252</v>
      </c>
    </row>
    <row r="45" spans="2:8" x14ac:dyDescent="0.2">
      <c r="B45" s="13"/>
      <c r="C45" s="32"/>
      <c r="D45" s="16"/>
      <c r="E45" s="106"/>
      <c r="F45" s="33"/>
      <c r="H45" s="241"/>
    </row>
    <row r="46" spans="2:8" x14ac:dyDescent="0.2">
      <c r="B46" s="46" t="s">
        <v>166</v>
      </c>
      <c r="C46" s="215"/>
      <c r="D46" s="216"/>
      <c r="E46" s="217"/>
      <c r="F46" s="49"/>
      <c r="G46" s="49"/>
      <c r="H46" s="243"/>
    </row>
    <row r="47" spans="2:8" x14ac:dyDescent="0.2">
      <c r="B47" s="84" t="s">
        <v>166</v>
      </c>
      <c r="C47" s="85" t="s">
        <v>19</v>
      </c>
      <c r="D47" s="78">
        <v>4</v>
      </c>
      <c r="E47" s="107">
        <v>200</v>
      </c>
      <c r="F47" s="86" t="s">
        <v>4</v>
      </c>
      <c r="G47" s="301">
        <f>(H47/100)</f>
        <v>2.7976576271186442</v>
      </c>
      <c r="H47" s="111">
        <v>279.7657627118644</v>
      </c>
    </row>
    <row r="48" spans="2:8" x14ac:dyDescent="0.2">
      <c r="B48" s="26" t="s">
        <v>166</v>
      </c>
      <c r="C48" s="27" t="s">
        <v>19</v>
      </c>
      <c r="D48" s="30">
        <v>5</v>
      </c>
      <c r="E48" s="71">
        <v>200</v>
      </c>
      <c r="F48" s="29" t="s">
        <v>4</v>
      </c>
      <c r="G48" s="301">
        <f t="shared" ref="G48:G59" si="1">(H48/100)</f>
        <v>3.5867491525423736</v>
      </c>
      <c r="H48" s="111">
        <v>358.67491525423736</v>
      </c>
    </row>
    <row r="49" spans="1:8" x14ac:dyDescent="0.2">
      <c r="B49" s="26" t="s">
        <v>166</v>
      </c>
      <c r="C49" s="27" t="s">
        <v>19</v>
      </c>
      <c r="D49" s="30">
        <v>6</v>
      </c>
      <c r="E49" s="71">
        <v>200</v>
      </c>
      <c r="F49" s="29" t="s">
        <v>4</v>
      </c>
      <c r="G49" s="301">
        <f t="shared" si="1"/>
        <v>3.8601030508474587</v>
      </c>
      <c r="H49" s="111">
        <v>386.01030508474588</v>
      </c>
    </row>
    <row r="50" spans="1:8" x14ac:dyDescent="0.2">
      <c r="B50" s="26" t="s">
        <v>166</v>
      </c>
      <c r="C50" s="27" t="s">
        <v>19</v>
      </c>
      <c r="D50" s="30">
        <v>7</v>
      </c>
      <c r="E50" s="71">
        <v>200</v>
      </c>
      <c r="F50" s="29" t="s">
        <v>4</v>
      </c>
      <c r="G50" s="301">
        <f t="shared" si="1"/>
        <v>4.7030796610169494</v>
      </c>
      <c r="H50" s="111">
        <v>470.30796610169494</v>
      </c>
    </row>
    <row r="51" spans="1:8" x14ac:dyDescent="0.2">
      <c r="B51" s="26" t="s">
        <v>166</v>
      </c>
      <c r="C51" s="27" t="s">
        <v>19</v>
      </c>
      <c r="D51" s="30">
        <v>8</v>
      </c>
      <c r="E51" s="71">
        <v>200</v>
      </c>
      <c r="F51" s="29" t="s">
        <v>4</v>
      </c>
      <c r="G51" s="301">
        <f t="shared" si="1"/>
        <v>7.7692067796610171</v>
      </c>
      <c r="H51" s="111">
        <v>776.92067796610172</v>
      </c>
    </row>
    <row r="52" spans="1:8" x14ac:dyDescent="0.2">
      <c r="B52" s="26" t="s">
        <v>166</v>
      </c>
      <c r="C52" s="27" t="s">
        <v>19</v>
      </c>
      <c r="D52" s="30">
        <v>9</v>
      </c>
      <c r="E52" s="71">
        <v>200</v>
      </c>
      <c r="F52" s="29" t="s">
        <v>4</v>
      </c>
      <c r="G52" s="301">
        <f t="shared" si="1"/>
        <v>9.2903644067796609</v>
      </c>
      <c r="H52" s="111">
        <v>929.03644067796608</v>
      </c>
    </row>
    <row r="53" spans="1:8" x14ac:dyDescent="0.2">
      <c r="B53" s="26" t="s">
        <v>166</v>
      </c>
      <c r="C53" s="27" t="s">
        <v>19</v>
      </c>
      <c r="D53" s="30">
        <v>10</v>
      </c>
      <c r="E53" s="71">
        <v>200</v>
      </c>
      <c r="F53" s="29" t="s">
        <v>4</v>
      </c>
      <c r="G53" s="301">
        <f t="shared" si="1"/>
        <v>10.389477966101698</v>
      </c>
      <c r="H53" s="111">
        <v>1038.9477966101697</v>
      </c>
    </row>
    <row r="54" spans="1:8" x14ac:dyDescent="0.2">
      <c r="B54" s="26" t="s">
        <v>166</v>
      </c>
      <c r="C54" s="27" t="s">
        <v>19</v>
      </c>
      <c r="D54" s="30">
        <v>11</v>
      </c>
      <c r="E54" s="139">
        <v>200</v>
      </c>
      <c r="F54" s="123" t="s">
        <v>4</v>
      </c>
      <c r="G54" s="301">
        <f t="shared" si="1"/>
        <v>13.669108064516129</v>
      </c>
      <c r="H54" s="111">
        <v>1366.9108064516129</v>
      </c>
    </row>
    <row r="55" spans="1:8" x14ac:dyDescent="0.2">
      <c r="B55" s="26" t="s">
        <v>166</v>
      </c>
      <c r="C55" s="27" t="s">
        <v>19</v>
      </c>
      <c r="D55" s="30">
        <v>12</v>
      </c>
      <c r="E55" s="71">
        <v>200</v>
      </c>
      <c r="F55" s="29" t="s">
        <v>4</v>
      </c>
      <c r="G55" s="301">
        <f t="shared" si="1"/>
        <v>15.15223880597015</v>
      </c>
      <c r="H55" s="111">
        <v>1515.2238805970151</v>
      </c>
    </row>
    <row r="56" spans="1:8" x14ac:dyDescent="0.2">
      <c r="B56" s="26" t="s">
        <v>166</v>
      </c>
      <c r="C56" s="27" t="s">
        <v>19</v>
      </c>
      <c r="D56" s="30">
        <v>14</v>
      </c>
      <c r="E56" s="71">
        <v>100</v>
      </c>
      <c r="F56" s="29" t="s">
        <v>4</v>
      </c>
      <c r="G56" s="301">
        <f t="shared" si="1"/>
        <v>21.320876417910455</v>
      </c>
      <c r="H56" s="111">
        <v>2132.0876417910454</v>
      </c>
    </row>
    <row r="57" spans="1:8" x14ac:dyDescent="0.2">
      <c r="B57" s="26" t="s">
        <v>166</v>
      </c>
      <c r="C57" s="27" t="s">
        <v>19</v>
      </c>
      <c r="D57" s="30">
        <v>16</v>
      </c>
      <c r="E57" s="71">
        <v>100</v>
      </c>
      <c r="F57" s="29" t="s">
        <v>4</v>
      </c>
      <c r="G57" s="301">
        <f t="shared" si="1"/>
        <v>25.843486567164188</v>
      </c>
      <c r="H57" s="111">
        <v>2584.3486567164186</v>
      </c>
    </row>
    <row r="58" spans="1:8" x14ac:dyDescent="0.2">
      <c r="B58" s="26" t="s">
        <v>166</v>
      </c>
      <c r="C58" s="27" t="s">
        <v>19</v>
      </c>
      <c r="D58" s="30">
        <v>18</v>
      </c>
      <c r="E58" s="71">
        <v>100</v>
      </c>
      <c r="F58" s="29" t="s">
        <v>4</v>
      </c>
      <c r="G58" s="301">
        <f t="shared" si="1"/>
        <v>33.717313432835816</v>
      </c>
      <c r="H58" s="111">
        <v>3371.7313432835817</v>
      </c>
    </row>
    <row r="59" spans="1:8" x14ac:dyDescent="0.2">
      <c r="B59" s="26" t="s">
        <v>166</v>
      </c>
      <c r="C59" s="27" t="s">
        <v>19</v>
      </c>
      <c r="D59" s="30">
        <v>20</v>
      </c>
      <c r="E59" s="71">
        <v>100</v>
      </c>
      <c r="F59" s="29" t="s">
        <v>4</v>
      </c>
      <c r="G59" s="301">
        <f t="shared" si="1"/>
        <v>40.460776119402979</v>
      </c>
      <c r="H59" s="111">
        <v>4046.0776119402981</v>
      </c>
    </row>
    <row r="60" spans="1:8" s="8" customFormat="1" x14ac:dyDescent="0.2">
      <c r="A60" s="210"/>
      <c r="B60" s="53"/>
      <c r="C60" s="51"/>
      <c r="D60" s="52"/>
      <c r="E60" s="106"/>
      <c r="F60" s="33"/>
      <c r="H60" s="244"/>
    </row>
    <row r="61" spans="1:8" x14ac:dyDescent="0.2">
      <c r="B61" s="46" t="s">
        <v>167</v>
      </c>
      <c r="C61" s="37"/>
      <c r="D61" s="38"/>
      <c r="E61" s="59"/>
      <c r="F61" s="40"/>
      <c r="G61" s="40"/>
      <c r="H61" s="243"/>
    </row>
    <row r="62" spans="1:8" x14ac:dyDescent="0.2">
      <c r="B62" s="84" t="s">
        <v>167</v>
      </c>
      <c r="C62" s="85" t="s">
        <v>19</v>
      </c>
      <c r="D62" s="78">
        <v>5</v>
      </c>
      <c r="E62" s="107">
        <v>200</v>
      </c>
      <c r="F62" s="86" t="s">
        <v>4</v>
      </c>
      <c r="G62" s="301">
        <f>(H62/100)</f>
        <v>3.7514648275862084</v>
      </c>
      <c r="H62" s="111">
        <v>375.14648275862083</v>
      </c>
    </row>
    <row r="63" spans="1:8" x14ac:dyDescent="0.2">
      <c r="B63" s="26" t="s">
        <v>167</v>
      </c>
      <c r="C63" s="27" t="s">
        <v>19</v>
      </c>
      <c r="D63" s="30">
        <v>6</v>
      </c>
      <c r="E63" s="71">
        <v>200</v>
      </c>
      <c r="F63" s="29" t="s">
        <v>4</v>
      </c>
      <c r="G63" s="301">
        <f t="shared" ref="G63:G69" si="2">(H63/100)</f>
        <v>4.2442915862068968</v>
      </c>
      <c r="H63" s="111">
        <v>424.42915862068969</v>
      </c>
    </row>
    <row r="64" spans="1:8" x14ac:dyDescent="0.2">
      <c r="B64" s="26" t="s">
        <v>167</v>
      </c>
      <c r="C64" s="27" t="s">
        <v>19</v>
      </c>
      <c r="D64" s="30">
        <v>7</v>
      </c>
      <c r="E64" s="71">
        <v>200</v>
      </c>
      <c r="F64" s="29" t="s">
        <v>4</v>
      </c>
      <c r="G64" s="301">
        <f t="shared" si="2"/>
        <v>4.9469946206896571</v>
      </c>
      <c r="H64" s="111">
        <v>494.69946206896572</v>
      </c>
    </row>
    <row r="65" spans="2:8" x14ac:dyDescent="0.2">
      <c r="B65" s="26" t="s">
        <v>167</v>
      </c>
      <c r="C65" s="27" t="s">
        <v>19</v>
      </c>
      <c r="D65" s="30">
        <v>8</v>
      </c>
      <c r="E65" s="71">
        <v>200</v>
      </c>
      <c r="F65" s="29" t="s">
        <v>4</v>
      </c>
      <c r="G65" s="301">
        <f t="shared" si="2"/>
        <v>8.2116179999999996</v>
      </c>
      <c r="H65" s="111">
        <v>821.16179999999997</v>
      </c>
    </row>
    <row r="66" spans="2:8" x14ac:dyDescent="0.2">
      <c r="B66" s="26" t="s">
        <v>167</v>
      </c>
      <c r="C66" s="27" t="s">
        <v>19</v>
      </c>
      <c r="D66" s="30">
        <v>9</v>
      </c>
      <c r="E66" s="71">
        <v>200</v>
      </c>
      <c r="F66" s="29" t="s">
        <v>4</v>
      </c>
      <c r="G66" s="301">
        <f t="shared" si="2"/>
        <v>9.9446151724137959</v>
      </c>
      <c r="H66" s="111">
        <v>994.46151724137962</v>
      </c>
    </row>
    <row r="67" spans="2:8" x14ac:dyDescent="0.2">
      <c r="B67" s="26" t="s">
        <v>167</v>
      </c>
      <c r="C67" s="27" t="s">
        <v>19</v>
      </c>
      <c r="D67" s="30">
        <v>10</v>
      </c>
      <c r="E67" s="71">
        <v>200</v>
      </c>
      <c r="F67" s="29" t="s">
        <v>4</v>
      </c>
      <c r="G67" s="301">
        <f t="shared" si="2"/>
        <v>11.534565517241383</v>
      </c>
      <c r="H67" s="111">
        <v>1153.4565517241383</v>
      </c>
    </row>
    <row r="68" spans="2:8" x14ac:dyDescent="0.2">
      <c r="B68" s="26" t="s">
        <v>167</v>
      </c>
      <c r="C68" s="27" t="s">
        <v>19</v>
      </c>
      <c r="D68" s="30">
        <v>11</v>
      </c>
      <c r="E68" s="71">
        <v>200</v>
      </c>
      <c r="F68" s="29" t="s">
        <v>4</v>
      </c>
      <c r="G68" s="301">
        <f t="shared" si="2"/>
        <v>16.348440983606558</v>
      </c>
      <c r="H68" s="111">
        <v>1634.8440983606558</v>
      </c>
    </row>
    <row r="69" spans="2:8" x14ac:dyDescent="0.2">
      <c r="B69" s="26" t="s">
        <v>167</v>
      </c>
      <c r="C69" s="27" t="s">
        <v>19</v>
      </c>
      <c r="D69" s="30">
        <v>12</v>
      </c>
      <c r="E69" s="71">
        <v>200</v>
      </c>
      <c r="F69" s="29" t="s">
        <v>4</v>
      </c>
      <c r="G69" s="301">
        <f t="shared" si="2"/>
        <v>16.507451076923079</v>
      </c>
      <c r="H69" s="111">
        <v>1650.745107692308</v>
      </c>
    </row>
    <row r="70" spans="2:8" x14ac:dyDescent="0.2">
      <c r="B70" s="32"/>
      <c r="C70" s="32"/>
      <c r="D70" s="34"/>
      <c r="E70" s="35"/>
      <c r="F70" s="35"/>
      <c r="H70" s="242"/>
    </row>
    <row r="71" spans="2:8" x14ac:dyDescent="0.2">
      <c r="B71" s="46" t="s">
        <v>234</v>
      </c>
      <c r="C71" s="37"/>
      <c r="D71" s="38"/>
      <c r="E71" s="59"/>
      <c r="F71" s="40"/>
      <c r="G71" s="40"/>
      <c r="H71" s="243"/>
    </row>
    <row r="72" spans="2:8" x14ac:dyDescent="0.2">
      <c r="B72" s="84" t="s">
        <v>234</v>
      </c>
      <c r="C72" s="85" t="s">
        <v>8</v>
      </c>
      <c r="D72" s="78">
        <v>6</v>
      </c>
      <c r="E72" s="107">
        <v>200</v>
      </c>
      <c r="F72" s="86" t="s">
        <v>4</v>
      </c>
      <c r="G72" s="301">
        <f>(H72/100)</f>
        <v>5.1593089263157914</v>
      </c>
      <c r="H72" s="111">
        <v>515.93089263157913</v>
      </c>
    </row>
    <row r="73" spans="2:8" x14ac:dyDescent="0.2">
      <c r="B73" s="26" t="s">
        <v>234</v>
      </c>
      <c r="C73" s="27" t="s">
        <v>8</v>
      </c>
      <c r="D73" s="30">
        <v>7</v>
      </c>
      <c r="E73" s="71">
        <v>200</v>
      </c>
      <c r="F73" s="29" t="s">
        <v>4</v>
      </c>
      <c r="G73" s="301">
        <f t="shared" ref="G73:G81" si="3">(H73/100)</f>
        <v>6.7098000000000013</v>
      </c>
      <c r="H73" s="111">
        <v>670.98000000000013</v>
      </c>
    </row>
    <row r="74" spans="2:8" x14ac:dyDescent="0.2">
      <c r="B74" s="26" t="s">
        <v>234</v>
      </c>
      <c r="C74" s="27" t="s">
        <v>8</v>
      </c>
      <c r="D74" s="30">
        <v>8</v>
      </c>
      <c r="E74" s="71">
        <v>200</v>
      </c>
      <c r="F74" s="29" t="s">
        <v>4</v>
      </c>
      <c r="G74" s="301">
        <f t="shared" si="3"/>
        <v>9.581485650526318</v>
      </c>
      <c r="H74" s="111">
        <v>958.14856505263174</v>
      </c>
    </row>
    <row r="75" spans="2:8" x14ac:dyDescent="0.2">
      <c r="B75" s="26" t="s">
        <v>234</v>
      </c>
      <c r="C75" s="27" t="s">
        <v>8</v>
      </c>
      <c r="D75" s="30">
        <v>9</v>
      </c>
      <c r="E75" s="71">
        <v>200</v>
      </c>
      <c r="F75" s="29" t="s">
        <v>4</v>
      </c>
      <c r="G75" s="301">
        <f t="shared" si="3"/>
        <v>12.106132800000001</v>
      </c>
      <c r="H75" s="111">
        <v>1210.61328</v>
      </c>
    </row>
    <row r="76" spans="2:8" x14ac:dyDescent="0.2">
      <c r="B76" s="26" t="s">
        <v>234</v>
      </c>
      <c r="C76" s="27" t="s">
        <v>8</v>
      </c>
      <c r="D76" s="30">
        <v>10</v>
      </c>
      <c r="E76" s="71">
        <v>200</v>
      </c>
      <c r="F76" s="29" t="s">
        <v>4</v>
      </c>
      <c r="G76" s="301">
        <f t="shared" si="3"/>
        <v>13.855143557894742</v>
      </c>
      <c r="H76" s="111">
        <v>1385.5143557894742</v>
      </c>
    </row>
    <row r="77" spans="2:8" x14ac:dyDescent="0.2">
      <c r="B77" s="26" t="s">
        <v>234</v>
      </c>
      <c r="C77" s="27" t="s">
        <v>8</v>
      </c>
      <c r="D77" s="30">
        <v>11</v>
      </c>
      <c r="E77" s="71">
        <v>200</v>
      </c>
      <c r="F77" s="29" t="s">
        <v>4</v>
      </c>
      <c r="G77" s="301">
        <f t="shared" si="3"/>
        <v>17.77989596949153</v>
      </c>
      <c r="H77" s="111">
        <v>1777.9895969491531</v>
      </c>
    </row>
    <row r="78" spans="2:8" x14ac:dyDescent="0.2">
      <c r="B78" s="26" t="s">
        <v>234</v>
      </c>
      <c r="C78" s="27" t="s">
        <v>8</v>
      </c>
      <c r="D78" s="30">
        <v>12</v>
      </c>
      <c r="E78" s="71">
        <v>200</v>
      </c>
      <c r="F78" s="29" t="s">
        <v>4</v>
      </c>
      <c r="G78" s="301">
        <f t="shared" si="3"/>
        <v>19.281700440000002</v>
      </c>
      <c r="H78" s="111">
        <v>1928.1700440000002</v>
      </c>
    </row>
    <row r="79" spans="2:8" x14ac:dyDescent="0.2">
      <c r="B79" s="26" t="s">
        <v>234</v>
      </c>
      <c r="C79" s="27" t="s">
        <v>8</v>
      </c>
      <c r="D79" s="30">
        <v>14</v>
      </c>
      <c r="E79" s="71">
        <v>100</v>
      </c>
      <c r="F79" s="29" t="s">
        <v>4</v>
      </c>
      <c r="G79" s="301">
        <f t="shared" si="3"/>
        <v>26.889069179076927</v>
      </c>
      <c r="H79" s="111">
        <v>2688.9069179076928</v>
      </c>
    </row>
    <row r="80" spans="2:8" x14ac:dyDescent="0.2">
      <c r="B80" s="26" t="s">
        <v>234</v>
      </c>
      <c r="C80" s="27" t="s">
        <v>8</v>
      </c>
      <c r="D80" s="30">
        <v>16</v>
      </c>
      <c r="E80" s="71">
        <v>100</v>
      </c>
      <c r="F80" s="29" t="s">
        <v>4</v>
      </c>
      <c r="G80" s="301">
        <f t="shared" si="3"/>
        <v>32.445046153846157</v>
      </c>
      <c r="H80" s="111">
        <v>3244.5046153846156</v>
      </c>
    </row>
    <row r="81" spans="2:8" x14ac:dyDescent="0.2">
      <c r="B81" s="26" t="s">
        <v>234</v>
      </c>
      <c r="C81" s="27" t="s">
        <v>8</v>
      </c>
      <c r="D81" s="30">
        <v>18</v>
      </c>
      <c r="E81" s="71">
        <v>100</v>
      </c>
      <c r="F81" s="29" t="s">
        <v>4</v>
      </c>
      <c r="G81" s="301">
        <f t="shared" si="3"/>
        <v>41.568000000000005</v>
      </c>
      <c r="H81" s="111">
        <v>4156.8</v>
      </c>
    </row>
    <row r="82" spans="2:8" x14ac:dyDescent="0.2">
      <c r="B82" s="50"/>
      <c r="C82" s="51"/>
      <c r="D82" s="52"/>
      <c r="E82" s="106"/>
      <c r="F82" s="33"/>
      <c r="H82" s="241"/>
    </row>
    <row r="83" spans="2:8" x14ac:dyDescent="0.2">
      <c r="B83" s="46" t="s">
        <v>232</v>
      </c>
      <c r="C83" s="37"/>
      <c r="D83" s="38"/>
      <c r="E83" s="59"/>
      <c r="F83" s="40"/>
      <c r="G83" s="40"/>
      <c r="H83" s="243"/>
    </row>
    <row r="84" spans="2:8" x14ac:dyDescent="0.2">
      <c r="B84" s="84" t="s">
        <v>232</v>
      </c>
      <c r="C84" s="136" t="s">
        <v>241</v>
      </c>
      <c r="D84" s="78">
        <v>6</v>
      </c>
      <c r="E84" s="107">
        <v>200</v>
      </c>
      <c r="F84" s="86" t="s">
        <v>4</v>
      </c>
      <c r="G84" s="301">
        <f>(H84/100)</f>
        <v>5.5</v>
      </c>
      <c r="H84" s="111">
        <v>550</v>
      </c>
    </row>
    <row r="85" spans="2:8" x14ac:dyDescent="0.2">
      <c r="B85" s="26" t="s">
        <v>232</v>
      </c>
      <c r="C85" s="132" t="s">
        <v>241</v>
      </c>
      <c r="D85" s="30">
        <v>7</v>
      </c>
      <c r="E85" s="71">
        <v>200</v>
      </c>
      <c r="F85" s="29" t="s">
        <v>4</v>
      </c>
      <c r="G85" s="301">
        <f t="shared" ref="G85:G94" si="4">(H85/100)</f>
        <v>7.5</v>
      </c>
      <c r="H85" s="111">
        <v>750</v>
      </c>
    </row>
    <row r="86" spans="2:8" x14ac:dyDescent="0.2">
      <c r="B86" s="26" t="s">
        <v>232</v>
      </c>
      <c r="C86" s="132" t="s">
        <v>241</v>
      </c>
      <c r="D86" s="30">
        <v>8</v>
      </c>
      <c r="E86" s="71">
        <v>200</v>
      </c>
      <c r="F86" s="29" t="s">
        <v>4</v>
      </c>
      <c r="G86" s="301">
        <f t="shared" si="4"/>
        <v>9.5</v>
      </c>
      <c r="H86" s="111">
        <v>950</v>
      </c>
    </row>
    <row r="87" spans="2:8" x14ac:dyDescent="0.2">
      <c r="B87" s="26" t="s">
        <v>232</v>
      </c>
      <c r="C87" s="132" t="s">
        <v>241</v>
      </c>
      <c r="D87" s="30">
        <v>9</v>
      </c>
      <c r="E87" s="71">
        <v>200</v>
      </c>
      <c r="F87" s="29" t="s">
        <v>4</v>
      </c>
      <c r="G87" s="301">
        <f t="shared" si="4"/>
        <v>12.071987900338984</v>
      </c>
      <c r="H87" s="111">
        <v>1207.1987900338984</v>
      </c>
    </row>
    <row r="88" spans="2:8" x14ac:dyDescent="0.2">
      <c r="B88" s="26" t="s">
        <v>232</v>
      </c>
      <c r="C88" s="132" t="s">
        <v>241</v>
      </c>
      <c r="D88" s="30">
        <v>10</v>
      </c>
      <c r="E88" s="71">
        <v>200</v>
      </c>
      <c r="F88" s="29" t="s">
        <v>4</v>
      </c>
      <c r="G88" s="301">
        <f t="shared" si="4"/>
        <v>14.02551141966102</v>
      </c>
      <c r="H88" s="111">
        <v>1402.551141966102</v>
      </c>
    </row>
    <row r="89" spans="2:8" x14ac:dyDescent="0.2">
      <c r="B89" s="26" t="s">
        <v>232</v>
      </c>
      <c r="C89" s="132" t="s">
        <v>241</v>
      </c>
      <c r="D89" s="30">
        <v>11</v>
      </c>
      <c r="E89" s="71">
        <v>200</v>
      </c>
      <c r="F89" s="123" t="s">
        <v>4</v>
      </c>
      <c r="G89" s="301">
        <f t="shared" si="4"/>
        <v>19.112346533898307</v>
      </c>
      <c r="H89" s="111">
        <v>1911.2346533898308</v>
      </c>
    </row>
    <row r="90" spans="2:8" x14ac:dyDescent="0.2">
      <c r="B90" s="26" t="s">
        <v>232</v>
      </c>
      <c r="C90" s="132" t="s">
        <v>241</v>
      </c>
      <c r="D90" s="30">
        <v>12</v>
      </c>
      <c r="E90" s="71">
        <v>200</v>
      </c>
      <c r="F90" s="29" t="s">
        <v>4</v>
      </c>
      <c r="G90" s="301">
        <f t="shared" si="4"/>
        <v>19.959570000000003</v>
      </c>
      <c r="H90" s="111">
        <v>1995.9570000000003</v>
      </c>
    </row>
    <row r="91" spans="2:8" x14ac:dyDescent="0.2">
      <c r="B91" s="26" t="s">
        <v>232</v>
      </c>
      <c r="C91" s="132" t="s">
        <v>241</v>
      </c>
      <c r="D91" s="30">
        <v>14</v>
      </c>
      <c r="E91" s="71">
        <v>100</v>
      </c>
      <c r="F91" s="29" t="s">
        <v>4</v>
      </c>
      <c r="G91" s="301">
        <f t="shared" si="4"/>
        <v>28.367193937500005</v>
      </c>
      <c r="H91" s="111">
        <v>2836.7193937500006</v>
      </c>
    </row>
    <row r="92" spans="2:8" x14ac:dyDescent="0.2">
      <c r="B92" s="26" t="s">
        <v>232</v>
      </c>
      <c r="C92" s="132" t="s">
        <v>241</v>
      </c>
      <c r="D92" s="30">
        <v>16</v>
      </c>
      <c r="E92" s="71">
        <v>100</v>
      </c>
      <c r="F92" s="29" t="s">
        <v>4</v>
      </c>
      <c r="G92" s="301">
        <f t="shared" si="4"/>
        <v>34.810869000000004</v>
      </c>
      <c r="H92" s="111">
        <v>3481.0869000000002</v>
      </c>
    </row>
    <row r="93" spans="2:8" x14ac:dyDescent="0.2">
      <c r="B93" s="26" t="s">
        <v>232</v>
      </c>
      <c r="C93" s="132" t="s">
        <v>241</v>
      </c>
      <c r="D93" s="30">
        <v>18</v>
      </c>
      <c r="E93" s="71">
        <v>100</v>
      </c>
      <c r="F93" s="29" t="s">
        <v>4</v>
      </c>
      <c r="G93" s="301">
        <f t="shared" si="4"/>
        <v>43.229212500000003</v>
      </c>
      <c r="H93" s="111">
        <v>4322.9212500000003</v>
      </c>
    </row>
    <row r="94" spans="2:8" x14ac:dyDescent="0.2">
      <c r="B94" s="26" t="s">
        <v>232</v>
      </c>
      <c r="C94" s="132" t="s">
        <v>241</v>
      </c>
      <c r="D94" s="30">
        <v>20</v>
      </c>
      <c r="E94" s="71">
        <v>100</v>
      </c>
      <c r="F94" s="29" t="s">
        <v>4</v>
      </c>
      <c r="G94" s="301">
        <f t="shared" si="4"/>
        <v>52.351497000000002</v>
      </c>
      <c r="H94" s="111">
        <v>5235.1496999999999</v>
      </c>
    </row>
    <row r="95" spans="2:8" x14ac:dyDescent="0.2">
      <c r="B95" s="32"/>
      <c r="C95" s="32"/>
      <c r="D95" s="32"/>
      <c r="E95" s="35"/>
      <c r="F95" s="32"/>
      <c r="H95" s="242"/>
    </row>
    <row r="96" spans="2:8" x14ac:dyDescent="0.2">
      <c r="B96" s="46" t="s">
        <v>233</v>
      </c>
      <c r="C96" s="37"/>
      <c r="D96" s="38"/>
      <c r="E96" s="59"/>
      <c r="F96" s="40"/>
      <c r="G96" s="40"/>
      <c r="H96" s="243"/>
    </row>
    <row r="97" spans="2:8" x14ac:dyDescent="0.2">
      <c r="B97" s="84" t="s">
        <v>233</v>
      </c>
      <c r="C97" s="85" t="s">
        <v>20</v>
      </c>
      <c r="D97" s="78">
        <v>6</v>
      </c>
      <c r="E97" s="107">
        <v>200</v>
      </c>
      <c r="F97" s="86" t="s">
        <v>4</v>
      </c>
      <c r="G97" s="301">
        <f>(H97/100)</f>
        <v>4.822717881355933</v>
      </c>
      <c r="H97" s="111">
        <v>482.27178813559328</v>
      </c>
    </row>
    <row r="98" spans="2:8" x14ac:dyDescent="0.2">
      <c r="B98" s="26" t="s">
        <v>233</v>
      </c>
      <c r="C98" s="27" t="s">
        <v>20</v>
      </c>
      <c r="D98" s="30">
        <v>7</v>
      </c>
      <c r="E98" s="71">
        <v>200</v>
      </c>
      <c r="F98" s="29" t="s">
        <v>4</v>
      </c>
      <c r="G98" s="301">
        <f t="shared" ref="G98:G107" si="5">(H98/100)</f>
        <v>5.9138096567796605</v>
      </c>
      <c r="H98" s="111">
        <v>591.38096567796606</v>
      </c>
    </row>
    <row r="99" spans="2:8" x14ac:dyDescent="0.2">
      <c r="B99" s="26" t="s">
        <v>233</v>
      </c>
      <c r="C99" s="27" t="s">
        <v>20</v>
      </c>
      <c r="D99" s="30">
        <v>8</v>
      </c>
      <c r="E99" s="71">
        <v>200</v>
      </c>
      <c r="F99" s="29" t="s">
        <v>4</v>
      </c>
      <c r="G99" s="301">
        <f t="shared" si="5"/>
        <v>9.360062286101698</v>
      </c>
      <c r="H99" s="111">
        <v>936.00622861016984</v>
      </c>
    </row>
    <row r="100" spans="2:8" x14ac:dyDescent="0.2">
      <c r="B100" s="26" t="s">
        <v>233</v>
      </c>
      <c r="C100" s="27" t="s">
        <v>20</v>
      </c>
      <c r="D100" s="30">
        <v>9</v>
      </c>
      <c r="E100" s="71">
        <v>200</v>
      </c>
      <c r="F100" s="29" t="s">
        <v>4</v>
      </c>
      <c r="G100" s="301">
        <f t="shared" si="5"/>
        <v>11.432197771525425</v>
      </c>
      <c r="H100" s="111">
        <v>1143.2197771525425</v>
      </c>
    </row>
    <row r="101" spans="2:8" x14ac:dyDescent="0.2">
      <c r="B101" s="26" t="s">
        <v>233</v>
      </c>
      <c r="C101" s="27" t="s">
        <v>20</v>
      </c>
      <c r="D101" s="30">
        <v>10</v>
      </c>
      <c r="E101" s="71">
        <v>200</v>
      </c>
      <c r="F101" s="29" t="s">
        <v>4</v>
      </c>
      <c r="G101" s="301">
        <f t="shared" si="5"/>
        <v>13.18997167728814</v>
      </c>
      <c r="H101" s="111">
        <v>1318.997167728814</v>
      </c>
    </row>
    <row r="102" spans="2:8" x14ac:dyDescent="0.2">
      <c r="B102" s="26" t="s">
        <v>233</v>
      </c>
      <c r="C102" s="27" t="s">
        <v>20</v>
      </c>
      <c r="D102" s="30">
        <v>11</v>
      </c>
      <c r="E102" s="71">
        <v>200</v>
      </c>
      <c r="F102" s="123" t="s">
        <v>4</v>
      </c>
      <c r="G102" s="301">
        <f t="shared" si="5"/>
        <v>17.966866194915259</v>
      </c>
      <c r="H102" s="111">
        <v>1796.6866194915258</v>
      </c>
    </row>
    <row r="103" spans="2:8" x14ac:dyDescent="0.2">
      <c r="B103" s="26" t="s">
        <v>233</v>
      </c>
      <c r="C103" s="27" t="s">
        <v>20</v>
      </c>
      <c r="D103" s="30">
        <v>12</v>
      </c>
      <c r="E103" s="71">
        <v>200</v>
      </c>
      <c r="F103" s="29" t="s">
        <v>4</v>
      </c>
      <c r="G103" s="301">
        <f t="shared" si="5"/>
        <v>18.955170000000006</v>
      </c>
      <c r="H103" s="111">
        <v>1895.5170000000005</v>
      </c>
    </row>
    <row r="104" spans="2:8" x14ac:dyDescent="0.2">
      <c r="B104" s="26" t="s">
        <v>233</v>
      </c>
      <c r="C104" s="27" t="s">
        <v>20</v>
      </c>
      <c r="D104" s="30">
        <v>14</v>
      </c>
      <c r="E104" s="71">
        <v>100</v>
      </c>
      <c r="F104" s="29" t="s">
        <v>4</v>
      </c>
      <c r="G104" s="301">
        <f t="shared" si="5"/>
        <v>26.969066437500004</v>
      </c>
      <c r="H104" s="111">
        <v>2696.9066437500005</v>
      </c>
    </row>
    <row r="105" spans="2:8" x14ac:dyDescent="0.2">
      <c r="B105" s="26" t="s">
        <v>233</v>
      </c>
      <c r="C105" s="27" t="s">
        <v>20</v>
      </c>
      <c r="D105" s="30">
        <v>16</v>
      </c>
      <c r="E105" s="71">
        <v>100</v>
      </c>
      <c r="F105" s="29" t="s">
        <v>4</v>
      </c>
      <c r="G105" s="301">
        <f t="shared" si="5"/>
        <v>33.176190000000005</v>
      </c>
      <c r="H105" s="111">
        <v>3317.6190000000006</v>
      </c>
    </row>
    <row r="106" spans="2:8" x14ac:dyDescent="0.2">
      <c r="B106" s="26" t="s">
        <v>233</v>
      </c>
      <c r="C106" s="27" t="s">
        <v>20</v>
      </c>
      <c r="D106" s="30">
        <v>18</v>
      </c>
      <c r="E106" s="71">
        <v>100</v>
      </c>
      <c r="F106" s="29" t="s">
        <v>4</v>
      </c>
      <c r="G106" s="301">
        <f t="shared" si="5"/>
        <v>41.469712500000014</v>
      </c>
      <c r="H106" s="111">
        <v>4146.9712500000014</v>
      </c>
    </row>
    <row r="107" spans="2:8" x14ac:dyDescent="0.2">
      <c r="B107" s="26" t="s">
        <v>233</v>
      </c>
      <c r="C107" s="27" t="s">
        <v>20</v>
      </c>
      <c r="D107" s="30">
        <v>20</v>
      </c>
      <c r="E107" s="71">
        <v>100</v>
      </c>
      <c r="F107" s="29" t="s">
        <v>4</v>
      </c>
      <c r="G107" s="301">
        <f t="shared" si="5"/>
        <v>50.129936999999998</v>
      </c>
      <c r="H107" s="111">
        <v>5012.9937</v>
      </c>
    </row>
    <row r="108" spans="2:8" x14ac:dyDescent="0.2">
      <c r="B108" s="53"/>
      <c r="C108" s="51"/>
      <c r="D108" s="52"/>
      <c r="E108" s="106"/>
      <c r="F108" s="33"/>
      <c r="H108" s="244"/>
    </row>
    <row r="109" spans="2:8" x14ac:dyDescent="0.2">
      <c r="B109" s="46" t="s">
        <v>228</v>
      </c>
      <c r="C109" s="37"/>
      <c r="D109" s="38"/>
      <c r="E109" s="59"/>
      <c r="F109" s="40"/>
      <c r="G109" s="40"/>
      <c r="H109" s="243"/>
    </row>
    <row r="110" spans="2:8" x14ac:dyDescent="0.2">
      <c r="B110" s="84" t="s">
        <v>228</v>
      </c>
      <c r="C110" s="264" t="s">
        <v>240</v>
      </c>
      <c r="D110" s="78">
        <v>8</v>
      </c>
      <c r="E110" s="107">
        <v>200</v>
      </c>
      <c r="F110" s="86" t="s">
        <v>4</v>
      </c>
      <c r="G110" s="301">
        <f>(H110/100)</f>
        <v>24.603891183050852</v>
      </c>
      <c r="H110" s="111">
        <v>2460.389118305085</v>
      </c>
    </row>
    <row r="111" spans="2:8" x14ac:dyDescent="0.2">
      <c r="B111" s="26" t="s">
        <v>228</v>
      </c>
      <c r="C111" s="137" t="s">
        <v>240</v>
      </c>
      <c r="D111" s="30">
        <v>9</v>
      </c>
      <c r="E111" s="71">
        <v>200</v>
      </c>
      <c r="F111" s="29" t="s">
        <v>4</v>
      </c>
      <c r="G111" s="301">
        <f t="shared" ref="G111:G116" si="6">(H111/100)</f>
        <v>26.592532250847462</v>
      </c>
      <c r="H111" s="111">
        <v>2659.2532250847462</v>
      </c>
    </row>
    <row r="112" spans="2:8" x14ac:dyDescent="0.2">
      <c r="B112" s="26" t="s">
        <v>228</v>
      </c>
      <c r="C112" s="137" t="s">
        <v>240</v>
      </c>
      <c r="D112" s="30">
        <v>10</v>
      </c>
      <c r="E112" s="71">
        <v>200</v>
      </c>
      <c r="F112" s="29" t="s">
        <v>4</v>
      </c>
      <c r="G112" s="301">
        <f t="shared" si="6"/>
        <v>32.105371779661027</v>
      </c>
      <c r="H112" s="111">
        <v>3210.5371779661027</v>
      </c>
    </row>
    <row r="113" spans="2:8" x14ac:dyDescent="0.2">
      <c r="B113" s="26" t="s">
        <v>228</v>
      </c>
      <c r="C113" s="137" t="s">
        <v>240</v>
      </c>
      <c r="D113" s="30">
        <v>12</v>
      </c>
      <c r="E113" s="71">
        <v>200</v>
      </c>
      <c r="F113" s="29" t="s">
        <v>4</v>
      </c>
      <c r="G113" s="301">
        <f t="shared" si="6"/>
        <v>45.094931100000011</v>
      </c>
      <c r="H113" s="111">
        <v>4509.4931100000013</v>
      </c>
    </row>
    <row r="114" spans="2:8" x14ac:dyDescent="0.2">
      <c r="B114" s="26" t="s">
        <v>228</v>
      </c>
      <c r="C114" s="137" t="s">
        <v>240</v>
      </c>
      <c r="D114" s="30">
        <v>14</v>
      </c>
      <c r="E114" s="71">
        <v>100</v>
      </c>
      <c r="F114" s="29" t="s">
        <v>4</v>
      </c>
      <c r="G114" s="301">
        <f t="shared" si="6"/>
        <v>61.173922837500001</v>
      </c>
      <c r="H114" s="111">
        <v>6117.3922837500004</v>
      </c>
    </row>
    <row r="115" spans="2:8" x14ac:dyDescent="0.2">
      <c r="B115" s="26" t="s">
        <v>228</v>
      </c>
      <c r="C115" s="137" t="s">
        <v>240</v>
      </c>
      <c r="D115" s="30">
        <v>16</v>
      </c>
      <c r="E115" s="71">
        <v>100</v>
      </c>
      <c r="F115" s="29" t="s">
        <v>4</v>
      </c>
      <c r="G115" s="301">
        <f t="shared" si="6"/>
        <v>80.492156249999994</v>
      </c>
      <c r="H115" s="111">
        <v>8049.2156249999989</v>
      </c>
    </row>
    <row r="116" spans="2:8" x14ac:dyDescent="0.2">
      <c r="B116" s="26" t="s">
        <v>228</v>
      </c>
      <c r="C116" s="137" t="s">
        <v>240</v>
      </c>
      <c r="D116" s="30">
        <v>18</v>
      </c>
      <c r="E116" s="71">
        <v>100</v>
      </c>
      <c r="F116" s="29" t="s">
        <v>4</v>
      </c>
      <c r="G116" s="301">
        <f t="shared" si="6"/>
        <v>100.828125</v>
      </c>
      <c r="H116" s="111">
        <v>10082.8125</v>
      </c>
    </row>
    <row r="117" spans="2:8" x14ac:dyDescent="0.2">
      <c r="B117" s="53"/>
      <c r="C117" s="51"/>
      <c r="D117" s="52"/>
      <c r="E117" s="106"/>
      <c r="F117" s="33"/>
      <c r="H117" s="244"/>
    </row>
    <row r="118" spans="2:8" x14ac:dyDescent="0.2">
      <c r="B118" s="46" t="s">
        <v>169</v>
      </c>
      <c r="C118" s="37"/>
      <c r="D118" s="38"/>
      <c r="E118" s="59"/>
      <c r="F118" s="40"/>
      <c r="G118" s="40"/>
      <c r="H118" s="243"/>
    </row>
    <row r="119" spans="2:8" x14ac:dyDescent="0.2">
      <c r="B119" s="84" t="s">
        <v>169</v>
      </c>
      <c r="C119" s="136" t="s">
        <v>243</v>
      </c>
      <c r="D119" s="265">
        <v>6</v>
      </c>
      <c r="E119" s="71">
        <v>200</v>
      </c>
      <c r="F119" s="29" t="s">
        <v>4</v>
      </c>
      <c r="G119" s="301">
        <f>(H119/100)</f>
        <v>10.442973722033901</v>
      </c>
      <c r="H119" s="111">
        <v>1044.2973722033901</v>
      </c>
    </row>
    <row r="120" spans="2:8" x14ac:dyDescent="0.2">
      <c r="B120" s="26" t="s">
        <v>169</v>
      </c>
      <c r="C120" s="132" t="s">
        <v>243</v>
      </c>
      <c r="D120" s="30">
        <v>8</v>
      </c>
      <c r="E120" s="71">
        <v>200</v>
      </c>
      <c r="F120" s="29" t="s">
        <v>4</v>
      </c>
      <c r="G120" s="301">
        <f t="shared" ref="G120:G127" si="7">(H120/100)</f>
        <v>22.493173879322036</v>
      </c>
      <c r="H120" s="111">
        <v>2249.3173879322035</v>
      </c>
    </row>
    <row r="121" spans="2:8" x14ac:dyDescent="0.2">
      <c r="B121" s="26" t="s">
        <v>169</v>
      </c>
      <c r="C121" s="132" t="s">
        <v>243</v>
      </c>
      <c r="D121" s="30">
        <v>9</v>
      </c>
      <c r="E121" s="71">
        <v>200</v>
      </c>
      <c r="F121" s="29" t="s">
        <v>4</v>
      </c>
      <c r="G121" s="301">
        <f t="shared" si="7"/>
        <v>24.526950638644067</v>
      </c>
      <c r="H121" s="111">
        <v>2452.6950638644066</v>
      </c>
    </row>
    <row r="122" spans="2:8" x14ac:dyDescent="0.2">
      <c r="B122" s="26" t="s">
        <v>169</v>
      </c>
      <c r="C122" s="132" t="s">
        <v>243</v>
      </c>
      <c r="D122" s="30">
        <v>10</v>
      </c>
      <c r="E122" s="71">
        <v>200</v>
      </c>
      <c r="F122" s="29" t="s">
        <v>4</v>
      </c>
      <c r="G122" s="301">
        <f t="shared" si="7"/>
        <v>29.267731118644075</v>
      </c>
      <c r="H122" s="111">
        <v>2926.7731118644074</v>
      </c>
    </row>
    <row r="123" spans="2:8" x14ac:dyDescent="0.2">
      <c r="B123" s="26" t="s">
        <v>169</v>
      </c>
      <c r="C123" s="132" t="s">
        <v>243</v>
      </c>
      <c r="D123" s="30">
        <v>11</v>
      </c>
      <c r="E123" s="71">
        <v>200</v>
      </c>
      <c r="F123" s="123" t="s">
        <v>4</v>
      </c>
      <c r="G123" s="301">
        <f t="shared" si="7"/>
        <v>45.320923932203385</v>
      </c>
      <c r="H123" s="111">
        <v>4532.0923932203386</v>
      </c>
    </row>
    <row r="124" spans="2:8" x14ac:dyDescent="0.2">
      <c r="B124" s="26" t="s">
        <v>169</v>
      </c>
      <c r="C124" s="132" t="s">
        <v>243</v>
      </c>
      <c r="D124" s="30">
        <v>12</v>
      </c>
      <c r="E124" s="71">
        <v>200</v>
      </c>
      <c r="F124" s="29" t="s">
        <v>4</v>
      </c>
      <c r="G124" s="301">
        <f t="shared" si="7"/>
        <v>41.962358160000001</v>
      </c>
      <c r="H124" s="111">
        <v>4196.2358160000003</v>
      </c>
    </row>
    <row r="125" spans="2:8" x14ac:dyDescent="0.2">
      <c r="B125" s="26" t="s">
        <v>169</v>
      </c>
      <c r="C125" s="132" t="s">
        <v>243</v>
      </c>
      <c r="D125" s="30">
        <v>14</v>
      </c>
      <c r="E125" s="71">
        <v>100</v>
      </c>
      <c r="F125" s="29" t="s">
        <v>4</v>
      </c>
      <c r="G125" s="301">
        <f t="shared" si="7"/>
        <v>51.16</v>
      </c>
      <c r="H125" s="111">
        <v>5116</v>
      </c>
    </row>
    <row r="126" spans="2:8" x14ac:dyDescent="0.2">
      <c r="B126" s="26" t="s">
        <v>169</v>
      </c>
      <c r="C126" s="132" t="s">
        <v>243</v>
      </c>
      <c r="D126" s="30">
        <v>16</v>
      </c>
      <c r="E126" s="71">
        <v>100</v>
      </c>
      <c r="F126" s="29" t="s">
        <v>4</v>
      </c>
      <c r="G126" s="301">
        <f t="shared" si="7"/>
        <v>74.499674999999996</v>
      </c>
      <c r="H126" s="111">
        <v>7449.9674999999997</v>
      </c>
    </row>
    <row r="127" spans="2:8" x14ac:dyDescent="0.2">
      <c r="B127" s="26" t="s">
        <v>169</v>
      </c>
      <c r="C127" s="132" t="s">
        <v>243</v>
      </c>
      <c r="D127" s="30">
        <v>18</v>
      </c>
      <c r="E127" s="71">
        <v>100</v>
      </c>
      <c r="F127" s="29" t="s">
        <v>4</v>
      </c>
      <c r="G127" s="301">
        <f t="shared" si="7"/>
        <v>93.215390624999969</v>
      </c>
      <c r="H127" s="111">
        <v>9321.5390624999964</v>
      </c>
    </row>
    <row r="128" spans="2:8" x14ac:dyDescent="0.2">
      <c r="B128" s="53"/>
      <c r="C128" s="51"/>
      <c r="D128" s="52"/>
      <c r="E128" s="106"/>
      <c r="F128" s="33"/>
      <c r="H128" s="244"/>
    </row>
    <row r="129" spans="2:8" x14ac:dyDescent="0.2">
      <c r="B129" s="46" t="s">
        <v>170</v>
      </c>
      <c r="C129" s="37"/>
      <c r="D129" s="38"/>
      <c r="E129" s="59"/>
      <c r="F129" s="40"/>
      <c r="G129" s="40"/>
      <c r="H129" s="243"/>
    </row>
    <row r="130" spans="2:8" x14ac:dyDescent="0.2">
      <c r="B130" s="84" t="s">
        <v>170</v>
      </c>
      <c r="C130" s="264" t="s">
        <v>242</v>
      </c>
      <c r="D130" s="78">
        <v>8</v>
      </c>
      <c r="E130" s="107">
        <v>200</v>
      </c>
      <c r="F130" s="86" t="s">
        <v>4</v>
      </c>
      <c r="G130" s="301">
        <f>(H130/100)</f>
        <v>39.605216949152542</v>
      </c>
      <c r="H130" s="111">
        <v>3960.5216949152541</v>
      </c>
    </row>
    <row r="131" spans="2:8" x14ac:dyDescent="0.2">
      <c r="B131" s="26" t="s">
        <v>170</v>
      </c>
      <c r="C131" s="137" t="s">
        <v>242</v>
      </c>
      <c r="D131" s="30">
        <v>9</v>
      </c>
      <c r="E131" s="71">
        <v>200</v>
      </c>
      <c r="F131" s="29" t="s">
        <v>4</v>
      </c>
      <c r="G131" s="301">
        <f t="shared" ref="G131:G137" si="8">(H131/100)</f>
        <v>45.391200000000005</v>
      </c>
      <c r="H131" s="111">
        <v>4539.1200000000008</v>
      </c>
    </row>
    <row r="132" spans="2:8" x14ac:dyDescent="0.2">
      <c r="B132" s="26" t="s">
        <v>170</v>
      </c>
      <c r="C132" s="137" t="s">
        <v>242</v>
      </c>
      <c r="D132" s="30">
        <v>10</v>
      </c>
      <c r="E132" s="71">
        <v>200</v>
      </c>
      <c r="F132" s="29" t="s">
        <v>4</v>
      </c>
      <c r="G132" s="301">
        <f t="shared" si="8"/>
        <v>52.715674576271198</v>
      </c>
      <c r="H132" s="111">
        <v>5271.5674576271194</v>
      </c>
    </row>
    <row r="133" spans="2:8" x14ac:dyDescent="0.2">
      <c r="B133" s="26" t="s">
        <v>170</v>
      </c>
      <c r="C133" s="137" t="s">
        <v>242</v>
      </c>
      <c r="D133" s="30">
        <v>12</v>
      </c>
      <c r="E133" s="71">
        <v>200</v>
      </c>
      <c r="F133" s="29" t="s">
        <v>4</v>
      </c>
      <c r="G133" s="301">
        <f t="shared" si="8"/>
        <v>71.90043750000001</v>
      </c>
      <c r="H133" s="111">
        <v>7190.0437500000007</v>
      </c>
    </row>
    <row r="134" spans="2:8" x14ac:dyDescent="0.2">
      <c r="B134" s="26" t="s">
        <v>170</v>
      </c>
      <c r="C134" s="137" t="s">
        <v>242</v>
      </c>
      <c r="D134" s="30">
        <v>13</v>
      </c>
      <c r="E134" s="71">
        <v>100</v>
      </c>
      <c r="F134" s="29" t="s">
        <v>4</v>
      </c>
      <c r="G134" s="301">
        <f t="shared" si="8"/>
        <v>83.88384375000004</v>
      </c>
      <c r="H134" s="111">
        <v>8388.3843750000033</v>
      </c>
    </row>
    <row r="135" spans="2:8" ht="11.25" customHeight="1" x14ac:dyDescent="0.2">
      <c r="B135" s="26" t="s">
        <v>170</v>
      </c>
      <c r="C135" s="137" t="s">
        <v>242</v>
      </c>
      <c r="D135" s="30">
        <v>14</v>
      </c>
      <c r="E135" s="71">
        <v>100</v>
      </c>
      <c r="F135" s="29" t="s">
        <v>4</v>
      </c>
      <c r="G135" s="301">
        <f t="shared" si="8"/>
        <v>95.128734375000036</v>
      </c>
      <c r="H135" s="111">
        <v>9512.873437500004</v>
      </c>
    </row>
    <row r="136" spans="2:8" x14ac:dyDescent="0.2">
      <c r="B136" s="26" t="s">
        <v>170</v>
      </c>
      <c r="C136" s="137" t="s">
        <v>242</v>
      </c>
      <c r="D136" s="30">
        <v>16</v>
      </c>
      <c r="E136" s="71">
        <v>100</v>
      </c>
      <c r="F136" s="29" t="s">
        <v>4</v>
      </c>
      <c r="G136" s="301">
        <f t="shared" si="8"/>
        <v>121.91437500000004</v>
      </c>
      <c r="H136" s="111">
        <v>12191.437500000004</v>
      </c>
    </row>
    <row r="137" spans="2:8" x14ac:dyDescent="0.2">
      <c r="B137" s="26" t="s">
        <v>170</v>
      </c>
      <c r="C137" s="137" t="s">
        <v>242</v>
      </c>
      <c r="D137" s="30">
        <v>18</v>
      </c>
      <c r="E137" s="71">
        <v>100</v>
      </c>
      <c r="F137" s="29" t="s">
        <v>4</v>
      </c>
      <c r="G137" s="301">
        <f t="shared" si="8"/>
        <v>153.71812499999999</v>
      </c>
      <c r="H137" s="111">
        <v>15371.812499999998</v>
      </c>
    </row>
    <row r="138" spans="2:8" x14ac:dyDescent="0.2">
      <c r="B138" s="53"/>
      <c r="C138" s="51"/>
      <c r="D138" s="52"/>
      <c r="E138" s="106"/>
      <c r="F138" s="33"/>
      <c r="H138" s="244"/>
    </row>
    <row r="139" spans="2:8" x14ac:dyDescent="0.2">
      <c r="B139" s="46" t="s">
        <v>165</v>
      </c>
      <c r="C139" s="47"/>
      <c r="D139" s="48"/>
      <c r="E139" s="64"/>
      <c r="F139" s="64"/>
      <c r="G139" s="64"/>
      <c r="H139" s="243"/>
    </row>
    <row r="140" spans="2:8" x14ac:dyDescent="0.2">
      <c r="B140" s="84" t="s">
        <v>165</v>
      </c>
      <c r="C140" s="85" t="s">
        <v>7</v>
      </c>
      <c r="D140" s="78">
        <v>3</v>
      </c>
      <c r="E140" s="107">
        <v>200</v>
      </c>
      <c r="F140" s="86" t="s">
        <v>4</v>
      </c>
      <c r="G140" s="301">
        <f>(H140/100)</f>
        <v>2.1704262295081964</v>
      </c>
      <c r="H140" s="111">
        <v>217.04262295081963</v>
      </c>
    </row>
    <row r="141" spans="2:8" x14ac:dyDescent="0.2">
      <c r="B141" s="26" t="s">
        <v>165</v>
      </c>
      <c r="C141" s="27" t="s">
        <v>7</v>
      </c>
      <c r="D141" s="30">
        <v>4</v>
      </c>
      <c r="E141" s="71">
        <v>200</v>
      </c>
      <c r="F141" s="29" t="s">
        <v>4</v>
      </c>
      <c r="G141" s="301">
        <f t="shared" ref="G141:G147" si="9">(H141/100)</f>
        <v>3.3944117647058816</v>
      </c>
      <c r="H141" s="111">
        <v>339.44117647058818</v>
      </c>
    </row>
    <row r="142" spans="2:8" x14ac:dyDescent="0.2">
      <c r="B142" s="26" t="s">
        <v>165</v>
      </c>
      <c r="C142" s="27" t="s">
        <v>7</v>
      </c>
      <c r="D142" s="30">
        <v>5</v>
      </c>
      <c r="E142" s="71">
        <v>200</v>
      </c>
      <c r="F142" s="29" t="s">
        <v>4</v>
      </c>
      <c r="G142" s="301">
        <f t="shared" si="9"/>
        <v>6.6358032786885248</v>
      </c>
      <c r="H142" s="111">
        <v>663.58032786885246</v>
      </c>
    </row>
    <row r="143" spans="2:8" x14ac:dyDescent="0.2">
      <c r="B143" s="26" t="s">
        <v>165</v>
      </c>
      <c r="C143" s="27" t="s">
        <v>7</v>
      </c>
      <c r="D143" s="30">
        <v>6</v>
      </c>
      <c r="E143" s="71">
        <v>200</v>
      </c>
      <c r="F143" s="29" t="s">
        <v>4</v>
      </c>
      <c r="G143" s="301">
        <f t="shared" si="9"/>
        <v>8.7542557377049199</v>
      </c>
      <c r="H143" s="111">
        <v>875.42557377049195</v>
      </c>
    </row>
    <row r="144" spans="2:8" x14ac:dyDescent="0.2">
      <c r="B144" s="26" t="s">
        <v>165</v>
      </c>
      <c r="C144" s="27" t="s">
        <v>7</v>
      </c>
      <c r="D144" s="30">
        <v>7</v>
      </c>
      <c r="E144" s="71">
        <v>200</v>
      </c>
      <c r="F144" s="29" t="s">
        <v>4</v>
      </c>
      <c r="G144" s="301">
        <f t="shared" si="9"/>
        <v>10.942819672131147</v>
      </c>
      <c r="H144" s="111">
        <v>1094.2819672131147</v>
      </c>
    </row>
    <row r="145" spans="2:8" x14ac:dyDescent="0.2">
      <c r="B145" s="26" t="s">
        <v>165</v>
      </c>
      <c r="C145" s="27" t="s">
        <v>7</v>
      </c>
      <c r="D145" s="30">
        <v>8</v>
      </c>
      <c r="E145" s="71">
        <v>200</v>
      </c>
      <c r="F145" s="29" t="s">
        <v>4</v>
      </c>
      <c r="G145" s="301">
        <f t="shared" si="9"/>
        <v>14.538491803278692</v>
      </c>
      <c r="H145" s="111">
        <v>1453.8491803278691</v>
      </c>
    </row>
    <row r="146" spans="2:8" x14ac:dyDescent="0.2">
      <c r="B146" s="26" t="s">
        <v>165</v>
      </c>
      <c r="C146" s="27" t="s">
        <v>7</v>
      </c>
      <c r="D146" s="30">
        <v>9</v>
      </c>
      <c r="E146" s="71">
        <v>200</v>
      </c>
      <c r="F146" s="29" t="s">
        <v>4</v>
      </c>
      <c r="G146" s="301">
        <f t="shared" si="9"/>
        <v>20.155636363636361</v>
      </c>
      <c r="H146" s="111">
        <v>2015.5636363636361</v>
      </c>
    </row>
    <row r="147" spans="2:8" x14ac:dyDescent="0.2">
      <c r="B147" s="26" t="s">
        <v>165</v>
      </c>
      <c r="C147" s="27" t="s">
        <v>7</v>
      </c>
      <c r="D147" s="30">
        <v>10</v>
      </c>
      <c r="E147" s="71">
        <v>200</v>
      </c>
      <c r="F147" s="29" t="s">
        <v>4</v>
      </c>
      <c r="G147" s="301">
        <f t="shared" si="9"/>
        <v>24.992989090909091</v>
      </c>
      <c r="H147" s="111">
        <v>2499.2989090909091</v>
      </c>
    </row>
    <row r="148" spans="2:8" x14ac:dyDescent="0.2">
      <c r="B148" s="266"/>
      <c r="C148" s="267"/>
      <c r="D148" s="268"/>
      <c r="E148" s="269"/>
      <c r="F148" s="270"/>
      <c r="H148" s="244"/>
    </row>
    <row r="149" spans="2:8" x14ac:dyDescent="0.2">
      <c r="B149" s="46" t="s">
        <v>168</v>
      </c>
      <c r="C149" s="215"/>
      <c r="D149" s="216"/>
      <c r="E149" s="217"/>
      <c r="F149" s="49"/>
      <c r="G149" s="49"/>
      <c r="H149" s="243"/>
    </row>
    <row r="150" spans="2:8" x14ac:dyDescent="0.2">
      <c r="B150" s="84" t="s">
        <v>168</v>
      </c>
      <c r="C150" s="85" t="s">
        <v>19</v>
      </c>
      <c r="D150" s="78">
        <v>6</v>
      </c>
      <c r="E150" s="107">
        <v>100</v>
      </c>
      <c r="F150" s="271" t="s">
        <v>4</v>
      </c>
      <c r="G150" s="301">
        <f>(H150/100)</f>
        <v>4.2320000000000002</v>
      </c>
      <c r="H150" s="111">
        <v>423.20000000000005</v>
      </c>
    </row>
    <row r="151" spans="2:8" x14ac:dyDescent="0.2">
      <c r="B151" s="26" t="s">
        <v>168</v>
      </c>
      <c r="C151" s="27" t="s">
        <v>19</v>
      </c>
      <c r="D151" s="30">
        <v>8</v>
      </c>
      <c r="E151" s="71">
        <v>100</v>
      </c>
      <c r="F151" s="123" t="s">
        <v>4</v>
      </c>
      <c r="G151" s="301">
        <f t="shared" ref="G151:G154" si="10">(H151/100)</f>
        <v>9.9359999999999999</v>
      </c>
      <c r="H151" s="111">
        <v>993.6</v>
      </c>
    </row>
    <row r="152" spans="2:8" x14ac:dyDescent="0.2">
      <c r="B152" s="26" t="s">
        <v>168</v>
      </c>
      <c r="C152" s="27" t="s">
        <v>19</v>
      </c>
      <c r="D152" s="30">
        <v>9</v>
      </c>
      <c r="E152" s="71">
        <v>100</v>
      </c>
      <c r="F152" s="123" t="s">
        <v>4</v>
      </c>
      <c r="G152" s="301">
        <f t="shared" si="10"/>
        <v>11.105399999999999</v>
      </c>
      <c r="H152" s="111">
        <v>1110.54</v>
      </c>
    </row>
    <row r="153" spans="2:8" x14ac:dyDescent="0.2">
      <c r="B153" s="26" t="s">
        <v>168</v>
      </c>
      <c r="C153" s="27" t="s">
        <v>19</v>
      </c>
      <c r="D153" s="30">
        <v>10</v>
      </c>
      <c r="E153" s="71">
        <v>100</v>
      </c>
      <c r="F153" s="123" t="s">
        <v>4</v>
      </c>
      <c r="G153" s="301">
        <f t="shared" si="10"/>
        <v>13.8</v>
      </c>
      <c r="H153" s="111">
        <v>1380</v>
      </c>
    </row>
    <row r="154" spans="2:8" x14ac:dyDescent="0.2">
      <c r="B154" s="26" t="s">
        <v>168</v>
      </c>
      <c r="C154" s="27" t="s">
        <v>19</v>
      </c>
      <c r="D154" s="30">
        <v>12</v>
      </c>
      <c r="E154" s="71">
        <v>100</v>
      </c>
      <c r="F154" s="123" t="s">
        <v>4</v>
      </c>
      <c r="G154" s="301">
        <f t="shared" si="10"/>
        <v>19.648855384615381</v>
      </c>
      <c r="H154" s="111">
        <v>1964.8855384615381</v>
      </c>
    </row>
    <row r="155" spans="2:8" x14ac:dyDescent="0.2">
      <c r="B155" s="32"/>
      <c r="C155" s="32"/>
      <c r="D155" s="34"/>
      <c r="E155" s="35"/>
      <c r="F155" s="35"/>
      <c r="H155" s="242"/>
    </row>
    <row r="156" spans="2:8" x14ac:dyDescent="0.2">
      <c r="B156" s="46" t="s">
        <v>173</v>
      </c>
      <c r="C156" s="215"/>
      <c r="D156" s="216"/>
      <c r="E156" s="217"/>
      <c r="F156" s="49"/>
      <c r="G156" s="49"/>
      <c r="H156" s="243"/>
    </row>
    <row r="157" spans="2:8" x14ac:dyDescent="0.2">
      <c r="B157" s="84" t="s">
        <v>173</v>
      </c>
      <c r="C157" s="85" t="s">
        <v>19</v>
      </c>
      <c r="D157" s="78">
        <v>6</v>
      </c>
      <c r="E157" s="107">
        <v>100</v>
      </c>
      <c r="F157" s="271" t="s">
        <v>4</v>
      </c>
      <c r="G157" s="301">
        <f>(H157/100)</f>
        <v>4.5697714285714284</v>
      </c>
      <c r="H157" s="111">
        <v>456.97714285714284</v>
      </c>
    </row>
    <row r="158" spans="2:8" x14ac:dyDescent="0.2">
      <c r="B158" s="26" t="s">
        <v>173</v>
      </c>
      <c r="C158" s="27" t="s">
        <v>19</v>
      </c>
      <c r="D158" s="30">
        <v>8</v>
      </c>
      <c r="E158" s="71">
        <v>100</v>
      </c>
      <c r="F158" s="123" t="s">
        <v>4</v>
      </c>
      <c r="G158" s="301">
        <f t="shared" ref="G158:G161" si="11">(H158/100)</f>
        <v>10.729028571428572</v>
      </c>
      <c r="H158" s="111">
        <v>1072.9028571428571</v>
      </c>
    </row>
    <row r="159" spans="2:8" x14ac:dyDescent="0.2">
      <c r="B159" s="26" t="s">
        <v>173</v>
      </c>
      <c r="C159" s="27" t="s">
        <v>19</v>
      </c>
      <c r="D159" s="30">
        <v>9</v>
      </c>
      <c r="E159" s="71">
        <v>100</v>
      </c>
      <c r="F159" s="123" t="s">
        <v>4</v>
      </c>
      <c r="G159" s="301">
        <f t="shared" si="11"/>
        <v>11.918700000000001</v>
      </c>
      <c r="H159" s="111">
        <v>1191.8700000000001</v>
      </c>
    </row>
    <row r="160" spans="2:8" x14ac:dyDescent="0.2">
      <c r="B160" s="26" t="s">
        <v>173</v>
      </c>
      <c r="C160" s="27" t="s">
        <v>19</v>
      </c>
      <c r="D160" s="30">
        <v>10</v>
      </c>
      <c r="E160" s="71">
        <v>100</v>
      </c>
      <c r="F160" s="123" t="s">
        <v>4</v>
      </c>
      <c r="G160" s="301">
        <f t="shared" si="11"/>
        <v>14.901428571428571</v>
      </c>
      <c r="H160" s="111">
        <v>1490.1428571428571</v>
      </c>
    </row>
    <row r="161" spans="1:8" x14ac:dyDescent="0.2">
      <c r="B161" s="26" t="s">
        <v>173</v>
      </c>
      <c r="C161" s="27" t="s">
        <v>19</v>
      </c>
      <c r="D161" s="30">
        <v>12</v>
      </c>
      <c r="E161" s="71">
        <v>100</v>
      </c>
      <c r="F161" s="123" t="s">
        <v>4</v>
      </c>
      <c r="G161" s="301">
        <f t="shared" si="11"/>
        <v>21.24</v>
      </c>
      <c r="H161" s="111">
        <v>2124</v>
      </c>
    </row>
    <row r="162" spans="1:8" x14ac:dyDescent="0.2">
      <c r="B162" s="53"/>
      <c r="C162" s="51"/>
      <c r="D162" s="52"/>
      <c r="E162" s="106"/>
      <c r="F162" s="33"/>
      <c r="H162" s="244"/>
    </row>
    <row r="163" spans="1:8" x14ac:dyDescent="0.2">
      <c r="B163" s="46" t="s">
        <v>229</v>
      </c>
      <c r="C163" s="37"/>
      <c r="D163" s="38"/>
      <c r="E163" s="59"/>
      <c r="F163" s="40"/>
      <c r="G163" s="40"/>
      <c r="H163" s="243"/>
    </row>
    <row r="164" spans="1:8" x14ac:dyDescent="0.2">
      <c r="B164" s="84" t="s">
        <v>229</v>
      </c>
      <c r="C164" s="85" t="s">
        <v>8</v>
      </c>
      <c r="D164" s="78">
        <v>8</v>
      </c>
      <c r="E164" s="107">
        <v>200</v>
      </c>
      <c r="F164" s="86" t="s">
        <v>4</v>
      </c>
      <c r="G164" s="301">
        <f>(H164/100)</f>
        <v>13.278165054545457</v>
      </c>
      <c r="H164" s="111">
        <v>1327.8165054545457</v>
      </c>
    </row>
    <row r="165" spans="1:8" x14ac:dyDescent="0.2">
      <c r="B165" s="26" t="s">
        <v>229</v>
      </c>
      <c r="C165" s="27" t="s">
        <v>8</v>
      </c>
      <c r="D165" s="30">
        <v>9</v>
      </c>
      <c r="E165" s="71">
        <v>200</v>
      </c>
      <c r="F165" s="29" t="s">
        <v>4</v>
      </c>
      <c r="G165" s="301">
        <f t="shared" ref="G165:G167" si="12">(H165/100)</f>
        <v>14.233542545454549</v>
      </c>
      <c r="H165" s="111">
        <v>1423.354254545455</v>
      </c>
    </row>
    <row r="166" spans="1:8" x14ac:dyDescent="0.2">
      <c r="B166" s="26" t="s">
        <v>229</v>
      </c>
      <c r="C166" s="27" t="s">
        <v>8</v>
      </c>
      <c r="D166" s="30">
        <v>10</v>
      </c>
      <c r="E166" s="71">
        <v>200</v>
      </c>
      <c r="F166" s="29" t="s">
        <v>4</v>
      </c>
      <c r="G166" s="301">
        <f t="shared" si="12"/>
        <v>17.722757127272729</v>
      </c>
      <c r="H166" s="111">
        <v>1772.275712727273</v>
      </c>
    </row>
    <row r="167" spans="1:8" x14ac:dyDescent="0.2">
      <c r="B167" s="26" t="s">
        <v>229</v>
      </c>
      <c r="C167" s="27" t="s">
        <v>8</v>
      </c>
      <c r="D167" s="30">
        <v>12</v>
      </c>
      <c r="E167" s="71">
        <v>200</v>
      </c>
      <c r="F167" s="29" t="s">
        <v>4</v>
      </c>
      <c r="G167" s="301">
        <f t="shared" si="12"/>
        <v>25.222974619354837</v>
      </c>
      <c r="H167" s="111">
        <v>2522.2974619354836</v>
      </c>
    </row>
    <row r="168" spans="1:8" x14ac:dyDescent="0.2">
      <c r="B168" s="32"/>
      <c r="C168" s="32"/>
      <c r="D168" s="32"/>
      <c r="E168" s="35"/>
      <c r="F168" s="32"/>
      <c r="H168" s="242"/>
    </row>
    <row r="169" spans="1:8" x14ac:dyDescent="0.2">
      <c r="A169" s="167"/>
      <c r="B169" s="46" t="s">
        <v>230</v>
      </c>
      <c r="C169" s="37"/>
      <c r="D169" s="38"/>
      <c r="E169" s="59"/>
      <c r="F169" s="40"/>
      <c r="G169" s="40"/>
      <c r="H169" s="243"/>
    </row>
    <row r="170" spans="1:8" ht="13.5" customHeight="1" x14ac:dyDescent="0.2">
      <c r="A170" s="167"/>
      <c r="B170" s="84" t="s">
        <v>230</v>
      </c>
      <c r="C170" s="136" t="s">
        <v>241</v>
      </c>
      <c r="D170" s="78">
        <v>8</v>
      </c>
      <c r="E170" s="107">
        <v>200</v>
      </c>
      <c r="F170" s="86" t="s">
        <v>4</v>
      </c>
      <c r="G170" s="301">
        <f>(H170/100)</f>
        <v>13.212704067368422</v>
      </c>
      <c r="H170" s="111">
        <v>1321.2704067368422</v>
      </c>
    </row>
    <row r="171" spans="1:8" ht="13.5" customHeight="1" x14ac:dyDescent="0.2">
      <c r="A171" s="167"/>
      <c r="B171" s="26" t="s">
        <v>230</v>
      </c>
      <c r="C171" s="132" t="s">
        <v>241</v>
      </c>
      <c r="D171" s="30">
        <v>9</v>
      </c>
      <c r="E171" s="71">
        <v>200</v>
      </c>
      <c r="F171" s="29" t="s">
        <v>4</v>
      </c>
      <c r="G171" s="301">
        <f t="shared" ref="G171:G173" si="13">(H171/100)</f>
        <v>15.185925909473683</v>
      </c>
      <c r="H171" s="111">
        <v>1518.5925909473683</v>
      </c>
    </row>
    <row r="172" spans="1:8" ht="13.5" customHeight="1" x14ac:dyDescent="0.2">
      <c r="A172" s="167"/>
      <c r="B172" s="26" t="s">
        <v>230</v>
      </c>
      <c r="C172" s="132" t="s">
        <v>241</v>
      </c>
      <c r="D172" s="30">
        <v>10</v>
      </c>
      <c r="E172" s="71">
        <v>200</v>
      </c>
      <c r="F172" s="29" t="s">
        <v>4</v>
      </c>
      <c r="G172" s="301">
        <f t="shared" si="13"/>
        <v>18.712366894736846</v>
      </c>
      <c r="H172" s="111">
        <v>1871.2366894736847</v>
      </c>
    </row>
    <row r="173" spans="1:8" ht="13.5" customHeight="1" x14ac:dyDescent="0.2">
      <c r="A173" s="167"/>
      <c r="B173" s="26" t="s">
        <v>230</v>
      </c>
      <c r="C173" s="132" t="s">
        <v>241</v>
      </c>
      <c r="D173" s="30">
        <v>12</v>
      </c>
      <c r="E173" s="71">
        <v>200</v>
      </c>
      <c r="F173" s="29" t="s">
        <v>4</v>
      </c>
      <c r="G173" s="301">
        <f t="shared" si="13"/>
        <v>25.639357258064521</v>
      </c>
      <c r="H173" s="111">
        <v>2563.935725806452</v>
      </c>
    </row>
    <row r="174" spans="1:8" x14ac:dyDescent="0.2">
      <c r="B174" s="53"/>
      <c r="C174" s="51"/>
      <c r="D174" s="52"/>
      <c r="E174" s="106"/>
      <c r="F174" s="33"/>
      <c r="H174" s="244"/>
    </row>
    <row r="175" spans="1:8" x14ac:dyDescent="0.2">
      <c r="A175" s="167"/>
      <c r="B175" s="46" t="s">
        <v>231</v>
      </c>
      <c r="C175" s="37"/>
      <c r="D175" s="38"/>
      <c r="E175" s="59"/>
      <c r="F175" s="40"/>
      <c r="G175" s="40"/>
      <c r="H175" s="243"/>
    </row>
    <row r="176" spans="1:8" ht="13.5" customHeight="1" x14ac:dyDescent="0.2">
      <c r="A176" s="167"/>
      <c r="B176" s="84" t="s">
        <v>231</v>
      </c>
      <c r="C176" s="136" t="s">
        <v>20</v>
      </c>
      <c r="D176" s="78">
        <v>8</v>
      </c>
      <c r="E176" s="107">
        <v>200</v>
      </c>
      <c r="F176" s="86" t="s">
        <v>4</v>
      </c>
      <c r="G176" s="301">
        <f>(H176/100)</f>
        <v>13.462000370526322</v>
      </c>
      <c r="H176" s="112">
        <v>1346.2000370526323</v>
      </c>
    </row>
    <row r="177" spans="1:8" ht="13.5" customHeight="1" x14ac:dyDescent="0.2">
      <c r="A177" s="167"/>
      <c r="B177" s="26" t="s">
        <v>231</v>
      </c>
      <c r="C177" s="132" t="s">
        <v>20</v>
      </c>
      <c r="D177" s="30">
        <v>9</v>
      </c>
      <c r="E177" s="71">
        <v>200</v>
      </c>
      <c r="F177" s="29" t="s">
        <v>4</v>
      </c>
      <c r="G177" s="301">
        <f t="shared" ref="G177:G179" si="14">(H177/100)</f>
        <v>14.671148759999999</v>
      </c>
      <c r="H177" s="111">
        <v>1467.1148759999999</v>
      </c>
    </row>
    <row r="178" spans="1:8" ht="13.5" customHeight="1" x14ac:dyDescent="0.2">
      <c r="A178" s="167"/>
      <c r="B178" s="26" t="s">
        <v>231</v>
      </c>
      <c r="C178" s="132" t="s">
        <v>20</v>
      </c>
      <c r="D178" s="30">
        <v>10</v>
      </c>
      <c r="E178" s="71">
        <v>200</v>
      </c>
      <c r="F178" s="29" t="s">
        <v>4</v>
      </c>
      <c r="G178" s="301">
        <f t="shared" si="14"/>
        <v>18.712366894736846</v>
      </c>
      <c r="H178" s="111">
        <v>1871.2366894736847</v>
      </c>
    </row>
    <row r="179" spans="1:8" ht="13.5" customHeight="1" x14ac:dyDescent="0.2">
      <c r="A179" s="167"/>
      <c r="B179" s="26" t="s">
        <v>231</v>
      </c>
      <c r="C179" s="132" t="s">
        <v>20</v>
      </c>
      <c r="D179" s="30">
        <v>12</v>
      </c>
      <c r="E179" s="71">
        <v>200</v>
      </c>
      <c r="F179" s="29" t="s">
        <v>4</v>
      </c>
      <c r="G179" s="301">
        <f t="shared" si="14"/>
        <v>25.878977419354843</v>
      </c>
      <c r="H179" s="111">
        <v>2587.8977419354842</v>
      </c>
    </row>
    <row r="180" spans="1:8" x14ac:dyDescent="0.2">
      <c r="B180" s="32"/>
      <c r="C180" s="32"/>
      <c r="D180" s="34"/>
      <c r="E180" s="35"/>
      <c r="F180" s="35"/>
      <c r="H180" s="242"/>
    </row>
    <row r="181" spans="1:8" x14ac:dyDescent="0.2">
      <c r="A181" s="167"/>
      <c r="B181" s="46" t="s">
        <v>235</v>
      </c>
      <c r="C181" s="37"/>
      <c r="D181" s="38"/>
      <c r="E181" s="59"/>
      <c r="F181" s="40"/>
      <c r="G181" s="40"/>
      <c r="H181" s="243"/>
    </row>
    <row r="182" spans="1:8" ht="13.5" customHeight="1" x14ac:dyDescent="0.2">
      <c r="A182" s="167"/>
      <c r="B182" s="84" t="s">
        <v>235</v>
      </c>
      <c r="C182" s="264" t="s">
        <v>240</v>
      </c>
      <c r="D182" s="78">
        <v>8</v>
      </c>
      <c r="E182" s="107">
        <v>200</v>
      </c>
      <c r="F182" s="86" t="s">
        <v>4</v>
      </c>
      <c r="G182" s="301">
        <f>(H182/100)</f>
        <v>25.435871578947371</v>
      </c>
      <c r="H182" s="111">
        <v>2543.5871578947372</v>
      </c>
    </row>
    <row r="183" spans="1:8" ht="13.5" customHeight="1" x14ac:dyDescent="0.2">
      <c r="A183" s="167"/>
      <c r="B183" s="26" t="s">
        <v>235</v>
      </c>
      <c r="C183" s="137" t="s">
        <v>240</v>
      </c>
      <c r="D183" s="30">
        <v>9</v>
      </c>
      <c r="E183" s="71">
        <v>200</v>
      </c>
      <c r="F183" s="29" t="s">
        <v>4</v>
      </c>
      <c r="G183" s="301">
        <f t="shared" ref="G183:G185" si="15">(H183/100)</f>
        <v>27.899298947368422</v>
      </c>
      <c r="H183" s="111">
        <v>2789.929894736842</v>
      </c>
    </row>
    <row r="184" spans="1:8" ht="13.5" customHeight="1" x14ac:dyDescent="0.2">
      <c r="A184" s="167"/>
      <c r="B184" s="26" t="s">
        <v>235</v>
      </c>
      <c r="C184" s="137" t="s">
        <v>240</v>
      </c>
      <c r="D184" s="30">
        <v>10</v>
      </c>
      <c r="E184" s="71">
        <v>200</v>
      </c>
      <c r="F184" s="29" t="s">
        <v>4</v>
      </c>
      <c r="G184" s="301">
        <f t="shared" si="15"/>
        <v>35.694789473684217</v>
      </c>
      <c r="H184" s="111">
        <v>3569.4789473684218</v>
      </c>
    </row>
    <row r="185" spans="1:8" ht="13.5" customHeight="1" x14ac:dyDescent="0.2">
      <c r="A185" s="167"/>
      <c r="B185" s="26" t="s">
        <v>235</v>
      </c>
      <c r="C185" s="137" t="s">
        <v>240</v>
      </c>
      <c r="D185" s="30">
        <v>12</v>
      </c>
      <c r="E185" s="71">
        <v>200</v>
      </c>
      <c r="F185" s="29" t="s">
        <v>4</v>
      </c>
      <c r="G185" s="301">
        <f t="shared" si="15"/>
        <v>45.260482258064521</v>
      </c>
      <c r="H185" s="111">
        <v>4526.0482258064521</v>
      </c>
    </row>
    <row r="186" spans="1:8" x14ac:dyDescent="0.2">
      <c r="B186" s="32"/>
      <c r="C186" s="32"/>
      <c r="D186" s="34"/>
      <c r="E186" s="35"/>
      <c r="F186" s="35"/>
      <c r="H186" s="242"/>
    </row>
    <row r="187" spans="1:8" x14ac:dyDescent="0.2">
      <c r="A187" s="167"/>
      <c r="B187" s="46" t="s">
        <v>174</v>
      </c>
      <c r="C187" s="37"/>
      <c r="D187" s="38"/>
      <c r="E187" s="59"/>
      <c r="F187" s="40"/>
      <c r="G187" s="40"/>
      <c r="H187" s="243"/>
    </row>
    <row r="188" spans="1:8" ht="13.5" customHeight="1" x14ac:dyDescent="0.2">
      <c r="A188" s="167"/>
      <c r="B188" s="84" t="s">
        <v>174</v>
      </c>
      <c r="C188" s="136" t="s">
        <v>243</v>
      </c>
      <c r="D188" s="78">
        <v>8</v>
      </c>
      <c r="E188" s="107">
        <v>200</v>
      </c>
      <c r="F188" s="86" t="s">
        <v>4</v>
      </c>
      <c r="G188" s="301">
        <f>(H188/100)</f>
        <v>25.014534298947375</v>
      </c>
      <c r="H188" s="111">
        <v>2501.4534298947374</v>
      </c>
    </row>
    <row r="189" spans="1:8" ht="13.5" customHeight="1" x14ac:dyDescent="0.2">
      <c r="A189" s="167"/>
      <c r="B189" s="26" t="s">
        <v>174</v>
      </c>
      <c r="C189" s="132" t="s">
        <v>243</v>
      </c>
      <c r="D189" s="30">
        <v>9</v>
      </c>
      <c r="E189" s="71">
        <v>200</v>
      </c>
      <c r="F189" s="29" t="s">
        <v>4</v>
      </c>
      <c r="G189" s="301">
        <f t="shared" ref="G189:G191" si="16">(H189/100)</f>
        <v>27.83720262736842</v>
      </c>
      <c r="H189" s="111">
        <v>2783.720262736842</v>
      </c>
    </row>
    <row r="190" spans="1:8" ht="13.5" customHeight="1" x14ac:dyDescent="0.2">
      <c r="A190" s="167"/>
      <c r="B190" s="26" t="s">
        <v>174</v>
      </c>
      <c r="C190" s="132" t="s">
        <v>243</v>
      </c>
      <c r="D190" s="30">
        <v>10</v>
      </c>
      <c r="E190" s="71">
        <v>200</v>
      </c>
      <c r="F190" s="29" t="s">
        <v>4</v>
      </c>
      <c r="G190" s="301">
        <f t="shared" si="16"/>
        <v>34.445229473684208</v>
      </c>
      <c r="H190" s="111">
        <v>3444.5229473684208</v>
      </c>
    </row>
    <row r="191" spans="1:8" ht="13.5" customHeight="1" x14ac:dyDescent="0.2">
      <c r="A191" s="167"/>
      <c r="B191" s="26" t="s">
        <v>174</v>
      </c>
      <c r="C191" s="132" t="s">
        <v>243</v>
      </c>
      <c r="D191" s="30">
        <v>12</v>
      </c>
      <c r="E191" s="71">
        <v>200</v>
      </c>
      <c r="F191" s="29" t="s">
        <v>4</v>
      </c>
      <c r="G191" s="301">
        <f t="shared" si="16"/>
        <v>46.735220458064511</v>
      </c>
      <c r="H191" s="111">
        <v>4673.5220458064514</v>
      </c>
    </row>
    <row r="192" spans="1:8" x14ac:dyDescent="0.2">
      <c r="B192" s="32"/>
      <c r="C192" s="32"/>
      <c r="D192" s="32"/>
      <c r="E192" s="35"/>
      <c r="F192" s="32"/>
      <c r="H192" s="242"/>
    </row>
    <row r="193" spans="1:8" x14ac:dyDescent="0.2">
      <c r="A193" s="167"/>
      <c r="B193" s="46" t="s">
        <v>175</v>
      </c>
      <c r="C193" s="37"/>
      <c r="D193" s="38"/>
      <c r="E193" s="59"/>
      <c r="F193" s="40"/>
      <c r="G193" s="40"/>
      <c r="H193" s="243"/>
    </row>
    <row r="194" spans="1:8" ht="13.5" customHeight="1" x14ac:dyDescent="0.2">
      <c r="A194" s="167"/>
      <c r="B194" s="84" t="s">
        <v>175</v>
      </c>
      <c r="C194" s="264" t="s">
        <v>242</v>
      </c>
      <c r="D194" s="78">
        <v>8</v>
      </c>
      <c r="E194" s="107">
        <v>200</v>
      </c>
      <c r="F194" s="86" t="s">
        <v>4</v>
      </c>
      <c r="G194" s="301">
        <f>(H194/100)</f>
        <v>40.483631578947374</v>
      </c>
      <c r="H194" s="111">
        <v>4048.3631578947375</v>
      </c>
    </row>
    <row r="195" spans="1:8" ht="13.5" customHeight="1" x14ac:dyDescent="0.2">
      <c r="A195" s="167"/>
      <c r="B195" s="26" t="s">
        <v>175</v>
      </c>
      <c r="C195" s="137" t="s">
        <v>242</v>
      </c>
      <c r="D195" s="30">
        <v>9</v>
      </c>
      <c r="E195" s="71">
        <v>200</v>
      </c>
      <c r="F195" s="29" t="s">
        <v>4</v>
      </c>
      <c r="G195" s="301">
        <f t="shared" ref="G195:G197" si="17">(H195/100)</f>
        <v>43.423378947368427</v>
      </c>
      <c r="H195" s="111">
        <v>4342.3378947368428</v>
      </c>
    </row>
    <row r="196" spans="1:8" ht="13.5" customHeight="1" x14ac:dyDescent="0.2">
      <c r="A196" s="167"/>
      <c r="B196" s="26" t="s">
        <v>175</v>
      </c>
      <c r="C196" s="137" t="s">
        <v>242</v>
      </c>
      <c r="D196" s="30">
        <v>10</v>
      </c>
      <c r="E196" s="71">
        <v>200</v>
      </c>
      <c r="F196" s="29" t="s">
        <v>4</v>
      </c>
      <c r="G196" s="301">
        <f t="shared" si="17"/>
        <v>56.520789473684232</v>
      </c>
      <c r="H196" s="111">
        <v>5652.0789473684235</v>
      </c>
    </row>
    <row r="197" spans="1:8" ht="13.5" customHeight="1" x14ac:dyDescent="0.2">
      <c r="A197" s="167"/>
      <c r="B197" s="26" t="s">
        <v>175</v>
      </c>
      <c r="C197" s="137" t="s">
        <v>242</v>
      </c>
      <c r="D197" s="30">
        <v>12</v>
      </c>
      <c r="E197" s="71">
        <v>200</v>
      </c>
      <c r="F197" s="29" t="s">
        <v>4</v>
      </c>
      <c r="G197" s="301">
        <f t="shared" si="17"/>
        <v>69.046582258064518</v>
      </c>
      <c r="H197" s="111">
        <v>6904.6582258064518</v>
      </c>
    </row>
    <row r="198" spans="1:8" x14ac:dyDescent="0.2">
      <c r="B198" s="53"/>
      <c r="C198" s="51"/>
      <c r="D198" s="52"/>
      <c r="E198" s="106"/>
      <c r="F198" s="33"/>
      <c r="H198" s="244"/>
    </row>
    <row r="199" spans="1:8" x14ac:dyDescent="0.2">
      <c r="B199" s="46" t="s">
        <v>22</v>
      </c>
      <c r="C199" s="47"/>
      <c r="D199" s="48"/>
      <c r="E199" s="64"/>
      <c r="F199" s="64"/>
      <c r="G199" s="64"/>
      <c r="H199" s="243"/>
    </row>
    <row r="200" spans="1:8" x14ac:dyDescent="0.2">
      <c r="B200" s="84" t="s">
        <v>22</v>
      </c>
      <c r="C200" s="85" t="s">
        <v>7</v>
      </c>
      <c r="D200" s="263">
        <v>2.5</v>
      </c>
      <c r="E200" s="107">
        <v>200</v>
      </c>
      <c r="F200" s="251" t="s">
        <v>4</v>
      </c>
      <c r="G200" s="301">
        <f>(H200/100)</f>
        <v>0.83031750000000015</v>
      </c>
      <c r="H200" s="111">
        <v>83.031750000000017</v>
      </c>
    </row>
    <row r="201" spans="1:8" x14ac:dyDescent="0.2">
      <c r="B201" s="84" t="s">
        <v>22</v>
      </c>
      <c r="C201" s="85" t="s">
        <v>7</v>
      </c>
      <c r="D201" s="78">
        <v>3</v>
      </c>
      <c r="E201" s="71">
        <v>200</v>
      </c>
      <c r="F201" s="86" t="s">
        <v>4</v>
      </c>
      <c r="G201" s="301">
        <f t="shared" ref="G201:G216" si="18">(H201/100)</f>
        <v>1.3127812500000002</v>
      </c>
      <c r="H201" s="111">
        <v>131.27812500000002</v>
      </c>
    </row>
    <row r="202" spans="1:8" x14ac:dyDescent="0.2">
      <c r="B202" s="26" t="s">
        <v>22</v>
      </c>
      <c r="C202" s="27" t="s">
        <v>7</v>
      </c>
      <c r="D202" s="30">
        <v>4</v>
      </c>
      <c r="E202" s="71">
        <v>200</v>
      </c>
      <c r="F202" s="29" t="s">
        <v>4</v>
      </c>
      <c r="G202" s="301">
        <f t="shared" si="18"/>
        <v>1.8109014084507045</v>
      </c>
      <c r="H202" s="111">
        <v>181.09014084507044</v>
      </c>
    </row>
    <row r="203" spans="1:8" x14ac:dyDescent="0.2">
      <c r="B203" s="26" t="s">
        <v>22</v>
      </c>
      <c r="C203" s="27" t="s">
        <v>7</v>
      </c>
      <c r="D203" s="30">
        <v>5</v>
      </c>
      <c r="E203" s="71">
        <v>200</v>
      </c>
      <c r="F203" s="29" t="s">
        <v>4</v>
      </c>
      <c r="G203" s="301">
        <f t="shared" si="18"/>
        <v>3.4230000000000005</v>
      </c>
      <c r="H203" s="111">
        <v>342.30000000000007</v>
      </c>
    </row>
    <row r="204" spans="1:8" x14ac:dyDescent="0.2">
      <c r="B204" s="26" t="s">
        <v>22</v>
      </c>
      <c r="C204" s="27" t="s">
        <v>7</v>
      </c>
      <c r="D204" s="30">
        <v>6</v>
      </c>
      <c r="E204" s="71">
        <v>200</v>
      </c>
      <c r="F204" s="29" t="s">
        <v>4</v>
      </c>
      <c r="G204" s="301">
        <f t="shared" si="18"/>
        <v>4.6249500000000001</v>
      </c>
      <c r="H204" s="111">
        <v>462.495</v>
      </c>
    </row>
    <row r="205" spans="1:8" x14ac:dyDescent="0.2">
      <c r="B205" s="26" t="s">
        <v>22</v>
      </c>
      <c r="C205" s="27" t="s">
        <v>7</v>
      </c>
      <c r="D205" s="30">
        <v>7</v>
      </c>
      <c r="E205" s="71">
        <v>200</v>
      </c>
      <c r="F205" s="29" t="s">
        <v>4</v>
      </c>
      <c r="G205" s="301">
        <f t="shared" si="18"/>
        <v>5.8863000000000003</v>
      </c>
      <c r="H205" s="111">
        <v>588.63</v>
      </c>
    </row>
    <row r="206" spans="1:8" x14ac:dyDescent="0.2">
      <c r="B206" s="26" t="s">
        <v>22</v>
      </c>
      <c r="C206" s="27" t="s">
        <v>7</v>
      </c>
      <c r="D206" s="30">
        <v>8</v>
      </c>
      <c r="E206" s="71">
        <v>200</v>
      </c>
      <c r="F206" s="29" t="s">
        <v>4</v>
      </c>
      <c r="G206" s="301">
        <f t="shared" si="18"/>
        <v>8.1505125000000014</v>
      </c>
      <c r="H206" s="111">
        <v>815.0512500000001</v>
      </c>
    </row>
    <row r="207" spans="1:8" x14ac:dyDescent="0.2">
      <c r="B207" s="26" t="s">
        <v>22</v>
      </c>
      <c r="C207" s="27" t="s">
        <v>7</v>
      </c>
      <c r="D207" s="30">
        <v>9</v>
      </c>
      <c r="E207" s="71">
        <v>200</v>
      </c>
      <c r="F207" s="29" t="s">
        <v>4</v>
      </c>
      <c r="G207" s="301">
        <f t="shared" si="18"/>
        <v>11.076337499999999</v>
      </c>
      <c r="H207" s="111">
        <v>1107.63375</v>
      </c>
    </row>
    <row r="208" spans="1:8" x14ac:dyDescent="0.2">
      <c r="B208" s="26" t="s">
        <v>22</v>
      </c>
      <c r="C208" s="27" t="s">
        <v>7</v>
      </c>
      <c r="D208" s="30">
        <v>10</v>
      </c>
      <c r="E208" s="71">
        <v>200</v>
      </c>
      <c r="F208" s="29" t="s">
        <v>4</v>
      </c>
      <c r="G208" s="301">
        <f t="shared" si="18"/>
        <v>12.7482375</v>
      </c>
      <c r="H208" s="111">
        <v>1274.82375</v>
      </c>
    </row>
    <row r="209" spans="1:8" x14ac:dyDescent="0.2">
      <c r="B209" s="26" t="s">
        <v>22</v>
      </c>
      <c r="C209" s="27" t="s">
        <v>7</v>
      </c>
      <c r="D209" s="30">
        <v>12</v>
      </c>
      <c r="E209" s="71">
        <v>200</v>
      </c>
      <c r="F209" s="29" t="s">
        <v>4</v>
      </c>
      <c r="G209" s="301">
        <f t="shared" si="18"/>
        <v>14.538260869565219</v>
      </c>
      <c r="H209" s="111">
        <v>1453.826086956522</v>
      </c>
    </row>
    <row r="210" spans="1:8" x14ac:dyDescent="0.2">
      <c r="B210" s="26" t="s">
        <v>22</v>
      </c>
      <c r="C210" s="27" t="s">
        <v>7</v>
      </c>
      <c r="D210" s="30">
        <v>14</v>
      </c>
      <c r="E210" s="71">
        <v>100</v>
      </c>
      <c r="F210" s="29" t="s">
        <v>4</v>
      </c>
      <c r="G210" s="301">
        <f t="shared" si="18"/>
        <v>16.411621621621624</v>
      </c>
      <c r="H210" s="111">
        <v>1641.1621621621623</v>
      </c>
    </row>
    <row r="211" spans="1:8" x14ac:dyDescent="0.2">
      <c r="B211" s="26" t="s">
        <v>22</v>
      </c>
      <c r="C211" s="27" t="s">
        <v>7</v>
      </c>
      <c r="D211" s="30">
        <v>16</v>
      </c>
      <c r="E211" s="71">
        <v>100</v>
      </c>
      <c r="F211" s="29" t="s">
        <v>4</v>
      </c>
      <c r="G211" s="301">
        <f t="shared" si="18"/>
        <v>21.882162162162164</v>
      </c>
      <c r="H211" s="111">
        <v>2188.2162162162163</v>
      </c>
    </row>
    <row r="212" spans="1:8" x14ac:dyDescent="0.2">
      <c r="B212" s="26" t="s">
        <v>22</v>
      </c>
      <c r="C212" s="27" t="s">
        <v>7</v>
      </c>
      <c r="D212" s="30">
        <v>18</v>
      </c>
      <c r="E212" s="71">
        <v>100</v>
      </c>
      <c r="F212" s="29" t="s">
        <v>4</v>
      </c>
      <c r="G212" s="301">
        <f t="shared" si="18"/>
        <v>27.535054054054054</v>
      </c>
      <c r="H212" s="111">
        <v>2753.5054054054053</v>
      </c>
    </row>
    <row r="213" spans="1:8" x14ac:dyDescent="0.2">
      <c r="B213" s="26" t="s">
        <v>22</v>
      </c>
      <c r="C213" s="27" t="s">
        <v>7</v>
      </c>
      <c r="D213" s="30">
        <v>20</v>
      </c>
      <c r="E213" s="71">
        <v>100</v>
      </c>
      <c r="F213" s="29" t="s">
        <v>4</v>
      </c>
      <c r="G213" s="301">
        <f t="shared" si="18"/>
        <v>30.999729729729729</v>
      </c>
      <c r="H213" s="111">
        <v>3099.9729729729729</v>
      </c>
    </row>
    <row r="214" spans="1:8" x14ac:dyDescent="0.2">
      <c r="B214" s="26" t="s">
        <v>22</v>
      </c>
      <c r="C214" s="27" t="s">
        <v>7</v>
      </c>
      <c r="D214" s="31">
        <v>22</v>
      </c>
      <c r="E214" s="71">
        <v>100</v>
      </c>
      <c r="F214" s="29" t="s">
        <v>4</v>
      </c>
      <c r="G214" s="301">
        <f t="shared" si="18"/>
        <v>34.646756756756758</v>
      </c>
      <c r="H214" s="111">
        <v>3464.6756756756758</v>
      </c>
    </row>
    <row r="215" spans="1:8" x14ac:dyDescent="0.2">
      <c r="B215" s="26" t="s">
        <v>22</v>
      </c>
      <c r="C215" s="27" t="s">
        <v>7</v>
      </c>
      <c r="D215" s="31">
        <v>24</v>
      </c>
      <c r="E215" s="71">
        <v>100</v>
      </c>
      <c r="F215" s="29" t="s">
        <v>4</v>
      </c>
      <c r="G215" s="301">
        <f t="shared" si="18"/>
        <v>42.305513513513517</v>
      </c>
      <c r="H215" s="111">
        <v>4230.5513513513515</v>
      </c>
    </row>
    <row r="216" spans="1:8" x14ac:dyDescent="0.2">
      <c r="B216" s="26" t="s">
        <v>22</v>
      </c>
      <c r="C216" s="27" t="s">
        <v>7</v>
      </c>
      <c r="D216" s="31">
        <v>26</v>
      </c>
      <c r="E216" s="71">
        <v>100</v>
      </c>
      <c r="F216" s="29" t="s">
        <v>4</v>
      </c>
      <c r="G216" s="301">
        <f t="shared" si="18"/>
        <v>51.240729729729736</v>
      </c>
      <c r="H216" s="111">
        <v>5124.0729729729737</v>
      </c>
    </row>
    <row r="217" spans="1:8" x14ac:dyDescent="0.2">
      <c r="A217" s="210"/>
      <c r="B217" s="53"/>
      <c r="C217" s="51"/>
      <c r="D217" s="133"/>
      <c r="E217" s="106"/>
      <c r="F217" s="33"/>
      <c r="H217" s="244"/>
    </row>
    <row r="218" spans="1:8" x14ac:dyDescent="0.2">
      <c r="B218" s="46" t="s">
        <v>23</v>
      </c>
      <c r="C218" s="215"/>
      <c r="D218" s="216"/>
      <c r="E218" s="217"/>
      <c r="F218" s="49"/>
      <c r="G218" s="49"/>
      <c r="H218" s="243"/>
    </row>
    <row r="219" spans="1:8" x14ac:dyDescent="0.2">
      <c r="B219" s="84" t="s">
        <v>23</v>
      </c>
      <c r="C219" s="85" t="s">
        <v>19</v>
      </c>
      <c r="D219" s="78">
        <v>4</v>
      </c>
      <c r="E219" s="272">
        <v>200</v>
      </c>
      <c r="F219" s="271" t="s">
        <v>4</v>
      </c>
      <c r="G219" s="301">
        <f>(H219/100)</f>
        <v>2.0061457627118648</v>
      </c>
      <c r="H219" s="111">
        <v>200.61457627118648</v>
      </c>
    </row>
    <row r="220" spans="1:8" x14ac:dyDescent="0.2">
      <c r="B220" s="26" t="s">
        <v>23</v>
      </c>
      <c r="C220" s="27" t="s">
        <v>19</v>
      </c>
      <c r="D220" s="30">
        <v>5</v>
      </c>
      <c r="E220" s="139">
        <v>200</v>
      </c>
      <c r="F220" s="123" t="s">
        <v>4</v>
      </c>
      <c r="G220" s="301">
        <f t="shared" ref="G220:G236" si="19">(H220/100)</f>
        <v>2.4776644067796614</v>
      </c>
      <c r="H220" s="111">
        <v>247.76644067796613</v>
      </c>
    </row>
    <row r="221" spans="1:8" x14ac:dyDescent="0.2">
      <c r="B221" s="26" t="s">
        <v>23</v>
      </c>
      <c r="C221" s="27" t="s">
        <v>19</v>
      </c>
      <c r="D221" s="30">
        <v>6</v>
      </c>
      <c r="E221" s="139">
        <v>200</v>
      </c>
      <c r="F221" s="29" t="s">
        <v>4</v>
      </c>
      <c r="G221" s="301">
        <f t="shared" si="19"/>
        <v>2.5992488135593224</v>
      </c>
      <c r="H221" s="111">
        <v>259.92488135593226</v>
      </c>
    </row>
    <row r="222" spans="1:8" x14ac:dyDescent="0.2">
      <c r="B222" s="26" t="s">
        <v>23</v>
      </c>
      <c r="C222" s="27" t="s">
        <v>19</v>
      </c>
      <c r="D222" s="30">
        <v>7</v>
      </c>
      <c r="E222" s="139">
        <v>200</v>
      </c>
      <c r="F222" s="29" t="s">
        <v>4</v>
      </c>
      <c r="G222" s="301">
        <f t="shared" si="19"/>
        <v>3.1206050847457623</v>
      </c>
      <c r="H222" s="111">
        <v>312.06050847457624</v>
      </c>
    </row>
    <row r="223" spans="1:8" x14ac:dyDescent="0.2">
      <c r="B223" s="26" t="s">
        <v>23</v>
      </c>
      <c r="C223" s="27" t="s">
        <v>19</v>
      </c>
      <c r="D223" s="30">
        <v>8</v>
      </c>
      <c r="E223" s="139">
        <v>200</v>
      </c>
      <c r="F223" s="29" t="s">
        <v>4</v>
      </c>
      <c r="G223" s="301">
        <f t="shared" si="19"/>
        <v>5.1452745762711869</v>
      </c>
      <c r="H223" s="111">
        <v>514.52745762711868</v>
      </c>
    </row>
    <row r="224" spans="1:8" x14ac:dyDescent="0.2">
      <c r="B224" s="26" t="s">
        <v>23</v>
      </c>
      <c r="C224" s="27" t="s">
        <v>19</v>
      </c>
      <c r="D224" s="30">
        <v>9</v>
      </c>
      <c r="E224" s="139">
        <v>200</v>
      </c>
      <c r="F224" s="29" t="s">
        <v>4</v>
      </c>
      <c r="G224" s="301">
        <f t="shared" si="19"/>
        <v>6.076296610169492</v>
      </c>
      <c r="H224" s="111">
        <v>607.62966101694917</v>
      </c>
    </row>
    <row r="225" spans="2:8" x14ac:dyDescent="0.2">
      <c r="B225" s="26" t="s">
        <v>23</v>
      </c>
      <c r="C225" s="27" t="s">
        <v>19</v>
      </c>
      <c r="D225" s="30">
        <v>10</v>
      </c>
      <c r="E225" s="139">
        <v>200</v>
      </c>
      <c r="F225" s="29" t="s">
        <v>4</v>
      </c>
      <c r="G225" s="301">
        <f t="shared" si="19"/>
        <v>6.8358508474576274</v>
      </c>
      <c r="H225" s="111">
        <v>683.58508474576274</v>
      </c>
    </row>
    <row r="226" spans="2:8" x14ac:dyDescent="0.2">
      <c r="B226" s="26" t="s">
        <v>23</v>
      </c>
      <c r="C226" s="27" t="s">
        <v>19</v>
      </c>
      <c r="D226" s="30">
        <v>11</v>
      </c>
      <c r="E226" s="139">
        <v>200</v>
      </c>
      <c r="F226" s="123" t="s">
        <v>4</v>
      </c>
      <c r="G226" s="301">
        <f t="shared" si="19"/>
        <v>8.9061725806451602</v>
      </c>
      <c r="H226" s="111">
        <v>890.61725806451602</v>
      </c>
    </row>
    <row r="227" spans="2:8" x14ac:dyDescent="0.2">
      <c r="B227" s="26" t="s">
        <v>23</v>
      </c>
      <c r="C227" s="27" t="s">
        <v>19</v>
      </c>
      <c r="D227" s="30">
        <v>12</v>
      </c>
      <c r="E227" s="139">
        <v>200</v>
      </c>
      <c r="F227" s="29" t="s">
        <v>4</v>
      </c>
      <c r="G227" s="301">
        <f t="shared" si="19"/>
        <v>9.7361194029850768</v>
      </c>
      <c r="H227" s="111">
        <v>973.61194029850765</v>
      </c>
    </row>
    <row r="228" spans="2:8" x14ac:dyDescent="0.2">
      <c r="B228" s="26" t="s">
        <v>23</v>
      </c>
      <c r="C228" s="27" t="s">
        <v>19</v>
      </c>
      <c r="D228" s="30">
        <v>14</v>
      </c>
      <c r="E228" s="71">
        <v>100</v>
      </c>
      <c r="F228" s="29" t="s">
        <v>4</v>
      </c>
      <c r="G228" s="301">
        <f t="shared" si="19"/>
        <v>13.675121194029852</v>
      </c>
      <c r="H228" s="111">
        <v>1367.5121194029853</v>
      </c>
    </row>
    <row r="229" spans="2:8" x14ac:dyDescent="0.2">
      <c r="B229" s="26" t="s">
        <v>23</v>
      </c>
      <c r="C229" s="27" t="s">
        <v>19</v>
      </c>
      <c r="D229" s="30">
        <v>16</v>
      </c>
      <c r="E229" s="71">
        <v>100</v>
      </c>
      <c r="F229" s="29" t="s">
        <v>4</v>
      </c>
      <c r="G229" s="301">
        <f t="shared" si="19"/>
        <v>16.663164179104484</v>
      </c>
      <c r="H229" s="111">
        <v>1666.3164179104483</v>
      </c>
    </row>
    <row r="230" spans="2:8" x14ac:dyDescent="0.2">
      <c r="B230" s="26" t="s">
        <v>23</v>
      </c>
      <c r="C230" s="27" t="s">
        <v>19</v>
      </c>
      <c r="D230" s="30">
        <v>18</v>
      </c>
      <c r="E230" s="71">
        <v>100</v>
      </c>
      <c r="F230" s="29" t="s">
        <v>4</v>
      </c>
      <c r="G230" s="301">
        <f t="shared" si="19"/>
        <v>19.738208955223886</v>
      </c>
      <c r="H230" s="111">
        <v>1973.8208955223886</v>
      </c>
    </row>
    <row r="231" spans="2:8" x14ac:dyDescent="0.2">
      <c r="B231" s="26" t="s">
        <v>23</v>
      </c>
      <c r="C231" s="27" t="s">
        <v>19</v>
      </c>
      <c r="D231" s="30">
        <v>20</v>
      </c>
      <c r="E231" s="71">
        <v>100</v>
      </c>
      <c r="F231" s="123" t="s">
        <v>4</v>
      </c>
      <c r="G231" s="301">
        <f t="shared" si="19"/>
        <v>26.914459701492543</v>
      </c>
      <c r="H231" s="111">
        <v>2691.4459701492542</v>
      </c>
    </row>
    <row r="232" spans="2:8" x14ac:dyDescent="0.2">
      <c r="B232" s="26" t="s">
        <v>23</v>
      </c>
      <c r="C232" s="27" t="s">
        <v>19</v>
      </c>
      <c r="D232" s="30">
        <v>22</v>
      </c>
      <c r="E232" s="71">
        <v>100</v>
      </c>
      <c r="F232" s="123" t="s">
        <v>4</v>
      </c>
      <c r="G232" s="301">
        <f t="shared" si="19"/>
        <v>32.047164179104485</v>
      </c>
      <c r="H232" s="111">
        <v>3204.7164179104484</v>
      </c>
    </row>
    <row r="233" spans="2:8" x14ac:dyDescent="0.2">
      <c r="B233" s="26" t="s">
        <v>23</v>
      </c>
      <c r="C233" s="27" t="s">
        <v>19</v>
      </c>
      <c r="D233" s="30">
        <v>24</v>
      </c>
      <c r="E233" s="71">
        <v>100</v>
      </c>
      <c r="F233" s="123" t="s">
        <v>4</v>
      </c>
      <c r="G233" s="301">
        <f t="shared" si="19"/>
        <v>36.467462686567167</v>
      </c>
      <c r="H233" s="111">
        <v>3646.7462686567169</v>
      </c>
    </row>
    <row r="234" spans="2:8" x14ac:dyDescent="0.2">
      <c r="B234" s="26" t="s">
        <v>23</v>
      </c>
      <c r="C234" s="27" t="s">
        <v>19</v>
      </c>
      <c r="D234" s="30">
        <v>28</v>
      </c>
      <c r="E234" s="71">
        <v>100</v>
      </c>
      <c r="F234" s="123" t="s">
        <v>4</v>
      </c>
      <c r="G234" s="301">
        <f t="shared" si="19"/>
        <v>49.728358208955243</v>
      </c>
      <c r="H234" s="111">
        <v>4972.8358208955242</v>
      </c>
    </row>
    <row r="235" spans="2:8" x14ac:dyDescent="0.2">
      <c r="B235" s="26" t="s">
        <v>23</v>
      </c>
      <c r="C235" s="27" t="s">
        <v>19</v>
      </c>
      <c r="D235" s="30">
        <v>30</v>
      </c>
      <c r="E235" s="71">
        <v>100</v>
      </c>
      <c r="F235" s="123" t="s">
        <v>4</v>
      </c>
      <c r="G235" s="301">
        <f t="shared" si="19"/>
        <v>65.088895522388071</v>
      </c>
      <c r="H235" s="111">
        <v>6508.8895522388075</v>
      </c>
    </row>
    <row r="236" spans="2:8" x14ac:dyDescent="0.2">
      <c r="B236" s="26" t="s">
        <v>23</v>
      </c>
      <c r="C236" s="27" t="s">
        <v>19</v>
      </c>
      <c r="D236" s="30">
        <v>40</v>
      </c>
      <c r="E236" s="71">
        <v>100</v>
      </c>
      <c r="F236" s="123" t="s">
        <v>4</v>
      </c>
      <c r="G236" s="301">
        <f t="shared" si="19"/>
        <v>115.59080597014929</v>
      </c>
      <c r="H236" s="111">
        <v>11559.080597014929</v>
      </c>
    </row>
    <row r="237" spans="2:8" x14ac:dyDescent="0.2">
      <c r="B237" s="32"/>
      <c r="C237" s="32"/>
      <c r="D237" s="34"/>
      <c r="E237" s="35"/>
      <c r="F237" s="35"/>
      <c r="H237" s="242"/>
    </row>
    <row r="238" spans="2:8" x14ac:dyDescent="0.2">
      <c r="B238" s="46" t="s">
        <v>37</v>
      </c>
      <c r="C238" s="37"/>
      <c r="D238" s="38"/>
      <c r="E238" s="59"/>
      <c r="F238" s="40"/>
      <c r="G238" s="40"/>
      <c r="H238" s="243"/>
    </row>
    <row r="239" spans="2:8" x14ac:dyDescent="0.2">
      <c r="B239" s="84" t="s">
        <v>37</v>
      </c>
      <c r="C239" s="85" t="s">
        <v>19</v>
      </c>
      <c r="D239" s="265">
        <v>4</v>
      </c>
      <c r="E239" s="251">
        <v>200</v>
      </c>
      <c r="F239" s="271" t="s">
        <v>4</v>
      </c>
      <c r="G239" s="301">
        <f>(H239/100)</f>
        <v>2.077909505084746</v>
      </c>
      <c r="H239" s="111">
        <v>207.79095050847459</v>
      </c>
    </row>
    <row r="240" spans="2:8" x14ac:dyDescent="0.2">
      <c r="B240" s="26" t="s">
        <v>37</v>
      </c>
      <c r="C240" s="27" t="s">
        <v>19</v>
      </c>
      <c r="D240" s="140">
        <v>5</v>
      </c>
      <c r="E240" s="71">
        <v>200</v>
      </c>
      <c r="F240" s="29" t="s">
        <v>4</v>
      </c>
      <c r="G240" s="301">
        <f t="shared" ref="G240:G247" si="20">(H240/100)</f>
        <v>2.6058467796610176</v>
      </c>
      <c r="H240" s="111">
        <v>260.58467796610176</v>
      </c>
    </row>
    <row r="241" spans="2:8" x14ac:dyDescent="0.2">
      <c r="B241" s="26" t="s">
        <v>37</v>
      </c>
      <c r="C241" s="27" t="s">
        <v>19</v>
      </c>
      <c r="D241" s="140">
        <v>6</v>
      </c>
      <c r="E241" s="71">
        <v>200</v>
      </c>
      <c r="F241" s="29" t="s">
        <v>4</v>
      </c>
      <c r="G241" s="301">
        <f t="shared" si="20"/>
        <v>2.8881510508474575</v>
      </c>
      <c r="H241" s="111">
        <v>288.81510508474577</v>
      </c>
    </row>
    <row r="242" spans="2:8" x14ac:dyDescent="0.2">
      <c r="B242" s="26" t="s">
        <v>37</v>
      </c>
      <c r="C242" s="27" t="s">
        <v>19</v>
      </c>
      <c r="D242" s="140">
        <v>7</v>
      </c>
      <c r="E242" s="71">
        <v>200</v>
      </c>
      <c r="F242" s="29" t="s">
        <v>4</v>
      </c>
      <c r="G242" s="301">
        <f t="shared" si="20"/>
        <v>3.3212489491525434</v>
      </c>
      <c r="H242" s="111">
        <v>332.12489491525434</v>
      </c>
    </row>
    <row r="243" spans="2:8" x14ac:dyDescent="0.2">
      <c r="B243" s="26" t="s">
        <v>37</v>
      </c>
      <c r="C243" s="27" t="s">
        <v>19</v>
      </c>
      <c r="D243" s="30">
        <v>8</v>
      </c>
      <c r="E243" s="71">
        <v>200</v>
      </c>
      <c r="F243" s="29" t="s">
        <v>4</v>
      </c>
      <c r="G243" s="301">
        <f t="shared" si="20"/>
        <v>5.4712854915254248</v>
      </c>
      <c r="H243" s="111">
        <v>547.12854915254252</v>
      </c>
    </row>
    <row r="244" spans="2:8" x14ac:dyDescent="0.2">
      <c r="B244" s="26" t="s">
        <v>37</v>
      </c>
      <c r="C244" s="27" t="s">
        <v>19</v>
      </c>
      <c r="D244" s="30">
        <v>9</v>
      </c>
      <c r="E244" s="71">
        <v>200</v>
      </c>
      <c r="F244" s="29" t="s">
        <v>4</v>
      </c>
      <c r="G244" s="301">
        <f t="shared" si="20"/>
        <v>6.5619945762711858</v>
      </c>
      <c r="H244" s="111">
        <v>656.19945762711859</v>
      </c>
    </row>
    <row r="245" spans="2:8" x14ac:dyDescent="0.2">
      <c r="B245" s="26" t="s">
        <v>37</v>
      </c>
      <c r="C245" s="27" t="s">
        <v>19</v>
      </c>
      <c r="D245" s="30">
        <v>10</v>
      </c>
      <c r="E245" s="71">
        <v>200</v>
      </c>
      <c r="F245" s="29" t="s">
        <v>4</v>
      </c>
      <c r="G245" s="301">
        <f t="shared" si="20"/>
        <v>7.6943186440677973</v>
      </c>
      <c r="H245" s="111">
        <v>769.43186440677971</v>
      </c>
    </row>
    <row r="246" spans="2:8" x14ac:dyDescent="0.2">
      <c r="B246" s="26" t="s">
        <v>37</v>
      </c>
      <c r="C246" s="27" t="s">
        <v>19</v>
      </c>
      <c r="D246" s="30">
        <v>11</v>
      </c>
      <c r="E246" s="71">
        <v>200</v>
      </c>
      <c r="F246" s="29" t="s">
        <v>4</v>
      </c>
      <c r="G246" s="301">
        <f t="shared" si="20"/>
        <v>10.656648387096777</v>
      </c>
      <c r="H246" s="111">
        <v>1065.6648387096777</v>
      </c>
    </row>
    <row r="247" spans="2:8" x14ac:dyDescent="0.2">
      <c r="B247" s="26" t="s">
        <v>37</v>
      </c>
      <c r="C247" s="27" t="s">
        <v>19</v>
      </c>
      <c r="D247" s="30">
        <v>12</v>
      </c>
      <c r="E247" s="71">
        <v>200</v>
      </c>
      <c r="F247" s="29" t="s">
        <v>4</v>
      </c>
      <c r="G247" s="301">
        <f t="shared" si="20"/>
        <v>10.924681846153849</v>
      </c>
      <c r="H247" s="111">
        <v>1092.4681846153849</v>
      </c>
    </row>
    <row r="248" spans="2:8" x14ac:dyDescent="0.2">
      <c r="B248" s="32"/>
      <c r="C248" s="32"/>
      <c r="D248" s="34"/>
      <c r="E248" s="35"/>
      <c r="F248" s="35"/>
      <c r="H248" s="242"/>
    </row>
    <row r="249" spans="2:8" x14ac:dyDescent="0.2">
      <c r="B249" s="46" t="s">
        <v>236</v>
      </c>
      <c r="C249" s="37"/>
      <c r="D249" s="38"/>
      <c r="E249" s="59"/>
      <c r="F249" s="40"/>
      <c r="G249" s="40"/>
      <c r="H249" s="243"/>
    </row>
    <row r="250" spans="2:8" x14ac:dyDescent="0.2">
      <c r="B250" s="84" t="s">
        <v>236</v>
      </c>
      <c r="C250" s="85" t="s">
        <v>8</v>
      </c>
      <c r="D250" s="265">
        <v>6</v>
      </c>
      <c r="E250" s="107">
        <v>200</v>
      </c>
      <c r="F250" s="86" t="s">
        <v>4</v>
      </c>
      <c r="G250" s="301">
        <f>(H250/100)</f>
        <v>3.7403430508474584</v>
      </c>
      <c r="H250" s="111">
        <v>374.03430508474582</v>
      </c>
    </row>
    <row r="251" spans="2:8" x14ac:dyDescent="0.2">
      <c r="B251" s="26" t="s">
        <v>236</v>
      </c>
      <c r="C251" s="27" t="s">
        <v>8</v>
      </c>
      <c r="D251" s="140">
        <v>7</v>
      </c>
      <c r="E251" s="71">
        <v>200</v>
      </c>
      <c r="F251" s="29" t="s">
        <v>4</v>
      </c>
      <c r="G251" s="301">
        <f t="shared" ref="G251:G260" si="21">(H251/100)</f>
        <v>5.0331966101694912</v>
      </c>
      <c r="H251" s="111">
        <v>503.31966101694911</v>
      </c>
    </row>
    <row r="252" spans="2:8" x14ac:dyDescent="0.2">
      <c r="B252" s="26" t="s">
        <v>236</v>
      </c>
      <c r="C252" s="27" t="s">
        <v>8</v>
      </c>
      <c r="D252" s="30">
        <v>8</v>
      </c>
      <c r="E252" s="71">
        <v>200</v>
      </c>
      <c r="F252" s="29" t="s">
        <v>4</v>
      </c>
      <c r="G252" s="301">
        <f t="shared" si="21"/>
        <v>7.0066576271186447</v>
      </c>
      <c r="H252" s="111">
        <v>700.66576271186443</v>
      </c>
    </row>
    <row r="253" spans="2:8" x14ac:dyDescent="0.2">
      <c r="B253" s="26" t="s">
        <v>236</v>
      </c>
      <c r="C253" s="27" t="s">
        <v>8</v>
      </c>
      <c r="D253" s="30">
        <v>9</v>
      </c>
      <c r="E253" s="71">
        <v>200</v>
      </c>
      <c r="F253" s="29" t="s">
        <v>4</v>
      </c>
      <c r="G253" s="301">
        <f t="shared" si="21"/>
        <v>8.5083648813559325</v>
      </c>
      <c r="H253" s="111">
        <v>850.8364881355933</v>
      </c>
    </row>
    <row r="254" spans="2:8" x14ac:dyDescent="0.2">
      <c r="B254" s="26" t="s">
        <v>236</v>
      </c>
      <c r="C254" s="27" t="s">
        <v>8</v>
      </c>
      <c r="D254" s="30">
        <v>10</v>
      </c>
      <c r="E254" s="71">
        <v>200</v>
      </c>
      <c r="F254" s="29" t="s">
        <v>4</v>
      </c>
      <c r="G254" s="301">
        <f t="shared" si="21"/>
        <v>9.7582680000000028</v>
      </c>
      <c r="H254" s="111">
        <v>975.82680000000028</v>
      </c>
    </row>
    <row r="255" spans="2:8" x14ac:dyDescent="0.2">
      <c r="B255" s="26" t="s">
        <v>236</v>
      </c>
      <c r="C255" s="27" t="s">
        <v>8</v>
      </c>
      <c r="D255" s="30">
        <v>11</v>
      </c>
      <c r="E255" s="71">
        <v>200</v>
      </c>
      <c r="F255" s="29" t="s">
        <v>4</v>
      </c>
      <c r="G255" s="301">
        <f t="shared" si="21"/>
        <v>10.911277596774193</v>
      </c>
      <c r="H255" s="111">
        <v>1091.1277596774194</v>
      </c>
    </row>
    <row r="256" spans="2:8" x14ac:dyDescent="0.2">
      <c r="B256" s="26" t="s">
        <v>236</v>
      </c>
      <c r="C256" s="27" t="s">
        <v>8</v>
      </c>
      <c r="D256" s="30">
        <v>12</v>
      </c>
      <c r="E256" s="71">
        <v>200</v>
      </c>
      <c r="F256" s="29" t="s">
        <v>4</v>
      </c>
      <c r="G256" s="301">
        <f t="shared" si="21"/>
        <v>13.187915462686572</v>
      </c>
      <c r="H256" s="111">
        <v>1318.7915462686572</v>
      </c>
    </row>
    <row r="257" spans="2:8" x14ac:dyDescent="0.2">
      <c r="B257" s="26" t="s">
        <v>236</v>
      </c>
      <c r="C257" s="27" t="s">
        <v>8</v>
      </c>
      <c r="D257" s="30">
        <v>14</v>
      </c>
      <c r="E257" s="71">
        <v>100</v>
      </c>
      <c r="F257" s="29" t="s">
        <v>4</v>
      </c>
      <c r="G257" s="301">
        <f t="shared" si="21"/>
        <v>18.561763558208956</v>
      </c>
      <c r="H257" s="111">
        <v>1856.1763558208957</v>
      </c>
    </row>
    <row r="258" spans="2:8" x14ac:dyDescent="0.2">
      <c r="B258" s="26" t="s">
        <v>236</v>
      </c>
      <c r="C258" s="27" t="s">
        <v>8</v>
      </c>
      <c r="D258" s="30">
        <v>16</v>
      </c>
      <c r="E258" s="71">
        <v>100</v>
      </c>
      <c r="F258" s="29" t="s">
        <v>4</v>
      </c>
      <c r="G258" s="301">
        <f t="shared" si="21"/>
        <v>22.048477611940303</v>
      </c>
      <c r="H258" s="111">
        <v>2204.8477611940302</v>
      </c>
    </row>
    <row r="259" spans="2:8" x14ac:dyDescent="0.2">
      <c r="B259" s="26" t="s">
        <v>236</v>
      </c>
      <c r="C259" s="27" t="s">
        <v>8</v>
      </c>
      <c r="D259" s="30">
        <v>18</v>
      </c>
      <c r="E259" s="71">
        <v>100</v>
      </c>
      <c r="F259" s="29" t="s">
        <v>4</v>
      </c>
      <c r="G259" s="301">
        <f t="shared" si="21"/>
        <v>28.040597014925378</v>
      </c>
      <c r="H259" s="111">
        <v>2804.0597014925379</v>
      </c>
    </row>
    <row r="260" spans="2:8" x14ac:dyDescent="0.2">
      <c r="B260" s="26" t="s">
        <v>236</v>
      </c>
      <c r="C260" s="27" t="s">
        <v>8</v>
      </c>
      <c r="D260" s="30">
        <v>20</v>
      </c>
      <c r="E260" s="71">
        <v>100</v>
      </c>
      <c r="F260" s="123" t="s">
        <v>4</v>
      </c>
      <c r="G260" s="301">
        <f t="shared" si="21"/>
        <v>33.648716417910443</v>
      </c>
      <c r="H260" s="111">
        <v>3364.8716417910441</v>
      </c>
    </row>
    <row r="261" spans="2:8" x14ac:dyDescent="0.2">
      <c r="B261" s="50"/>
      <c r="C261" s="51"/>
      <c r="D261" s="52"/>
      <c r="E261" s="106"/>
      <c r="F261" s="33"/>
      <c r="H261" s="241"/>
    </row>
    <row r="262" spans="2:8" x14ac:dyDescent="0.2">
      <c r="B262" s="46" t="s">
        <v>237</v>
      </c>
      <c r="C262" s="37"/>
      <c r="D262" s="38"/>
      <c r="E262" s="59"/>
      <c r="F262" s="40"/>
      <c r="G262" s="40"/>
      <c r="H262" s="243"/>
    </row>
    <row r="263" spans="2:8" x14ac:dyDescent="0.2">
      <c r="B263" s="84" t="s">
        <v>237</v>
      </c>
      <c r="C263" s="136" t="s">
        <v>241</v>
      </c>
      <c r="D263" s="265">
        <v>4</v>
      </c>
      <c r="E263" s="107">
        <v>200</v>
      </c>
      <c r="F263" s="86" t="s">
        <v>4</v>
      </c>
      <c r="G263" s="301">
        <f>(H263/100)</f>
        <v>2.6620436013559341</v>
      </c>
      <c r="H263" s="111">
        <v>266.20436013559339</v>
      </c>
    </row>
    <row r="264" spans="2:8" x14ac:dyDescent="0.2">
      <c r="B264" s="26" t="s">
        <v>237</v>
      </c>
      <c r="C264" s="132" t="s">
        <v>241</v>
      </c>
      <c r="D264" s="140">
        <v>5</v>
      </c>
      <c r="E264" s="71">
        <v>200</v>
      </c>
      <c r="F264" s="29" t="s">
        <v>4</v>
      </c>
      <c r="G264" s="301">
        <f t="shared" ref="G264:G279" si="22">(H264/100)</f>
        <v>3.3534880718644073</v>
      </c>
      <c r="H264" s="111">
        <v>335.34880718644075</v>
      </c>
    </row>
    <row r="265" spans="2:8" x14ac:dyDescent="0.2">
      <c r="B265" s="26" t="s">
        <v>237</v>
      </c>
      <c r="C265" s="132" t="s">
        <v>241</v>
      </c>
      <c r="D265" s="140">
        <v>6</v>
      </c>
      <c r="E265" s="71">
        <v>200</v>
      </c>
      <c r="F265" s="29" t="s">
        <v>4</v>
      </c>
      <c r="G265" s="301">
        <f t="shared" si="22"/>
        <v>3.8462730508474592</v>
      </c>
      <c r="H265" s="111">
        <v>384.6273050847459</v>
      </c>
    </row>
    <row r="266" spans="2:8" x14ac:dyDescent="0.2">
      <c r="B266" s="26" t="s">
        <v>237</v>
      </c>
      <c r="C266" s="132" t="s">
        <v>241</v>
      </c>
      <c r="D266" s="140">
        <v>7</v>
      </c>
      <c r="E266" s="71">
        <v>200</v>
      </c>
      <c r="F266" s="29" t="s">
        <v>4</v>
      </c>
      <c r="G266" s="301">
        <f t="shared" si="22"/>
        <v>4.7263602966101699</v>
      </c>
      <c r="H266" s="111">
        <v>472.63602966101701</v>
      </c>
    </row>
    <row r="267" spans="2:8" x14ac:dyDescent="0.2">
      <c r="B267" s="26" t="s">
        <v>237</v>
      </c>
      <c r="C267" s="132" t="s">
        <v>241</v>
      </c>
      <c r="D267" s="30">
        <v>8</v>
      </c>
      <c r="E267" s="71">
        <v>200</v>
      </c>
      <c r="F267" s="29" t="s">
        <v>4</v>
      </c>
      <c r="G267" s="301">
        <f t="shared" si="22"/>
        <v>7.5694805694915273</v>
      </c>
      <c r="H267" s="111">
        <v>756.94805694915271</v>
      </c>
    </row>
    <row r="268" spans="2:8" x14ac:dyDescent="0.2">
      <c r="B268" s="26" t="s">
        <v>237</v>
      </c>
      <c r="C268" s="132" t="s">
        <v>241</v>
      </c>
      <c r="D268" s="30">
        <v>9</v>
      </c>
      <c r="E268" s="71">
        <v>200</v>
      </c>
      <c r="F268" s="29" t="s">
        <v>4</v>
      </c>
      <c r="G268" s="301">
        <f t="shared" si="22"/>
        <v>8.8819755355932219</v>
      </c>
      <c r="H268" s="111">
        <v>888.19755355932216</v>
      </c>
    </row>
    <row r="269" spans="2:8" x14ac:dyDescent="0.2">
      <c r="B269" s="26" t="s">
        <v>237</v>
      </c>
      <c r="C269" s="132" t="s">
        <v>241</v>
      </c>
      <c r="D269" s="30">
        <v>10</v>
      </c>
      <c r="E269" s="71">
        <v>200</v>
      </c>
      <c r="F269" s="29" t="s">
        <v>4</v>
      </c>
      <c r="G269" s="301">
        <f t="shared" si="22"/>
        <v>10.491885884745766</v>
      </c>
      <c r="H269" s="111">
        <v>1049.1885884745766</v>
      </c>
    </row>
    <row r="270" spans="2:8" x14ac:dyDescent="0.2">
      <c r="B270" s="26" t="s">
        <v>237</v>
      </c>
      <c r="C270" s="132" t="s">
        <v>241</v>
      </c>
      <c r="D270" s="30">
        <v>11</v>
      </c>
      <c r="E270" s="71">
        <v>200</v>
      </c>
      <c r="F270" s="123" t="s">
        <v>4</v>
      </c>
      <c r="G270" s="301">
        <f t="shared" si="22"/>
        <v>12.717079766129036</v>
      </c>
      <c r="H270" s="111">
        <v>1271.7079766129036</v>
      </c>
    </row>
    <row r="271" spans="2:8" x14ac:dyDescent="0.2">
      <c r="B271" s="26" t="s">
        <v>237</v>
      </c>
      <c r="C271" s="132" t="s">
        <v>241</v>
      </c>
      <c r="D271" s="30">
        <v>12</v>
      </c>
      <c r="E271" s="71">
        <v>200</v>
      </c>
      <c r="F271" s="29" t="s">
        <v>4</v>
      </c>
      <c r="G271" s="301">
        <f t="shared" si="22"/>
        <v>13.746025074626868</v>
      </c>
      <c r="H271" s="111">
        <v>1374.6025074626868</v>
      </c>
    </row>
    <row r="272" spans="2:8" x14ac:dyDescent="0.2">
      <c r="B272" s="26" t="s">
        <v>237</v>
      </c>
      <c r="C272" s="132" t="s">
        <v>241</v>
      </c>
      <c r="D272" s="30">
        <v>13</v>
      </c>
      <c r="E272" s="71">
        <v>200</v>
      </c>
      <c r="F272" s="29" t="s">
        <v>4</v>
      </c>
      <c r="G272" s="301">
        <f t="shared" si="22"/>
        <v>16.34294955223881</v>
      </c>
      <c r="H272" s="111">
        <v>1634.2949552238811</v>
      </c>
    </row>
    <row r="273" spans="1:8" x14ac:dyDescent="0.2">
      <c r="B273" s="26" t="s">
        <v>237</v>
      </c>
      <c r="C273" s="132" t="s">
        <v>241</v>
      </c>
      <c r="D273" s="30">
        <v>14</v>
      </c>
      <c r="E273" s="71">
        <v>100</v>
      </c>
      <c r="F273" s="29" t="s">
        <v>4</v>
      </c>
      <c r="G273" s="301">
        <f t="shared" si="22"/>
        <v>19.451265850746271</v>
      </c>
      <c r="H273" s="111">
        <v>1945.1265850746272</v>
      </c>
    </row>
    <row r="274" spans="1:8" x14ac:dyDescent="0.2">
      <c r="B274" s="26" t="s">
        <v>237</v>
      </c>
      <c r="C274" s="132" t="s">
        <v>241</v>
      </c>
      <c r="D274" s="30">
        <v>16</v>
      </c>
      <c r="E274" s="71">
        <v>100</v>
      </c>
      <c r="F274" s="29" t="s">
        <v>4</v>
      </c>
      <c r="G274" s="301">
        <f t="shared" si="22"/>
        <v>23.824113671641797</v>
      </c>
      <c r="H274" s="111">
        <v>2382.4113671641799</v>
      </c>
    </row>
    <row r="275" spans="1:8" x14ac:dyDescent="0.2">
      <c r="B275" s="26" t="s">
        <v>237</v>
      </c>
      <c r="C275" s="132" t="s">
        <v>241</v>
      </c>
      <c r="D275" s="30">
        <v>18</v>
      </c>
      <c r="E275" s="71">
        <v>100</v>
      </c>
      <c r="F275" s="29" t="s">
        <v>4</v>
      </c>
      <c r="G275" s="301">
        <f t="shared" si="22"/>
        <v>29.007008955223881</v>
      </c>
      <c r="H275" s="111">
        <v>2900.7008955223882</v>
      </c>
    </row>
    <row r="276" spans="1:8" x14ac:dyDescent="0.2">
      <c r="B276" s="26" t="s">
        <v>237</v>
      </c>
      <c r="C276" s="132" t="s">
        <v>241</v>
      </c>
      <c r="D276" s="30">
        <v>20</v>
      </c>
      <c r="E276" s="71">
        <v>100</v>
      </c>
      <c r="F276" s="123" t="s">
        <v>4</v>
      </c>
      <c r="G276" s="301">
        <f t="shared" si="22"/>
        <v>35.519856716417912</v>
      </c>
      <c r="H276" s="111">
        <v>3551.9856716417912</v>
      </c>
    </row>
    <row r="277" spans="1:8" x14ac:dyDescent="0.2">
      <c r="A277" s="248"/>
      <c r="B277" s="26" t="s">
        <v>237</v>
      </c>
      <c r="C277" s="132" t="s">
        <v>241</v>
      </c>
      <c r="D277" s="30">
        <v>22</v>
      </c>
      <c r="E277" s="71">
        <v>100</v>
      </c>
      <c r="F277" s="123" t="s">
        <v>4</v>
      </c>
      <c r="G277" s="301">
        <f t="shared" si="22"/>
        <v>42.919826865671645</v>
      </c>
      <c r="H277" s="111">
        <v>4291.9826865671648</v>
      </c>
    </row>
    <row r="278" spans="1:8" x14ac:dyDescent="0.2">
      <c r="A278" s="248"/>
      <c r="B278" s="26" t="s">
        <v>237</v>
      </c>
      <c r="C278" s="132" t="s">
        <v>241</v>
      </c>
      <c r="D278" s="30">
        <v>28</v>
      </c>
      <c r="E278" s="71">
        <v>100</v>
      </c>
      <c r="F278" s="123" t="s">
        <v>4</v>
      </c>
      <c r="G278" s="301">
        <f t="shared" si="22"/>
        <v>66.119099104477613</v>
      </c>
      <c r="H278" s="111">
        <v>6611.9099104477609</v>
      </c>
    </row>
    <row r="279" spans="1:8" x14ac:dyDescent="0.2">
      <c r="A279" s="248"/>
      <c r="B279" s="26" t="s">
        <v>237</v>
      </c>
      <c r="C279" s="132" t="s">
        <v>241</v>
      </c>
      <c r="D279" s="30">
        <v>32</v>
      </c>
      <c r="E279" s="71">
        <v>100</v>
      </c>
      <c r="F279" s="123" t="s">
        <v>4</v>
      </c>
      <c r="G279" s="301">
        <f t="shared" si="22"/>
        <v>88.79964179104482</v>
      </c>
      <c r="H279" s="111">
        <v>8879.9641791044814</v>
      </c>
    </row>
    <row r="280" spans="1:8" x14ac:dyDescent="0.2">
      <c r="B280" s="32"/>
      <c r="C280" s="32"/>
      <c r="D280" s="32"/>
      <c r="E280" s="35"/>
      <c r="F280" s="32"/>
      <c r="H280" s="242"/>
    </row>
    <row r="281" spans="1:8" x14ac:dyDescent="0.2">
      <c r="B281" s="46" t="s">
        <v>238</v>
      </c>
      <c r="C281" s="37"/>
      <c r="D281" s="38"/>
      <c r="E281" s="59"/>
      <c r="F281" s="40"/>
      <c r="G281" s="40"/>
      <c r="H281" s="243"/>
    </row>
    <row r="282" spans="1:8" x14ac:dyDescent="0.2">
      <c r="B282" s="84" t="s">
        <v>238</v>
      </c>
      <c r="C282" s="85" t="s">
        <v>20</v>
      </c>
      <c r="D282" s="265">
        <v>4</v>
      </c>
      <c r="E282" s="107">
        <v>200</v>
      </c>
      <c r="F282" s="86" t="s">
        <v>4</v>
      </c>
      <c r="G282" s="301">
        <f>(H282/100)</f>
        <v>2.5164451200000006</v>
      </c>
      <c r="H282" s="111">
        <v>251.64451200000008</v>
      </c>
    </row>
    <row r="283" spans="1:8" x14ac:dyDescent="0.2">
      <c r="B283" s="26" t="s">
        <v>238</v>
      </c>
      <c r="C283" s="27" t="s">
        <v>20</v>
      </c>
      <c r="D283" s="140">
        <v>5</v>
      </c>
      <c r="E283" s="71">
        <v>200</v>
      </c>
      <c r="F283" s="29" t="s">
        <v>4</v>
      </c>
      <c r="G283" s="301">
        <f t="shared" ref="G283:G295" si="23">(H283/100)</f>
        <v>3.1264990006779669</v>
      </c>
      <c r="H283" s="111">
        <v>312.64990006779669</v>
      </c>
    </row>
    <row r="284" spans="1:8" x14ac:dyDescent="0.2">
      <c r="B284" s="26" t="s">
        <v>238</v>
      </c>
      <c r="C284" s="27" t="s">
        <v>20</v>
      </c>
      <c r="D284" s="140">
        <v>6</v>
      </c>
      <c r="E284" s="71">
        <v>200</v>
      </c>
      <c r="F284" s="123" t="s">
        <v>4</v>
      </c>
      <c r="G284" s="301">
        <f t="shared" si="23"/>
        <v>3.5690730508474577</v>
      </c>
      <c r="H284" s="111">
        <v>356.90730508474576</v>
      </c>
    </row>
    <row r="285" spans="1:8" x14ac:dyDescent="0.2">
      <c r="B285" s="26" t="s">
        <v>238</v>
      </c>
      <c r="C285" s="27" t="s">
        <v>20</v>
      </c>
      <c r="D285" s="140">
        <v>7</v>
      </c>
      <c r="E285" s="71">
        <v>200</v>
      </c>
      <c r="F285" s="123" t="s">
        <v>4</v>
      </c>
      <c r="G285" s="301">
        <f t="shared" si="23"/>
        <v>4.3550874152542374</v>
      </c>
      <c r="H285" s="111">
        <v>435.50874152542372</v>
      </c>
    </row>
    <row r="286" spans="1:8" x14ac:dyDescent="0.2">
      <c r="B286" s="26" t="s">
        <v>238</v>
      </c>
      <c r="C286" s="27" t="s">
        <v>20</v>
      </c>
      <c r="D286" s="30">
        <v>8</v>
      </c>
      <c r="E286" s="71">
        <v>200</v>
      </c>
      <c r="F286" s="29" t="s">
        <v>4</v>
      </c>
      <c r="G286" s="301">
        <f t="shared" si="23"/>
        <v>6.9476478915254241</v>
      </c>
      <c r="H286" s="111">
        <v>694.76478915254245</v>
      </c>
    </row>
    <row r="287" spans="1:8" x14ac:dyDescent="0.2">
      <c r="B287" s="26" t="s">
        <v>238</v>
      </c>
      <c r="C287" s="27" t="s">
        <v>20</v>
      </c>
      <c r="D287" s="30">
        <v>9</v>
      </c>
      <c r="E287" s="71">
        <v>200</v>
      </c>
      <c r="F287" s="29" t="s">
        <v>4</v>
      </c>
      <c r="G287" s="301">
        <f t="shared" si="23"/>
        <v>8.2466438745762733</v>
      </c>
      <c r="H287" s="111">
        <v>824.6643874576273</v>
      </c>
    </row>
    <row r="288" spans="1:8" x14ac:dyDescent="0.2">
      <c r="B288" s="26" t="s">
        <v>238</v>
      </c>
      <c r="C288" s="27" t="s">
        <v>20</v>
      </c>
      <c r="D288" s="30">
        <v>10</v>
      </c>
      <c r="E288" s="71">
        <v>200</v>
      </c>
      <c r="F288" s="29" t="s">
        <v>4</v>
      </c>
      <c r="G288" s="301">
        <f t="shared" si="23"/>
        <v>9.6618340881355937</v>
      </c>
      <c r="H288" s="111">
        <v>966.18340881355937</v>
      </c>
    </row>
    <row r="289" spans="2:8" x14ac:dyDescent="0.2">
      <c r="B289" s="26" t="s">
        <v>238</v>
      </c>
      <c r="C289" s="27" t="s">
        <v>20</v>
      </c>
      <c r="D289" s="30">
        <v>11</v>
      </c>
      <c r="E289" s="71">
        <v>200</v>
      </c>
      <c r="F289" s="123" t="s">
        <v>4</v>
      </c>
      <c r="G289" s="301">
        <f t="shared" si="23"/>
        <v>12.441598475806451</v>
      </c>
      <c r="H289" s="111">
        <v>1244.1598475806452</v>
      </c>
    </row>
    <row r="290" spans="2:8" x14ac:dyDescent="0.2">
      <c r="B290" s="26" t="s">
        <v>238</v>
      </c>
      <c r="C290" s="27" t="s">
        <v>20</v>
      </c>
      <c r="D290" s="30">
        <v>12</v>
      </c>
      <c r="E290" s="71">
        <v>200</v>
      </c>
      <c r="F290" s="29" t="s">
        <v>4</v>
      </c>
      <c r="G290" s="301">
        <f t="shared" si="23"/>
        <v>12.880477611940302</v>
      </c>
      <c r="H290" s="111">
        <v>1288.0477611940303</v>
      </c>
    </row>
    <row r="291" spans="2:8" x14ac:dyDescent="0.2">
      <c r="B291" s="26" t="s">
        <v>238</v>
      </c>
      <c r="C291" s="27" t="s">
        <v>20</v>
      </c>
      <c r="D291" s="30">
        <v>14</v>
      </c>
      <c r="E291" s="71">
        <v>100</v>
      </c>
      <c r="F291" s="29" t="s">
        <v>4</v>
      </c>
      <c r="G291" s="301">
        <f t="shared" si="23"/>
        <v>18.16296850746269</v>
      </c>
      <c r="H291" s="111">
        <v>1816.296850746269</v>
      </c>
    </row>
    <row r="292" spans="2:8" x14ac:dyDescent="0.2">
      <c r="B292" s="26" t="s">
        <v>238</v>
      </c>
      <c r="C292" s="27" t="s">
        <v>20</v>
      </c>
      <c r="D292" s="30">
        <v>16</v>
      </c>
      <c r="E292" s="71">
        <v>100</v>
      </c>
      <c r="F292" s="29" t="s">
        <v>4</v>
      </c>
      <c r="G292" s="301">
        <f t="shared" si="23"/>
        <v>22.262629253731344</v>
      </c>
      <c r="H292" s="111">
        <v>2226.2629253731343</v>
      </c>
    </row>
    <row r="293" spans="2:8" x14ac:dyDescent="0.2">
      <c r="B293" s="26" t="s">
        <v>238</v>
      </c>
      <c r="C293" s="27" t="s">
        <v>20</v>
      </c>
      <c r="D293" s="30">
        <v>18</v>
      </c>
      <c r="E293" s="71">
        <v>100</v>
      </c>
      <c r="F293" s="29" t="s">
        <v>4</v>
      </c>
      <c r="G293" s="301">
        <f t="shared" si="23"/>
        <v>27.326292537313439</v>
      </c>
      <c r="H293" s="111">
        <v>2732.6292537313439</v>
      </c>
    </row>
    <row r="294" spans="2:8" x14ac:dyDescent="0.2">
      <c r="B294" s="26" t="s">
        <v>238</v>
      </c>
      <c r="C294" s="27" t="s">
        <v>20</v>
      </c>
      <c r="D294" s="30">
        <v>20</v>
      </c>
      <c r="E294" s="71">
        <v>100</v>
      </c>
      <c r="F294" s="123" t="s">
        <v>4</v>
      </c>
      <c r="G294" s="301">
        <f t="shared" si="23"/>
        <v>33.141432358208959</v>
      </c>
      <c r="H294" s="111">
        <v>3314.1432358208958</v>
      </c>
    </row>
    <row r="295" spans="2:8" x14ac:dyDescent="0.2">
      <c r="B295" s="26" t="s">
        <v>238</v>
      </c>
      <c r="C295" s="27" t="s">
        <v>20</v>
      </c>
      <c r="D295" s="30">
        <v>24</v>
      </c>
      <c r="E295" s="71">
        <v>100</v>
      </c>
      <c r="F295" s="123" t="s">
        <v>4</v>
      </c>
      <c r="G295" s="301">
        <f t="shared" si="23"/>
        <v>53.307761194029851</v>
      </c>
      <c r="H295" s="111">
        <v>5330.7761194029854</v>
      </c>
    </row>
    <row r="296" spans="2:8" x14ac:dyDescent="0.2">
      <c r="B296" s="32"/>
      <c r="C296" s="32"/>
      <c r="D296" s="32"/>
      <c r="E296" s="35"/>
      <c r="F296" s="32"/>
      <c r="H296" s="242"/>
    </row>
    <row r="297" spans="2:8" x14ac:dyDescent="0.2">
      <c r="B297" s="46" t="s">
        <v>239</v>
      </c>
      <c r="C297" s="37"/>
      <c r="D297" s="38"/>
      <c r="E297" s="59"/>
      <c r="F297" s="40"/>
      <c r="G297" s="40"/>
      <c r="H297" s="243"/>
    </row>
    <row r="298" spans="2:8" x14ac:dyDescent="0.2">
      <c r="B298" s="26" t="s">
        <v>239</v>
      </c>
      <c r="C298" s="264" t="s">
        <v>240</v>
      </c>
      <c r="D298" s="140">
        <v>6</v>
      </c>
      <c r="E298" s="71">
        <v>200</v>
      </c>
      <c r="F298" s="123" t="s">
        <v>4</v>
      </c>
      <c r="G298" s="301">
        <f>(H298/100)</f>
        <v>10.063211288135596</v>
      </c>
      <c r="H298" s="111">
        <v>1006.3211288135597</v>
      </c>
    </row>
    <row r="299" spans="2:8" x14ac:dyDescent="0.2">
      <c r="B299" s="26" t="s">
        <v>239</v>
      </c>
      <c r="C299" s="264" t="s">
        <v>240</v>
      </c>
      <c r="D299" s="140">
        <v>7</v>
      </c>
      <c r="E299" s="71">
        <v>200</v>
      </c>
      <c r="F299" s="123" t="s">
        <v>4</v>
      </c>
      <c r="G299" s="301">
        <f t="shared" ref="G299:G307" si="24">(H299/100)</f>
        <v>13.241680627118644</v>
      </c>
      <c r="H299" s="111">
        <v>1324.1680627118644</v>
      </c>
    </row>
    <row r="300" spans="2:8" x14ac:dyDescent="0.2">
      <c r="B300" s="84" t="s">
        <v>239</v>
      </c>
      <c r="C300" s="264" t="s">
        <v>240</v>
      </c>
      <c r="D300" s="78">
        <v>8</v>
      </c>
      <c r="E300" s="107">
        <v>200</v>
      </c>
      <c r="F300" s="86" t="s">
        <v>4</v>
      </c>
      <c r="G300" s="301">
        <f t="shared" si="24"/>
        <v>21.654366330000002</v>
      </c>
      <c r="H300" s="111">
        <v>2165.4366330000003</v>
      </c>
    </row>
    <row r="301" spans="2:8" x14ac:dyDescent="0.2">
      <c r="B301" s="26" t="s">
        <v>239</v>
      </c>
      <c r="C301" s="137" t="s">
        <v>240</v>
      </c>
      <c r="D301" s="30">
        <v>9</v>
      </c>
      <c r="E301" s="71">
        <v>200</v>
      </c>
      <c r="F301" s="29" t="s">
        <v>4</v>
      </c>
      <c r="G301" s="301">
        <f t="shared" si="24"/>
        <v>22.988403380000001</v>
      </c>
      <c r="H301" s="111">
        <v>2298.840338</v>
      </c>
    </row>
    <row r="302" spans="2:8" x14ac:dyDescent="0.2">
      <c r="B302" s="26" t="s">
        <v>239</v>
      </c>
      <c r="C302" s="137" t="s">
        <v>240</v>
      </c>
      <c r="D302" s="30">
        <v>10</v>
      </c>
      <c r="E302" s="71">
        <v>200</v>
      </c>
      <c r="F302" s="29" t="s">
        <v>4</v>
      </c>
      <c r="G302" s="301">
        <f t="shared" si="24"/>
        <v>27.969282250000006</v>
      </c>
      <c r="H302" s="111">
        <v>2796.9282250000006</v>
      </c>
    </row>
    <row r="303" spans="2:8" x14ac:dyDescent="0.2">
      <c r="B303" s="26" t="s">
        <v>239</v>
      </c>
      <c r="C303" s="137" t="s">
        <v>240</v>
      </c>
      <c r="D303" s="30">
        <v>11</v>
      </c>
      <c r="E303" s="71">
        <v>200</v>
      </c>
      <c r="F303" s="29" t="s">
        <v>4</v>
      </c>
      <c r="G303" s="301">
        <f t="shared" si="24"/>
        <v>42.840750749999998</v>
      </c>
      <c r="H303" s="111">
        <v>4284.0750749999997</v>
      </c>
    </row>
    <row r="304" spans="2:8" x14ac:dyDescent="0.2">
      <c r="B304" s="26" t="s">
        <v>239</v>
      </c>
      <c r="C304" s="137" t="s">
        <v>240</v>
      </c>
      <c r="D304" s="30">
        <v>12</v>
      </c>
      <c r="E304" s="71">
        <v>200</v>
      </c>
      <c r="F304" s="29" t="s">
        <v>4</v>
      </c>
      <c r="G304" s="301">
        <f t="shared" si="24"/>
        <v>38.91764292923078</v>
      </c>
      <c r="H304" s="111">
        <v>3891.7642929230778</v>
      </c>
    </row>
    <row r="305" spans="1:8" x14ac:dyDescent="0.2">
      <c r="B305" s="26" t="s">
        <v>239</v>
      </c>
      <c r="C305" s="137" t="s">
        <v>240</v>
      </c>
      <c r="D305" s="30">
        <v>14</v>
      </c>
      <c r="E305" s="71">
        <v>100</v>
      </c>
      <c r="F305" s="29" t="s">
        <v>4</v>
      </c>
      <c r="G305" s="301">
        <f t="shared" si="24"/>
        <v>52.351776332307693</v>
      </c>
      <c r="H305" s="111">
        <v>5235.1776332307691</v>
      </c>
    </row>
    <row r="306" spans="1:8" x14ac:dyDescent="0.2">
      <c r="B306" s="26" t="s">
        <v>239</v>
      </c>
      <c r="C306" s="137" t="s">
        <v>240</v>
      </c>
      <c r="D306" s="30">
        <v>16</v>
      </c>
      <c r="E306" s="71">
        <v>100</v>
      </c>
      <c r="F306" s="29" t="s">
        <v>4</v>
      </c>
      <c r="G306" s="301">
        <f t="shared" si="24"/>
        <v>68.672399999999982</v>
      </c>
      <c r="H306" s="111">
        <v>6867.239999999998</v>
      </c>
    </row>
    <row r="307" spans="1:8" x14ac:dyDescent="0.2">
      <c r="B307" s="26" t="s">
        <v>239</v>
      </c>
      <c r="C307" s="137" t="s">
        <v>240</v>
      </c>
      <c r="D307" s="30">
        <v>18</v>
      </c>
      <c r="E307" s="71">
        <v>100</v>
      </c>
      <c r="F307" s="29" t="s">
        <v>4</v>
      </c>
      <c r="G307" s="301">
        <f t="shared" si="24"/>
        <v>85.32</v>
      </c>
      <c r="H307" s="111">
        <v>8532</v>
      </c>
    </row>
    <row r="308" spans="1:8" x14ac:dyDescent="0.2">
      <c r="B308" s="53"/>
      <c r="C308" s="51"/>
      <c r="D308" s="52"/>
      <c r="E308" s="106"/>
      <c r="F308" s="33"/>
      <c r="H308" s="244"/>
    </row>
    <row r="309" spans="1:8" x14ac:dyDescent="0.2">
      <c r="B309" s="46" t="s">
        <v>39</v>
      </c>
      <c r="C309" s="37"/>
      <c r="D309" s="38"/>
      <c r="E309" s="59"/>
      <c r="F309" s="40"/>
      <c r="G309" s="40"/>
      <c r="H309" s="243"/>
    </row>
    <row r="310" spans="1:8" x14ac:dyDescent="0.2">
      <c r="A310" s="99"/>
      <c r="B310" s="84" t="s">
        <v>39</v>
      </c>
      <c r="C310" s="136" t="s">
        <v>243</v>
      </c>
      <c r="D310" s="265">
        <v>6</v>
      </c>
      <c r="E310" s="107">
        <v>200</v>
      </c>
      <c r="F310" s="271" t="s">
        <v>4</v>
      </c>
      <c r="G310" s="301">
        <f>(H310/100)</f>
        <v>9.021524160000002</v>
      </c>
      <c r="H310" s="111">
        <v>902.15241600000024</v>
      </c>
    </row>
    <row r="311" spans="1:8" x14ac:dyDescent="0.2">
      <c r="A311" s="99"/>
      <c r="B311" s="26" t="s">
        <v>39</v>
      </c>
      <c r="C311" s="132" t="s">
        <v>243</v>
      </c>
      <c r="D311" s="140">
        <v>7</v>
      </c>
      <c r="E311" s="71">
        <v>200</v>
      </c>
      <c r="F311" s="123" t="s">
        <v>4</v>
      </c>
      <c r="G311" s="301">
        <f t="shared" ref="G311:G319" si="25">(H311/100)</f>
        <v>11.923317456000001</v>
      </c>
      <c r="H311" s="111">
        <v>1192.3317456000002</v>
      </c>
    </row>
    <row r="312" spans="1:8" x14ac:dyDescent="0.2">
      <c r="A312" s="99"/>
      <c r="B312" s="26" t="s">
        <v>39</v>
      </c>
      <c r="C312" s="132" t="s">
        <v>243</v>
      </c>
      <c r="D312" s="30">
        <v>8</v>
      </c>
      <c r="E312" s="71">
        <v>200</v>
      </c>
      <c r="F312" s="29" t="s">
        <v>4</v>
      </c>
      <c r="G312" s="301">
        <f t="shared" si="25"/>
        <v>19.578827648000008</v>
      </c>
      <c r="H312" s="111">
        <v>1957.8827648000008</v>
      </c>
    </row>
    <row r="313" spans="1:8" x14ac:dyDescent="0.2">
      <c r="A313" s="99"/>
      <c r="B313" s="26" t="s">
        <v>39</v>
      </c>
      <c r="C313" s="132" t="s">
        <v>243</v>
      </c>
      <c r="D313" s="30">
        <v>9</v>
      </c>
      <c r="E313" s="71">
        <v>200</v>
      </c>
      <c r="F313" s="29" t="s">
        <v>4</v>
      </c>
      <c r="G313" s="301">
        <f t="shared" si="25"/>
        <v>20.957248128</v>
      </c>
      <c r="H313" s="111">
        <v>2095.7248128000001</v>
      </c>
    </row>
    <row r="314" spans="1:8" x14ac:dyDescent="0.2">
      <c r="A314" s="99"/>
      <c r="B314" s="26" t="s">
        <v>39</v>
      </c>
      <c r="C314" s="132" t="s">
        <v>243</v>
      </c>
      <c r="D314" s="30">
        <v>10</v>
      </c>
      <c r="E314" s="71">
        <v>200</v>
      </c>
      <c r="F314" s="29" t="s">
        <v>4</v>
      </c>
      <c r="G314" s="301">
        <f t="shared" si="25"/>
        <v>25.221835600000006</v>
      </c>
      <c r="H314" s="111">
        <v>2522.1835600000004</v>
      </c>
    </row>
    <row r="315" spans="1:8" x14ac:dyDescent="0.2">
      <c r="A315" s="99"/>
      <c r="B315" s="26" t="s">
        <v>39</v>
      </c>
      <c r="C315" s="132" t="s">
        <v>243</v>
      </c>
      <c r="D315" s="30">
        <v>11</v>
      </c>
      <c r="E315" s="71">
        <v>200</v>
      </c>
      <c r="F315" s="123" t="s">
        <v>4</v>
      </c>
      <c r="G315" s="301">
        <f t="shared" si="25"/>
        <v>36.594346338461534</v>
      </c>
      <c r="H315" s="111">
        <v>3659.4346338461532</v>
      </c>
    </row>
    <row r="316" spans="1:8" x14ac:dyDescent="0.2">
      <c r="A316" s="99"/>
      <c r="B316" s="26" t="s">
        <v>39</v>
      </c>
      <c r="C316" s="132" t="s">
        <v>243</v>
      </c>
      <c r="D316" s="30">
        <v>12</v>
      </c>
      <c r="E316" s="71">
        <v>200</v>
      </c>
      <c r="F316" s="29" t="s">
        <v>4</v>
      </c>
      <c r="G316" s="301">
        <f t="shared" si="25"/>
        <v>38.819368704000006</v>
      </c>
      <c r="H316" s="111">
        <v>3881.9368704000008</v>
      </c>
    </row>
    <row r="317" spans="1:8" x14ac:dyDescent="0.2">
      <c r="A317" s="99"/>
      <c r="B317" s="26" t="s">
        <v>39</v>
      </c>
      <c r="C317" s="132" t="s">
        <v>243</v>
      </c>
      <c r="D317" s="30">
        <v>14</v>
      </c>
      <c r="E317" s="71">
        <v>100</v>
      </c>
      <c r="F317" s="29" t="s">
        <v>4</v>
      </c>
      <c r="G317" s="301">
        <f t="shared" si="25"/>
        <v>46.100187190588237</v>
      </c>
      <c r="H317" s="111">
        <v>4610.018719058824</v>
      </c>
    </row>
    <row r="318" spans="1:8" x14ac:dyDescent="0.2">
      <c r="A318" s="99"/>
      <c r="B318" s="26" t="s">
        <v>39</v>
      </c>
      <c r="C318" s="132" t="s">
        <v>243</v>
      </c>
      <c r="D318" s="30">
        <v>16</v>
      </c>
      <c r="E318" s="71">
        <v>100</v>
      </c>
      <c r="F318" s="29" t="s">
        <v>4</v>
      </c>
      <c r="G318" s="301">
        <f t="shared" si="25"/>
        <v>60.002752941176468</v>
      </c>
      <c r="H318" s="111">
        <v>6000.2752941176468</v>
      </c>
    </row>
    <row r="319" spans="1:8" x14ac:dyDescent="0.2">
      <c r="A319" s="99"/>
      <c r="B319" s="26" t="s">
        <v>39</v>
      </c>
      <c r="C319" s="132" t="s">
        <v>243</v>
      </c>
      <c r="D319" s="30">
        <v>18</v>
      </c>
      <c r="E319" s="71">
        <v>100</v>
      </c>
      <c r="F319" s="29" t="s">
        <v>4</v>
      </c>
      <c r="G319" s="301">
        <f t="shared" si="25"/>
        <v>74.11301470588235</v>
      </c>
      <c r="H319" s="111">
        <v>7411.3014705882351</v>
      </c>
    </row>
    <row r="320" spans="1:8" x14ac:dyDescent="0.2">
      <c r="B320" s="53"/>
      <c r="C320" s="51"/>
      <c r="D320" s="52"/>
      <c r="E320" s="106"/>
      <c r="F320" s="33"/>
      <c r="H320" s="244"/>
    </row>
    <row r="321" spans="1:8" x14ac:dyDescent="0.2">
      <c r="B321" s="46" t="s">
        <v>38</v>
      </c>
      <c r="C321" s="37"/>
      <c r="D321" s="38"/>
      <c r="E321" s="59"/>
      <c r="F321" s="40"/>
      <c r="G321" s="40"/>
      <c r="H321" s="243"/>
    </row>
    <row r="322" spans="1:8" x14ac:dyDescent="0.2">
      <c r="A322" s="99"/>
      <c r="B322" s="84" t="s">
        <v>38</v>
      </c>
      <c r="C322" s="264" t="s">
        <v>242</v>
      </c>
      <c r="D322" s="78">
        <v>8</v>
      </c>
      <c r="E322" s="107">
        <v>200</v>
      </c>
      <c r="F322" s="86" t="s">
        <v>4</v>
      </c>
      <c r="G322" s="301">
        <f>(H322/100)</f>
        <v>36.160530000000008</v>
      </c>
      <c r="H322" s="112">
        <v>3616.0530000000008</v>
      </c>
    </row>
    <row r="323" spans="1:8" x14ac:dyDescent="0.2">
      <c r="A323" s="99"/>
      <c r="B323" s="26" t="s">
        <v>38</v>
      </c>
      <c r="C323" s="137" t="s">
        <v>242</v>
      </c>
      <c r="D323" s="30">
        <v>9</v>
      </c>
      <c r="E323" s="71">
        <v>200</v>
      </c>
      <c r="F323" s="29" t="s">
        <v>4</v>
      </c>
      <c r="G323" s="301">
        <f t="shared" ref="G323:G329" si="26">(H323/100)</f>
        <v>41.330680000000008</v>
      </c>
      <c r="H323" s="111">
        <v>4133.0680000000011</v>
      </c>
    </row>
    <row r="324" spans="1:8" x14ac:dyDescent="0.2">
      <c r="A324" s="99"/>
      <c r="B324" s="26" t="s">
        <v>38</v>
      </c>
      <c r="C324" s="137" t="s">
        <v>242</v>
      </c>
      <c r="D324" s="30">
        <v>10</v>
      </c>
      <c r="E324" s="71">
        <v>200</v>
      </c>
      <c r="F324" s="29" t="s">
        <v>4</v>
      </c>
      <c r="G324" s="301">
        <f t="shared" si="26"/>
        <v>48.124280000000006</v>
      </c>
      <c r="H324" s="111">
        <v>4812.4280000000008</v>
      </c>
    </row>
    <row r="325" spans="1:8" x14ac:dyDescent="0.2">
      <c r="A325" s="99"/>
      <c r="B325" s="26" t="s">
        <v>38</v>
      </c>
      <c r="C325" s="137" t="s">
        <v>242</v>
      </c>
      <c r="D325" s="30">
        <v>12</v>
      </c>
      <c r="E325" s="71">
        <v>200</v>
      </c>
      <c r="F325" s="29" t="s">
        <v>4</v>
      </c>
      <c r="G325" s="301">
        <f t="shared" si="26"/>
        <v>65.521661538461544</v>
      </c>
      <c r="H325" s="111">
        <v>6552.166153846154</v>
      </c>
    </row>
    <row r="326" spans="1:8" x14ac:dyDescent="0.2">
      <c r="A326" s="99"/>
      <c r="B326" s="26" t="s">
        <v>38</v>
      </c>
      <c r="C326" s="137" t="s">
        <v>242</v>
      </c>
      <c r="D326" s="30">
        <v>13</v>
      </c>
      <c r="E326" s="71">
        <v>100</v>
      </c>
      <c r="F326" s="29" t="s">
        <v>4</v>
      </c>
      <c r="G326" s="301">
        <f t="shared" si="26"/>
        <v>76.441938461538456</v>
      </c>
      <c r="H326" s="111">
        <v>7644.1938461538457</v>
      </c>
    </row>
    <row r="327" spans="1:8" ht="11.25" customHeight="1" x14ac:dyDescent="0.2">
      <c r="A327" s="99"/>
      <c r="B327" s="26" t="s">
        <v>38</v>
      </c>
      <c r="C327" s="137" t="s">
        <v>242</v>
      </c>
      <c r="D327" s="30">
        <v>14</v>
      </c>
      <c r="E327" s="71">
        <v>100</v>
      </c>
      <c r="F327" s="29" t="s">
        <v>4</v>
      </c>
      <c r="G327" s="301">
        <f t="shared" si="26"/>
        <v>85.465523076923105</v>
      </c>
      <c r="H327" s="111">
        <v>8546.5523076923109</v>
      </c>
    </row>
    <row r="328" spans="1:8" x14ac:dyDescent="0.2">
      <c r="A328" s="99"/>
      <c r="B328" s="26" t="s">
        <v>38</v>
      </c>
      <c r="C328" s="137" t="s">
        <v>242</v>
      </c>
      <c r="D328" s="30">
        <v>16</v>
      </c>
      <c r="E328" s="71">
        <v>100</v>
      </c>
      <c r="F328" s="29" t="s">
        <v>4</v>
      </c>
      <c r="G328" s="301">
        <f t="shared" si="26"/>
        <v>108.86289230769231</v>
      </c>
      <c r="H328" s="111">
        <v>10886.289230769231</v>
      </c>
    </row>
    <row r="329" spans="1:8" x14ac:dyDescent="0.2">
      <c r="A329" s="99"/>
      <c r="B329" s="26" t="s">
        <v>38</v>
      </c>
      <c r="C329" s="137" t="s">
        <v>242</v>
      </c>
      <c r="D329" s="30">
        <v>18</v>
      </c>
      <c r="E329" s="71">
        <v>100</v>
      </c>
      <c r="F329" s="29" t="s">
        <v>4</v>
      </c>
      <c r="G329" s="301">
        <f t="shared" si="26"/>
        <v>137.26190769230769</v>
      </c>
      <c r="H329" s="111">
        <v>13726.190769230769</v>
      </c>
    </row>
    <row r="330" spans="1:8" x14ac:dyDescent="0.2">
      <c r="B330" s="53"/>
      <c r="C330" s="51"/>
      <c r="D330" s="52"/>
      <c r="E330" s="106"/>
      <c r="F330" s="33"/>
      <c r="H330" s="244"/>
    </row>
    <row r="331" spans="1:8" x14ac:dyDescent="0.2">
      <c r="B331" s="46" t="s">
        <v>50</v>
      </c>
      <c r="C331" s="47"/>
      <c r="D331" s="48"/>
      <c r="E331" s="64"/>
      <c r="F331" s="64"/>
      <c r="G331" s="64"/>
      <c r="H331" s="243"/>
    </row>
    <row r="332" spans="1:8" x14ac:dyDescent="0.2">
      <c r="B332" s="84" t="s">
        <v>50</v>
      </c>
      <c r="C332" s="85" t="s">
        <v>7</v>
      </c>
      <c r="D332" s="78">
        <v>3</v>
      </c>
      <c r="E332" s="107">
        <v>200</v>
      </c>
      <c r="F332" s="86" t="s">
        <v>4</v>
      </c>
      <c r="G332" s="301">
        <f>(H332/100)</f>
        <v>1.4130491803278686</v>
      </c>
      <c r="H332" s="112">
        <v>141.30491803278687</v>
      </c>
    </row>
    <row r="333" spans="1:8" x14ac:dyDescent="0.2">
      <c r="B333" s="84" t="s">
        <v>50</v>
      </c>
      <c r="C333" s="27" t="s">
        <v>7</v>
      </c>
      <c r="D333" s="30">
        <v>4</v>
      </c>
      <c r="E333" s="71">
        <v>200</v>
      </c>
      <c r="F333" s="29" t="s">
        <v>4</v>
      </c>
      <c r="G333" s="301">
        <f t="shared" ref="G333:G339" si="27">(H333/100)</f>
        <v>2.159117647058824</v>
      </c>
      <c r="H333" s="111">
        <v>215.9117647058824</v>
      </c>
    </row>
    <row r="334" spans="1:8" x14ac:dyDescent="0.2">
      <c r="B334" s="84" t="s">
        <v>50</v>
      </c>
      <c r="C334" s="27" t="s">
        <v>7</v>
      </c>
      <c r="D334" s="30">
        <v>5</v>
      </c>
      <c r="E334" s="71">
        <v>200</v>
      </c>
      <c r="F334" s="29" t="s">
        <v>4</v>
      </c>
      <c r="G334" s="301">
        <f t="shared" si="27"/>
        <v>4.1571147540983606</v>
      </c>
      <c r="H334" s="111">
        <v>415.71147540983605</v>
      </c>
    </row>
    <row r="335" spans="1:8" x14ac:dyDescent="0.2">
      <c r="B335" s="84" t="s">
        <v>50</v>
      </c>
      <c r="C335" s="27" t="s">
        <v>7</v>
      </c>
      <c r="D335" s="30">
        <v>6</v>
      </c>
      <c r="E335" s="71">
        <v>200</v>
      </c>
      <c r="F335" s="29" t="s">
        <v>4</v>
      </c>
      <c r="G335" s="301">
        <f t="shared" si="27"/>
        <v>5.449337704918034</v>
      </c>
      <c r="H335" s="111">
        <v>544.93377049180344</v>
      </c>
    </row>
    <row r="336" spans="1:8" x14ac:dyDescent="0.2">
      <c r="B336" s="84" t="s">
        <v>50</v>
      </c>
      <c r="C336" s="27" t="s">
        <v>7</v>
      </c>
      <c r="D336" s="30">
        <v>7</v>
      </c>
      <c r="E336" s="71">
        <v>200</v>
      </c>
      <c r="F336" s="29" t="s">
        <v>4</v>
      </c>
      <c r="G336" s="301">
        <f t="shared" si="27"/>
        <v>6.8116721311475423</v>
      </c>
      <c r="H336" s="111">
        <v>681.16721311475419</v>
      </c>
    </row>
    <row r="337" spans="2:8" x14ac:dyDescent="0.2">
      <c r="B337" s="84" t="s">
        <v>50</v>
      </c>
      <c r="C337" s="27" t="s">
        <v>7</v>
      </c>
      <c r="D337" s="30">
        <v>8</v>
      </c>
      <c r="E337" s="71">
        <v>200</v>
      </c>
      <c r="F337" s="29" t="s">
        <v>4</v>
      </c>
      <c r="G337" s="301">
        <f t="shared" si="27"/>
        <v>9.0302950819672123</v>
      </c>
      <c r="H337" s="111">
        <v>903.02950819672128</v>
      </c>
    </row>
    <row r="338" spans="2:8" x14ac:dyDescent="0.2">
      <c r="B338" s="84" t="s">
        <v>50</v>
      </c>
      <c r="C338" s="27" t="s">
        <v>7</v>
      </c>
      <c r="D338" s="30">
        <v>9</v>
      </c>
      <c r="E338" s="71">
        <v>200</v>
      </c>
      <c r="F338" s="29" t="s">
        <v>4</v>
      </c>
      <c r="G338" s="301">
        <f t="shared" si="27"/>
        <v>12.519272727272726</v>
      </c>
      <c r="H338" s="111">
        <v>1251.9272727272726</v>
      </c>
    </row>
    <row r="339" spans="2:8" x14ac:dyDescent="0.2">
      <c r="B339" s="84" t="s">
        <v>50</v>
      </c>
      <c r="C339" s="27" t="s">
        <v>7</v>
      </c>
      <c r="D339" s="30">
        <v>10</v>
      </c>
      <c r="E339" s="71">
        <v>200</v>
      </c>
      <c r="F339" s="29" t="s">
        <v>4</v>
      </c>
      <c r="G339" s="301">
        <f t="shared" si="27"/>
        <v>15.523898181818181</v>
      </c>
      <c r="H339" s="111">
        <v>1552.3898181818181</v>
      </c>
    </row>
    <row r="340" spans="2:8" x14ac:dyDescent="0.2">
      <c r="B340" s="32"/>
      <c r="C340" s="32"/>
      <c r="D340" s="34"/>
      <c r="E340" s="35"/>
      <c r="F340" s="35"/>
      <c r="H340" s="242"/>
    </row>
    <row r="341" spans="2:8" x14ac:dyDescent="0.2">
      <c r="B341" s="46" t="s">
        <v>111</v>
      </c>
      <c r="C341" s="215"/>
      <c r="D341" s="216"/>
      <c r="E341" s="217"/>
      <c r="F341" s="49"/>
      <c r="G341" s="49"/>
      <c r="H341" s="243"/>
    </row>
    <row r="342" spans="2:8" x14ac:dyDescent="0.2">
      <c r="B342" s="84" t="s">
        <v>111</v>
      </c>
      <c r="C342" s="85" t="s">
        <v>19</v>
      </c>
      <c r="D342" s="78">
        <v>6</v>
      </c>
      <c r="E342" s="107">
        <v>100</v>
      </c>
      <c r="F342" s="271" t="s">
        <v>4</v>
      </c>
      <c r="G342" s="301">
        <f>(H342/100)</f>
        <v>2.7406315789473696</v>
      </c>
      <c r="H342" s="112">
        <v>274.06315789473695</v>
      </c>
    </row>
    <row r="343" spans="2:8" x14ac:dyDescent="0.2">
      <c r="B343" s="26" t="s">
        <v>111</v>
      </c>
      <c r="C343" s="27" t="s">
        <v>19</v>
      </c>
      <c r="D343" s="30">
        <v>8</v>
      </c>
      <c r="E343" s="71">
        <v>100</v>
      </c>
      <c r="F343" s="123" t="s">
        <v>4</v>
      </c>
      <c r="G343" s="301">
        <f t="shared" ref="G343:G346" si="28">(H343/100)</f>
        <v>6.4345263157894745</v>
      </c>
      <c r="H343" s="111">
        <v>643.45263157894749</v>
      </c>
    </row>
    <row r="344" spans="2:8" x14ac:dyDescent="0.2">
      <c r="B344" s="26" t="s">
        <v>111</v>
      </c>
      <c r="C344" s="27" t="s">
        <v>19</v>
      </c>
      <c r="D344" s="30">
        <v>9</v>
      </c>
      <c r="E344" s="71">
        <v>100</v>
      </c>
      <c r="F344" s="123" t="s">
        <v>4</v>
      </c>
      <c r="G344" s="301">
        <f t="shared" si="28"/>
        <v>7.1574000000000009</v>
      </c>
      <c r="H344" s="111">
        <v>715.74000000000012</v>
      </c>
    </row>
    <row r="345" spans="2:8" x14ac:dyDescent="0.2">
      <c r="B345" s="26" t="s">
        <v>111</v>
      </c>
      <c r="C345" s="27" t="s">
        <v>19</v>
      </c>
      <c r="D345" s="30">
        <v>10</v>
      </c>
      <c r="E345" s="71">
        <v>100</v>
      </c>
      <c r="F345" s="123" t="s">
        <v>4</v>
      </c>
      <c r="G345" s="301">
        <f t="shared" si="28"/>
        <v>8.9368421052631621</v>
      </c>
      <c r="H345" s="111">
        <v>893.68421052631618</v>
      </c>
    </row>
    <row r="346" spans="2:8" x14ac:dyDescent="0.2">
      <c r="B346" s="26" t="s">
        <v>111</v>
      </c>
      <c r="C346" s="27" t="s">
        <v>19</v>
      </c>
      <c r="D346" s="30">
        <v>12</v>
      </c>
      <c r="E346" s="71">
        <v>100</v>
      </c>
      <c r="F346" s="123" t="s">
        <v>4</v>
      </c>
      <c r="G346" s="301">
        <f t="shared" si="28"/>
        <v>12.600609230769232</v>
      </c>
      <c r="H346" s="111">
        <v>1260.0609230769232</v>
      </c>
    </row>
    <row r="347" spans="2:8" x14ac:dyDescent="0.2">
      <c r="B347" s="53"/>
      <c r="C347" s="212"/>
      <c r="D347" s="213"/>
      <c r="E347" s="214"/>
      <c r="F347" s="33"/>
      <c r="H347" s="240"/>
    </row>
    <row r="348" spans="2:8" x14ac:dyDescent="0.2">
      <c r="B348" s="46" t="s">
        <v>172</v>
      </c>
      <c r="C348" s="215"/>
      <c r="D348" s="216"/>
      <c r="E348" s="217"/>
      <c r="F348" s="49"/>
      <c r="G348" s="49"/>
      <c r="H348" s="243"/>
    </row>
    <row r="349" spans="2:8" x14ac:dyDescent="0.2">
      <c r="B349" s="84" t="s">
        <v>172</v>
      </c>
      <c r="C349" s="85" t="s">
        <v>19</v>
      </c>
      <c r="D349" s="78">
        <v>6</v>
      </c>
      <c r="E349" s="107">
        <v>100</v>
      </c>
      <c r="F349" s="271" t="s">
        <v>4</v>
      </c>
      <c r="G349" s="301">
        <f>(H349/100)</f>
        <v>2.9982315789473692</v>
      </c>
      <c r="H349" s="112">
        <v>299.82315789473694</v>
      </c>
    </row>
    <row r="350" spans="2:8" x14ac:dyDescent="0.2">
      <c r="B350" s="26" t="s">
        <v>172</v>
      </c>
      <c r="C350" s="27" t="s">
        <v>19</v>
      </c>
      <c r="D350" s="30">
        <v>8</v>
      </c>
      <c r="E350" s="71">
        <v>100</v>
      </c>
      <c r="F350" s="123" t="s">
        <v>4</v>
      </c>
      <c r="G350" s="301">
        <f t="shared" ref="G350:G353" si="29">(H350/100)</f>
        <v>7.0393263157894763</v>
      </c>
      <c r="H350" s="111">
        <v>703.93263157894762</v>
      </c>
    </row>
    <row r="351" spans="2:8" x14ac:dyDescent="0.2">
      <c r="B351" s="26" t="s">
        <v>172</v>
      </c>
      <c r="C351" s="27" t="s">
        <v>19</v>
      </c>
      <c r="D351" s="30">
        <v>9</v>
      </c>
      <c r="E351" s="71">
        <v>100</v>
      </c>
      <c r="F351" s="123" t="s">
        <v>4</v>
      </c>
      <c r="G351" s="301">
        <f t="shared" si="29"/>
        <v>7.7616000000000005</v>
      </c>
      <c r="H351" s="111">
        <v>776.16000000000008</v>
      </c>
    </row>
    <row r="352" spans="2:8" x14ac:dyDescent="0.2">
      <c r="B352" s="26" t="s">
        <v>172</v>
      </c>
      <c r="C352" s="27" t="s">
        <v>19</v>
      </c>
      <c r="D352" s="30">
        <v>10</v>
      </c>
      <c r="E352" s="71">
        <v>100</v>
      </c>
      <c r="F352" s="123" t="s">
        <v>4</v>
      </c>
      <c r="G352" s="301">
        <f t="shared" si="29"/>
        <v>9.776842105263162</v>
      </c>
      <c r="H352" s="111">
        <v>977.68421052631618</v>
      </c>
    </row>
    <row r="353" spans="1:8" x14ac:dyDescent="0.2">
      <c r="B353" s="26" t="s">
        <v>172</v>
      </c>
      <c r="C353" s="27" t="s">
        <v>19</v>
      </c>
      <c r="D353" s="30">
        <v>12</v>
      </c>
      <c r="E353" s="71">
        <v>100</v>
      </c>
      <c r="F353" s="123" t="s">
        <v>4</v>
      </c>
      <c r="G353" s="301">
        <f t="shared" si="29"/>
        <v>13.968000000000004</v>
      </c>
      <c r="H353" s="111">
        <v>1396.8000000000004</v>
      </c>
    </row>
    <row r="354" spans="1:8" x14ac:dyDescent="0.2">
      <c r="A354" s="210"/>
      <c r="B354" s="53"/>
      <c r="C354" s="51"/>
      <c r="D354" s="52"/>
      <c r="E354" s="106"/>
      <c r="F354" s="169"/>
      <c r="H354" s="244"/>
    </row>
    <row r="355" spans="1:8" x14ac:dyDescent="0.2">
      <c r="B355" s="46" t="s">
        <v>244</v>
      </c>
      <c r="C355" s="37"/>
      <c r="D355" s="38"/>
      <c r="E355" s="59"/>
      <c r="F355" s="40"/>
      <c r="G355" s="40"/>
      <c r="H355" s="243"/>
    </row>
    <row r="356" spans="1:8" x14ac:dyDescent="0.2">
      <c r="B356" s="84" t="s">
        <v>244</v>
      </c>
      <c r="C356" s="85" t="s">
        <v>8</v>
      </c>
      <c r="D356" s="78">
        <v>8</v>
      </c>
      <c r="E356" s="107">
        <v>200</v>
      </c>
      <c r="F356" s="86" t="s">
        <v>4</v>
      </c>
      <c r="G356" s="301">
        <f>(H356/100)</f>
        <v>9.1118434736842104</v>
      </c>
      <c r="H356" s="112">
        <v>911.18434736842107</v>
      </c>
    </row>
    <row r="357" spans="1:8" x14ac:dyDescent="0.2">
      <c r="B357" s="26" t="s">
        <v>244</v>
      </c>
      <c r="C357" s="27" t="s">
        <v>8</v>
      </c>
      <c r="D357" s="30">
        <v>9</v>
      </c>
      <c r="E357" s="71">
        <v>200</v>
      </c>
      <c r="F357" s="29" t="s">
        <v>4</v>
      </c>
      <c r="G357" s="301">
        <f t="shared" ref="G357:G359" si="30">(H357/100)</f>
        <v>9.584520000000003</v>
      </c>
      <c r="H357" s="111">
        <v>958.45200000000034</v>
      </c>
    </row>
    <row r="358" spans="1:8" x14ac:dyDescent="0.2">
      <c r="B358" s="26" t="s">
        <v>244</v>
      </c>
      <c r="C358" s="27" t="s">
        <v>8</v>
      </c>
      <c r="D358" s="30">
        <v>10</v>
      </c>
      <c r="E358" s="71">
        <v>200</v>
      </c>
      <c r="F358" s="29" t="s">
        <v>4</v>
      </c>
      <c r="G358" s="301">
        <f t="shared" si="30"/>
        <v>12.315116526315792</v>
      </c>
      <c r="H358" s="111">
        <v>1231.5116526315792</v>
      </c>
    </row>
    <row r="359" spans="1:8" x14ac:dyDescent="0.2">
      <c r="B359" s="26" t="s">
        <v>244</v>
      </c>
      <c r="C359" s="27" t="s">
        <v>8</v>
      </c>
      <c r="D359" s="30">
        <v>12</v>
      </c>
      <c r="E359" s="71">
        <v>200</v>
      </c>
      <c r="F359" s="29" t="s">
        <v>4</v>
      </c>
      <c r="G359" s="301">
        <f t="shared" si="30"/>
        <v>16.591883483076924</v>
      </c>
      <c r="H359" s="111">
        <v>1659.1883483076924</v>
      </c>
    </row>
    <row r="360" spans="1:8" x14ac:dyDescent="0.2">
      <c r="B360" s="32"/>
      <c r="C360" s="32"/>
      <c r="D360" s="32"/>
      <c r="E360" s="35"/>
      <c r="F360" s="32"/>
      <c r="H360" s="242"/>
    </row>
    <row r="361" spans="1:8" x14ac:dyDescent="0.2">
      <c r="A361" s="167"/>
      <c r="B361" s="46" t="s">
        <v>245</v>
      </c>
      <c r="C361" s="37"/>
      <c r="D361" s="38"/>
      <c r="E361" s="59"/>
      <c r="F361" s="40"/>
      <c r="G361" s="40"/>
      <c r="H361" s="243"/>
    </row>
    <row r="362" spans="1:8" ht="13.5" customHeight="1" x14ac:dyDescent="0.2">
      <c r="A362" s="167"/>
      <c r="B362" s="84" t="s">
        <v>245</v>
      </c>
      <c r="C362" s="136" t="s">
        <v>241</v>
      </c>
      <c r="D362" s="78">
        <v>6</v>
      </c>
      <c r="E362" s="107">
        <v>200</v>
      </c>
      <c r="F362" s="86" t="s">
        <v>4</v>
      </c>
      <c r="G362" s="301">
        <f>(H362/100)</f>
        <v>4.2436694736842107</v>
      </c>
      <c r="H362" s="112">
        <v>424.36694736842105</v>
      </c>
    </row>
    <row r="363" spans="1:8" ht="13.5" customHeight="1" x14ac:dyDescent="0.2">
      <c r="A363" s="167"/>
      <c r="B363" s="26" t="s">
        <v>245</v>
      </c>
      <c r="C363" s="132" t="s">
        <v>241</v>
      </c>
      <c r="D363" s="30">
        <v>7</v>
      </c>
      <c r="E363" s="71">
        <v>200</v>
      </c>
      <c r="F363" s="29" t="s">
        <v>4</v>
      </c>
      <c r="G363" s="301">
        <f t="shared" ref="G363:G367" si="31">(H363/100)</f>
        <v>6.5355131578947381</v>
      </c>
      <c r="H363" s="111">
        <v>653.55131578947385</v>
      </c>
    </row>
    <row r="364" spans="1:8" ht="13.5" customHeight="1" x14ac:dyDescent="0.2">
      <c r="A364" s="167"/>
      <c r="B364" s="26" t="s">
        <v>245</v>
      </c>
      <c r="C364" s="132" t="s">
        <v>241</v>
      </c>
      <c r="D364" s="30">
        <v>8</v>
      </c>
      <c r="E364" s="71">
        <v>200</v>
      </c>
      <c r="F364" s="29" t="s">
        <v>4</v>
      </c>
      <c r="G364" s="301">
        <f t="shared" si="31"/>
        <v>9.849116160000003</v>
      </c>
      <c r="H364" s="111">
        <v>984.91161600000032</v>
      </c>
    </row>
    <row r="365" spans="1:8" ht="13.5" customHeight="1" x14ac:dyDescent="0.2">
      <c r="A365" s="167"/>
      <c r="B365" s="26" t="s">
        <v>245</v>
      </c>
      <c r="C365" s="132" t="s">
        <v>241</v>
      </c>
      <c r="D365" s="30">
        <v>9</v>
      </c>
      <c r="E365" s="71">
        <v>200</v>
      </c>
      <c r="F365" s="29" t="s">
        <v>4</v>
      </c>
      <c r="G365" s="301">
        <f t="shared" si="31"/>
        <v>10.521548760000003</v>
      </c>
      <c r="H365" s="111">
        <v>1052.1548760000003</v>
      </c>
    </row>
    <row r="366" spans="1:8" ht="13.5" customHeight="1" x14ac:dyDescent="0.2">
      <c r="A366" s="167"/>
      <c r="B366" s="26" t="s">
        <v>245</v>
      </c>
      <c r="C366" s="132" t="s">
        <v>241</v>
      </c>
      <c r="D366" s="30">
        <v>10</v>
      </c>
      <c r="E366" s="71">
        <v>200</v>
      </c>
      <c r="F366" s="29" t="s">
        <v>4</v>
      </c>
      <c r="G366" s="301">
        <f t="shared" si="31"/>
        <v>13.561840578947372</v>
      </c>
      <c r="H366" s="111">
        <v>1356.1840578947372</v>
      </c>
    </row>
    <row r="367" spans="1:8" ht="13.5" customHeight="1" x14ac:dyDescent="0.2">
      <c r="A367" s="167"/>
      <c r="B367" s="26" t="s">
        <v>245</v>
      </c>
      <c r="C367" s="132" t="s">
        <v>241</v>
      </c>
      <c r="D367" s="30">
        <v>12</v>
      </c>
      <c r="E367" s="71">
        <v>200</v>
      </c>
      <c r="F367" s="29" t="s">
        <v>4</v>
      </c>
      <c r="G367" s="301">
        <f t="shared" si="31"/>
        <v>17.217609230769231</v>
      </c>
      <c r="H367" s="111">
        <v>1721.7609230769231</v>
      </c>
    </row>
    <row r="368" spans="1:8" x14ac:dyDescent="0.2">
      <c r="A368" s="210"/>
      <c r="B368" s="32"/>
      <c r="C368" s="32"/>
      <c r="D368" s="32"/>
      <c r="E368" s="35"/>
      <c r="F368" s="32"/>
      <c r="H368" s="242"/>
    </row>
    <row r="369" spans="1:8" x14ac:dyDescent="0.2">
      <c r="A369" s="167"/>
      <c r="B369" s="46" t="s">
        <v>266</v>
      </c>
      <c r="C369" s="37"/>
      <c r="D369" s="38"/>
      <c r="E369" s="59"/>
      <c r="F369" s="40"/>
      <c r="G369" s="40"/>
      <c r="H369" s="243"/>
    </row>
    <row r="370" spans="1:8" ht="13.5" customHeight="1" x14ac:dyDescent="0.2">
      <c r="A370" s="167"/>
      <c r="B370" s="84" t="s">
        <v>266</v>
      </c>
      <c r="C370" s="136" t="s">
        <v>20</v>
      </c>
      <c r="D370" s="78">
        <v>6</v>
      </c>
      <c r="E370" s="107">
        <v>200</v>
      </c>
      <c r="F370" s="86" t="s">
        <v>4</v>
      </c>
      <c r="G370" s="301">
        <f>(H370/100)</f>
        <v>3.4716978461538481</v>
      </c>
      <c r="H370" s="112">
        <v>347.1697846153848</v>
      </c>
    </row>
    <row r="371" spans="1:8" ht="13.5" customHeight="1" x14ac:dyDescent="0.2">
      <c r="A371" s="167"/>
      <c r="B371" s="84" t="s">
        <v>266</v>
      </c>
      <c r="C371" s="136" t="s">
        <v>20</v>
      </c>
      <c r="D371" s="30">
        <v>7</v>
      </c>
      <c r="E371" s="71">
        <v>200</v>
      </c>
      <c r="F371" s="29" t="s">
        <v>4</v>
      </c>
      <c r="G371" s="301">
        <f t="shared" ref="G371:G375" si="32">(H371/100)</f>
        <v>5.73114230769231</v>
      </c>
      <c r="H371" s="111">
        <v>573.11423076923097</v>
      </c>
    </row>
    <row r="372" spans="1:8" ht="13.5" customHeight="1" x14ac:dyDescent="0.2">
      <c r="A372" s="167"/>
      <c r="B372" s="84" t="s">
        <v>266</v>
      </c>
      <c r="C372" s="136" t="s">
        <v>20</v>
      </c>
      <c r="D372" s="30">
        <v>8</v>
      </c>
      <c r="E372" s="71">
        <v>200</v>
      </c>
      <c r="F372" s="29" t="s">
        <v>4</v>
      </c>
      <c r="G372" s="301">
        <f t="shared" si="32"/>
        <v>8.6369172480000014</v>
      </c>
      <c r="H372" s="111">
        <v>863.69172480000009</v>
      </c>
    </row>
    <row r="373" spans="1:8" ht="13.5" customHeight="1" x14ac:dyDescent="0.2">
      <c r="A373" s="167"/>
      <c r="B373" s="84" t="s">
        <v>266</v>
      </c>
      <c r="C373" s="136" t="s">
        <v>20</v>
      </c>
      <c r="D373" s="30">
        <v>9</v>
      </c>
      <c r="E373" s="71">
        <v>200</v>
      </c>
      <c r="F373" s="29" t="s">
        <v>4</v>
      </c>
      <c r="G373" s="301">
        <f t="shared" si="32"/>
        <v>9.2265889126153855</v>
      </c>
      <c r="H373" s="111">
        <v>922.65889126153854</v>
      </c>
    </row>
    <row r="374" spans="1:8" ht="13.5" customHeight="1" x14ac:dyDescent="0.2">
      <c r="A374" s="167"/>
      <c r="B374" s="84" t="s">
        <v>266</v>
      </c>
      <c r="C374" s="136" t="s">
        <v>20</v>
      </c>
      <c r="D374" s="30">
        <v>10</v>
      </c>
      <c r="E374" s="71">
        <v>200</v>
      </c>
      <c r="F374" s="29" t="s">
        <v>4</v>
      </c>
      <c r="G374" s="301">
        <f t="shared" si="32"/>
        <v>13.561840578947372</v>
      </c>
      <c r="H374" s="111">
        <v>1356.1840578947372</v>
      </c>
    </row>
    <row r="375" spans="1:8" ht="13.5" customHeight="1" x14ac:dyDescent="0.2">
      <c r="A375" s="167"/>
      <c r="B375" s="84" t="s">
        <v>266</v>
      </c>
      <c r="C375" s="136" t="s">
        <v>20</v>
      </c>
      <c r="D375" s="30">
        <v>12</v>
      </c>
      <c r="E375" s="71">
        <v>200</v>
      </c>
      <c r="F375" s="29" t="s">
        <v>4</v>
      </c>
      <c r="G375" s="301">
        <f t="shared" si="32"/>
        <v>19.634115789473686</v>
      </c>
      <c r="H375" s="111">
        <v>1963.4115789473685</v>
      </c>
    </row>
    <row r="376" spans="1:8" x14ac:dyDescent="0.2">
      <c r="A376" s="210"/>
      <c r="B376" s="32"/>
      <c r="C376" s="32"/>
      <c r="D376" s="32"/>
      <c r="E376" s="35"/>
      <c r="F376" s="32"/>
      <c r="H376" s="242"/>
    </row>
    <row r="377" spans="1:8" x14ac:dyDescent="0.2">
      <c r="A377" s="167"/>
      <c r="B377" s="46" t="s">
        <v>246</v>
      </c>
      <c r="C377" s="37"/>
      <c r="D377" s="38"/>
      <c r="E377" s="59"/>
      <c r="F377" s="40"/>
      <c r="G377" s="40"/>
      <c r="H377" s="243"/>
    </row>
    <row r="378" spans="1:8" ht="13.5" customHeight="1" x14ac:dyDescent="0.2">
      <c r="A378" s="167"/>
      <c r="B378" s="84" t="s">
        <v>246</v>
      </c>
      <c r="C378" s="264" t="s">
        <v>240</v>
      </c>
      <c r="D378" s="78">
        <v>8</v>
      </c>
      <c r="E378" s="107">
        <v>200</v>
      </c>
      <c r="F378" s="86" t="s">
        <v>4</v>
      </c>
      <c r="G378" s="301">
        <f>(H378/100)</f>
        <v>19.195751999999995</v>
      </c>
      <c r="H378" s="112">
        <v>1919.5751999999995</v>
      </c>
    </row>
    <row r="379" spans="1:8" ht="13.5" customHeight="1" x14ac:dyDescent="0.2">
      <c r="A379" s="167"/>
      <c r="B379" s="26" t="s">
        <v>246</v>
      </c>
      <c r="C379" s="137" t="s">
        <v>240</v>
      </c>
      <c r="D379" s="30">
        <v>9</v>
      </c>
      <c r="E379" s="71">
        <v>200</v>
      </c>
      <c r="F379" s="29" t="s">
        <v>4</v>
      </c>
      <c r="G379" s="301">
        <f t="shared" ref="G379:G381" si="33">(H379/100)</f>
        <v>20.698979076923077</v>
      </c>
      <c r="H379" s="111">
        <v>2069.8979076923079</v>
      </c>
    </row>
    <row r="380" spans="1:8" ht="13.5" customHeight="1" x14ac:dyDescent="0.2">
      <c r="A380" s="167"/>
      <c r="B380" s="26" t="s">
        <v>246</v>
      </c>
      <c r="C380" s="137" t="s">
        <v>240</v>
      </c>
      <c r="D380" s="30">
        <v>10</v>
      </c>
      <c r="E380" s="71">
        <v>200</v>
      </c>
      <c r="F380" s="29" t="s">
        <v>4</v>
      </c>
      <c r="G380" s="301">
        <f t="shared" si="33"/>
        <v>29.017050000000005</v>
      </c>
      <c r="H380" s="111">
        <v>2901.7050000000004</v>
      </c>
    </row>
    <row r="381" spans="1:8" ht="13.5" customHeight="1" x14ac:dyDescent="0.2">
      <c r="A381" s="167"/>
      <c r="B381" s="26" t="s">
        <v>246</v>
      </c>
      <c r="C381" s="137" t="s">
        <v>240</v>
      </c>
      <c r="D381" s="30">
        <v>12</v>
      </c>
      <c r="E381" s="71">
        <v>200</v>
      </c>
      <c r="F381" s="29" t="s">
        <v>4</v>
      </c>
      <c r="G381" s="301">
        <f t="shared" si="33"/>
        <v>38.754865000000009</v>
      </c>
      <c r="H381" s="111">
        <v>3875.4865000000009</v>
      </c>
    </row>
    <row r="382" spans="1:8" x14ac:dyDescent="0.2">
      <c r="B382" s="32"/>
      <c r="C382" s="32"/>
      <c r="D382" s="34"/>
      <c r="E382" s="35"/>
      <c r="F382" s="35"/>
      <c r="H382" s="242"/>
    </row>
    <row r="383" spans="1:8" x14ac:dyDescent="0.2">
      <c r="A383" s="167"/>
      <c r="B383" s="46" t="s">
        <v>176</v>
      </c>
      <c r="C383" s="37"/>
      <c r="D383" s="38"/>
      <c r="E383" s="59"/>
      <c r="F383" s="40"/>
      <c r="G383" s="40"/>
      <c r="H383" s="243"/>
    </row>
    <row r="384" spans="1:8" ht="13.5" customHeight="1" x14ac:dyDescent="0.2">
      <c r="A384" s="167"/>
      <c r="B384" s="84" t="s">
        <v>176</v>
      </c>
      <c r="C384" s="136" t="s">
        <v>243</v>
      </c>
      <c r="D384" s="78">
        <v>8</v>
      </c>
      <c r="E384" s="107">
        <v>200</v>
      </c>
      <c r="F384" s="86" t="s">
        <v>4</v>
      </c>
      <c r="G384" s="301">
        <f>(H384/100)</f>
        <v>21.098407845517251</v>
      </c>
      <c r="H384" s="112">
        <v>2109.8407845517249</v>
      </c>
    </row>
    <row r="385" spans="1:8" ht="13.5" customHeight="1" x14ac:dyDescent="0.2">
      <c r="A385" s="167"/>
      <c r="B385" s="26" t="s">
        <v>176</v>
      </c>
      <c r="C385" s="132" t="s">
        <v>243</v>
      </c>
      <c r="D385" s="30">
        <v>9</v>
      </c>
      <c r="E385" s="71">
        <v>200</v>
      </c>
      <c r="F385" s="29" t="s">
        <v>4</v>
      </c>
      <c r="G385" s="301">
        <f t="shared" ref="G385:G387" si="34">(H385/100)</f>
        <v>23.13610603034483</v>
      </c>
      <c r="H385" s="111">
        <v>2313.6106030344831</v>
      </c>
    </row>
    <row r="386" spans="1:8" ht="13.5" customHeight="1" x14ac:dyDescent="0.2">
      <c r="A386" s="167"/>
      <c r="B386" s="26" t="s">
        <v>176</v>
      </c>
      <c r="C386" s="132" t="s">
        <v>243</v>
      </c>
      <c r="D386" s="30">
        <v>10</v>
      </c>
      <c r="E386" s="71">
        <v>200</v>
      </c>
      <c r="F386" s="29" t="s">
        <v>4</v>
      </c>
      <c r="G386" s="301">
        <f t="shared" si="34"/>
        <v>28.789622068965524</v>
      </c>
      <c r="H386" s="111">
        <v>2878.9622068965523</v>
      </c>
    </row>
    <row r="387" spans="1:8" ht="13.5" customHeight="1" x14ac:dyDescent="0.2">
      <c r="A387" s="167"/>
      <c r="B387" s="26" t="s">
        <v>176</v>
      </c>
      <c r="C387" s="132" t="s">
        <v>243</v>
      </c>
      <c r="D387" s="30">
        <v>12</v>
      </c>
      <c r="E387" s="71">
        <v>200</v>
      </c>
      <c r="F387" s="29" t="s">
        <v>4</v>
      </c>
      <c r="G387" s="301">
        <f t="shared" si="34"/>
        <v>41.667683937931045</v>
      </c>
      <c r="H387" s="111">
        <v>4166.7683937931042</v>
      </c>
    </row>
    <row r="388" spans="1:8" x14ac:dyDescent="0.2">
      <c r="B388" s="32"/>
      <c r="C388" s="32"/>
      <c r="D388" s="32"/>
      <c r="E388" s="35"/>
      <c r="F388" s="32"/>
      <c r="H388" s="242"/>
    </row>
    <row r="389" spans="1:8" x14ac:dyDescent="0.2">
      <c r="A389" s="167"/>
      <c r="B389" s="46" t="s">
        <v>177</v>
      </c>
      <c r="C389" s="37"/>
      <c r="D389" s="38"/>
      <c r="E389" s="59"/>
      <c r="F389" s="40"/>
      <c r="G389" s="40"/>
      <c r="H389" s="243"/>
    </row>
    <row r="390" spans="1:8" ht="13.5" customHeight="1" x14ac:dyDescent="0.2">
      <c r="A390" s="167"/>
      <c r="B390" s="84" t="s">
        <v>177</v>
      </c>
      <c r="C390" s="264" t="s">
        <v>242</v>
      </c>
      <c r="D390" s="78">
        <v>8</v>
      </c>
      <c r="E390" s="107">
        <v>200</v>
      </c>
      <c r="F390" s="86" t="s">
        <v>4</v>
      </c>
      <c r="G390" s="301">
        <f>(H390/100)</f>
        <v>36.30079655172414</v>
      </c>
      <c r="H390" s="112">
        <v>3630.0796551724138</v>
      </c>
    </row>
    <row r="391" spans="1:8" ht="13.5" customHeight="1" x14ac:dyDescent="0.2">
      <c r="A391" s="167"/>
      <c r="B391" s="26" t="s">
        <v>177</v>
      </c>
      <c r="C391" s="137" t="s">
        <v>242</v>
      </c>
      <c r="D391" s="30">
        <v>9</v>
      </c>
      <c r="E391" s="71">
        <v>200</v>
      </c>
      <c r="F391" s="29" t="s">
        <v>4</v>
      </c>
      <c r="G391" s="301">
        <f t="shared" ref="G391:G393" si="35">(H391/100)</f>
        <v>38.4535551724138</v>
      </c>
      <c r="H391" s="111">
        <v>3845.3555172413799</v>
      </c>
    </row>
    <row r="392" spans="1:8" ht="13.5" customHeight="1" x14ac:dyDescent="0.2">
      <c r="A392" s="167"/>
      <c r="B392" s="26" t="s">
        <v>177</v>
      </c>
      <c r="C392" s="137" t="s">
        <v>242</v>
      </c>
      <c r="D392" s="30">
        <v>10</v>
      </c>
      <c r="E392" s="71">
        <v>200</v>
      </c>
      <c r="F392" s="29" t="s">
        <v>4</v>
      </c>
      <c r="G392" s="301">
        <f t="shared" si="35"/>
        <v>50.484568965517255</v>
      </c>
      <c r="H392" s="111">
        <v>5048.4568965517255</v>
      </c>
    </row>
    <row r="393" spans="1:8" ht="13.5" customHeight="1" x14ac:dyDescent="0.2">
      <c r="A393" s="167"/>
      <c r="B393" s="26" t="s">
        <v>177</v>
      </c>
      <c r="C393" s="137" t="s">
        <v>242</v>
      </c>
      <c r="D393" s="30">
        <v>12</v>
      </c>
      <c r="E393" s="71">
        <v>200</v>
      </c>
      <c r="F393" s="29" t="s">
        <v>4</v>
      </c>
      <c r="G393" s="301">
        <f t="shared" si="35"/>
        <v>60.317938095238084</v>
      </c>
      <c r="H393" s="111">
        <v>6031.7938095238087</v>
      </c>
    </row>
    <row r="394" spans="1:8" x14ac:dyDescent="0.2">
      <c r="B394" s="32"/>
      <c r="C394" s="32"/>
      <c r="D394" s="34"/>
      <c r="E394" s="35"/>
      <c r="F394" s="35"/>
      <c r="H394" s="242"/>
    </row>
    <row r="395" spans="1:8" x14ac:dyDescent="0.2">
      <c r="B395" s="46" t="s">
        <v>184</v>
      </c>
      <c r="C395" s="37"/>
      <c r="D395" s="38"/>
      <c r="E395" s="59"/>
      <c r="F395" s="40"/>
      <c r="G395" s="40"/>
      <c r="H395" s="243"/>
    </row>
    <row r="396" spans="1:8" x14ac:dyDescent="0.2">
      <c r="B396" s="84" t="s">
        <v>184</v>
      </c>
      <c r="C396" s="264" t="s">
        <v>185</v>
      </c>
      <c r="D396" s="78">
        <v>6</v>
      </c>
      <c r="E396" s="107">
        <v>200</v>
      </c>
      <c r="F396" s="86" t="s">
        <v>4</v>
      </c>
      <c r="G396" s="301">
        <f>(H396/100)</f>
        <v>6.9557307692307715</v>
      </c>
      <c r="H396" s="112">
        <v>695.57307692307711</v>
      </c>
    </row>
    <row r="397" spans="1:8" x14ac:dyDescent="0.2">
      <c r="B397" s="26" t="s">
        <v>184</v>
      </c>
      <c r="C397" s="137" t="s">
        <v>185</v>
      </c>
      <c r="D397" s="30">
        <v>8</v>
      </c>
      <c r="E397" s="71">
        <v>200</v>
      </c>
      <c r="F397" s="29" t="s">
        <v>4</v>
      </c>
      <c r="G397" s="301">
        <f>(H397/100)</f>
        <v>14.66751923076923</v>
      </c>
      <c r="H397" s="111">
        <v>1466.751923076923</v>
      </c>
    </row>
    <row r="398" spans="1:8" x14ac:dyDescent="0.2">
      <c r="B398" s="32"/>
      <c r="C398" s="32"/>
      <c r="D398" s="34"/>
      <c r="E398" s="35"/>
      <c r="F398" s="35"/>
      <c r="H398" s="242"/>
    </row>
    <row r="399" spans="1:8" x14ac:dyDescent="0.2">
      <c r="B399" s="36" t="s">
        <v>26</v>
      </c>
      <c r="C399" s="37"/>
      <c r="D399" s="38"/>
      <c r="E399" s="59"/>
      <c r="F399" s="40"/>
      <c r="G399" s="40"/>
      <c r="H399" s="243"/>
    </row>
    <row r="400" spans="1:8" x14ac:dyDescent="0.2">
      <c r="B400" s="257" t="s">
        <v>26</v>
      </c>
      <c r="C400" s="85" t="s">
        <v>12</v>
      </c>
      <c r="D400" s="273">
        <v>3</v>
      </c>
      <c r="E400" s="128">
        <v>100</v>
      </c>
      <c r="F400" s="86" t="s">
        <v>4</v>
      </c>
      <c r="G400" s="301">
        <f>(H400/100)</f>
        <v>8.0197714285714294</v>
      </c>
      <c r="H400" s="112">
        <v>801.97714285714289</v>
      </c>
    </row>
    <row r="401" spans="1:8" x14ac:dyDescent="0.2">
      <c r="B401" s="45" t="s">
        <v>26</v>
      </c>
      <c r="C401" s="27" t="s">
        <v>12</v>
      </c>
      <c r="D401" s="43">
        <v>4</v>
      </c>
      <c r="E401" s="66">
        <v>100</v>
      </c>
      <c r="F401" s="29" t="s">
        <v>4</v>
      </c>
      <c r="G401" s="301">
        <f t="shared" ref="G401:G410" si="36">(H401/100)</f>
        <v>12.014117142857144</v>
      </c>
      <c r="H401" s="111">
        <v>1201.4117142857144</v>
      </c>
    </row>
    <row r="402" spans="1:8" x14ac:dyDescent="0.2">
      <c r="B402" s="45" t="s">
        <v>26</v>
      </c>
      <c r="C402" s="27" t="s">
        <v>12</v>
      </c>
      <c r="D402" s="43">
        <v>5</v>
      </c>
      <c r="E402" s="66">
        <v>100</v>
      </c>
      <c r="F402" s="29" t="s">
        <v>4</v>
      </c>
      <c r="G402" s="301">
        <f t="shared" si="36"/>
        <v>22.319348571428566</v>
      </c>
      <c r="H402" s="111">
        <v>2231.9348571428568</v>
      </c>
    </row>
    <row r="403" spans="1:8" x14ac:dyDescent="0.2">
      <c r="B403" s="45" t="s">
        <v>26</v>
      </c>
      <c r="C403" s="27" t="s">
        <v>12</v>
      </c>
      <c r="D403" s="43">
        <v>6</v>
      </c>
      <c r="E403" s="66">
        <v>100</v>
      </c>
      <c r="F403" s="29" t="s">
        <v>4</v>
      </c>
      <c r="G403" s="301">
        <f t="shared" si="36"/>
        <v>29.239124571428576</v>
      </c>
      <c r="H403" s="111">
        <v>2923.9124571428574</v>
      </c>
    </row>
    <row r="404" spans="1:8" x14ac:dyDescent="0.2">
      <c r="B404" s="45" t="s">
        <v>26</v>
      </c>
      <c r="C404" s="27" t="s">
        <v>12</v>
      </c>
      <c r="D404" s="43">
        <v>7</v>
      </c>
      <c r="E404" s="66">
        <v>100</v>
      </c>
      <c r="F404" s="29" t="s">
        <v>4</v>
      </c>
      <c r="G404" s="301">
        <f t="shared" si="36"/>
        <v>33.737451428571433</v>
      </c>
      <c r="H404" s="111">
        <v>3373.745142857143</v>
      </c>
    </row>
    <row r="405" spans="1:8" x14ac:dyDescent="0.2">
      <c r="B405" s="45" t="s">
        <v>26</v>
      </c>
      <c r="C405" s="27" t="s">
        <v>12</v>
      </c>
      <c r="D405" s="43">
        <v>8</v>
      </c>
      <c r="E405" s="66">
        <v>100</v>
      </c>
      <c r="F405" s="29" t="s">
        <v>4</v>
      </c>
      <c r="G405" s="301">
        <f t="shared" si="36"/>
        <v>51.835885714285716</v>
      </c>
      <c r="H405" s="111">
        <v>5183.5885714285714</v>
      </c>
    </row>
    <row r="406" spans="1:8" x14ac:dyDescent="0.2">
      <c r="B406" s="45" t="s">
        <v>26</v>
      </c>
      <c r="C406" s="27" t="s">
        <v>12</v>
      </c>
      <c r="D406" s="43">
        <v>9</v>
      </c>
      <c r="E406" s="66">
        <v>100</v>
      </c>
      <c r="F406" s="29" t="s">
        <v>4</v>
      </c>
      <c r="G406" s="301">
        <f t="shared" si="36"/>
        <v>72.570239999999998</v>
      </c>
      <c r="H406" s="111">
        <v>7257.0239999999994</v>
      </c>
    </row>
    <row r="407" spans="1:8" x14ac:dyDescent="0.2">
      <c r="B407" s="45" t="s">
        <v>26</v>
      </c>
      <c r="C407" s="27" t="s">
        <v>12</v>
      </c>
      <c r="D407" s="43">
        <v>10</v>
      </c>
      <c r="E407" s="66">
        <v>100</v>
      </c>
      <c r="F407" s="29" t="s">
        <v>4</v>
      </c>
      <c r="G407" s="301">
        <f t="shared" si="36"/>
        <v>84.665279999999996</v>
      </c>
      <c r="H407" s="111">
        <v>8466.5280000000002</v>
      </c>
    </row>
    <row r="408" spans="1:8" x14ac:dyDescent="0.2">
      <c r="B408" s="45" t="s">
        <v>26</v>
      </c>
      <c r="C408" s="27" t="s">
        <v>12</v>
      </c>
      <c r="D408" s="43">
        <v>12</v>
      </c>
      <c r="E408" s="66">
        <v>100</v>
      </c>
      <c r="F408" s="29" t="s">
        <v>4</v>
      </c>
      <c r="G408" s="301">
        <f t="shared" si="36"/>
        <v>103.67177142857143</v>
      </c>
      <c r="H408" s="111">
        <v>10367.177142857143</v>
      </c>
    </row>
    <row r="409" spans="1:8" x14ac:dyDescent="0.2">
      <c r="B409" s="45" t="s">
        <v>26</v>
      </c>
      <c r="C409" s="27" t="s">
        <v>12</v>
      </c>
      <c r="D409" s="43">
        <v>14</v>
      </c>
      <c r="E409" s="66">
        <v>100</v>
      </c>
      <c r="F409" s="29" t="s">
        <v>4</v>
      </c>
      <c r="G409" s="301">
        <f t="shared" si="36"/>
        <v>121.18800000000002</v>
      </c>
      <c r="H409" s="111">
        <v>12118.800000000001</v>
      </c>
    </row>
    <row r="410" spans="1:8" x14ac:dyDescent="0.2">
      <c r="B410" s="45" t="s">
        <v>26</v>
      </c>
      <c r="C410" s="27" t="s">
        <v>12</v>
      </c>
      <c r="D410" s="43">
        <v>16</v>
      </c>
      <c r="E410" s="66">
        <v>100</v>
      </c>
      <c r="F410" s="29" t="s">
        <v>4</v>
      </c>
      <c r="G410" s="301">
        <f t="shared" si="36"/>
        <v>165.33505714285718</v>
      </c>
      <c r="H410" s="111">
        <v>16533.505714285719</v>
      </c>
    </row>
    <row r="411" spans="1:8" x14ac:dyDescent="0.2">
      <c r="B411" s="32"/>
      <c r="C411" s="32"/>
      <c r="D411" s="34"/>
      <c r="E411" s="35"/>
      <c r="F411" s="35"/>
      <c r="G411" s="242"/>
    </row>
    <row r="412" spans="1:8" x14ac:dyDescent="0.2">
      <c r="A412" s="210"/>
      <c r="C412" s="51"/>
      <c r="D412" s="55"/>
      <c r="E412" s="109"/>
      <c r="F412" s="33"/>
      <c r="G412" s="122"/>
    </row>
    <row r="413" spans="1:8" x14ac:dyDescent="0.2">
      <c r="A413" s="210"/>
      <c r="C413" s="51"/>
      <c r="D413" s="55"/>
      <c r="E413" s="109"/>
      <c r="F413" s="33"/>
      <c r="G413" s="122"/>
    </row>
    <row r="414" spans="1:8" x14ac:dyDescent="0.2">
      <c r="A414" s="210"/>
      <c r="B414" s="56"/>
      <c r="C414" s="51"/>
      <c r="D414" s="55"/>
      <c r="E414" s="109"/>
      <c r="F414" s="33"/>
      <c r="G414" s="122"/>
    </row>
    <row r="415" spans="1:8" x14ac:dyDescent="0.2">
      <c r="A415" s="210"/>
      <c r="B415" s="56"/>
      <c r="C415" s="51"/>
      <c r="D415" s="55"/>
      <c r="E415" s="109"/>
      <c r="F415" s="33"/>
      <c r="G415" s="122"/>
    </row>
    <row r="416" spans="1:8" x14ac:dyDescent="0.2">
      <c r="A416" s="210"/>
      <c r="B416" s="56"/>
      <c r="C416" s="51"/>
      <c r="D416" s="55"/>
      <c r="E416" s="109"/>
      <c r="F416" s="33"/>
      <c r="G416" s="122"/>
    </row>
    <row r="417" spans="1:7" x14ac:dyDescent="0.2">
      <c r="A417" s="210"/>
      <c r="B417" s="56"/>
      <c r="C417" s="51"/>
      <c r="D417" s="55"/>
      <c r="E417" s="109"/>
      <c r="F417" s="33"/>
      <c r="G417" s="122"/>
    </row>
    <row r="418" spans="1:7" x14ac:dyDescent="0.2">
      <c r="A418" s="210"/>
      <c r="B418" s="56"/>
      <c r="C418" s="51"/>
      <c r="D418" s="55"/>
      <c r="E418" s="109"/>
      <c r="F418" s="33"/>
      <c r="G418" s="122"/>
    </row>
    <row r="419" spans="1:7" x14ac:dyDescent="0.2">
      <c r="A419" s="210"/>
      <c r="B419" s="56"/>
      <c r="C419" s="51"/>
      <c r="D419" s="55"/>
      <c r="E419" s="109"/>
      <c r="F419" s="33"/>
      <c r="G419" s="122"/>
    </row>
    <row r="420" spans="1:7" x14ac:dyDescent="0.2">
      <c r="A420" s="210"/>
      <c r="B420" s="56"/>
      <c r="C420" s="51"/>
      <c r="D420" s="55"/>
      <c r="E420" s="109"/>
      <c r="F420" s="33"/>
      <c r="G420" s="122"/>
    </row>
    <row r="421" spans="1:7" x14ac:dyDescent="0.2">
      <c r="A421" s="210"/>
      <c r="B421" s="56"/>
      <c r="C421" s="51"/>
      <c r="D421" s="55"/>
      <c r="E421" s="109"/>
      <c r="F421" s="33"/>
      <c r="G421" s="122"/>
    </row>
    <row r="422" spans="1:7" x14ac:dyDescent="0.2">
      <c r="A422" s="210"/>
      <c r="B422" s="56"/>
      <c r="C422" s="51"/>
      <c r="D422" s="55"/>
      <c r="E422" s="109"/>
      <c r="F422" s="33"/>
      <c r="G422" s="122"/>
    </row>
    <row r="423" spans="1:7" x14ac:dyDescent="0.2">
      <c r="A423" s="210"/>
      <c r="B423" s="56"/>
      <c r="C423" s="51"/>
      <c r="D423" s="55"/>
      <c r="E423" s="109"/>
      <c r="F423" s="33"/>
      <c r="G423" s="122"/>
    </row>
    <row r="424" spans="1:7" x14ac:dyDescent="0.2">
      <c r="A424" s="210"/>
      <c r="B424" s="56"/>
      <c r="C424" s="51"/>
      <c r="D424" s="55"/>
      <c r="E424" s="109"/>
      <c r="F424" s="33"/>
      <c r="G424" s="122"/>
    </row>
    <row r="425" spans="1:7" x14ac:dyDescent="0.2">
      <c r="A425" s="210"/>
      <c r="B425" s="56"/>
      <c r="C425" s="51"/>
      <c r="D425" s="55"/>
      <c r="E425" s="109"/>
      <c r="F425" s="33"/>
      <c r="G425" s="122"/>
    </row>
    <row r="426" spans="1:7" x14ac:dyDescent="0.2">
      <c r="A426" s="210"/>
      <c r="B426" s="56"/>
      <c r="C426" s="51"/>
      <c r="D426" s="55"/>
      <c r="E426" s="109"/>
      <c r="F426" s="33"/>
      <c r="G426" s="122"/>
    </row>
    <row r="427" spans="1:7" x14ac:dyDescent="0.2">
      <c r="A427" s="210"/>
      <c r="B427" s="56"/>
      <c r="C427" s="51"/>
      <c r="D427" s="55"/>
      <c r="E427" s="109"/>
      <c r="F427" s="33"/>
      <c r="G427" s="122"/>
    </row>
    <row r="428" spans="1:7" x14ac:dyDescent="0.2">
      <c r="A428" s="210"/>
      <c r="B428" s="56"/>
      <c r="C428" s="51"/>
      <c r="D428" s="55"/>
      <c r="E428" s="109"/>
      <c r="F428" s="33"/>
      <c r="G428" s="122"/>
    </row>
    <row r="429" spans="1:7" x14ac:dyDescent="0.2">
      <c r="A429" s="210"/>
      <c r="B429" s="56"/>
      <c r="C429" s="51"/>
      <c r="D429" s="55"/>
      <c r="E429" s="109"/>
      <c r="F429" s="33"/>
      <c r="G429" s="122"/>
    </row>
    <row r="430" spans="1:7" x14ac:dyDescent="0.2">
      <c r="A430" s="210"/>
      <c r="B430" s="56"/>
      <c r="C430" s="51"/>
      <c r="D430" s="55"/>
      <c r="E430" s="109"/>
      <c r="F430" s="33"/>
      <c r="G430" s="122"/>
    </row>
    <row r="431" spans="1:7" x14ac:dyDescent="0.2">
      <c r="A431" s="210"/>
      <c r="B431" s="56"/>
      <c r="C431" s="51"/>
      <c r="D431" s="55"/>
      <c r="E431" s="109"/>
      <c r="F431" s="33"/>
      <c r="G431" s="122"/>
    </row>
    <row r="432" spans="1:7" x14ac:dyDescent="0.2">
      <c r="A432" s="210"/>
      <c r="B432" s="56"/>
      <c r="C432" s="51"/>
      <c r="D432" s="55"/>
      <c r="E432" s="109"/>
      <c r="F432" s="33"/>
      <c r="G432" s="122"/>
    </row>
    <row r="433" spans="1:7" x14ac:dyDescent="0.2">
      <c r="A433" s="210"/>
      <c r="B433" s="56"/>
      <c r="C433" s="51"/>
      <c r="D433" s="55"/>
      <c r="E433" s="109"/>
      <c r="F433" s="33"/>
      <c r="G433" s="122"/>
    </row>
    <row r="434" spans="1:7" x14ac:dyDescent="0.2">
      <c r="B434" s="32"/>
      <c r="C434" s="32"/>
      <c r="D434" s="34"/>
      <c r="E434" s="35"/>
      <c r="F434" s="35"/>
      <c r="G434" s="115"/>
    </row>
    <row r="435" spans="1:7" x14ac:dyDescent="0.2">
      <c r="B435" s="32"/>
      <c r="C435" s="32"/>
      <c r="D435" s="34"/>
      <c r="E435" s="35"/>
      <c r="F435" s="35"/>
      <c r="G435" s="115"/>
    </row>
    <row r="436" spans="1:7" x14ac:dyDescent="0.2">
      <c r="B436" s="56" t="s">
        <v>40</v>
      </c>
      <c r="C436" s="32"/>
      <c r="D436" s="34"/>
      <c r="E436" s="35"/>
      <c r="F436" s="35"/>
      <c r="G436" s="115"/>
    </row>
    <row r="437" spans="1:7" x14ac:dyDescent="0.2">
      <c r="B437" s="56" t="s">
        <v>36</v>
      </c>
      <c r="C437" s="32"/>
      <c r="D437" s="34"/>
      <c r="E437" s="35"/>
      <c r="F437" s="35"/>
      <c r="G437" s="115"/>
    </row>
    <row r="438" spans="1:7" x14ac:dyDescent="0.2">
      <c r="B438" s="56" t="s">
        <v>51</v>
      </c>
      <c r="C438" s="32"/>
      <c r="D438" s="34"/>
      <c r="E438" s="35"/>
      <c r="F438" s="35"/>
      <c r="G438" s="115"/>
    </row>
    <row r="439" spans="1:7" x14ac:dyDescent="0.2">
      <c r="B439" s="32"/>
      <c r="C439" s="32"/>
      <c r="D439" s="34"/>
      <c r="E439" s="35"/>
      <c r="F439" s="35"/>
      <c r="G439" s="115"/>
    </row>
  </sheetData>
  <phoneticPr fontId="0" type="noConversion"/>
  <pageMargins left="0.74803149606299213" right="0.74803149606299213" top="0.98425196850393704" bottom="0.98425196850393704" header="0" footer="0"/>
  <pageSetup paperSize="9" scale="99" fitToHeight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H126"/>
  <sheetViews>
    <sheetView topLeftCell="A91" zoomScaleNormal="100" workbookViewId="0">
      <selection activeCell="K33" sqref="K33"/>
    </sheetView>
  </sheetViews>
  <sheetFormatPr defaultRowHeight="12.75" x14ac:dyDescent="0.2"/>
  <cols>
    <col min="1" max="1" width="9" customWidth="1"/>
    <col min="2" max="2" width="21.85546875" customWidth="1"/>
    <col min="3" max="3" width="22.42578125" customWidth="1"/>
    <col min="4" max="4" width="8" style="7" customWidth="1"/>
    <col min="5" max="6" width="7.85546875" style="5" customWidth="1"/>
    <col min="7" max="7" width="15.7109375" style="113" customWidth="1"/>
    <col min="8" max="8" width="16.42578125" customWidth="1"/>
  </cols>
  <sheetData>
    <row r="7" spans="2:7" x14ac:dyDescent="0.2">
      <c r="G7" s="171"/>
    </row>
    <row r="8" spans="2:7" x14ac:dyDescent="0.2">
      <c r="G8" s="171"/>
    </row>
    <row r="9" spans="2:7" x14ac:dyDescent="0.2">
      <c r="G9" s="171"/>
    </row>
    <row r="10" spans="2:7" ht="12.75" customHeight="1" x14ac:dyDescent="0.2">
      <c r="B10" s="100" t="s">
        <v>66</v>
      </c>
      <c r="C10" s="3"/>
      <c r="D10" s="6"/>
      <c r="E10" s="4"/>
      <c r="F10" s="4"/>
      <c r="G10" s="98"/>
    </row>
    <row r="11" spans="2:7" ht="12.75" customHeight="1" x14ac:dyDescent="0.2">
      <c r="B11" s="151" t="str">
        <f>'Pro Race'!B12</f>
        <v>ref. 01-2017</v>
      </c>
      <c r="D11" s="150"/>
      <c r="E11" s="4"/>
      <c r="F11" s="4"/>
      <c r="G11" s="98"/>
    </row>
    <row r="12" spans="2:7" ht="15" x14ac:dyDescent="0.2">
      <c r="C12" s="3"/>
      <c r="D12" s="6"/>
      <c r="E12" s="4"/>
      <c r="F12" s="4"/>
      <c r="G12" s="98"/>
    </row>
    <row r="13" spans="2:7" x14ac:dyDescent="0.2">
      <c r="B13" s="56" t="s">
        <v>67</v>
      </c>
      <c r="G13" s="98"/>
    </row>
    <row r="14" spans="2:7" x14ac:dyDescent="0.2">
      <c r="B14" s="56" t="s">
        <v>65</v>
      </c>
      <c r="C14" s="1"/>
      <c r="D14" s="6"/>
      <c r="E14" s="4"/>
      <c r="F14" s="4"/>
      <c r="G14" s="98"/>
    </row>
    <row r="15" spans="2:7" x14ac:dyDescent="0.2">
      <c r="B15" s="56" t="s">
        <v>36</v>
      </c>
      <c r="C15" s="1"/>
      <c r="D15" s="6"/>
      <c r="E15" s="4"/>
      <c r="F15" s="4"/>
      <c r="G15" s="98"/>
    </row>
    <row r="16" spans="2:7" x14ac:dyDescent="0.2">
      <c r="B16" s="56" t="str">
        <f>'Pro Race'!B17</f>
        <v>valid from January 1st, 2017</v>
      </c>
      <c r="C16" s="1"/>
      <c r="D16" s="6"/>
      <c r="E16" s="4"/>
      <c r="F16" s="4"/>
      <c r="G16" s="97"/>
    </row>
    <row r="17" spans="1:8" x14ac:dyDescent="0.2">
      <c r="C17" s="1"/>
      <c r="D17" s="6"/>
      <c r="E17" s="4"/>
      <c r="F17" s="4"/>
      <c r="G17" s="97"/>
    </row>
    <row r="18" spans="1:8" x14ac:dyDescent="0.2">
      <c r="C18" s="10"/>
      <c r="D18" s="11"/>
      <c r="E18" s="12"/>
      <c r="F18" s="13"/>
      <c r="G18" s="115"/>
    </row>
    <row r="19" spans="1:8" x14ac:dyDescent="0.2">
      <c r="C19" s="10"/>
      <c r="D19" s="11"/>
      <c r="E19" s="12"/>
      <c r="F19" s="13"/>
      <c r="G19" s="115"/>
    </row>
    <row r="20" spans="1:8" x14ac:dyDescent="0.2">
      <c r="C20" s="10"/>
      <c r="D20" s="11"/>
      <c r="E20" s="12"/>
      <c r="F20" s="13"/>
      <c r="G20" s="115"/>
    </row>
    <row r="21" spans="1:8" x14ac:dyDescent="0.2">
      <c r="C21" s="10"/>
      <c r="D21" s="11"/>
      <c r="E21" s="12"/>
      <c r="F21" s="13"/>
      <c r="G21" s="115"/>
    </row>
    <row r="22" spans="1:8" x14ac:dyDescent="0.2">
      <c r="C22" s="10"/>
      <c r="D22" s="11"/>
      <c r="E22" s="12"/>
      <c r="F22" s="13"/>
      <c r="G22" s="115"/>
    </row>
    <row r="23" spans="1:8" ht="16.5" thickBot="1" x14ac:dyDescent="0.3">
      <c r="B23" s="14"/>
      <c r="C23" s="10"/>
      <c r="D23" s="11"/>
      <c r="E23" s="12"/>
      <c r="F23" s="13"/>
      <c r="G23" s="115"/>
    </row>
    <row r="24" spans="1:8" ht="24.75" customHeight="1" thickTop="1" x14ac:dyDescent="0.2">
      <c r="B24" s="159" t="s">
        <v>182</v>
      </c>
      <c r="C24" s="160"/>
      <c r="D24" s="161"/>
      <c r="E24" s="162"/>
      <c r="F24" s="163"/>
      <c r="G24" s="325" t="s">
        <v>69</v>
      </c>
      <c r="H24" s="325"/>
    </row>
    <row r="25" spans="1:8" x14ac:dyDescent="0.2">
      <c r="B25" s="10"/>
      <c r="C25" s="15"/>
      <c r="D25" s="16"/>
      <c r="E25" s="17"/>
      <c r="F25" s="17"/>
      <c r="G25" s="114"/>
    </row>
    <row r="26" spans="1:8" x14ac:dyDescent="0.2">
      <c r="B26" s="18" t="s">
        <v>0</v>
      </c>
      <c r="C26" s="18" t="s">
        <v>1</v>
      </c>
      <c r="D26" s="105" t="s">
        <v>2</v>
      </c>
      <c r="E26" s="20" t="s">
        <v>3</v>
      </c>
      <c r="F26" s="20"/>
      <c r="G26" s="20" t="s">
        <v>323</v>
      </c>
      <c r="H26" s="116" t="s">
        <v>263</v>
      </c>
    </row>
    <row r="27" spans="1:8" x14ac:dyDescent="0.2">
      <c r="A27" s="8"/>
      <c r="B27" s="36" t="s">
        <v>61</v>
      </c>
      <c r="C27" s="129"/>
      <c r="D27" s="131"/>
      <c r="E27" s="110"/>
      <c r="F27" s="49"/>
      <c r="G27" s="49"/>
      <c r="H27" s="243"/>
    </row>
    <row r="28" spans="1:8" x14ac:dyDescent="0.2">
      <c r="A28" s="8"/>
      <c r="B28" s="76" t="s">
        <v>61</v>
      </c>
      <c r="C28" s="136" t="s">
        <v>19</v>
      </c>
      <c r="D28" s="141" t="s">
        <v>63</v>
      </c>
      <c r="E28" s="128">
        <v>100</v>
      </c>
      <c r="F28" s="86" t="s">
        <v>4</v>
      </c>
      <c r="G28" s="301">
        <f>(H28/100)</f>
        <v>0.59267368421052624</v>
      </c>
      <c r="H28" s="112">
        <v>59.267368421052623</v>
      </c>
    </row>
    <row r="29" spans="1:8" x14ac:dyDescent="0.2">
      <c r="A29" s="8"/>
      <c r="B29" s="76" t="s">
        <v>61</v>
      </c>
      <c r="C29" s="136" t="s">
        <v>19</v>
      </c>
      <c r="D29" s="135" t="s">
        <v>64</v>
      </c>
      <c r="E29" s="66">
        <v>100</v>
      </c>
      <c r="F29" s="29" t="s">
        <v>4</v>
      </c>
      <c r="G29" s="301">
        <f t="shared" ref="G29:G34" si="0">(H29/100)</f>
        <v>0.75410526315789472</v>
      </c>
      <c r="H29" s="111">
        <v>75.410526315789468</v>
      </c>
    </row>
    <row r="30" spans="1:8" x14ac:dyDescent="0.2">
      <c r="A30" s="8"/>
      <c r="B30" s="76" t="s">
        <v>61</v>
      </c>
      <c r="C30" s="136" t="s">
        <v>19</v>
      </c>
      <c r="D30" s="126" t="s">
        <v>49</v>
      </c>
      <c r="E30" s="66">
        <v>100</v>
      </c>
      <c r="F30" s="29" t="s">
        <v>4</v>
      </c>
      <c r="G30" s="301">
        <f t="shared" si="0"/>
        <v>1.1067157894736841</v>
      </c>
      <c r="H30" s="111">
        <v>110.6715789473684</v>
      </c>
    </row>
    <row r="31" spans="1:8" x14ac:dyDescent="0.2">
      <c r="A31" s="8"/>
      <c r="B31" s="76" t="s">
        <v>61</v>
      </c>
      <c r="C31" s="136" t="s">
        <v>19</v>
      </c>
      <c r="D31" s="135" t="s">
        <v>60</v>
      </c>
      <c r="E31" s="66">
        <v>100</v>
      </c>
      <c r="F31" s="29" t="s">
        <v>4</v>
      </c>
      <c r="G31" s="301">
        <f t="shared" si="0"/>
        <v>1.7260294736842103</v>
      </c>
      <c r="H31" s="111">
        <v>172.60294736842104</v>
      </c>
    </row>
    <row r="32" spans="1:8" x14ac:dyDescent="0.2">
      <c r="A32" s="8"/>
      <c r="B32" s="76" t="s">
        <v>61</v>
      </c>
      <c r="C32" s="136" t="s">
        <v>19</v>
      </c>
      <c r="D32" s="141" t="s">
        <v>79</v>
      </c>
      <c r="E32" s="128">
        <v>100</v>
      </c>
      <c r="F32" s="86" t="s">
        <v>4</v>
      </c>
      <c r="G32" s="301">
        <f t="shared" si="0"/>
        <v>3.1871999999999998</v>
      </c>
      <c r="H32" s="111">
        <v>318.71999999999997</v>
      </c>
    </row>
    <row r="33" spans="1:8" x14ac:dyDescent="0.2">
      <c r="A33" s="8"/>
      <c r="B33" s="76" t="s">
        <v>61</v>
      </c>
      <c r="C33" s="136" t="s">
        <v>19</v>
      </c>
      <c r="D33" s="135" t="s">
        <v>80</v>
      </c>
      <c r="E33" s="66">
        <v>100</v>
      </c>
      <c r="F33" s="29" t="s">
        <v>4</v>
      </c>
      <c r="G33" s="301">
        <f t="shared" si="0"/>
        <v>4.529178947368421</v>
      </c>
      <c r="H33" s="111">
        <v>452.91789473684207</v>
      </c>
    </row>
    <row r="34" spans="1:8" x14ac:dyDescent="0.2">
      <c r="A34" s="8"/>
      <c r="B34" s="76" t="s">
        <v>61</v>
      </c>
      <c r="C34" s="136" t="s">
        <v>19</v>
      </c>
      <c r="D34" s="135" t="s">
        <v>81</v>
      </c>
      <c r="E34" s="66">
        <v>100</v>
      </c>
      <c r="F34" s="29" t="s">
        <v>4</v>
      </c>
      <c r="G34" s="301">
        <f t="shared" si="0"/>
        <v>5.3679157894736838</v>
      </c>
      <c r="H34" s="111">
        <v>536.79157894736841</v>
      </c>
    </row>
    <row r="35" spans="1:8" x14ac:dyDescent="0.2">
      <c r="A35" s="8"/>
      <c r="B35" s="56"/>
      <c r="C35" s="254"/>
      <c r="D35" s="299"/>
      <c r="E35" s="109"/>
      <c r="F35" s="33"/>
      <c r="H35" s="122"/>
    </row>
    <row r="36" spans="1:8" x14ac:dyDescent="0.2">
      <c r="A36" s="8"/>
      <c r="B36" s="36" t="s">
        <v>62</v>
      </c>
      <c r="C36" s="129"/>
      <c r="D36" s="131"/>
      <c r="E36" s="110"/>
      <c r="F36" s="49"/>
      <c r="G36" s="49"/>
      <c r="H36" s="121"/>
    </row>
    <row r="37" spans="1:8" x14ac:dyDescent="0.2">
      <c r="A37" s="8"/>
      <c r="B37" s="76" t="s">
        <v>62</v>
      </c>
      <c r="C37" s="136" t="s">
        <v>19</v>
      </c>
      <c r="D37" s="141" t="s">
        <v>63</v>
      </c>
      <c r="E37" s="128">
        <v>100</v>
      </c>
      <c r="F37" s="86" t="s">
        <v>4</v>
      </c>
      <c r="G37" s="301">
        <f>(H37/100)</f>
        <v>0.96559157894736847</v>
      </c>
      <c r="H37" s="112">
        <v>96.559157894736842</v>
      </c>
    </row>
    <row r="38" spans="1:8" x14ac:dyDescent="0.2">
      <c r="A38" s="8"/>
      <c r="B38" s="76" t="s">
        <v>62</v>
      </c>
      <c r="C38" s="136" t="s">
        <v>19</v>
      </c>
      <c r="D38" s="135" t="s">
        <v>64</v>
      </c>
      <c r="E38" s="66">
        <v>100</v>
      </c>
      <c r="F38" s="29" t="s">
        <v>4</v>
      </c>
      <c r="G38" s="301">
        <f t="shared" ref="G38:G39" si="1">(H38/100)</f>
        <v>1.4895157894736843</v>
      </c>
      <c r="H38" s="111">
        <v>148.95157894736843</v>
      </c>
    </row>
    <row r="39" spans="1:8" x14ac:dyDescent="0.2">
      <c r="A39" s="8"/>
      <c r="B39" s="76" t="s">
        <v>62</v>
      </c>
      <c r="C39" s="136" t="s">
        <v>19</v>
      </c>
      <c r="D39" s="126" t="s">
        <v>49</v>
      </c>
      <c r="E39" s="66">
        <v>100</v>
      </c>
      <c r="F39" s="29" t="s">
        <v>4</v>
      </c>
      <c r="G39" s="301">
        <f t="shared" si="1"/>
        <v>3.5580631578947366</v>
      </c>
      <c r="H39" s="111">
        <v>355.80631578947367</v>
      </c>
    </row>
    <row r="40" spans="1:8" x14ac:dyDescent="0.2">
      <c r="A40" s="8"/>
      <c r="B40" s="56"/>
      <c r="C40" s="51"/>
      <c r="D40" s="55"/>
      <c r="E40" s="109"/>
      <c r="F40" s="33"/>
      <c r="H40" s="122"/>
    </row>
    <row r="41" spans="1:8" x14ac:dyDescent="0.2">
      <c r="A41" s="8"/>
      <c r="B41" s="36" t="s">
        <v>270</v>
      </c>
      <c r="C41" s="129"/>
      <c r="D41" s="131"/>
      <c r="E41" s="110"/>
      <c r="F41" s="49"/>
      <c r="G41" s="49"/>
      <c r="H41" s="121"/>
    </row>
    <row r="42" spans="1:8" x14ac:dyDescent="0.2">
      <c r="A42" s="292"/>
      <c r="B42" s="76" t="s">
        <v>271</v>
      </c>
      <c r="C42" s="136" t="s">
        <v>254</v>
      </c>
      <c r="D42" s="141" t="s">
        <v>63</v>
      </c>
      <c r="E42" s="128">
        <v>100</v>
      </c>
      <c r="F42" s="86" t="s">
        <v>4</v>
      </c>
      <c r="G42" s="301">
        <f>(H42/100)</f>
        <v>1.7992757894736846</v>
      </c>
      <c r="H42" s="112">
        <v>179.92757894736846</v>
      </c>
    </row>
    <row r="43" spans="1:8" x14ac:dyDescent="0.2">
      <c r="A43" s="292"/>
      <c r="B43" s="76" t="s">
        <v>271</v>
      </c>
      <c r="C43" s="136" t="s">
        <v>254</v>
      </c>
      <c r="D43" s="135" t="s">
        <v>64</v>
      </c>
      <c r="E43" s="66">
        <v>100</v>
      </c>
      <c r="F43" s="29" t="s">
        <v>4</v>
      </c>
      <c r="G43" s="301">
        <f t="shared" ref="G43:G44" si="2">(H43/100)</f>
        <v>4.511621052631579</v>
      </c>
      <c r="H43" s="111">
        <v>451.16210526315791</v>
      </c>
    </row>
    <row r="44" spans="1:8" x14ac:dyDescent="0.2">
      <c r="A44" s="292"/>
      <c r="B44" s="76" t="s">
        <v>271</v>
      </c>
      <c r="C44" s="136" t="s">
        <v>254</v>
      </c>
      <c r="D44" s="126" t="s">
        <v>49</v>
      </c>
      <c r="E44" s="66">
        <v>100</v>
      </c>
      <c r="F44" s="29" t="s">
        <v>4</v>
      </c>
      <c r="G44" s="301">
        <f t="shared" si="2"/>
        <v>8.0155452631578932</v>
      </c>
      <c r="H44" s="111">
        <v>801.5545263157893</v>
      </c>
    </row>
    <row r="45" spans="1:8" x14ac:dyDescent="0.2">
      <c r="A45" s="210"/>
      <c r="B45" s="56"/>
      <c r="C45" s="51"/>
      <c r="D45" s="55"/>
      <c r="E45" s="109"/>
      <c r="F45" s="33"/>
      <c r="H45" s="122"/>
    </row>
    <row r="46" spans="1:8" x14ac:dyDescent="0.2">
      <c r="A46" s="8"/>
      <c r="B46" s="36" t="s">
        <v>54</v>
      </c>
      <c r="C46" s="129"/>
      <c r="D46" s="131"/>
      <c r="E46" s="110"/>
      <c r="F46" s="49"/>
      <c r="G46" s="49"/>
      <c r="H46" s="121"/>
    </row>
    <row r="47" spans="1:8" x14ac:dyDescent="0.2">
      <c r="A47" s="8"/>
      <c r="B47" s="76" t="s">
        <v>54</v>
      </c>
      <c r="C47" s="136" t="s">
        <v>247</v>
      </c>
      <c r="D47" s="141" t="s">
        <v>63</v>
      </c>
      <c r="E47" s="128">
        <v>100</v>
      </c>
      <c r="F47" s="86" t="s">
        <v>4</v>
      </c>
      <c r="G47" s="301">
        <f>(H47/100)</f>
        <v>1.8416842105263158</v>
      </c>
      <c r="H47" s="112">
        <v>184.16842105263157</v>
      </c>
    </row>
    <row r="48" spans="1:8" x14ac:dyDescent="0.2">
      <c r="A48" s="8"/>
      <c r="B48" s="76" t="s">
        <v>54</v>
      </c>
      <c r="C48" s="136" t="s">
        <v>247</v>
      </c>
      <c r="D48" s="135" t="s">
        <v>64</v>
      </c>
      <c r="E48" s="66">
        <v>100</v>
      </c>
      <c r="F48" s="29" t="s">
        <v>4</v>
      </c>
      <c r="G48" s="301">
        <f t="shared" ref="G48:G50" si="3">(H48/100)</f>
        <v>3.1815789473684215</v>
      </c>
      <c r="H48" s="111">
        <v>318.15789473684214</v>
      </c>
    </row>
    <row r="49" spans="1:8" x14ac:dyDescent="0.2">
      <c r="A49" s="8"/>
      <c r="B49" s="76" t="s">
        <v>54</v>
      </c>
      <c r="C49" s="136" t="s">
        <v>247</v>
      </c>
      <c r="D49" s="135" t="s">
        <v>49</v>
      </c>
      <c r="E49" s="66">
        <v>100</v>
      </c>
      <c r="F49" s="123" t="s">
        <v>4</v>
      </c>
      <c r="G49" s="301">
        <f t="shared" si="3"/>
        <v>5.0289473684210533</v>
      </c>
      <c r="H49" s="111">
        <v>502.89473684210532</v>
      </c>
    </row>
    <row r="50" spans="1:8" x14ac:dyDescent="0.2">
      <c r="A50" s="8"/>
      <c r="B50" s="76" t="s">
        <v>54</v>
      </c>
      <c r="C50" s="136" t="s">
        <v>247</v>
      </c>
      <c r="D50" s="135" t="s">
        <v>60</v>
      </c>
      <c r="E50" s="66">
        <v>100</v>
      </c>
      <c r="F50" s="29" t="s">
        <v>4</v>
      </c>
      <c r="G50" s="301">
        <f t="shared" si="3"/>
        <v>8.9810526315789474</v>
      </c>
      <c r="H50" s="111">
        <v>898.1052631578948</v>
      </c>
    </row>
    <row r="51" spans="1:8" x14ac:dyDescent="0.2">
      <c r="A51" s="8"/>
      <c r="B51" s="56"/>
      <c r="C51" s="51"/>
      <c r="D51" s="127"/>
      <c r="E51" s="109"/>
      <c r="F51" s="33"/>
      <c r="H51" s="122"/>
    </row>
    <row r="52" spans="1:8" x14ac:dyDescent="0.2">
      <c r="A52" s="8"/>
      <c r="B52" s="36" t="s">
        <v>55</v>
      </c>
      <c r="C52" s="129"/>
      <c r="D52" s="131"/>
      <c r="E52" s="110"/>
      <c r="F52" s="49"/>
      <c r="G52" s="49"/>
      <c r="H52" s="121"/>
    </row>
    <row r="53" spans="1:8" x14ac:dyDescent="0.2">
      <c r="A53" s="8"/>
      <c r="B53" s="76" t="s">
        <v>55</v>
      </c>
      <c r="C53" s="136" t="s">
        <v>241</v>
      </c>
      <c r="D53" s="141" t="s">
        <v>63</v>
      </c>
      <c r="E53" s="128">
        <v>100</v>
      </c>
      <c r="F53" s="86" t="s">
        <v>4</v>
      </c>
      <c r="G53" s="301">
        <f>(H53/100)</f>
        <v>2.1401052631578947</v>
      </c>
      <c r="H53" s="112">
        <v>214.01052631578946</v>
      </c>
    </row>
    <row r="54" spans="1:8" s="104" customFormat="1" x14ac:dyDescent="0.2">
      <c r="A54" s="210"/>
      <c r="B54" s="76" t="s">
        <v>55</v>
      </c>
      <c r="C54" s="136" t="s">
        <v>241</v>
      </c>
      <c r="D54" s="135" t="s">
        <v>64</v>
      </c>
      <c r="E54" s="66">
        <v>100</v>
      </c>
      <c r="F54" s="29" t="s">
        <v>4</v>
      </c>
      <c r="G54" s="301">
        <f t="shared" ref="G54:G56" si="4">(H54/100)</f>
        <v>3.7526315789473674</v>
      </c>
      <c r="H54" s="111">
        <v>375.26315789473676</v>
      </c>
    </row>
    <row r="55" spans="1:8" x14ac:dyDescent="0.2">
      <c r="A55" s="8"/>
      <c r="B55" s="76" t="s">
        <v>55</v>
      </c>
      <c r="C55" s="136" t="s">
        <v>241</v>
      </c>
      <c r="D55" s="135" t="s">
        <v>49</v>
      </c>
      <c r="E55" s="66">
        <v>100</v>
      </c>
      <c r="F55" s="123" t="s">
        <v>4</v>
      </c>
      <c r="G55" s="301">
        <f t="shared" si="4"/>
        <v>5.9315789473684211</v>
      </c>
      <c r="H55" s="111">
        <v>593.15789473684208</v>
      </c>
    </row>
    <row r="56" spans="1:8" x14ac:dyDescent="0.2">
      <c r="A56" s="8"/>
      <c r="B56" s="76" t="s">
        <v>55</v>
      </c>
      <c r="C56" s="136" t="s">
        <v>241</v>
      </c>
      <c r="D56" s="135" t="s">
        <v>60</v>
      </c>
      <c r="E56" s="66">
        <v>100</v>
      </c>
      <c r="F56" s="29" t="s">
        <v>4</v>
      </c>
      <c r="G56" s="301">
        <f t="shared" si="4"/>
        <v>10.727368421052633</v>
      </c>
      <c r="H56" s="111">
        <v>1072.7368421052633</v>
      </c>
    </row>
    <row r="57" spans="1:8" x14ac:dyDescent="0.2">
      <c r="A57" s="8"/>
      <c r="B57" s="56"/>
      <c r="C57" s="51"/>
      <c r="D57" s="127"/>
      <c r="E57" s="109"/>
      <c r="F57" s="33"/>
      <c r="H57" s="122"/>
    </row>
    <row r="58" spans="1:8" x14ac:dyDescent="0.2">
      <c r="A58" s="8"/>
      <c r="B58" s="36" t="s">
        <v>221</v>
      </c>
      <c r="C58" s="129"/>
      <c r="D58" s="131"/>
      <c r="E58" s="110"/>
      <c r="F58" s="49"/>
      <c r="G58" s="49"/>
      <c r="H58" s="121"/>
    </row>
    <row r="59" spans="1:8" x14ac:dyDescent="0.2">
      <c r="A59" s="8"/>
      <c r="B59" s="76" t="s">
        <v>248</v>
      </c>
      <c r="C59" s="136" t="s">
        <v>241</v>
      </c>
      <c r="D59" s="141" t="s">
        <v>64</v>
      </c>
      <c r="E59" s="128">
        <v>100</v>
      </c>
      <c r="F59" s="86" t="s">
        <v>4</v>
      </c>
      <c r="G59" s="301">
        <f>(H59/100)</f>
        <v>4.9919157894736843</v>
      </c>
      <c r="H59" s="112">
        <v>499.19157894736844</v>
      </c>
    </row>
    <row r="60" spans="1:8" x14ac:dyDescent="0.2">
      <c r="A60" s="8"/>
      <c r="B60" s="76" t="s">
        <v>248</v>
      </c>
      <c r="C60" s="132" t="s">
        <v>241</v>
      </c>
      <c r="D60" s="135" t="s">
        <v>159</v>
      </c>
      <c r="E60" s="66">
        <v>100</v>
      </c>
      <c r="F60" s="29" t="s">
        <v>4</v>
      </c>
      <c r="G60" s="301">
        <f>(H60/100)</f>
        <v>9.4949999999999992</v>
      </c>
      <c r="H60" s="111">
        <v>949.49999999999989</v>
      </c>
    </row>
    <row r="61" spans="1:8" x14ac:dyDescent="0.2">
      <c r="A61" s="8"/>
      <c r="B61" s="56"/>
      <c r="C61" s="51"/>
      <c r="D61" s="127"/>
      <c r="E61" s="109"/>
      <c r="F61" s="33"/>
      <c r="H61" s="122"/>
    </row>
    <row r="62" spans="1:8" x14ac:dyDescent="0.2">
      <c r="A62" s="8"/>
      <c r="B62" s="36" t="s">
        <v>56</v>
      </c>
      <c r="C62" s="129"/>
      <c r="D62" s="131"/>
      <c r="E62" s="110"/>
      <c r="F62" s="49"/>
      <c r="G62" s="49"/>
      <c r="H62" s="121"/>
    </row>
    <row r="63" spans="1:8" x14ac:dyDescent="0.2">
      <c r="A63" s="8"/>
      <c r="B63" s="76" t="s">
        <v>56</v>
      </c>
      <c r="C63" s="136" t="s">
        <v>249</v>
      </c>
      <c r="D63" s="141" t="s">
        <v>63</v>
      </c>
      <c r="E63" s="128">
        <v>100</v>
      </c>
      <c r="F63" s="86" t="s">
        <v>4</v>
      </c>
      <c r="G63" s="301">
        <f>(H63/100)</f>
        <v>1.7990526315789475</v>
      </c>
      <c r="H63" s="112">
        <v>179.90526315789475</v>
      </c>
    </row>
    <row r="64" spans="1:8" x14ac:dyDescent="0.2">
      <c r="A64" s="8"/>
      <c r="B64" s="76" t="s">
        <v>56</v>
      </c>
      <c r="C64" s="136" t="s">
        <v>249</v>
      </c>
      <c r="D64" s="135" t="s">
        <v>64</v>
      </c>
      <c r="E64" s="66">
        <v>100</v>
      </c>
      <c r="F64" s="29" t="s">
        <v>4</v>
      </c>
      <c r="G64" s="301">
        <f t="shared" ref="G64:G66" si="5">(H64/100)</f>
        <v>3.0999999999999996</v>
      </c>
      <c r="H64" s="111">
        <v>309.99999999999994</v>
      </c>
    </row>
    <row r="65" spans="1:8" x14ac:dyDescent="0.2">
      <c r="A65" s="8"/>
      <c r="B65" s="76" t="s">
        <v>56</v>
      </c>
      <c r="C65" s="136" t="s">
        <v>249</v>
      </c>
      <c r="D65" s="135" t="s">
        <v>49</v>
      </c>
      <c r="E65" s="66">
        <v>100</v>
      </c>
      <c r="F65" s="123" t="s">
        <v>4</v>
      </c>
      <c r="G65" s="301">
        <f t="shared" si="5"/>
        <v>4.8999999999999995</v>
      </c>
      <c r="H65" s="111">
        <v>489.99999999999994</v>
      </c>
    </row>
    <row r="66" spans="1:8" x14ac:dyDescent="0.2">
      <c r="A66" s="8"/>
      <c r="B66" s="76" t="s">
        <v>56</v>
      </c>
      <c r="C66" s="136" t="s">
        <v>249</v>
      </c>
      <c r="D66" s="135" t="s">
        <v>60</v>
      </c>
      <c r="E66" s="66">
        <v>100</v>
      </c>
      <c r="F66" s="29" t="s">
        <v>4</v>
      </c>
      <c r="G66" s="301">
        <f t="shared" si="5"/>
        <v>8.7315789473684191</v>
      </c>
      <c r="H66" s="111">
        <v>873.15789473684185</v>
      </c>
    </row>
    <row r="67" spans="1:8" x14ac:dyDescent="0.2">
      <c r="A67" s="8"/>
      <c r="B67" s="56"/>
      <c r="C67" s="51"/>
      <c r="D67" s="127"/>
      <c r="E67" s="109"/>
      <c r="F67" s="33"/>
      <c r="H67" s="122"/>
    </row>
    <row r="68" spans="1:8" x14ac:dyDescent="0.2">
      <c r="A68" s="8"/>
      <c r="B68" s="36" t="s">
        <v>57</v>
      </c>
      <c r="C68" s="129"/>
      <c r="D68" s="131"/>
      <c r="E68" s="110"/>
      <c r="F68" s="49"/>
      <c r="G68" s="49"/>
      <c r="H68" s="121"/>
    </row>
    <row r="69" spans="1:8" x14ac:dyDescent="0.2">
      <c r="A69" s="8"/>
      <c r="B69" s="76" t="s">
        <v>57</v>
      </c>
      <c r="C69" s="136" t="s">
        <v>243</v>
      </c>
      <c r="D69" s="141" t="s">
        <v>63</v>
      </c>
      <c r="E69" s="128">
        <v>100</v>
      </c>
      <c r="F69" s="86" t="s">
        <v>4</v>
      </c>
      <c r="G69" s="301">
        <f>(H69/100)</f>
        <v>9.9892000000000021</v>
      </c>
      <c r="H69" s="112">
        <v>998.92000000000019</v>
      </c>
    </row>
    <row r="70" spans="1:8" x14ac:dyDescent="0.2">
      <c r="A70" s="8"/>
      <c r="B70" s="76" t="s">
        <v>57</v>
      </c>
      <c r="C70" s="136" t="s">
        <v>243</v>
      </c>
      <c r="D70" s="135" t="s">
        <v>64</v>
      </c>
      <c r="E70" s="66">
        <v>100</v>
      </c>
      <c r="F70" s="29" t="s">
        <v>4</v>
      </c>
      <c r="G70" s="301">
        <f t="shared" ref="G70:G72" si="6">(H70/100)</f>
        <v>18.598400000000002</v>
      </c>
      <c r="H70" s="111">
        <v>1859.8400000000001</v>
      </c>
    </row>
    <row r="71" spans="1:8" x14ac:dyDescent="0.2">
      <c r="A71" s="8"/>
      <c r="B71" s="76" t="s">
        <v>57</v>
      </c>
      <c r="C71" s="136" t="s">
        <v>243</v>
      </c>
      <c r="D71" s="135" t="s">
        <v>49</v>
      </c>
      <c r="E71" s="66">
        <v>100</v>
      </c>
      <c r="F71" s="123" t="s">
        <v>4</v>
      </c>
      <c r="G71" s="301">
        <f t="shared" si="6"/>
        <v>30.222400000000004</v>
      </c>
      <c r="H71" s="111">
        <v>3022.2400000000002</v>
      </c>
    </row>
    <row r="72" spans="1:8" x14ac:dyDescent="0.2">
      <c r="A72" s="8"/>
      <c r="B72" s="76" t="s">
        <v>57</v>
      </c>
      <c r="C72" s="136" t="s">
        <v>243</v>
      </c>
      <c r="D72" s="135" t="s">
        <v>60</v>
      </c>
      <c r="E72" s="66">
        <v>100</v>
      </c>
      <c r="F72" s="29" t="s">
        <v>4</v>
      </c>
      <c r="G72" s="301">
        <f t="shared" si="6"/>
        <v>54.377431578947359</v>
      </c>
      <c r="H72" s="111">
        <v>5437.7431578947362</v>
      </c>
    </row>
    <row r="73" spans="1:8" x14ac:dyDescent="0.2">
      <c r="A73" s="8"/>
      <c r="B73" s="56"/>
      <c r="C73" s="51"/>
      <c r="D73" s="127"/>
      <c r="E73" s="109"/>
      <c r="F73" s="33"/>
      <c r="H73" s="122"/>
    </row>
    <row r="74" spans="1:8" x14ac:dyDescent="0.2">
      <c r="A74" s="8"/>
      <c r="B74" s="36" t="s">
        <v>58</v>
      </c>
      <c r="C74" s="129"/>
      <c r="D74" s="131"/>
      <c r="E74" s="110"/>
      <c r="F74" s="49"/>
      <c r="G74" s="49"/>
      <c r="H74" s="121"/>
    </row>
    <row r="75" spans="1:8" x14ac:dyDescent="0.2">
      <c r="A75" s="8"/>
      <c r="B75" s="76" t="s">
        <v>58</v>
      </c>
      <c r="C75" s="136" t="s">
        <v>250</v>
      </c>
      <c r="D75" s="141" t="s">
        <v>63</v>
      </c>
      <c r="E75" s="128">
        <v>100</v>
      </c>
      <c r="F75" s="86" t="s">
        <v>4</v>
      </c>
      <c r="G75" s="301">
        <f>(H75/100)</f>
        <v>3.1850526315789476</v>
      </c>
      <c r="H75" s="112">
        <v>318.50526315789477</v>
      </c>
    </row>
    <row r="76" spans="1:8" x14ac:dyDescent="0.2">
      <c r="A76" s="8"/>
      <c r="B76" s="76" t="s">
        <v>58</v>
      </c>
      <c r="C76" s="136" t="s">
        <v>250</v>
      </c>
      <c r="D76" s="135" t="s">
        <v>64</v>
      </c>
      <c r="E76" s="66">
        <v>100</v>
      </c>
      <c r="F76" s="29" t="s">
        <v>4</v>
      </c>
      <c r="G76" s="301">
        <f t="shared" ref="G76:G78" si="7">(H76/100)</f>
        <v>5.27</v>
      </c>
      <c r="H76" s="111">
        <v>527</v>
      </c>
    </row>
    <row r="77" spans="1:8" x14ac:dyDescent="0.2">
      <c r="A77" s="8"/>
      <c r="B77" s="76" t="s">
        <v>58</v>
      </c>
      <c r="C77" s="136" t="s">
        <v>250</v>
      </c>
      <c r="D77" s="135" t="s">
        <v>49</v>
      </c>
      <c r="E77" s="66">
        <v>100</v>
      </c>
      <c r="F77" s="123" t="s">
        <v>4</v>
      </c>
      <c r="G77" s="301">
        <f t="shared" si="7"/>
        <v>8.3300000000000018</v>
      </c>
      <c r="H77" s="111">
        <v>833.00000000000023</v>
      </c>
    </row>
    <row r="78" spans="1:8" x14ac:dyDescent="0.2">
      <c r="A78" s="8"/>
      <c r="B78" s="76" t="s">
        <v>58</v>
      </c>
      <c r="C78" s="136" t="s">
        <v>250</v>
      </c>
      <c r="D78" s="135" t="s">
        <v>60</v>
      </c>
      <c r="E78" s="66">
        <v>100</v>
      </c>
      <c r="F78" s="29" t="s">
        <v>4</v>
      </c>
      <c r="G78" s="301">
        <f t="shared" si="7"/>
        <v>13.155578947368422</v>
      </c>
      <c r="H78" s="111">
        <v>1315.5578947368422</v>
      </c>
    </row>
    <row r="79" spans="1:8" x14ac:dyDescent="0.2">
      <c r="A79" s="8"/>
      <c r="B79" s="56"/>
      <c r="C79" s="51"/>
      <c r="D79" s="127"/>
      <c r="E79" s="109"/>
      <c r="F79" s="33"/>
      <c r="H79" s="122"/>
    </row>
    <row r="80" spans="1:8" x14ac:dyDescent="0.2">
      <c r="A80" s="8"/>
      <c r="B80" s="36" t="s">
        <v>219</v>
      </c>
      <c r="C80" s="129"/>
      <c r="D80" s="131"/>
      <c r="E80" s="110"/>
      <c r="F80" s="49"/>
      <c r="G80" s="49"/>
      <c r="H80" s="121"/>
    </row>
    <row r="81" spans="1:8" x14ac:dyDescent="0.2">
      <c r="A81" s="8"/>
      <c r="B81" s="76" t="s">
        <v>219</v>
      </c>
      <c r="C81" s="136" t="s">
        <v>240</v>
      </c>
      <c r="D81" s="141" t="s">
        <v>63</v>
      </c>
      <c r="E81" s="128">
        <v>100</v>
      </c>
      <c r="F81" s="86" t="s">
        <v>4</v>
      </c>
      <c r="G81" s="301">
        <f>(H81/100)</f>
        <v>12.425000000000001</v>
      </c>
      <c r="H81" s="112">
        <v>1242.5</v>
      </c>
    </row>
    <row r="82" spans="1:8" x14ac:dyDescent="0.2">
      <c r="A82" s="8"/>
      <c r="B82" s="76" t="s">
        <v>219</v>
      </c>
      <c r="C82" s="136" t="s">
        <v>240</v>
      </c>
      <c r="D82" s="135" t="s">
        <v>64</v>
      </c>
      <c r="E82" s="66">
        <v>100</v>
      </c>
      <c r="F82" s="29" t="s">
        <v>4</v>
      </c>
      <c r="G82" s="301">
        <f>(H82/100)</f>
        <v>20.704000000000001</v>
      </c>
      <c r="H82" s="111">
        <v>2070.4</v>
      </c>
    </row>
    <row r="83" spans="1:8" x14ac:dyDescent="0.2">
      <c r="A83" s="8"/>
      <c r="C83" s="51"/>
      <c r="D83" s="55"/>
      <c r="E83" s="109"/>
      <c r="F83" s="33"/>
      <c r="H83" s="122"/>
    </row>
    <row r="84" spans="1:8" x14ac:dyDescent="0.2">
      <c r="A84" s="8"/>
      <c r="B84" s="36" t="s">
        <v>59</v>
      </c>
      <c r="C84" s="129"/>
      <c r="D84" s="131"/>
      <c r="E84" s="110"/>
      <c r="F84" s="49"/>
      <c r="G84" s="49"/>
      <c r="H84" s="121"/>
    </row>
    <row r="85" spans="1:8" x14ac:dyDescent="0.2">
      <c r="A85" s="8"/>
      <c r="B85" s="76" t="s">
        <v>59</v>
      </c>
      <c r="C85" s="136" t="s">
        <v>251</v>
      </c>
      <c r="D85" s="141" t="s">
        <v>63</v>
      </c>
      <c r="E85" s="128">
        <v>100</v>
      </c>
      <c r="F85" s="86" t="s">
        <v>4</v>
      </c>
      <c r="G85" s="301">
        <f>(H85/100)</f>
        <v>17.538857142857143</v>
      </c>
      <c r="H85" s="112">
        <v>1753.8857142857144</v>
      </c>
    </row>
    <row r="86" spans="1:8" x14ac:dyDescent="0.2">
      <c r="A86" s="8"/>
      <c r="B86" s="76" t="s">
        <v>59</v>
      </c>
      <c r="C86" s="136" t="s">
        <v>251</v>
      </c>
      <c r="D86" s="135" t="s">
        <v>64</v>
      </c>
      <c r="E86" s="66">
        <v>100</v>
      </c>
      <c r="F86" s="29" t="s">
        <v>4</v>
      </c>
      <c r="G86" s="301">
        <f t="shared" ref="G86:G88" si="8">(H86/100)</f>
        <v>28.752428571428574</v>
      </c>
      <c r="H86" s="111">
        <v>2875.2428571428572</v>
      </c>
    </row>
    <row r="87" spans="1:8" x14ac:dyDescent="0.2">
      <c r="A87" s="8"/>
      <c r="B87" s="76" t="s">
        <v>59</v>
      </c>
      <c r="C87" s="136" t="s">
        <v>251</v>
      </c>
      <c r="D87" s="135" t="s">
        <v>49</v>
      </c>
      <c r="E87" s="66">
        <v>100</v>
      </c>
      <c r="F87" s="123" t="s">
        <v>4</v>
      </c>
      <c r="G87" s="301">
        <f t="shared" si="8"/>
        <v>48.792000000000009</v>
      </c>
      <c r="H87" s="111">
        <v>4879.2000000000007</v>
      </c>
    </row>
    <row r="88" spans="1:8" x14ac:dyDescent="0.2">
      <c r="A88" s="8"/>
      <c r="B88" s="76" t="s">
        <v>59</v>
      </c>
      <c r="C88" s="136" t="s">
        <v>251</v>
      </c>
      <c r="D88" s="135" t="s">
        <v>60</v>
      </c>
      <c r="E88" s="66">
        <v>100</v>
      </c>
      <c r="F88" s="29" t="s">
        <v>4</v>
      </c>
      <c r="G88" s="301">
        <f t="shared" si="8"/>
        <v>72.950400000000002</v>
      </c>
      <c r="H88" s="111">
        <v>7295.04</v>
      </c>
    </row>
    <row r="89" spans="1:8" x14ac:dyDescent="0.2">
      <c r="A89" s="8"/>
      <c r="B89" s="56"/>
      <c r="C89" s="51"/>
      <c r="D89" s="127"/>
      <c r="E89" s="109"/>
      <c r="F89" s="33"/>
      <c r="H89" s="122"/>
    </row>
    <row r="90" spans="1:8" x14ac:dyDescent="0.2">
      <c r="B90" s="36" t="s">
        <v>156</v>
      </c>
      <c r="C90" s="129"/>
      <c r="D90" s="130"/>
      <c r="E90" s="110"/>
      <c r="F90" s="49"/>
      <c r="G90" s="49"/>
      <c r="H90" s="121"/>
    </row>
    <row r="91" spans="1:8" x14ac:dyDescent="0.2">
      <c r="A91" s="104"/>
      <c r="B91" s="76" t="s">
        <v>156</v>
      </c>
      <c r="C91" s="136" t="s">
        <v>11</v>
      </c>
      <c r="D91" s="141" t="s">
        <v>63</v>
      </c>
      <c r="E91" s="128">
        <v>100</v>
      </c>
      <c r="F91" s="86" t="s">
        <v>4</v>
      </c>
      <c r="G91" s="301">
        <f>(H91/100)</f>
        <v>1.9118680000000001</v>
      </c>
      <c r="H91" s="112">
        <v>191.18680000000001</v>
      </c>
    </row>
    <row r="92" spans="1:8" x14ac:dyDescent="0.2">
      <c r="A92" s="104"/>
      <c r="B92" s="42" t="s">
        <v>156</v>
      </c>
      <c r="C92" s="132" t="s">
        <v>11</v>
      </c>
      <c r="D92" s="135" t="s">
        <v>64</v>
      </c>
      <c r="E92" s="66">
        <v>100</v>
      </c>
      <c r="F92" s="29" t="s">
        <v>4</v>
      </c>
      <c r="G92" s="301">
        <f t="shared" ref="G92:G95" si="9">(H92/100)</f>
        <v>2.8487680000000002</v>
      </c>
      <c r="H92" s="111">
        <v>284.8768</v>
      </c>
    </row>
    <row r="93" spans="1:8" x14ac:dyDescent="0.2">
      <c r="A93" s="104"/>
      <c r="B93" s="42" t="s">
        <v>156</v>
      </c>
      <c r="C93" s="132" t="s">
        <v>11</v>
      </c>
      <c r="D93" s="126" t="s">
        <v>49</v>
      </c>
      <c r="E93" s="66">
        <v>100</v>
      </c>
      <c r="F93" s="29" t="s">
        <v>4</v>
      </c>
      <c r="G93" s="301">
        <f t="shared" si="9"/>
        <v>4.6748000000000012</v>
      </c>
      <c r="H93" s="111">
        <v>467.48000000000013</v>
      </c>
    </row>
    <row r="94" spans="1:8" x14ac:dyDescent="0.2">
      <c r="A94" s="104"/>
      <c r="B94" s="42" t="s">
        <v>156</v>
      </c>
      <c r="C94" s="132" t="s">
        <v>11</v>
      </c>
      <c r="D94" s="135" t="s">
        <v>60</v>
      </c>
      <c r="E94" s="66">
        <v>100</v>
      </c>
      <c r="F94" s="123" t="s">
        <v>4</v>
      </c>
      <c r="G94" s="301">
        <f t="shared" si="9"/>
        <v>7.2744000000000009</v>
      </c>
      <c r="H94" s="111">
        <v>727.44</v>
      </c>
    </row>
    <row r="95" spans="1:8" x14ac:dyDescent="0.2">
      <c r="A95" s="104"/>
      <c r="B95" s="42" t="s">
        <v>156</v>
      </c>
      <c r="C95" s="132" t="s">
        <v>11</v>
      </c>
      <c r="D95" s="135" t="s">
        <v>80</v>
      </c>
      <c r="E95" s="66">
        <v>101</v>
      </c>
      <c r="F95" s="123" t="s">
        <v>4</v>
      </c>
      <c r="G95" s="301">
        <f t="shared" si="9"/>
        <v>25.485000000000003</v>
      </c>
      <c r="H95" s="111">
        <v>2548.5000000000005</v>
      </c>
    </row>
    <row r="96" spans="1:8" x14ac:dyDescent="0.2">
      <c r="B96" s="56"/>
      <c r="C96" s="51"/>
      <c r="D96" s="55"/>
      <c r="E96" s="109"/>
      <c r="F96" s="33"/>
      <c r="H96" s="122"/>
    </row>
    <row r="97" spans="1:8" x14ac:dyDescent="0.2">
      <c r="B97" s="36" t="s">
        <v>157</v>
      </c>
      <c r="C97" s="129"/>
      <c r="D97" s="130"/>
      <c r="E97" s="110"/>
      <c r="F97" s="49"/>
      <c r="G97" s="49"/>
      <c r="H97" s="121"/>
    </row>
    <row r="98" spans="1:8" x14ac:dyDescent="0.2">
      <c r="A98" s="104"/>
      <c r="B98" s="76" t="s">
        <v>157</v>
      </c>
      <c r="C98" s="136" t="s">
        <v>11</v>
      </c>
      <c r="D98" s="141" t="s">
        <v>63</v>
      </c>
      <c r="E98" s="128">
        <v>100</v>
      </c>
      <c r="F98" s="86" t="s">
        <v>4</v>
      </c>
      <c r="G98" s="301">
        <f>(H98/100)</f>
        <v>1.9120000000000001</v>
      </c>
      <c r="H98" s="112">
        <v>191.20000000000002</v>
      </c>
    </row>
    <row r="99" spans="1:8" x14ac:dyDescent="0.2">
      <c r="A99" s="104"/>
      <c r="B99" s="42" t="s">
        <v>157</v>
      </c>
      <c r="C99" s="132" t="s">
        <v>11</v>
      </c>
      <c r="D99" s="135" t="s">
        <v>64</v>
      </c>
      <c r="E99" s="66">
        <v>100</v>
      </c>
      <c r="F99" s="29" t="s">
        <v>4</v>
      </c>
      <c r="G99" s="301">
        <f>(H99/100)</f>
        <v>2.9360000000000004</v>
      </c>
      <c r="H99" s="111">
        <v>293.60000000000002</v>
      </c>
    </row>
    <row r="100" spans="1:8" x14ac:dyDescent="0.2">
      <c r="A100" s="8"/>
      <c r="B100" s="56"/>
      <c r="C100" s="51"/>
      <c r="D100" s="127"/>
      <c r="E100" s="109"/>
      <c r="F100" s="33"/>
      <c r="G100" s="244"/>
    </row>
    <row r="101" spans="1:8" x14ac:dyDescent="0.2">
      <c r="A101" s="8"/>
      <c r="B101" s="56"/>
      <c r="C101" s="51"/>
      <c r="D101" s="55"/>
      <c r="E101" s="109"/>
      <c r="F101" s="33"/>
      <c r="G101" s="122"/>
    </row>
    <row r="102" spans="1:8" x14ac:dyDescent="0.2">
      <c r="A102" s="8"/>
      <c r="B102" s="56"/>
      <c r="C102" s="51"/>
      <c r="D102" s="55"/>
      <c r="E102" s="109"/>
      <c r="F102" s="33"/>
      <c r="G102" s="122"/>
    </row>
    <row r="103" spans="1:8" x14ac:dyDescent="0.2">
      <c r="A103" s="8"/>
      <c r="B103" s="56"/>
      <c r="C103" s="51"/>
      <c r="D103" s="55"/>
      <c r="E103" s="109"/>
      <c r="F103" s="33"/>
      <c r="G103" s="122"/>
    </row>
    <row r="104" spans="1:8" x14ac:dyDescent="0.2">
      <c r="A104" s="8"/>
      <c r="B104" s="56"/>
      <c r="C104" s="51"/>
      <c r="D104" s="55"/>
      <c r="E104" s="109"/>
      <c r="F104" s="33"/>
      <c r="G104" s="122"/>
    </row>
    <row r="105" spans="1:8" x14ac:dyDescent="0.2">
      <c r="A105" s="8"/>
      <c r="B105" s="56"/>
      <c r="C105" s="51"/>
      <c r="D105" s="55"/>
      <c r="E105" s="109"/>
      <c r="F105" s="33"/>
      <c r="G105" s="122"/>
    </row>
    <row r="106" spans="1:8" x14ac:dyDescent="0.2">
      <c r="A106" s="8"/>
      <c r="B106" s="56"/>
      <c r="C106" s="51"/>
      <c r="D106" s="55"/>
      <c r="E106" s="109"/>
      <c r="F106" s="33"/>
      <c r="G106" s="122"/>
    </row>
    <row r="107" spans="1:8" x14ac:dyDescent="0.2">
      <c r="A107" s="8"/>
      <c r="B107" s="56"/>
      <c r="C107" s="51"/>
      <c r="D107" s="55"/>
      <c r="E107" s="109"/>
      <c r="F107" s="33"/>
      <c r="G107" s="122"/>
    </row>
    <row r="108" spans="1:8" x14ac:dyDescent="0.2">
      <c r="A108" s="8"/>
      <c r="B108" s="56"/>
      <c r="C108" s="51"/>
      <c r="D108" s="55"/>
      <c r="E108" s="109"/>
      <c r="F108" s="33"/>
      <c r="G108" s="122"/>
    </row>
    <row r="109" spans="1:8" x14ac:dyDescent="0.2">
      <c r="A109" s="8"/>
      <c r="B109" s="56"/>
      <c r="C109" s="51"/>
      <c r="D109" s="55"/>
      <c r="E109" s="109"/>
      <c r="F109" s="33"/>
      <c r="G109" s="122"/>
    </row>
    <row r="110" spans="1:8" x14ac:dyDescent="0.2">
      <c r="A110" s="8"/>
      <c r="B110" s="56"/>
      <c r="C110" s="51"/>
      <c r="D110" s="55"/>
      <c r="E110" s="109"/>
      <c r="F110" s="33"/>
      <c r="G110" s="122"/>
    </row>
    <row r="111" spans="1:8" x14ac:dyDescent="0.2">
      <c r="A111" s="8"/>
      <c r="B111" s="56"/>
      <c r="C111" s="51"/>
      <c r="D111" s="55"/>
      <c r="E111" s="109"/>
      <c r="F111" s="33"/>
      <c r="G111" s="122"/>
    </row>
    <row r="112" spans="1:8" x14ac:dyDescent="0.2">
      <c r="A112" s="8"/>
      <c r="B112" s="56"/>
      <c r="C112" s="51"/>
      <c r="D112" s="55"/>
      <c r="E112" s="109"/>
      <c r="F112" s="33"/>
      <c r="G112" s="122"/>
    </row>
    <row r="113" spans="1:7" x14ac:dyDescent="0.2">
      <c r="A113" s="8"/>
      <c r="B113" s="56"/>
      <c r="C113" s="51"/>
      <c r="D113" s="55"/>
      <c r="E113" s="109"/>
      <c r="F113" s="33"/>
      <c r="G113" s="122"/>
    </row>
    <row r="114" spans="1:7" x14ac:dyDescent="0.2">
      <c r="A114" s="8"/>
      <c r="B114" s="56"/>
      <c r="C114" s="51"/>
      <c r="D114" s="55"/>
      <c r="E114" s="109"/>
      <c r="F114" s="33"/>
      <c r="G114" s="122"/>
    </row>
    <row r="115" spans="1:7" x14ac:dyDescent="0.2">
      <c r="A115" s="8"/>
      <c r="B115" s="56"/>
      <c r="C115" s="51"/>
      <c r="D115" s="55"/>
      <c r="E115" s="109"/>
      <c r="F115" s="33"/>
      <c r="G115" s="122"/>
    </row>
    <row r="116" spans="1:7" x14ac:dyDescent="0.2">
      <c r="A116" s="8"/>
      <c r="B116" s="56"/>
      <c r="C116" s="51"/>
      <c r="D116" s="55"/>
      <c r="E116" s="109"/>
      <c r="F116" s="33"/>
      <c r="G116" s="122"/>
    </row>
    <row r="117" spans="1:7" x14ac:dyDescent="0.2">
      <c r="A117" s="8"/>
      <c r="B117" s="56"/>
      <c r="C117" s="51"/>
      <c r="D117" s="55"/>
      <c r="E117" s="109"/>
      <c r="F117" s="33"/>
      <c r="G117" s="122"/>
    </row>
    <row r="118" spans="1:7" x14ac:dyDescent="0.2">
      <c r="A118" s="8"/>
      <c r="B118" s="56"/>
      <c r="C118" s="51"/>
      <c r="D118" s="55"/>
      <c r="E118" s="109"/>
      <c r="F118" s="33"/>
      <c r="G118" s="122"/>
    </row>
    <row r="119" spans="1:7" x14ac:dyDescent="0.2">
      <c r="A119" s="8"/>
      <c r="B119" s="56"/>
      <c r="C119" s="51"/>
      <c r="D119" s="55"/>
      <c r="E119" s="109"/>
      <c r="F119" s="33"/>
      <c r="G119" s="122"/>
    </row>
    <row r="120" spans="1:7" x14ac:dyDescent="0.2">
      <c r="A120" s="8"/>
      <c r="B120" s="56"/>
      <c r="C120" s="51"/>
      <c r="D120" s="55"/>
      <c r="E120" s="109"/>
      <c r="F120" s="33"/>
      <c r="G120" s="122"/>
    </row>
    <row r="121" spans="1:7" x14ac:dyDescent="0.2">
      <c r="B121" s="32"/>
      <c r="C121" s="32"/>
      <c r="D121" s="34"/>
      <c r="E121" s="35"/>
      <c r="F121" s="35"/>
      <c r="G121" s="115"/>
    </row>
    <row r="122" spans="1:7" x14ac:dyDescent="0.2">
      <c r="B122" s="32"/>
      <c r="C122" s="32"/>
      <c r="D122" s="34"/>
      <c r="E122" s="35"/>
      <c r="F122" s="35"/>
      <c r="G122" s="115"/>
    </row>
    <row r="123" spans="1:7" x14ac:dyDescent="0.2">
      <c r="B123" s="56" t="s">
        <v>40</v>
      </c>
      <c r="C123" s="32"/>
      <c r="D123" s="34"/>
      <c r="E123" s="35"/>
      <c r="F123" s="35"/>
      <c r="G123" s="115"/>
    </row>
    <row r="124" spans="1:7" x14ac:dyDescent="0.2">
      <c r="B124" s="56" t="s">
        <v>36</v>
      </c>
      <c r="C124" s="32"/>
      <c r="D124" s="34"/>
      <c r="E124" s="35"/>
      <c r="F124" s="35"/>
      <c r="G124" s="115"/>
    </row>
    <row r="125" spans="1:7" x14ac:dyDescent="0.2">
      <c r="B125" s="56" t="s">
        <v>51</v>
      </c>
      <c r="C125" s="32"/>
      <c r="D125" s="34"/>
      <c r="E125" s="35"/>
      <c r="F125" s="35"/>
      <c r="G125" s="115"/>
    </row>
    <row r="126" spans="1:7" x14ac:dyDescent="0.2">
      <c r="B126" s="32"/>
      <c r="C126" s="32"/>
      <c r="D126" s="34"/>
      <c r="E126" s="35"/>
      <c r="F126" s="35"/>
      <c r="G126" s="115"/>
    </row>
  </sheetData>
  <mergeCells count="1">
    <mergeCell ref="G24:H24"/>
  </mergeCells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175"/>
  <sheetViews>
    <sheetView topLeftCell="A126" zoomScaleNormal="100" workbookViewId="0">
      <selection activeCell="J129" sqref="J129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4.7109375" style="113" customWidth="1"/>
    <col min="8" max="8" width="12.5703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3" spans="2:2" x14ac:dyDescent="0.2">
      <c r="B13" s="56" t="str">
        <f>'Pro Race'!B14</f>
        <v>prices are ex-taxes and can be changed without prior notice</v>
      </c>
    </row>
    <row r="14" spans="2:2" x14ac:dyDescent="0.2">
      <c r="B14" s="56" t="str">
        <f>'Pro Race'!B15</f>
        <v>position EXW Factory Portugal</v>
      </c>
    </row>
    <row r="15" spans="2:2" x14ac:dyDescent="0.2">
      <c r="B15" s="56" t="str">
        <f>'Pro Race'!B16</f>
        <v>alpha ropes®</v>
      </c>
    </row>
    <row r="16" spans="2:2" x14ac:dyDescent="0.2">
      <c r="B16" s="56" t="str">
        <f>'Pro Race'!B17</f>
        <v>valid from January 1st, 2017</v>
      </c>
    </row>
    <row r="23" spans="2:8" ht="13.5" thickBot="1" x14ac:dyDescent="0.25">
      <c r="B23" s="32"/>
      <c r="C23" s="32"/>
      <c r="D23" s="32"/>
      <c r="E23" s="32"/>
      <c r="F23" s="32"/>
      <c r="G23" s="115"/>
    </row>
    <row r="24" spans="2:8" ht="24.75" customHeight="1" thickTop="1" x14ac:dyDescent="0.2">
      <c r="B24" s="152" t="s">
        <v>70</v>
      </c>
      <c r="C24" s="153"/>
      <c r="D24" s="154"/>
      <c r="E24" s="155"/>
      <c r="F24" s="156"/>
      <c r="G24" s="326" t="s">
        <v>69</v>
      </c>
      <c r="H24" s="326"/>
    </row>
    <row r="25" spans="2:8" x14ac:dyDescent="0.2">
      <c r="B25" s="32"/>
      <c r="C25" s="32"/>
      <c r="D25" s="32"/>
      <c r="E25" s="32"/>
      <c r="F25" s="32"/>
      <c r="H25" s="115"/>
    </row>
    <row r="26" spans="2:8" x14ac:dyDescent="0.2">
      <c r="B26" s="82" t="s">
        <v>0</v>
      </c>
      <c r="C26" s="274" t="s">
        <v>1</v>
      </c>
      <c r="D26" s="275" t="s">
        <v>2</v>
      </c>
      <c r="E26" s="178" t="s">
        <v>3</v>
      </c>
      <c r="F26" s="178"/>
      <c r="G26" s="256" t="str">
        <f>'Pro Race'!G26</f>
        <v>Retail  €/mt</v>
      </c>
      <c r="H26" s="256" t="str">
        <f>'Pro Race'!H26</f>
        <v>Retail  €/100mt</v>
      </c>
    </row>
    <row r="27" spans="2:8" x14ac:dyDescent="0.2">
      <c r="B27" s="46" t="s">
        <v>22</v>
      </c>
      <c r="C27" s="47"/>
      <c r="D27" s="48"/>
      <c r="E27" s="64"/>
      <c r="F27" s="64"/>
      <c r="G27" s="64"/>
      <c r="H27" s="243"/>
    </row>
    <row r="28" spans="2:8" x14ac:dyDescent="0.2">
      <c r="B28" s="84" t="s">
        <v>22</v>
      </c>
      <c r="C28" s="85" t="s">
        <v>7</v>
      </c>
      <c r="D28" s="263">
        <v>2.5</v>
      </c>
      <c r="E28" s="107">
        <v>200</v>
      </c>
      <c r="F28" s="251" t="s">
        <v>4</v>
      </c>
      <c r="G28" s="301">
        <f>(H28/100)</f>
        <v>0.83031750000000015</v>
      </c>
      <c r="H28" s="120">
        <v>83.031750000000017</v>
      </c>
    </row>
    <row r="29" spans="2:8" x14ac:dyDescent="0.2">
      <c r="B29" s="84" t="s">
        <v>22</v>
      </c>
      <c r="C29" s="85" t="s">
        <v>7</v>
      </c>
      <c r="D29" s="78">
        <v>3</v>
      </c>
      <c r="E29" s="71">
        <v>200</v>
      </c>
      <c r="F29" s="86" t="s">
        <v>4</v>
      </c>
      <c r="G29" s="301">
        <f t="shared" ref="G29:G43" si="0">(H29/100)</f>
        <v>1.3127812500000002</v>
      </c>
      <c r="H29" s="118">
        <v>131.27812500000002</v>
      </c>
    </row>
    <row r="30" spans="2:8" x14ac:dyDescent="0.2">
      <c r="B30" s="26" t="s">
        <v>22</v>
      </c>
      <c r="C30" s="27" t="s">
        <v>7</v>
      </c>
      <c r="D30" s="30">
        <v>4</v>
      </c>
      <c r="E30" s="71">
        <v>200</v>
      </c>
      <c r="F30" s="29" t="s">
        <v>4</v>
      </c>
      <c r="G30" s="301">
        <f t="shared" si="0"/>
        <v>1.8109014084507045</v>
      </c>
      <c r="H30" s="118">
        <v>181.09014084507044</v>
      </c>
    </row>
    <row r="31" spans="2:8" x14ac:dyDescent="0.2">
      <c r="B31" s="26" t="s">
        <v>22</v>
      </c>
      <c r="C31" s="27" t="s">
        <v>7</v>
      </c>
      <c r="D31" s="30">
        <v>5</v>
      </c>
      <c r="E31" s="71">
        <v>200</v>
      </c>
      <c r="F31" s="29" t="s">
        <v>4</v>
      </c>
      <c r="G31" s="301">
        <f t="shared" si="0"/>
        <v>3.4230000000000005</v>
      </c>
      <c r="H31" s="118">
        <v>342.30000000000007</v>
      </c>
    </row>
    <row r="32" spans="2:8" x14ac:dyDescent="0.2">
      <c r="B32" s="26" t="s">
        <v>22</v>
      </c>
      <c r="C32" s="27" t="s">
        <v>7</v>
      </c>
      <c r="D32" s="30">
        <v>6</v>
      </c>
      <c r="E32" s="71">
        <v>200</v>
      </c>
      <c r="F32" s="29" t="s">
        <v>4</v>
      </c>
      <c r="G32" s="301">
        <f t="shared" si="0"/>
        <v>4.6249500000000001</v>
      </c>
      <c r="H32" s="118">
        <v>462.495</v>
      </c>
    </row>
    <row r="33" spans="2:8" x14ac:dyDescent="0.2">
      <c r="B33" s="26" t="s">
        <v>22</v>
      </c>
      <c r="C33" s="27" t="s">
        <v>7</v>
      </c>
      <c r="D33" s="30">
        <v>7</v>
      </c>
      <c r="E33" s="71">
        <v>200</v>
      </c>
      <c r="F33" s="29" t="s">
        <v>4</v>
      </c>
      <c r="G33" s="301">
        <f t="shared" si="0"/>
        <v>5.8863000000000003</v>
      </c>
      <c r="H33" s="118">
        <v>588.63</v>
      </c>
    </row>
    <row r="34" spans="2:8" x14ac:dyDescent="0.2">
      <c r="B34" s="26" t="s">
        <v>22</v>
      </c>
      <c r="C34" s="27" t="s">
        <v>7</v>
      </c>
      <c r="D34" s="30">
        <v>8</v>
      </c>
      <c r="E34" s="71">
        <v>200</v>
      </c>
      <c r="F34" s="29" t="s">
        <v>4</v>
      </c>
      <c r="G34" s="301">
        <f t="shared" si="0"/>
        <v>8.1505125000000014</v>
      </c>
      <c r="H34" s="118">
        <v>815.0512500000001</v>
      </c>
    </row>
    <row r="35" spans="2:8" x14ac:dyDescent="0.2">
      <c r="B35" s="26" t="s">
        <v>22</v>
      </c>
      <c r="C35" s="27" t="s">
        <v>7</v>
      </c>
      <c r="D35" s="30">
        <v>9</v>
      </c>
      <c r="E35" s="71">
        <v>200</v>
      </c>
      <c r="F35" s="29" t="s">
        <v>4</v>
      </c>
      <c r="G35" s="301">
        <f t="shared" si="0"/>
        <v>11.076337499999999</v>
      </c>
      <c r="H35" s="118">
        <v>1107.63375</v>
      </c>
    </row>
    <row r="36" spans="2:8" x14ac:dyDescent="0.2">
      <c r="B36" s="26" t="s">
        <v>22</v>
      </c>
      <c r="C36" s="27" t="s">
        <v>7</v>
      </c>
      <c r="D36" s="30">
        <v>10</v>
      </c>
      <c r="E36" s="71">
        <v>200</v>
      </c>
      <c r="F36" s="29" t="s">
        <v>4</v>
      </c>
      <c r="G36" s="301">
        <f t="shared" si="0"/>
        <v>12.7482375</v>
      </c>
      <c r="H36" s="118">
        <v>1274.82375</v>
      </c>
    </row>
    <row r="37" spans="2:8" x14ac:dyDescent="0.2">
      <c r="B37" s="26" t="s">
        <v>22</v>
      </c>
      <c r="C37" s="27" t="s">
        <v>7</v>
      </c>
      <c r="D37" s="30">
        <v>12</v>
      </c>
      <c r="E37" s="71">
        <v>200</v>
      </c>
      <c r="F37" s="29" t="s">
        <v>4</v>
      </c>
      <c r="G37" s="301">
        <f t="shared" si="0"/>
        <v>14.538260869565219</v>
      </c>
      <c r="H37" s="118">
        <v>1453.826086956522</v>
      </c>
    </row>
    <row r="38" spans="2:8" x14ac:dyDescent="0.2">
      <c r="B38" s="26" t="s">
        <v>22</v>
      </c>
      <c r="C38" s="27" t="s">
        <v>7</v>
      </c>
      <c r="D38" s="30">
        <v>14</v>
      </c>
      <c r="E38" s="71">
        <v>100</v>
      </c>
      <c r="F38" s="29" t="s">
        <v>4</v>
      </c>
      <c r="G38" s="301">
        <f t="shared" si="0"/>
        <v>16.411621621621624</v>
      </c>
      <c r="H38" s="118">
        <v>1641.1621621621623</v>
      </c>
    </row>
    <row r="39" spans="2:8" x14ac:dyDescent="0.2">
      <c r="B39" s="26" t="s">
        <v>22</v>
      </c>
      <c r="C39" s="27" t="s">
        <v>7</v>
      </c>
      <c r="D39" s="30">
        <v>16</v>
      </c>
      <c r="E39" s="71">
        <v>100</v>
      </c>
      <c r="F39" s="29" t="s">
        <v>4</v>
      </c>
      <c r="G39" s="301">
        <f t="shared" si="0"/>
        <v>21.882162162162164</v>
      </c>
      <c r="H39" s="118">
        <v>2188.2162162162163</v>
      </c>
    </row>
    <row r="40" spans="2:8" x14ac:dyDescent="0.2">
      <c r="B40" s="26" t="s">
        <v>22</v>
      </c>
      <c r="C40" s="27" t="s">
        <v>7</v>
      </c>
      <c r="D40" s="30">
        <v>18</v>
      </c>
      <c r="E40" s="71">
        <v>100</v>
      </c>
      <c r="F40" s="29" t="s">
        <v>4</v>
      </c>
      <c r="G40" s="301">
        <f t="shared" si="0"/>
        <v>27.535054054054054</v>
      </c>
      <c r="H40" s="118">
        <v>2753.5054054054053</v>
      </c>
    </row>
    <row r="41" spans="2:8" x14ac:dyDescent="0.2">
      <c r="B41" s="26" t="s">
        <v>22</v>
      </c>
      <c r="C41" s="27" t="s">
        <v>7</v>
      </c>
      <c r="D41" s="30">
        <v>20</v>
      </c>
      <c r="E41" s="71">
        <v>100</v>
      </c>
      <c r="F41" s="29" t="s">
        <v>4</v>
      </c>
      <c r="G41" s="301">
        <f t="shared" si="0"/>
        <v>30.999729729729729</v>
      </c>
      <c r="H41" s="118">
        <v>3099.9729729729729</v>
      </c>
    </row>
    <row r="42" spans="2:8" x14ac:dyDescent="0.2">
      <c r="B42" s="26" t="s">
        <v>22</v>
      </c>
      <c r="C42" s="27" t="s">
        <v>7</v>
      </c>
      <c r="D42" s="31">
        <v>22</v>
      </c>
      <c r="E42" s="71">
        <v>100</v>
      </c>
      <c r="F42" s="29" t="s">
        <v>4</v>
      </c>
      <c r="G42" s="301">
        <f t="shared" si="0"/>
        <v>34.646756756756758</v>
      </c>
      <c r="H42" s="118">
        <v>3464.6756756756758</v>
      </c>
    </row>
    <row r="43" spans="2:8" x14ac:dyDescent="0.2">
      <c r="B43" s="26" t="s">
        <v>22</v>
      </c>
      <c r="C43" s="27" t="s">
        <v>7</v>
      </c>
      <c r="D43" s="31">
        <v>24</v>
      </c>
      <c r="E43" s="71">
        <v>100</v>
      </c>
      <c r="F43" s="29" t="s">
        <v>4</v>
      </c>
      <c r="G43" s="301">
        <f t="shared" si="0"/>
        <v>42.305513513513517</v>
      </c>
      <c r="H43" s="118">
        <v>4230.5513513513515</v>
      </c>
    </row>
    <row r="44" spans="2:8" x14ac:dyDescent="0.2">
      <c r="B44" s="266"/>
      <c r="C44" s="267"/>
      <c r="D44" s="268"/>
      <c r="E44" s="269"/>
      <c r="F44" s="270"/>
      <c r="H44" s="244"/>
    </row>
    <row r="45" spans="2:8" x14ac:dyDescent="0.2">
      <c r="B45" s="36" t="s">
        <v>24</v>
      </c>
      <c r="C45" s="37"/>
      <c r="D45" s="38"/>
      <c r="E45" s="59"/>
      <c r="F45" s="40"/>
      <c r="G45" s="40"/>
      <c r="H45" s="243"/>
    </row>
    <row r="46" spans="2:8" x14ac:dyDescent="0.2">
      <c r="B46" s="76" t="s">
        <v>24</v>
      </c>
      <c r="C46" s="85" t="s">
        <v>25</v>
      </c>
      <c r="D46" s="273">
        <v>3</v>
      </c>
      <c r="E46" s="128">
        <v>200</v>
      </c>
      <c r="F46" s="86" t="s">
        <v>4</v>
      </c>
      <c r="G46" s="301">
        <f>(H46/100)</f>
        <v>1.4525901639344267</v>
      </c>
      <c r="H46" s="120">
        <v>145.25901639344266</v>
      </c>
    </row>
    <row r="47" spans="2:8" x14ac:dyDescent="0.2">
      <c r="B47" s="42" t="s">
        <v>24</v>
      </c>
      <c r="C47" s="27" t="s">
        <v>25</v>
      </c>
      <c r="D47" s="43">
        <v>4</v>
      </c>
      <c r="E47" s="66">
        <v>200</v>
      </c>
      <c r="F47" s="29" t="s">
        <v>4</v>
      </c>
      <c r="G47" s="301">
        <f t="shared" ref="G47:G56" si="1">(H47/100)</f>
        <v>1.7230250000000005</v>
      </c>
      <c r="H47" s="118">
        <v>172.30250000000004</v>
      </c>
    </row>
    <row r="48" spans="2:8" x14ac:dyDescent="0.2">
      <c r="B48" s="42" t="s">
        <v>24</v>
      </c>
      <c r="C48" s="27" t="s">
        <v>25</v>
      </c>
      <c r="D48" s="43">
        <v>5</v>
      </c>
      <c r="E48" s="66">
        <v>200</v>
      </c>
      <c r="F48" s="29" t="s">
        <v>4</v>
      </c>
      <c r="G48" s="301">
        <f t="shared" si="1"/>
        <v>3.2628750000000006</v>
      </c>
      <c r="H48" s="118">
        <v>326.28750000000008</v>
      </c>
    </row>
    <row r="49" spans="1:8" x14ac:dyDescent="0.2">
      <c r="B49" s="42" t="s">
        <v>24</v>
      </c>
      <c r="C49" s="27" t="s">
        <v>25</v>
      </c>
      <c r="D49" s="43">
        <v>6</v>
      </c>
      <c r="E49" s="66">
        <v>200</v>
      </c>
      <c r="F49" s="29" t="s">
        <v>4</v>
      </c>
      <c r="G49" s="301">
        <f t="shared" si="1"/>
        <v>4.3379999999999992</v>
      </c>
      <c r="H49" s="118">
        <v>433.7999999999999</v>
      </c>
    </row>
    <row r="50" spans="1:8" x14ac:dyDescent="0.2">
      <c r="B50" s="42" t="s">
        <v>24</v>
      </c>
      <c r="C50" s="27" t="s">
        <v>25</v>
      </c>
      <c r="D50" s="43">
        <v>7</v>
      </c>
      <c r="E50" s="66">
        <v>200</v>
      </c>
      <c r="F50" s="29" t="s">
        <v>4</v>
      </c>
      <c r="G50" s="301">
        <f t="shared" si="1"/>
        <v>5.6394000000000002</v>
      </c>
      <c r="H50" s="118">
        <v>563.94000000000005</v>
      </c>
    </row>
    <row r="51" spans="1:8" x14ac:dyDescent="0.2">
      <c r="B51" s="42" t="s">
        <v>24</v>
      </c>
      <c r="C51" s="27" t="s">
        <v>25</v>
      </c>
      <c r="D51" s="43">
        <v>8</v>
      </c>
      <c r="E51" s="66">
        <v>200</v>
      </c>
      <c r="F51" s="29" t="s">
        <v>4</v>
      </c>
      <c r="G51" s="301">
        <f t="shared" si="1"/>
        <v>7.741575000000001</v>
      </c>
      <c r="H51" s="118">
        <v>774.15750000000014</v>
      </c>
    </row>
    <row r="52" spans="1:8" x14ac:dyDescent="0.2">
      <c r="B52" s="42" t="s">
        <v>24</v>
      </c>
      <c r="C52" s="27" t="s">
        <v>25</v>
      </c>
      <c r="D52" s="43">
        <v>9</v>
      </c>
      <c r="E52" s="66">
        <v>200</v>
      </c>
      <c r="F52" s="29" t="s">
        <v>4</v>
      </c>
      <c r="G52" s="301">
        <f t="shared" si="1"/>
        <v>10.809532500000003</v>
      </c>
      <c r="H52" s="118">
        <v>1080.9532500000003</v>
      </c>
    </row>
    <row r="53" spans="1:8" x14ac:dyDescent="0.2">
      <c r="B53" s="42" t="s">
        <v>24</v>
      </c>
      <c r="C53" s="27" t="s">
        <v>25</v>
      </c>
      <c r="D53" s="43">
        <v>10</v>
      </c>
      <c r="E53" s="66">
        <v>200</v>
      </c>
      <c r="F53" s="29" t="s">
        <v>4</v>
      </c>
      <c r="G53" s="301">
        <f t="shared" si="1"/>
        <v>12.615900000000003</v>
      </c>
      <c r="H53" s="118">
        <v>1261.5900000000004</v>
      </c>
    </row>
    <row r="54" spans="1:8" x14ac:dyDescent="0.2">
      <c r="B54" s="42" t="s">
        <v>24</v>
      </c>
      <c r="C54" s="27" t="s">
        <v>25</v>
      </c>
      <c r="D54" s="43">
        <v>12</v>
      </c>
      <c r="E54" s="66">
        <v>200</v>
      </c>
      <c r="F54" s="29" t="s">
        <v>4</v>
      </c>
      <c r="G54" s="301">
        <f t="shared" si="1"/>
        <v>15.339787500000005</v>
      </c>
      <c r="H54" s="118">
        <v>1533.9787500000004</v>
      </c>
    </row>
    <row r="55" spans="1:8" x14ac:dyDescent="0.2">
      <c r="B55" s="42" t="s">
        <v>24</v>
      </c>
      <c r="C55" s="27" t="s">
        <v>25</v>
      </c>
      <c r="D55" s="43">
        <v>14</v>
      </c>
      <c r="E55" s="66">
        <v>100</v>
      </c>
      <c r="F55" s="29" t="s">
        <v>4</v>
      </c>
      <c r="G55" s="301">
        <f t="shared" si="1"/>
        <v>18.007125000000002</v>
      </c>
      <c r="H55" s="118">
        <v>1800.7125000000001</v>
      </c>
    </row>
    <row r="56" spans="1:8" x14ac:dyDescent="0.2">
      <c r="B56" s="42" t="s">
        <v>24</v>
      </c>
      <c r="C56" s="27" t="s">
        <v>25</v>
      </c>
      <c r="D56" s="43">
        <v>16</v>
      </c>
      <c r="E56" s="66">
        <v>100</v>
      </c>
      <c r="F56" s="29" t="s">
        <v>4</v>
      </c>
      <c r="G56" s="301">
        <f t="shared" si="1"/>
        <v>24.832406250000005</v>
      </c>
      <c r="H56" s="118">
        <v>2483.2406250000004</v>
      </c>
    </row>
    <row r="57" spans="1:8" x14ac:dyDescent="0.2">
      <c r="A57" s="8"/>
      <c r="B57" s="53"/>
      <c r="C57" s="51"/>
      <c r="D57" s="133"/>
      <c r="E57" s="106"/>
      <c r="F57" s="33"/>
      <c r="H57" s="244"/>
    </row>
    <row r="58" spans="1:8" x14ac:dyDescent="0.2">
      <c r="B58" s="36" t="s">
        <v>21</v>
      </c>
      <c r="C58" s="37"/>
      <c r="D58" s="38"/>
      <c r="E58" s="59"/>
      <c r="F58" s="40"/>
      <c r="G58" s="40"/>
      <c r="H58" s="243"/>
    </row>
    <row r="59" spans="1:8" x14ac:dyDescent="0.2">
      <c r="A59" s="104"/>
      <c r="B59" s="76" t="s">
        <v>21</v>
      </c>
      <c r="C59" s="85" t="s">
        <v>7</v>
      </c>
      <c r="D59" s="273">
        <v>8</v>
      </c>
      <c r="E59" s="128">
        <v>200</v>
      </c>
      <c r="F59" s="86" t="s">
        <v>4</v>
      </c>
      <c r="G59" s="301">
        <f>(H59/100)</f>
        <v>4.1154864406779668</v>
      </c>
      <c r="H59" s="120">
        <v>411.54864406779666</v>
      </c>
    </row>
    <row r="60" spans="1:8" x14ac:dyDescent="0.2">
      <c r="B60" s="42" t="s">
        <v>21</v>
      </c>
      <c r="C60" s="27" t="s">
        <v>7</v>
      </c>
      <c r="D60" s="43">
        <v>10</v>
      </c>
      <c r="E60" s="66">
        <v>200</v>
      </c>
      <c r="F60" s="29" t="s">
        <v>4</v>
      </c>
      <c r="G60" s="301">
        <f t="shared" ref="G60:G65" si="2">(H60/100)</f>
        <v>6.6052830508474578</v>
      </c>
      <c r="H60" s="118">
        <v>660.52830508474574</v>
      </c>
    </row>
    <row r="61" spans="1:8" x14ac:dyDescent="0.2">
      <c r="B61" s="42" t="s">
        <v>21</v>
      </c>
      <c r="C61" s="27" t="s">
        <v>7</v>
      </c>
      <c r="D61" s="43">
        <v>12</v>
      </c>
      <c r="E61" s="66">
        <v>200</v>
      </c>
      <c r="F61" s="29" t="s">
        <v>4</v>
      </c>
      <c r="G61" s="301">
        <f t="shared" si="2"/>
        <v>9.5306250000000006</v>
      </c>
      <c r="H61" s="118">
        <v>953.0625</v>
      </c>
    </row>
    <row r="62" spans="1:8" x14ac:dyDescent="0.2">
      <c r="B62" s="42" t="s">
        <v>21</v>
      </c>
      <c r="C62" s="27" t="s">
        <v>7</v>
      </c>
      <c r="D62" s="43">
        <v>14</v>
      </c>
      <c r="E62" s="66">
        <v>100</v>
      </c>
      <c r="F62" s="29" t="s">
        <v>4</v>
      </c>
      <c r="G62" s="301">
        <f t="shared" si="2"/>
        <v>14.168390625000002</v>
      </c>
      <c r="H62" s="118">
        <v>1416.8390625000002</v>
      </c>
    </row>
    <row r="63" spans="1:8" x14ac:dyDescent="0.2">
      <c r="B63" s="42" t="s">
        <v>21</v>
      </c>
      <c r="C63" s="27" t="s">
        <v>7</v>
      </c>
      <c r="D63" s="43">
        <v>16</v>
      </c>
      <c r="E63" s="66">
        <v>100</v>
      </c>
      <c r="F63" s="29" t="s">
        <v>4</v>
      </c>
      <c r="G63" s="301">
        <f t="shared" si="2"/>
        <v>19.011543750000001</v>
      </c>
      <c r="H63" s="118">
        <v>1901.1543750000001</v>
      </c>
    </row>
    <row r="64" spans="1:8" x14ac:dyDescent="0.2">
      <c r="A64" s="104"/>
      <c r="B64" s="42" t="s">
        <v>21</v>
      </c>
      <c r="C64" s="27" t="s">
        <v>7</v>
      </c>
      <c r="D64" s="43">
        <v>18</v>
      </c>
      <c r="E64" s="66">
        <v>100</v>
      </c>
      <c r="F64" s="29" t="s">
        <v>4</v>
      </c>
      <c r="G64" s="301">
        <f t="shared" si="2"/>
        <v>23.385881250000008</v>
      </c>
      <c r="H64" s="118">
        <v>2338.5881250000007</v>
      </c>
    </row>
    <row r="65" spans="1:8" x14ac:dyDescent="0.2">
      <c r="A65" s="104"/>
      <c r="B65" s="42" t="s">
        <v>21</v>
      </c>
      <c r="C65" s="27" t="s">
        <v>7</v>
      </c>
      <c r="D65" s="43">
        <v>24</v>
      </c>
      <c r="E65" s="66">
        <v>100</v>
      </c>
      <c r="F65" s="29" t="s">
        <v>4</v>
      </c>
      <c r="G65" s="301">
        <f t="shared" si="2"/>
        <v>47.127547500000013</v>
      </c>
      <c r="H65" s="118">
        <v>4712.754750000001</v>
      </c>
    </row>
    <row r="66" spans="1:8" x14ac:dyDescent="0.2">
      <c r="B66" s="32"/>
      <c r="C66" s="32"/>
      <c r="D66" s="32"/>
      <c r="E66" s="35"/>
      <c r="F66" s="32"/>
      <c r="H66" s="249"/>
    </row>
    <row r="67" spans="1:8" x14ac:dyDescent="0.2">
      <c r="B67" s="46" t="s">
        <v>23</v>
      </c>
      <c r="C67" s="215"/>
      <c r="D67" s="216"/>
      <c r="E67" s="215"/>
      <c r="F67" s="49"/>
      <c r="G67" s="49"/>
      <c r="H67" s="121"/>
    </row>
    <row r="68" spans="1:8" x14ac:dyDescent="0.2">
      <c r="B68" s="84" t="s">
        <v>23</v>
      </c>
      <c r="C68" s="85" t="s">
        <v>19</v>
      </c>
      <c r="D68" s="276">
        <v>5</v>
      </c>
      <c r="E68" s="107">
        <v>200</v>
      </c>
      <c r="F68" s="86" t="s">
        <v>4</v>
      </c>
      <c r="G68" s="301">
        <f>(H68/100)</f>
        <v>2.4776644067796614</v>
      </c>
      <c r="H68" s="120">
        <v>247.76644067796613</v>
      </c>
    </row>
    <row r="69" spans="1:8" x14ac:dyDescent="0.2">
      <c r="B69" s="26" t="s">
        <v>23</v>
      </c>
      <c r="C69" s="27" t="s">
        <v>19</v>
      </c>
      <c r="D69" s="138">
        <v>6</v>
      </c>
      <c r="E69" s="71">
        <v>200</v>
      </c>
      <c r="F69" s="29" t="s">
        <v>4</v>
      </c>
      <c r="G69" s="301">
        <f t="shared" ref="G69:G77" si="3">(H69/100)</f>
        <v>2.5992488135593224</v>
      </c>
      <c r="H69" s="118">
        <v>259.92488135593226</v>
      </c>
    </row>
    <row r="70" spans="1:8" x14ac:dyDescent="0.2">
      <c r="B70" s="26" t="s">
        <v>23</v>
      </c>
      <c r="C70" s="27" t="s">
        <v>19</v>
      </c>
      <c r="D70" s="138">
        <v>7</v>
      </c>
      <c r="E70" s="71">
        <v>200</v>
      </c>
      <c r="F70" s="29" t="s">
        <v>4</v>
      </c>
      <c r="G70" s="301">
        <f t="shared" si="3"/>
        <v>3.1206050847457623</v>
      </c>
      <c r="H70" s="118">
        <v>312.06050847457624</v>
      </c>
    </row>
    <row r="71" spans="1:8" x14ac:dyDescent="0.2">
      <c r="B71" s="26" t="s">
        <v>23</v>
      </c>
      <c r="C71" s="27" t="s">
        <v>19</v>
      </c>
      <c r="D71" s="138">
        <v>8</v>
      </c>
      <c r="E71" s="71">
        <v>200</v>
      </c>
      <c r="F71" s="29" t="s">
        <v>4</v>
      </c>
      <c r="G71" s="301">
        <f t="shared" si="3"/>
        <v>5.1452745762711869</v>
      </c>
      <c r="H71" s="118">
        <v>514.52745762711868</v>
      </c>
    </row>
    <row r="72" spans="1:8" x14ac:dyDescent="0.2">
      <c r="B72" s="26" t="s">
        <v>23</v>
      </c>
      <c r="C72" s="27" t="s">
        <v>19</v>
      </c>
      <c r="D72" s="138">
        <v>9</v>
      </c>
      <c r="E72" s="71">
        <v>200</v>
      </c>
      <c r="F72" s="29" t="s">
        <v>4</v>
      </c>
      <c r="G72" s="301">
        <f t="shared" si="3"/>
        <v>6.076296610169492</v>
      </c>
      <c r="H72" s="118">
        <v>607.62966101694917</v>
      </c>
    </row>
    <row r="73" spans="1:8" x14ac:dyDescent="0.2">
      <c r="B73" s="26" t="s">
        <v>23</v>
      </c>
      <c r="C73" s="27" t="s">
        <v>19</v>
      </c>
      <c r="D73" s="138">
        <v>10</v>
      </c>
      <c r="E73" s="71">
        <v>200</v>
      </c>
      <c r="F73" s="29" t="s">
        <v>4</v>
      </c>
      <c r="G73" s="301">
        <f t="shared" si="3"/>
        <v>6.8358508474576274</v>
      </c>
      <c r="H73" s="118">
        <v>683.58508474576274</v>
      </c>
    </row>
    <row r="74" spans="1:8" x14ac:dyDescent="0.2">
      <c r="B74" s="26" t="s">
        <v>23</v>
      </c>
      <c r="C74" s="27" t="s">
        <v>19</v>
      </c>
      <c r="D74" s="138">
        <v>12</v>
      </c>
      <c r="E74" s="71">
        <v>200</v>
      </c>
      <c r="F74" s="29" t="s">
        <v>4</v>
      </c>
      <c r="G74" s="301">
        <f t="shared" si="3"/>
        <v>9.7361194029850768</v>
      </c>
      <c r="H74" s="118">
        <v>973.61194029850765</v>
      </c>
    </row>
    <row r="75" spans="1:8" x14ac:dyDescent="0.2">
      <c r="B75" s="26" t="s">
        <v>23</v>
      </c>
      <c r="C75" s="27" t="s">
        <v>19</v>
      </c>
      <c r="D75" s="138">
        <v>14</v>
      </c>
      <c r="E75" s="71">
        <v>100</v>
      </c>
      <c r="F75" s="29" t="s">
        <v>4</v>
      </c>
      <c r="G75" s="301">
        <f t="shared" si="3"/>
        <v>13.675121194029852</v>
      </c>
      <c r="H75" s="118">
        <v>1367.5121194029853</v>
      </c>
    </row>
    <row r="76" spans="1:8" x14ac:dyDescent="0.2">
      <c r="B76" s="26" t="s">
        <v>23</v>
      </c>
      <c r="C76" s="27" t="s">
        <v>19</v>
      </c>
      <c r="D76" s="138">
        <v>16</v>
      </c>
      <c r="E76" s="71">
        <v>100</v>
      </c>
      <c r="F76" s="29" t="s">
        <v>4</v>
      </c>
      <c r="G76" s="301">
        <f t="shared" si="3"/>
        <v>16.663164179104484</v>
      </c>
      <c r="H76" s="118">
        <v>1666.3164179104483</v>
      </c>
    </row>
    <row r="77" spans="1:8" x14ac:dyDescent="0.2">
      <c r="B77" s="26" t="s">
        <v>23</v>
      </c>
      <c r="C77" s="27" t="s">
        <v>19</v>
      </c>
      <c r="D77" s="138">
        <v>18</v>
      </c>
      <c r="E77" s="71">
        <v>100</v>
      </c>
      <c r="F77" s="29" t="s">
        <v>4</v>
      </c>
      <c r="G77" s="301">
        <f t="shared" si="3"/>
        <v>19.738208955223886</v>
      </c>
      <c r="H77" s="118">
        <v>1973.8208955223886</v>
      </c>
    </row>
    <row r="78" spans="1:8" x14ac:dyDescent="0.2">
      <c r="B78" s="26" t="s">
        <v>23</v>
      </c>
      <c r="C78" s="27" t="s">
        <v>19</v>
      </c>
      <c r="D78" s="138">
        <v>20</v>
      </c>
      <c r="E78" s="71">
        <v>100</v>
      </c>
      <c r="F78" s="29" t="s">
        <v>4</v>
      </c>
      <c r="G78" s="301"/>
      <c r="H78" s="118">
        <v>2691.4459701492542</v>
      </c>
    </row>
    <row r="79" spans="1:8" x14ac:dyDescent="0.2">
      <c r="B79" s="32"/>
      <c r="C79" s="32"/>
      <c r="D79" s="32"/>
      <c r="E79" s="35"/>
      <c r="F79" s="32"/>
      <c r="H79" s="249"/>
    </row>
    <row r="80" spans="1:8" x14ac:dyDescent="0.2">
      <c r="B80" s="46" t="s">
        <v>37</v>
      </c>
      <c r="C80" s="47"/>
      <c r="D80" s="48"/>
      <c r="E80" s="64"/>
      <c r="F80" s="49"/>
      <c r="G80" s="49"/>
      <c r="H80" s="250"/>
    </row>
    <row r="81" spans="1:8" x14ac:dyDescent="0.2">
      <c r="A81" s="104"/>
      <c r="B81" s="84" t="s">
        <v>37</v>
      </c>
      <c r="C81" s="85" t="s">
        <v>19</v>
      </c>
      <c r="D81" s="276">
        <v>5</v>
      </c>
      <c r="E81" s="107">
        <v>200</v>
      </c>
      <c r="F81" s="86" t="s">
        <v>4</v>
      </c>
      <c r="G81" s="301">
        <f>(H81/100)</f>
        <v>2.6058467796610176</v>
      </c>
      <c r="H81" s="120">
        <v>260.58467796610176</v>
      </c>
    </row>
    <row r="82" spans="1:8" x14ac:dyDescent="0.2">
      <c r="A82" s="104"/>
      <c r="B82" s="26" t="s">
        <v>37</v>
      </c>
      <c r="C82" s="27" t="s">
        <v>19</v>
      </c>
      <c r="D82" s="138">
        <v>6</v>
      </c>
      <c r="E82" s="71">
        <v>200</v>
      </c>
      <c r="F82" s="29" t="s">
        <v>4</v>
      </c>
      <c r="G82" s="301">
        <f t="shared" ref="G82:G90" si="4">(H82/100)</f>
        <v>2.8881510508474575</v>
      </c>
      <c r="H82" s="118">
        <v>288.81510508474577</v>
      </c>
    </row>
    <row r="83" spans="1:8" x14ac:dyDescent="0.2">
      <c r="A83" s="104"/>
      <c r="B83" s="26" t="s">
        <v>37</v>
      </c>
      <c r="C83" s="27" t="s">
        <v>19</v>
      </c>
      <c r="D83" s="138">
        <v>7</v>
      </c>
      <c r="E83" s="71">
        <v>200</v>
      </c>
      <c r="F83" s="29" t="s">
        <v>4</v>
      </c>
      <c r="G83" s="301">
        <f t="shared" si="4"/>
        <v>3.3212489491525434</v>
      </c>
      <c r="H83" s="118">
        <v>332.12489491525434</v>
      </c>
    </row>
    <row r="84" spans="1:8" x14ac:dyDescent="0.2">
      <c r="A84" s="104"/>
      <c r="B84" s="26" t="s">
        <v>37</v>
      </c>
      <c r="C84" s="27" t="s">
        <v>19</v>
      </c>
      <c r="D84" s="138">
        <v>8</v>
      </c>
      <c r="E84" s="71">
        <v>200</v>
      </c>
      <c r="F84" s="29" t="s">
        <v>4</v>
      </c>
      <c r="G84" s="301">
        <f t="shared" si="4"/>
        <v>5.4712854915254248</v>
      </c>
      <c r="H84" s="118">
        <v>547.12854915254252</v>
      </c>
    </row>
    <row r="85" spans="1:8" x14ac:dyDescent="0.2">
      <c r="A85" s="104"/>
      <c r="B85" s="26" t="s">
        <v>37</v>
      </c>
      <c r="C85" s="27" t="s">
        <v>19</v>
      </c>
      <c r="D85" s="138">
        <v>9</v>
      </c>
      <c r="E85" s="71">
        <v>200</v>
      </c>
      <c r="F85" s="29" t="s">
        <v>4</v>
      </c>
      <c r="G85" s="301">
        <f t="shared" si="4"/>
        <v>6.5619945762711858</v>
      </c>
      <c r="H85" s="118">
        <v>656.19945762711859</v>
      </c>
    </row>
    <row r="86" spans="1:8" x14ac:dyDescent="0.2">
      <c r="A86" s="104"/>
      <c r="B86" s="26" t="s">
        <v>37</v>
      </c>
      <c r="C86" s="27" t="s">
        <v>19</v>
      </c>
      <c r="D86" s="138">
        <v>10</v>
      </c>
      <c r="E86" s="71">
        <v>200</v>
      </c>
      <c r="F86" s="29" t="s">
        <v>4</v>
      </c>
      <c r="G86" s="301">
        <f t="shared" si="4"/>
        <v>7.6943186440677973</v>
      </c>
      <c r="H86" s="118">
        <v>769.43186440677971</v>
      </c>
    </row>
    <row r="87" spans="1:8" x14ac:dyDescent="0.2">
      <c r="A87" s="104"/>
      <c r="B87" s="26" t="s">
        <v>37</v>
      </c>
      <c r="C87" s="27" t="s">
        <v>19</v>
      </c>
      <c r="D87" s="138">
        <v>12</v>
      </c>
      <c r="E87" s="71">
        <v>200</v>
      </c>
      <c r="F87" s="29" t="s">
        <v>4</v>
      </c>
      <c r="G87" s="301">
        <f t="shared" si="4"/>
        <v>10.924681846153849</v>
      </c>
      <c r="H87" s="118">
        <v>1092.4681846153849</v>
      </c>
    </row>
    <row r="88" spans="1:8" x14ac:dyDescent="0.2">
      <c r="A88" s="104"/>
      <c r="B88" s="26" t="s">
        <v>37</v>
      </c>
      <c r="C88" s="27" t="s">
        <v>19</v>
      </c>
      <c r="D88" s="138">
        <v>14</v>
      </c>
      <c r="E88" s="71">
        <v>100</v>
      </c>
      <c r="F88" s="29" t="s">
        <v>4</v>
      </c>
      <c r="G88" s="301">
        <f t="shared" si="4"/>
        <v>15.057456716417912</v>
      </c>
      <c r="H88" s="118">
        <v>1505.7456716417912</v>
      </c>
    </row>
    <row r="89" spans="1:8" x14ac:dyDescent="0.2">
      <c r="A89" s="104"/>
      <c r="B89" s="26" t="s">
        <v>37</v>
      </c>
      <c r="C89" s="27" t="s">
        <v>19</v>
      </c>
      <c r="D89" s="138">
        <v>16</v>
      </c>
      <c r="E89" s="71">
        <v>100</v>
      </c>
      <c r="F89" s="29" t="s">
        <v>4</v>
      </c>
      <c r="G89" s="301">
        <f t="shared" si="4"/>
        <v>18.049461492537315</v>
      </c>
      <c r="H89" s="118">
        <v>1804.9461492537314</v>
      </c>
    </row>
    <row r="90" spans="1:8" x14ac:dyDescent="0.2">
      <c r="A90" s="104"/>
      <c r="B90" s="26" t="s">
        <v>37</v>
      </c>
      <c r="C90" s="27" t="s">
        <v>19</v>
      </c>
      <c r="D90" s="138">
        <v>18</v>
      </c>
      <c r="E90" s="71">
        <v>100</v>
      </c>
      <c r="F90" s="29" t="s">
        <v>4</v>
      </c>
      <c r="G90" s="301">
        <f t="shared" si="4"/>
        <v>23.473432835820901</v>
      </c>
      <c r="H90" s="118">
        <v>2347.34328358209</v>
      </c>
    </row>
    <row r="91" spans="1:8" x14ac:dyDescent="0.2">
      <c r="A91" s="104"/>
      <c r="B91" s="32"/>
      <c r="C91" s="32"/>
      <c r="D91" s="32"/>
      <c r="E91" s="35"/>
      <c r="F91" s="32"/>
      <c r="H91" s="242"/>
    </row>
    <row r="92" spans="1:8" x14ac:dyDescent="0.2">
      <c r="A92" s="104"/>
      <c r="B92" s="46" t="s">
        <v>237</v>
      </c>
      <c r="C92" s="37"/>
      <c r="D92" s="38"/>
      <c r="E92" s="59"/>
      <c r="F92" s="40"/>
      <c r="G92" s="40"/>
      <c r="H92" s="243"/>
    </row>
    <row r="93" spans="1:8" x14ac:dyDescent="0.2">
      <c r="A93" s="104"/>
      <c r="B93" s="84" t="s">
        <v>237</v>
      </c>
      <c r="C93" s="136" t="s">
        <v>241</v>
      </c>
      <c r="D93" s="265">
        <v>6</v>
      </c>
      <c r="E93" s="107">
        <v>200</v>
      </c>
      <c r="F93" s="86" t="s">
        <v>4</v>
      </c>
      <c r="G93" s="301">
        <f>(H93/100)</f>
        <v>3.8462730508474592</v>
      </c>
      <c r="H93" s="120">
        <v>384.6273050847459</v>
      </c>
    </row>
    <row r="94" spans="1:8" x14ac:dyDescent="0.2">
      <c r="A94" s="104"/>
      <c r="B94" s="26" t="s">
        <v>237</v>
      </c>
      <c r="C94" s="132" t="s">
        <v>241</v>
      </c>
      <c r="D94" s="140">
        <v>7</v>
      </c>
      <c r="E94" s="71">
        <v>200</v>
      </c>
      <c r="F94" s="29" t="s">
        <v>4</v>
      </c>
      <c r="G94" s="301">
        <f t="shared" ref="G94:G103" si="5">(H94/100)</f>
        <v>4.7263602966101699</v>
      </c>
      <c r="H94" s="118">
        <v>472.63602966101701</v>
      </c>
    </row>
    <row r="95" spans="1:8" x14ac:dyDescent="0.2">
      <c r="A95" s="104"/>
      <c r="B95" s="26" t="s">
        <v>237</v>
      </c>
      <c r="C95" s="132" t="s">
        <v>241</v>
      </c>
      <c r="D95" s="30">
        <v>8</v>
      </c>
      <c r="E95" s="71">
        <v>200</v>
      </c>
      <c r="F95" s="29" t="s">
        <v>4</v>
      </c>
      <c r="G95" s="301">
        <f t="shared" si="5"/>
        <v>7.5694805694915273</v>
      </c>
      <c r="H95" s="118">
        <v>756.94805694915271</v>
      </c>
    </row>
    <row r="96" spans="1:8" x14ac:dyDescent="0.2">
      <c r="A96" s="104"/>
      <c r="B96" s="26" t="s">
        <v>237</v>
      </c>
      <c r="C96" s="132" t="s">
        <v>241</v>
      </c>
      <c r="D96" s="30">
        <v>9</v>
      </c>
      <c r="E96" s="71">
        <v>200</v>
      </c>
      <c r="F96" s="29" t="s">
        <v>4</v>
      </c>
      <c r="G96" s="301">
        <f t="shared" si="5"/>
        <v>8.8819755355932219</v>
      </c>
      <c r="H96" s="118">
        <v>888.19755355932216</v>
      </c>
    </row>
    <row r="97" spans="1:8" x14ac:dyDescent="0.2">
      <c r="A97" s="104"/>
      <c r="B97" s="26" t="s">
        <v>237</v>
      </c>
      <c r="C97" s="132" t="s">
        <v>241</v>
      </c>
      <c r="D97" s="30">
        <v>10</v>
      </c>
      <c r="E97" s="71">
        <v>200</v>
      </c>
      <c r="F97" s="29" t="s">
        <v>4</v>
      </c>
      <c r="G97" s="301">
        <f t="shared" si="5"/>
        <v>10.491885884745766</v>
      </c>
      <c r="H97" s="118">
        <v>1049.1885884745766</v>
      </c>
    </row>
    <row r="98" spans="1:8" x14ac:dyDescent="0.2">
      <c r="A98" s="104"/>
      <c r="B98" s="26" t="s">
        <v>237</v>
      </c>
      <c r="C98" s="132" t="s">
        <v>241</v>
      </c>
      <c r="D98" s="30">
        <v>11</v>
      </c>
      <c r="E98" s="71">
        <v>200</v>
      </c>
      <c r="F98" s="123" t="s">
        <v>4</v>
      </c>
      <c r="G98" s="301">
        <f t="shared" si="5"/>
        <v>12.717079766129036</v>
      </c>
      <c r="H98" s="118">
        <v>1271.7079766129036</v>
      </c>
    </row>
    <row r="99" spans="1:8" x14ac:dyDescent="0.2">
      <c r="A99" s="104"/>
      <c r="B99" s="26" t="s">
        <v>237</v>
      </c>
      <c r="C99" s="132" t="s">
        <v>241</v>
      </c>
      <c r="D99" s="30">
        <v>12</v>
      </c>
      <c r="E99" s="71">
        <v>200</v>
      </c>
      <c r="F99" s="29" t="s">
        <v>4</v>
      </c>
      <c r="G99" s="301">
        <f t="shared" si="5"/>
        <v>13.746025074626868</v>
      </c>
      <c r="H99" s="118">
        <v>1374.6025074626868</v>
      </c>
    </row>
    <row r="100" spans="1:8" x14ac:dyDescent="0.2">
      <c r="A100" s="104"/>
      <c r="B100" s="26" t="s">
        <v>237</v>
      </c>
      <c r="C100" s="132" t="s">
        <v>241</v>
      </c>
      <c r="D100" s="30">
        <v>14</v>
      </c>
      <c r="E100" s="71">
        <v>100</v>
      </c>
      <c r="F100" s="29" t="s">
        <v>4</v>
      </c>
      <c r="G100" s="301">
        <f t="shared" si="5"/>
        <v>19.451265850746271</v>
      </c>
      <c r="H100" s="118">
        <v>1945.1265850746272</v>
      </c>
    </row>
    <row r="101" spans="1:8" x14ac:dyDescent="0.2">
      <c r="A101" s="104"/>
      <c r="B101" s="26" t="s">
        <v>237</v>
      </c>
      <c r="C101" s="132" t="s">
        <v>241</v>
      </c>
      <c r="D101" s="30">
        <v>16</v>
      </c>
      <c r="E101" s="71">
        <v>100</v>
      </c>
      <c r="F101" s="29" t="s">
        <v>4</v>
      </c>
      <c r="G101" s="301">
        <f t="shared" si="5"/>
        <v>23.824113671641797</v>
      </c>
      <c r="H101" s="118">
        <v>2382.4113671641799</v>
      </c>
    </row>
    <row r="102" spans="1:8" x14ac:dyDescent="0.2">
      <c r="A102" s="104"/>
      <c r="B102" s="26" t="s">
        <v>237</v>
      </c>
      <c r="C102" s="132" t="s">
        <v>241</v>
      </c>
      <c r="D102" s="30">
        <v>18</v>
      </c>
      <c r="E102" s="71">
        <v>100</v>
      </c>
      <c r="F102" s="29" t="s">
        <v>4</v>
      </c>
      <c r="G102" s="301">
        <f t="shared" si="5"/>
        <v>29.007008955223881</v>
      </c>
      <c r="H102" s="118">
        <v>2900.7008955223882</v>
      </c>
    </row>
    <row r="103" spans="1:8" x14ac:dyDescent="0.2">
      <c r="A103" s="104"/>
      <c r="B103" s="26" t="s">
        <v>237</v>
      </c>
      <c r="C103" s="132" t="s">
        <v>241</v>
      </c>
      <c r="D103" s="30">
        <v>20</v>
      </c>
      <c r="E103" s="71">
        <v>100</v>
      </c>
      <c r="F103" s="123" t="s">
        <v>4</v>
      </c>
      <c r="G103" s="301">
        <f t="shared" si="5"/>
        <v>35.519856716417912</v>
      </c>
      <c r="H103" s="118">
        <v>3551.9856716417912</v>
      </c>
    </row>
    <row r="104" spans="1:8" x14ac:dyDescent="0.2">
      <c r="B104" s="53"/>
      <c r="C104" s="51"/>
      <c r="D104" s="52"/>
      <c r="E104" s="106"/>
      <c r="F104" s="33"/>
      <c r="H104" s="244"/>
    </row>
    <row r="105" spans="1:8" x14ac:dyDescent="0.2">
      <c r="B105" s="36" t="s">
        <v>163</v>
      </c>
      <c r="C105" s="37"/>
      <c r="D105" s="38"/>
      <c r="E105" s="59"/>
      <c r="F105" s="59"/>
      <c r="G105" s="59"/>
      <c r="H105" s="277"/>
    </row>
    <row r="106" spans="1:8" x14ac:dyDescent="0.2">
      <c r="A106" s="104"/>
      <c r="B106" s="76" t="s">
        <v>163</v>
      </c>
      <c r="C106" s="136" t="s">
        <v>158</v>
      </c>
      <c r="D106" s="78">
        <v>6</v>
      </c>
      <c r="E106" s="107">
        <v>200</v>
      </c>
      <c r="F106" s="107" t="s">
        <v>4</v>
      </c>
      <c r="G106" s="301">
        <f>(H106/100)</f>
        <v>2.1008400000000003</v>
      </c>
      <c r="H106" s="120">
        <v>210.08400000000003</v>
      </c>
    </row>
    <row r="107" spans="1:8" x14ac:dyDescent="0.2">
      <c r="A107" s="104"/>
      <c r="B107" s="42" t="s">
        <v>163</v>
      </c>
      <c r="C107" s="132" t="s">
        <v>158</v>
      </c>
      <c r="D107" s="30">
        <v>8</v>
      </c>
      <c r="E107" s="71">
        <v>200</v>
      </c>
      <c r="F107" s="71" t="s">
        <v>4</v>
      </c>
      <c r="G107" s="301">
        <f t="shared" ref="G107:G116" si="6">(H107/100)</f>
        <v>4.0939657142857149</v>
      </c>
      <c r="H107" s="118">
        <v>409.39657142857146</v>
      </c>
    </row>
    <row r="108" spans="1:8" x14ac:dyDescent="0.2">
      <c r="A108" s="104"/>
      <c r="B108" s="42" t="s">
        <v>163</v>
      </c>
      <c r="C108" s="132" t="s">
        <v>158</v>
      </c>
      <c r="D108" s="30">
        <v>10</v>
      </c>
      <c r="E108" s="71">
        <v>200</v>
      </c>
      <c r="F108" s="71" t="s">
        <v>4</v>
      </c>
      <c r="G108" s="301">
        <f t="shared" si="6"/>
        <v>5.3948584615384645</v>
      </c>
      <c r="H108" s="118">
        <v>539.48584615384641</v>
      </c>
    </row>
    <row r="109" spans="1:8" x14ac:dyDescent="0.2">
      <c r="A109" s="104"/>
      <c r="B109" s="42" t="s">
        <v>163</v>
      </c>
      <c r="C109" s="132" t="s">
        <v>158</v>
      </c>
      <c r="D109" s="30">
        <v>11</v>
      </c>
      <c r="E109" s="71">
        <v>200</v>
      </c>
      <c r="F109" s="71" t="s">
        <v>4</v>
      </c>
      <c r="G109" s="301">
        <f t="shared" si="6"/>
        <v>5.7613819354838718</v>
      </c>
      <c r="H109" s="118">
        <v>576.13819354838722</v>
      </c>
    </row>
    <row r="110" spans="1:8" x14ac:dyDescent="0.2">
      <c r="A110" s="104"/>
      <c r="B110" s="42" t="s">
        <v>163</v>
      </c>
      <c r="C110" s="132" t="s">
        <v>158</v>
      </c>
      <c r="D110" s="30">
        <v>12</v>
      </c>
      <c r="E110" s="71">
        <v>200</v>
      </c>
      <c r="F110" s="71" t="s">
        <v>4</v>
      </c>
      <c r="G110" s="301">
        <f t="shared" si="6"/>
        <v>6.8346582608695652</v>
      </c>
      <c r="H110" s="118">
        <v>683.46582608695655</v>
      </c>
    </row>
    <row r="111" spans="1:8" x14ac:dyDescent="0.2">
      <c r="A111" s="104"/>
      <c r="B111" s="42" t="s">
        <v>163</v>
      </c>
      <c r="C111" s="132" t="s">
        <v>158</v>
      </c>
      <c r="D111" s="30">
        <v>14</v>
      </c>
      <c r="E111" s="71">
        <v>200</v>
      </c>
      <c r="F111" s="71" t="s">
        <v>4</v>
      </c>
      <c r="G111" s="301">
        <f t="shared" si="6"/>
        <v>9.386213906250001</v>
      </c>
      <c r="H111" s="118">
        <v>938.62139062500012</v>
      </c>
    </row>
    <row r="112" spans="1:8" x14ac:dyDescent="0.2">
      <c r="A112" s="104"/>
      <c r="B112" s="42" t="s">
        <v>163</v>
      </c>
      <c r="C112" s="132" t="s">
        <v>158</v>
      </c>
      <c r="D112" s="30">
        <v>16</v>
      </c>
      <c r="E112" s="71">
        <v>200</v>
      </c>
      <c r="F112" s="71" t="s">
        <v>4</v>
      </c>
      <c r="G112" s="301">
        <f t="shared" si="6"/>
        <v>11.018235937500002</v>
      </c>
      <c r="H112" s="118">
        <v>1101.8235937500001</v>
      </c>
    </row>
    <row r="113" spans="1:8" x14ac:dyDescent="0.2">
      <c r="A113" s="104"/>
      <c r="B113" s="42" t="s">
        <v>163</v>
      </c>
      <c r="C113" s="132" t="s">
        <v>158</v>
      </c>
      <c r="D113" s="30">
        <v>18</v>
      </c>
      <c r="E113" s="71">
        <v>200</v>
      </c>
      <c r="F113" s="71" t="s">
        <v>4</v>
      </c>
      <c r="G113" s="301">
        <f t="shared" si="6"/>
        <v>13.504124999999998</v>
      </c>
      <c r="H113" s="118">
        <v>1350.4124999999999</v>
      </c>
    </row>
    <row r="114" spans="1:8" x14ac:dyDescent="0.2">
      <c r="A114" s="104"/>
      <c r="B114" s="42" t="s">
        <v>163</v>
      </c>
      <c r="C114" s="132" t="s">
        <v>158</v>
      </c>
      <c r="D114" s="30">
        <v>20</v>
      </c>
      <c r="E114" s="71">
        <v>200</v>
      </c>
      <c r="F114" s="71" t="s">
        <v>4</v>
      </c>
      <c r="G114" s="301">
        <f t="shared" si="6"/>
        <v>16.985340937500002</v>
      </c>
      <c r="H114" s="118">
        <v>1698.5340937500002</v>
      </c>
    </row>
    <row r="115" spans="1:8" x14ac:dyDescent="0.2">
      <c r="A115" s="104"/>
      <c r="B115" s="42" t="s">
        <v>163</v>
      </c>
      <c r="C115" s="132" t="s">
        <v>158</v>
      </c>
      <c r="D115" s="30">
        <v>24</v>
      </c>
      <c r="E115" s="71">
        <v>200</v>
      </c>
      <c r="F115" s="71" t="s">
        <v>4</v>
      </c>
      <c r="G115" s="301">
        <f t="shared" si="6"/>
        <v>24.389782500000003</v>
      </c>
      <c r="H115" s="118">
        <v>2438.9782500000001</v>
      </c>
    </row>
    <row r="116" spans="1:8" x14ac:dyDescent="0.2">
      <c r="A116" s="104"/>
      <c r="B116" s="42" t="s">
        <v>163</v>
      </c>
      <c r="C116" s="132" t="s">
        <v>158</v>
      </c>
      <c r="D116" s="30">
        <v>28</v>
      </c>
      <c r="E116" s="71">
        <v>200</v>
      </c>
      <c r="F116" s="71" t="s">
        <v>4</v>
      </c>
      <c r="G116" s="301">
        <f t="shared" si="6"/>
        <v>33.176611875000006</v>
      </c>
      <c r="H116" s="118">
        <v>3317.6611875000008</v>
      </c>
    </row>
    <row r="117" spans="1:8" x14ac:dyDescent="0.2">
      <c r="B117" s="53"/>
      <c r="C117" s="51"/>
      <c r="D117" s="52"/>
      <c r="E117" s="106"/>
      <c r="F117" s="33"/>
      <c r="H117" s="244"/>
    </row>
    <row r="118" spans="1:8" x14ac:dyDescent="0.2">
      <c r="B118" s="36" t="s">
        <v>183</v>
      </c>
      <c r="C118" s="37"/>
      <c r="D118" s="38"/>
      <c r="E118" s="59"/>
      <c r="F118" s="59"/>
      <c r="G118" s="59"/>
      <c r="H118" s="277"/>
    </row>
    <row r="119" spans="1:8" x14ac:dyDescent="0.2">
      <c r="A119" s="104"/>
      <c r="B119" s="76" t="s">
        <v>183</v>
      </c>
      <c r="C119" s="136" t="s">
        <v>158</v>
      </c>
      <c r="D119" s="78">
        <v>6</v>
      </c>
      <c r="E119" s="107">
        <v>200</v>
      </c>
      <c r="F119" s="107" t="s">
        <v>4</v>
      </c>
      <c r="G119" s="301">
        <f>(H119/100)</f>
        <v>2.2792236363636369</v>
      </c>
      <c r="H119" s="120">
        <v>227.92236363636368</v>
      </c>
    </row>
    <row r="120" spans="1:8" x14ac:dyDescent="0.2">
      <c r="A120" s="104"/>
      <c r="B120" s="76" t="s">
        <v>183</v>
      </c>
      <c r="C120" s="136" t="s">
        <v>158</v>
      </c>
      <c r="D120" s="78">
        <v>7</v>
      </c>
      <c r="E120" s="107">
        <v>200</v>
      </c>
      <c r="F120" s="107" t="s">
        <v>4</v>
      </c>
      <c r="G120" s="301">
        <f t="shared" ref="G120:G123" si="7">(H120/100)</f>
        <v>2.6494909090909093</v>
      </c>
      <c r="H120" s="120">
        <v>264.94909090909096</v>
      </c>
    </row>
    <row r="121" spans="1:8" x14ac:dyDescent="0.2">
      <c r="A121" s="104"/>
      <c r="B121" s="42" t="s">
        <v>183</v>
      </c>
      <c r="C121" s="132" t="s">
        <v>158</v>
      </c>
      <c r="D121" s="30">
        <v>8</v>
      </c>
      <c r="E121" s="71">
        <v>200</v>
      </c>
      <c r="F121" s="71" t="s">
        <v>4</v>
      </c>
      <c r="G121" s="301">
        <f t="shared" si="7"/>
        <v>3.9373485714285721</v>
      </c>
      <c r="H121" s="118">
        <v>393.73485714285721</v>
      </c>
    </row>
    <row r="122" spans="1:8" x14ac:dyDescent="0.2">
      <c r="A122" s="104"/>
      <c r="B122" s="42" t="s">
        <v>183</v>
      </c>
      <c r="C122" s="132" t="s">
        <v>158</v>
      </c>
      <c r="D122" s="30">
        <v>10</v>
      </c>
      <c r="E122" s="71">
        <v>200</v>
      </c>
      <c r="F122" s="71" t="s">
        <v>4</v>
      </c>
      <c r="G122" s="301">
        <f t="shared" si="7"/>
        <v>5.3769378461538464</v>
      </c>
      <c r="H122" s="118">
        <v>537.69378461538463</v>
      </c>
    </row>
    <row r="123" spans="1:8" x14ac:dyDescent="0.2">
      <c r="A123" s="104"/>
      <c r="B123" s="42" t="s">
        <v>183</v>
      </c>
      <c r="C123" s="132" t="s">
        <v>158</v>
      </c>
      <c r="D123" s="30">
        <v>12</v>
      </c>
      <c r="E123" s="71">
        <v>200</v>
      </c>
      <c r="F123" s="71" t="s">
        <v>4</v>
      </c>
      <c r="G123" s="301">
        <f t="shared" si="7"/>
        <v>6.7013417391304362</v>
      </c>
      <c r="H123" s="118">
        <v>670.13417391304358</v>
      </c>
    </row>
    <row r="124" spans="1:8" x14ac:dyDescent="0.2">
      <c r="C124" s="32"/>
      <c r="D124" s="32"/>
      <c r="E124" s="32"/>
      <c r="F124" s="32"/>
      <c r="H124" s="115"/>
    </row>
    <row r="125" spans="1:8" x14ac:dyDescent="0.2">
      <c r="B125" s="36" t="s">
        <v>29</v>
      </c>
      <c r="C125" s="57"/>
      <c r="D125" s="58"/>
      <c r="E125" s="59"/>
      <c r="F125" s="59"/>
      <c r="G125" s="59"/>
      <c r="H125" s="250"/>
    </row>
    <row r="126" spans="1:8" x14ac:dyDescent="0.2">
      <c r="B126" s="76" t="s">
        <v>29</v>
      </c>
      <c r="C126" s="85" t="s">
        <v>16</v>
      </c>
      <c r="D126" s="78">
        <v>8</v>
      </c>
      <c r="E126" s="107">
        <v>200</v>
      </c>
      <c r="F126" s="79" t="s">
        <v>4</v>
      </c>
      <c r="G126" s="301">
        <f>(H126/100)</f>
        <v>4.4116271186440681</v>
      </c>
      <c r="H126" s="120">
        <v>441.16271186440679</v>
      </c>
    </row>
    <row r="127" spans="1:8" x14ac:dyDescent="0.2">
      <c r="B127" s="42" t="s">
        <v>29</v>
      </c>
      <c r="C127" s="27" t="s">
        <v>16</v>
      </c>
      <c r="D127" s="30">
        <v>10</v>
      </c>
      <c r="E127" s="71">
        <v>200</v>
      </c>
      <c r="F127" s="60" t="s">
        <v>4</v>
      </c>
      <c r="G127" s="301">
        <f t="shared" ref="G127:G132" si="8">(H127/100)</f>
        <v>5.7411152542372887</v>
      </c>
      <c r="H127" s="118">
        <v>574.11152542372884</v>
      </c>
    </row>
    <row r="128" spans="1:8" x14ac:dyDescent="0.2">
      <c r="B128" s="42" t="s">
        <v>29</v>
      </c>
      <c r="C128" s="27" t="s">
        <v>16</v>
      </c>
      <c r="D128" s="30">
        <v>12</v>
      </c>
      <c r="E128" s="71">
        <v>200</v>
      </c>
      <c r="F128" s="60" t="s">
        <v>4</v>
      </c>
      <c r="G128" s="301">
        <f t="shared" si="8"/>
        <v>7.3051874999999997</v>
      </c>
      <c r="H128" s="118">
        <v>730.51874999999995</v>
      </c>
    </row>
    <row r="129" spans="2:8" x14ac:dyDescent="0.2">
      <c r="B129" s="42" t="s">
        <v>29</v>
      </c>
      <c r="C129" s="27" t="s">
        <v>16</v>
      </c>
      <c r="D129" s="30">
        <v>14</v>
      </c>
      <c r="E129" s="71">
        <v>100</v>
      </c>
      <c r="F129" s="60" t="s">
        <v>4</v>
      </c>
      <c r="G129" s="301">
        <f t="shared" si="8"/>
        <v>10.038909375000001</v>
      </c>
      <c r="H129" s="118">
        <v>1003.8909375000001</v>
      </c>
    </row>
    <row r="130" spans="2:8" x14ac:dyDescent="0.2">
      <c r="B130" s="42" t="s">
        <v>29</v>
      </c>
      <c r="C130" s="27" t="s">
        <v>16</v>
      </c>
      <c r="D130" s="30">
        <v>16</v>
      </c>
      <c r="E130" s="71">
        <v>100</v>
      </c>
      <c r="F130" s="60" t="s">
        <v>4</v>
      </c>
      <c r="G130" s="301">
        <f t="shared" si="8"/>
        <v>12.957750000000001</v>
      </c>
      <c r="H130" s="118">
        <v>1295.7750000000001</v>
      </c>
    </row>
    <row r="131" spans="2:8" x14ac:dyDescent="0.2">
      <c r="B131" s="42" t="s">
        <v>29</v>
      </c>
      <c r="C131" s="27" t="s">
        <v>16</v>
      </c>
      <c r="D131" s="30">
        <v>18</v>
      </c>
      <c r="E131" s="71">
        <v>100</v>
      </c>
      <c r="F131" s="142" t="s">
        <v>4</v>
      </c>
      <c r="G131" s="301">
        <f t="shared" si="8"/>
        <v>17.193937500000001</v>
      </c>
      <c r="H131" s="118">
        <v>1719.39375</v>
      </c>
    </row>
    <row r="132" spans="2:8" x14ac:dyDescent="0.2">
      <c r="B132" s="42" t="s">
        <v>29</v>
      </c>
      <c r="C132" s="27" t="s">
        <v>16</v>
      </c>
      <c r="D132" s="30">
        <v>20</v>
      </c>
      <c r="E132" s="71">
        <v>100</v>
      </c>
      <c r="F132" s="60" t="s">
        <v>4</v>
      </c>
      <c r="G132" s="301">
        <f t="shared" si="8"/>
        <v>18.172173913043483</v>
      </c>
      <c r="H132" s="118">
        <v>1817.2173913043484</v>
      </c>
    </row>
    <row r="133" spans="2:8" x14ac:dyDescent="0.2">
      <c r="B133" s="32"/>
      <c r="C133" s="32"/>
      <c r="D133" s="32"/>
      <c r="E133" s="35"/>
      <c r="F133" s="32"/>
      <c r="G133" s="249"/>
    </row>
    <row r="134" spans="2:8" x14ac:dyDescent="0.2">
      <c r="C134" s="32"/>
      <c r="D134" s="32"/>
      <c r="E134" s="32"/>
      <c r="F134" s="32"/>
      <c r="G134" s="115"/>
    </row>
    <row r="135" spans="2:8" x14ac:dyDescent="0.2">
      <c r="C135" s="32"/>
      <c r="D135" s="32"/>
      <c r="E135" s="32"/>
      <c r="F135" s="32"/>
      <c r="G135" s="115"/>
    </row>
    <row r="136" spans="2:8" x14ac:dyDescent="0.2">
      <c r="B136" s="32"/>
      <c r="C136" s="32"/>
      <c r="D136" s="32"/>
      <c r="E136" s="32"/>
      <c r="F136" s="32"/>
      <c r="G136" s="115"/>
    </row>
    <row r="137" spans="2:8" x14ac:dyDescent="0.2">
      <c r="B137" s="32"/>
      <c r="C137" s="32"/>
      <c r="D137" s="32"/>
      <c r="E137" s="32"/>
      <c r="F137" s="32"/>
      <c r="G137" s="115"/>
    </row>
    <row r="138" spans="2:8" x14ac:dyDescent="0.2">
      <c r="B138" s="32"/>
      <c r="C138" s="32"/>
      <c r="D138" s="32"/>
      <c r="E138" s="32"/>
      <c r="F138" s="32"/>
      <c r="G138" s="115"/>
    </row>
    <row r="139" spans="2:8" x14ac:dyDescent="0.2">
      <c r="B139" s="32"/>
      <c r="C139" s="32"/>
      <c r="D139" s="32"/>
      <c r="E139" s="32"/>
      <c r="F139" s="32"/>
      <c r="G139" s="115"/>
    </row>
    <row r="140" spans="2:8" x14ac:dyDescent="0.2">
      <c r="B140" s="32"/>
      <c r="C140" s="32"/>
      <c r="D140" s="32"/>
      <c r="E140" s="32"/>
      <c r="F140" s="32"/>
      <c r="G140" s="115"/>
    </row>
    <row r="141" spans="2:8" x14ac:dyDescent="0.2">
      <c r="B141" s="32"/>
      <c r="C141" s="32"/>
      <c r="D141" s="32"/>
      <c r="E141" s="32"/>
      <c r="F141" s="32"/>
      <c r="G141" s="115"/>
    </row>
    <row r="142" spans="2:8" x14ac:dyDescent="0.2">
      <c r="B142" s="32"/>
      <c r="C142" s="32"/>
      <c r="D142" s="32"/>
      <c r="E142" s="32"/>
      <c r="F142" s="32"/>
      <c r="G142" s="115"/>
    </row>
    <row r="143" spans="2:8" x14ac:dyDescent="0.2">
      <c r="B143" s="32"/>
      <c r="C143" s="32"/>
      <c r="D143" s="32"/>
      <c r="E143" s="32"/>
      <c r="F143" s="32"/>
      <c r="G143" s="115"/>
    </row>
    <row r="144" spans="2:8" x14ac:dyDescent="0.2">
      <c r="B144" s="32"/>
      <c r="C144" s="32"/>
      <c r="D144" s="32"/>
      <c r="E144" s="32"/>
      <c r="F144" s="32"/>
      <c r="G144" s="115"/>
    </row>
    <row r="145" spans="2:7" x14ac:dyDescent="0.2">
      <c r="B145" s="32"/>
      <c r="C145" s="32"/>
      <c r="D145" s="32"/>
      <c r="E145" s="32"/>
      <c r="F145" s="32"/>
      <c r="G145" s="115"/>
    </row>
    <row r="146" spans="2:7" x14ac:dyDescent="0.2">
      <c r="B146" s="32"/>
      <c r="C146" s="32"/>
      <c r="D146" s="32"/>
      <c r="E146" s="32"/>
      <c r="F146" s="32"/>
      <c r="G146" s="115"/>
    </row>
    <row r="147" spans="2:7" x14ac:dyDescent="0.2">
      <c r="B147" s="32"/>
      <c r="C147" s="32"/>
      <c r="D147" s="32"/>
      <c r="E147" s="32"/>
      <c r="F147" s="32"/>
      <c r="G147" s="115"/>
    </row>
    <row r="148" spans="2:7" x14ac:dyDescent="0.2">
      <c r="B148" s="32"/>
      <c r="C148" s="32"/>
      <c r="D148" s="32"/>
      <c r="E148" s="32"/>
      <c r="F148" s="32"/>
      <c r="G148" s="115"/>
    </row>
    <row r="149" spans="2:7" x14ac:dyDescent="0.2">
      <c r="B149" s="32"/>
      <c r="C149" s="32"/>
      <c r="D149" s="32"/>
      <c r="E149" s="32"/>
      <c r="F149" s="32"/>
      <c r="G149" s="115"/>
    </row>
    <row r="150" spans="2:7" x14ac:dyDescent="0.2">
      <c r="B150" s="32"/>
      <c r="C150" s="32"/>
      <c r="D150" s="32"/>
      <c r="E150" s="32"/>
      <c r="F150" s="32"/>
      <c r="G150" s="115"/>
    </row>
    <row r="151" spans="2:7" x14ac:dyDescent="0.2">
      <c r="B151" s="32"/>
      <c r="C151" s="32"/>
      <c r="D151" s="32"/>
      <c r="E151" s="32"/>
      <c r="F151" s="32"/>
      <c r="G151" s="115"/>
    </row>
    <row r="152" spans="2:7" x14ac:dyDescent="0.2">
      <c r="B152" s="32"/>
      <c r="C152" s="32"/>
      <c r="D152" s="32"/>
      <c r="E152" s="32"/>
      <c r="F152" s="32"/>
      <c r="G152" s="115"/>
    </row>
    <row r="153" spans="2:7" x14ac:dyDescent="0.2">
      <c r="B153" s="32"/>
      <c r="C153" s="32"/>
      <c r="D153" s="32"/>
      <c r="E153" s="32"/>
      <c r="F153" s="32"/>
      <c r="G153" s="115"/>
    </row>
    <row r="154" spans="2:7" x14ac:dyDescent="0.2">
      <c r="B154" s="32"/>
      <c r="C154" s="32"/>
      <c r="D154" s="32"/>
      <c r="E154" s="32"/>
      <c r="F154" s="32"/>
      <c r="G154" s="115"/>
    </row>
    <row r="155" spans="2:7" x14ac:dyDescent="0.2">
      <c r="B155" s="32"/>
      <c r="C155" s="32"/>
      <c r="D155" s="32"/>
      <c r="E155" s="32"/>
      <c r="F155" s="32"/>
      <c r="G155" s="115"/>
    </row>
    <row r="156" spans="2:7" x14ac:dyDescent="0.2">
      <c r="B156" s="32"/>
      <c r="C156" s="32"/>
      <c r="D156" s="32"/>
      <c r="E156" s="32"/>
      <c r="F156" s="32"/>
      <c r="G156" s="115"/>
    </row>
    <row r="157" spans="2:7" x14ac:dyDescent="0.2">
      <c r="B157" s="32"/>
      <c r="C157" s="32"/>
      <c r="D157" s="32"/>
      <c r="E157" s="32"/>
      <c r="F157" s="32"/>
      <c r="G157" s="115"/>
    </row>
    <row r="158" spans="2:7" x14ac:dyDescent="0.2">
      <c r="B158" s="32"/>
      <c r="C158" s="32"/>
      <c r="D158" s="32"/>
      <c r="E158" s="32"/>
      <c r="F158" s="32"/>
      <c r="G158" s="115"/>
    </row>
    <row r="159" spans="2:7" x14ac:dyDescent="0.2">
      <c r="B159" s="32"/>
      <c r="C159" s="32"/>
      <c r="D159" s="32"/>
      <c r="E159" s="32"/>
      <c r="F159" s="32"/>
      <c r="G159" s="115"/>
    </row>
    <row r="160" spans="2:7" x14ac:dyDescent="0.2">
      <c r="B160" s="32"/>
      <c r="C160" s="32"/>
      <c r="D160" s="32"/>
      <c r="E160" s="32"/>
      <c r="F160" s="32"/>
      <c r="G160" s="115"/>
    </row>
    <row r="161" spans="2:7" x14ac:dyDescent="0.2">
      <c r="B161" s="32"/>
      <c r="C161" s="32"/>
      <c r="D161" s="32"/>
      <c r="E161" s="32"/>
      <c r="F161" s="32"/>
      <c r="G161" s="115"/>
    </row>
    <row r="162" spans="2:7" x14ac:dyDescent="0.2">
      <c r="B162" s="32"/>
      <c r="C162" s="32"/>
      <c r="D162" s="32"/>
      <c r="E162" s="32"/>
      <c r="F162" s="32"/>
      <c r="G162" s="115"/>
    </row>
    <row r="163" spans="2:7" x14ac:dyDescent="0.2">
      <c r="B163" s="32"/>
      <c r="C163" s="32"/>
      <c r="D163" s="32"/>
      <c r="E163" s="32"/>
      <c r="F163" s="32"/>
      <c r="G163" s="115"/>
    </row>
    <row r="164" spans="2:7" x14ac:dyDescent="0.2">
      <c r="B164" s="32"/>
      <c r="C164" s="32"/>
      <c r="D164" s="32"/>
      <c r="E164" s="32"/>
      <c r="F164" s="32"/>
      <c r="G164" s="115"/>
    </row>
    <row r="165" spans="2:7" x14ac:dyDescent="0.2">
      <c r="B165" s="32"/>
      <c r="C165" s="32"/>
      <c r="D165" s="32"/>
      <c r="E165" s="32"/>
      <c r="F165" s="32"/>
      <c r="G165" s="115"/>
    </row>
    <row r="166" spans="2:7" x14ac:dyDescent="0.2">
      <c r="B166" s="32"/>
      <c r="C166" s="32"/>
      <c r="D166" s="32"/>
      <c r="E166" s="32"/>
      <c r="F166" s="32"/>
      <c r="G166" s="115"/>
    </row>
    <row r="167" spans="2:7" x14ac:dyDescent="0.2">
      <c r="B167" s="32"/>
      <c r="C167" s="32"/>
      <c r="D167" s="32"/>
      <c r="E167" s="32"/>
      <c r="F167" s="32"/>
      <c r="G167" s="115"/>
    </row>
    <row r="168" spans="2:7" x14ac:dyDescent="0.2">
      <c r="B168" s="32"/>
      <c r="C168" s="32"/>
      <c r="D168" s="32"/>
      <c r="E168" s="32"/>
      <c r="F168" s="32"/>
      <c r="G168" s="115"/>
    </row>
    <row r="169" spans="2:7" x14ac:dyDescent="0.2">
      <c r="B169" s="32"/>
      <c r="C169" s="32"/>
      <c r="D169" s="32"/>
      <c r="E169" s="32"/>
      <c r="F169" s="32"/>
      <c r="G169" s="115"/>
    </row>
    <row r="170" spans="2:7" x14ac:dyDescent="0.2">
      <c r="B170" s="32"/>
      <c r="C170" s="32"/>
      <c r="D170" s="32"/>
      <c r="E170" s="32"/>
      <c r="F170" s="32"/>
      <c r="G170" s="115"/>
    </row>
    <row r="171" spans="2:7" x14ac:dyDescent="0.2">
      <c r="B171" s="32"/>
      <c r="C171" s="32"/>
      <c r="D171" s="32"/>
      <c r="E171" s="32"/>
      <c r="F171" s="32"/>
      <c r="G171" s="115"/>
    </row>
    <row r="172" spans="2:7" x14ac:dyDescent="0.2">
      <c r="B172" s="32"/>
      <c r="C172" s="32"/>
      <c r="D172" s="32"/>
      <c r="E172" s="32"/>
      <c r="F172" s="32"/>
      <c r="G172" s="115"/>
    </row>
    <row r="173" spans="2:7" x14ac:dyDescent="0.2">
      <c r="B173" s="32"/>
      <c r="C173" s="32"/>
      <c r="D173" s="32"/>
      <c r="E173" s="32"/>
      <c r="F173" s="32"/>
      <c r="G173" s="115"/>
    </row>
    <row r="174" spans="2:7" x14ac:dyDescent="0.2">
      <c r="B174" s="32"/>
      <c r="C174" s="32"/>
      <c r="D174" s="32"/>
      <c r="E174" s="32"/>
      <c r="F174" s="32"/>
      <c r="G174" s="115"/>
    </row>
    <row r="175" spans="2:7" x14ac:dyDescent="0.2">
      <c r="B175" s="32"/>
      <c r="C175" s="32"/>
      <c r="D175" s="32"/>
      <c r="E175" s="32"/>
      <c r="F175" s="32"/>
      <c r="G175" s="115"/>
    </row>
  </sheetData>
  <mergeCells count="1">
    <mergeCell ref="G24:H24"/>
  </mergeCells>
  <phoneticPr fontId="0" type="noConversion"/>
  <pageMargins left="0.74803149606299213" right="0.74803149606299213" top="0.98425196850393704" bottom="0.98425196850393704" header="0" footer="0"/>
  <pageSetup paperSize="9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H150"/>
  <sheetViews>
    <sheetView topLeftCell="A109" zoomScaleNormal="100" workbookViewId="0">
      <selection activeCell="N111" sqref="N111"/>
    </sheetView>
  </sheetViews>
  <sheetFormatPr defaultRowHeight="12.75" x14ac:dyDescent="0.2"/>
  <cols>
    <col min="1" max="1" width="9" customWidth="1"/>
    <col min="2" max="2" width="21.140625" customWidth="1"/>
    <col min="3" max="3" width="22.42578125" customWidth="1"/>
    <col min="4" max="4" width="8" style="7" customWidth="1"/>
    <col min="5" max="6" width="7.85546875" style="5" customWidth="1"/>
    <col min="7" max="7" width="13.42578125" style="113" customWidth="1"/>
    <col min="8" max="8" width="16.42578125" customWidth="1"/>
  </cols>
  <sheetData>
    <row r="7" spans="2:7" x14ac:dyDescent="0.2">
      <c r="G7" s="171"/>
    </row>
    <row r="8" spans="2:7" x14ac:dyDescent="0.2">
      <c r="G8" s="171"/>
    </row>
    <row r="9" spans="2:7" x14ac:dyDescent="0.2">
      <c r="G9" s="171"/>
    </row>
    <row r="10" spans="2:7" ht="12.75" customHeight="1" x14ac:dyDescent="0.2">
      <c r="B10" s="100" t="str">
        <f>'Pro Race'!B11</f>
        <v>PRICE LIST</v>
      </c>
      <c r="C10" s="3"/>
      <c r="D10" s="6"/>
      <c r="E10" s="4"/>
      <c r="F10" s="4"/>
      <c r="G10" s="98"/>
    </row>
    <row r="11" spans="2:7" ht="12.75" customHeight="1" x14ac:dyDescent="0.2">
      <c r="B11" s="151" t="str">
        <f>'Pro Race'!B12</f>
        <v>ref. 01-2017</v>
      </c>
      <c r="D11" s="150"/>
      <c r="E11" s="4"/>
      <c r="F11" s="4"/>
      <c r="G11" s="98"/>
    </row>
    <row r="12" spans="2:7" ht="15" x14ac:dyDescent="0.2">
      <c r="C12" s="3"/>
      <c r="D12" s="6"/>
      <c r="E12" s="4"/>
      <c r="F12" s="4"/>
      <c r="G12" s="98"/>
    </row>
    <row r="13" spans="2:7" x14ac:dyDescent="0.2">
      <c r="B13" s="56" t="str">
        <f>'Pro Race'!B14</f>
        <v>prices are ex-taxes and can be changed without prior notice</v>
      </c>
      <c r="G13" s="98"/>
    </row>
    <row r="14" spans="2:7" x14ac:dyDescent="0.2">
      <c r="B14" s="56" t="str">
        <f>'Pro Race'!B15</f>
        <v>position EXW Factory Portugal</v>
      </c>
      <c r="C14" s="1"/>
      <c r="D14" s="6"/>
      <c r="E14" s="4"/>
      <c r="F14" s="4"/>
      <c r="G14" s="98"/>
    </row>
    <row r="15" spans="2:7" x14ac:dyDescent="0.2">
      <c r="B15" s="56" t="str">
        <f>'Pro Race'!B16</f>
        <v>alpha ropes®</v>
      </c>
      <c r="C15" s="1"/>
      <c r="D15" s="6"/>
      <c r="E15" s="4"/>
      <c r="F15" s="4"/>
      <c r="G15" s="98"/>
    </row>
    <row r="16" spans="2:7" x14ac:dyDescent="0.2">
      <c r="B16" s="56" t="str">
        <f>'Pro Race'!B17</f>
        <v>valid from January 1st, 2017</v>
      </c>
      <c r="C16" s="1"/>
      <c r="D16" s="6"/>
      <c r="E16" s="4"/>
      <c r="F16" s="4"/>
      <c r="G16" s="97"/>
    </row>
    <row r="17" spans="1:8" x14ac:dyDescent="0.2">
      <c r="C17" s="1"/>
      <c r="D17" s="6"/>
      <c r="E17" s="4"/>
      <c r="F17" s="4"/>
      <c r="G17" s="97"/>
    </row>
    <row r="18" spans="1:8" x14ac:dyDescent="0.2">
      <c r="C18" s="10"/>
      <c r="D18" s="11"/>
      <c r="E18" s="12"/>
      <c r="F18" s="13"/>
      <c r="G18" s="115"/>
    </row>
    <row r="19" spans="1:8" x14ac:dyDescent="0.2">
      <c r="C19" s="10"/>
      <c r="D19" s="11"/>
      <c r="E19" s="12"/>
      <c r="F19" s="13"/>
      <c r="G19" s="115"/>
    </row>
    <row r="20" spans="1:8" x14ac:dyDescent="0.2">
      <c r="C20" s="10"/>
      <c r="D20" s="11"/>
      <c r="E20" s="12"/>
      <c r="F20" s="13"/>
      <c r="G20" s="115"/>
    </row>
    <row r="21" spans="1:8" x14ac:dyDescent="0.2">
      <c r="C21" s="10"/>
      <c r="D21" s="11"/>
      <c r="E21" s="12"/>
      <c r="F21" s="13"/>
      <c r="G21" s="115"/>
    </row>
    <row r="22" spans="1:8" x14ac:dyDescent="0.2">
      <c r="C22" s="10"/>
      <c r="D22" s="11"/>
      <c r="E22" s="12"/>
      <c r="F22" s="13"/>
      <c r="G22" s="115"/>
    </row>
    <row r="23" spans="1:8" ht="16.5" thickBot="1" x14ac:dyDescent="0.3">
      <c r="B23" s="14"/>
      <c r="C23" s="10"/>
      <c r="D23" s="11"/>
      <c r="E23" s="12"/>
      <c r="F23" s="13"/>
      <c r="G23" s="115"/>
    </row>
    <row r="24" spans="1:8" ht="24.75" customHeight="1" thickTop="1" x14ac:dyDescent="0.2">
      <c r="B24" s="159" t="s">
        <v>191</v>
      </c>
      <c r="C24" s="160"/>
      <c r="D24" s="161"/>
      <c r="E24" s="162"/>
      <c r="F24" s="163"/>
      <c r="G24" s="324" t="s">
        <v>69</v>
      </c>
      <c r="H24" s="324"/>
    </row>
    <row r="25" spans="1:8" x14ac:dyDescent="0.2">
      <c r="B25" s="10"/>
      <c r="C25" s="15"/>
      <c r="D25" s="16"/>
      <c r="E25" s="17"/>
      <c r="F25" s="17"/>
      <c r="G25" s="114"/>
      <c r="H25" s="114"/>
    </row>
    <row r="26" spans="1:8" x14ac:dyDescent="0.2">
      <c r="B26" s="82" t="s">
        <v>0</v>
      </c>
      <c r="C26" s="82" t="s">
        <v>1</v>
      </c>
      <c r="D26" s="262" t="s">
        <v>2</v>
      </c>
      <c r="E26" s="83" t="s">
        <v>3</v>
      </c>
      <c r="F26" s="83"/>
      <c r="G26" s="256" t="s">
        <v>321</v>
      </c>
      <c r="H26" s="256" t="s">
        <v>263</v>
      </c>
    </row>
    <row r="27" spans="1:8" x14ac:dyDescent="0.2">
      <c r="B27" s="46" t="s">
        <v>22</v>
      </c>
      <c r="C27" s="47"/>
      <c r="D27" s="48"/>
      <c r="E27" s="64"/>
      <c r="F27" s="64"/>
      <c r="G27" s="243"/>
      <c r="H27" s="243"/>
    </row>
    <row r="28" spans="1:8" s="74" customFormat="1" x14ac:dyDescent="0.2">
      <c r="A28"/>
      <c r="B28" s="84" t="s">
        <v>22</v>
      </c>
      <c r="C28" s="136" t="s">
        <v>11</v>
      </c>
      <c r="D28" s="78">
        <v>6</v>
      </c>
      <c r="E28" s="107">
        <v>200</v>
      </c>
      <c r="F28" s="86" t="s">
        <v>4</v>
      </c>
      <c r="G28" s="327">
        <f>(H28/100)</f>
        <v>4.6249500000000001</v>
      </c>
      <c r="H28" s="120">
        <v>462.495</v>
      </c>
    </row>
    <row r="29" spans="1:8" s="96" customFormat="1" x14ac:dyDescent="0.2">
      <c r="A29"/>
      <c r="B29" s="26" t="s">
        <v>22</v>
      </c>
      <c r="C29" s="132" t="s">
        <v>11</v>
      </c>
      <c r="D29" s="30">
        <v>7</v>
      </c>
      <c r="E29" s="71">
        <v>200</v>
      </c>
      <c r="F29" s="29" t="s">
        <v>4</v>
      </c>
      <c r="G29" s="327">
        <f t="shared" ref="G29:G39" si="0">(H29/100)</f>
        <v>5.8863000000000003</v>
      </c>
      <c r="H29" s="118">
        <v>588.63</v>
      </c>
    </row>
    <row r="30" spans="1:8" s="96" customFormat="1" x14ac:dyDescent="0.2">
      <c r="A30"/>
      <c r="B30" s="26" t="s">
        <v>22</v>
      </c>
      <c r="C30" s="132" t="s">
        <v>11</v>
      </c>
      <c r="D30" s="30">
        <v>8</v>
      </c>
      <c r="E30" s="71">
        <v>200</v>
      </c>
      <c r="F30" s="29" t="s">
        <v>4</v>
      </c>
      <c r="G30" s="327">
        <f t="shared" si="0"/>
        <v>8.1505125000000014</v>
      </c>
      <c r="H30" s="118">
        <v>815.0512500000001</v>
      </c>
    </row>
    <row r="31" spans="1:8" s="96" customFormat="1" x14ac:dyDescent="0.2">
      <c r="A31"/>
      <c r="B31" s="26" t="s">
        <v>22</v>
      </c>
      <c r="C31" s="132" t="s">
        <v>11</v>
      </c>
      <c r="D31" s="30">
        <v>9</v>
      </c>
      <c r="E31" s="71">
        <v>200</v>
      </c>
      <c r="F31" s="29" t="s">
        <v>4</v>
      </c>
      <c r="G31" s="327">
        <f t="shared" si="0"/>
        <v>11.076337499999999</v>
      </c>
      <c r="H31" s="118">
        <v>1107.63375</v>
      </c>
    </row>
    <row r="32" spans="1:8" s="96" customFormat="1" x14ac:dyDescent="0.2">
      <c r="A32"/>
      <c r="B32" s="26" t="s">
        <v>22</v>
      </c>
      <c r="C32" s="132" t="s">
        <v>11</v>
      </c>
      <c r="D32" s="30">
        <v>10</v>
      </c>
      <c r="E32" s="71">
        <v>200</v>
      </c>
      <c r="F32" s="29" t="s">
        <v>4</v>
      </c>
      <c r="G32" s="327">
        <f t="shared" si="0"/>
        <v>12.7482375</v>
      </c>
      <c r="H32" s="118">
        <v>1274.82375</v>
      </c>
    </row>
    <row r="33" spans="1:8" s="96" customFormat="1" x14ac:dyDescent="0.2">
      <c r="A33"/>
      <c r="B33" s="26" t="s">
        <v>22</v>
      </c>
      <c r="C33" s="132" t="s">
        <v>11</v>
      </c>
      <c r="D33" s="30">
        <v>12</v>
      </c>
      <c r="E33" s="71">
        <v>200</v>
      </c>
      <c r="F33" s="29" t="s">
        <v>4</v>
      </c>
      <c r="G33" s="327">
        <f t="shared" si="0"/>
        <v>14.538260869565219</v>
      </c>
      <c r="H33" s="118">
        <v>1453.826086956522</v>
      </c>
    </row>
    <row r="34" spans="1:8" s="96" customFormat="1" x14ac:dyDescent="0.2">
      <c r="A34"/>
      <c r="B34" s="26" t="s">
        <v>22</v>
      </c>
      <c r="C34" s="132" t="s">
        <v>11</v>
      </c>
      <c r="D34" s="30">
        <v>14</v>
      </c>
      <c r="E34" s="71">
        <v>100</v>
      </c>
      <c r="F34" s="29" t="s">
        <v>4</v>
      </c>
      <c r="G34" s="327">
        <f t="shared" si="0"/>
        <v>16.411621621621624</v>
      </c>
      <c r="H34" s="118">
        <v>1641.1621621621623</v>
      </c>
    </row>
    <row r="35" spans="1:8" s="96" customFormat="1" x14ac:dyDescent="0.2">
      <c r="A35"/>
      <c r="B35" s="26" t="s">
        <v>22</v>
      </c>
      <c r="C35" s="132" t="s">
        <v>11</v>
      </c>
      <c r="D35" s="30">
        <v>16</v>
      </c>
      <c r="E35" s="71">
        <v>100</v>
      </c>
      <c r="F35" s="29" t="s">
        <v>4</v>
      </c>
      <c r="G35" s="327">
        <f t="shared" si="0"/>
        <v>21.882162162162164</v>
      </c>
      <c r="H35" s="118">
        <v>2188.2162162162163</v>
      </c>
    </row>
    <row r="36" spans="1:8" s="96" customFormat="1" x14ac:dyDescent="0.2">
      <c r="A36"/>
      <c r="B36" s="26" t="s">
        <v>22</v>
      </c>
      <c r="C36" s="132" t="s">
        <v>11</v>
      </c>
      <c r="D36" s="30">
        <v>18</v>
      </c>
      <c r="E36" s="71">
        <v>100</v>
      </c>
      <c r="F36" s="29" t="s">
        <v>4</v>
      </c>
      <c r="G36" s="327">
        <f t="shared" si="0"/>
        <v>27.535054054054054</v>
      </c>
      <c r="H36" s="118">
        <v>2753.5054054054053</v>
      </c>
    </row>
    <row r="37" spans="1:8" s="96" customFormat="1" x14ac:dyDescent="0.2">
      <c r="A37"/>
      <c r="B37" s="26" t="s">
        <v>22</v>
      </c>
      <c r="C37" s="132" t="s">
        <v>11</v>
      </c>
      <c r="D37" s="30">
        <v>20</v>
      </c>
      <c r="E37" s="71">
        <v>100</v>
      </c>
      <c r="F37" s="29" t="s">
        <v>4</v>
      </c>
      <c r="G37" s="327">
        <f t="shared" si="0"/>
        <v>30.999729729729729</v>
      </c>
      <c r="H37" s="118">
        <v>3099.9729729729729</v>
      </c>
    </row>
    <row r="38" spans="1:8" s="96" customFormat="1" x14ac:dyDescent="0.2">
      <c r="A38"/>
      <c r="B38" s="26" t="s">
        <v>22</v>
      </c>
      <c r="C38" s="132" t="s">
        <v>11</v>
      </c>
      <c r="D38" s="31">
        <v>22</v>
      </c>
      <c r="E38" s="71">
        <v>100</v>
      </c>
      <c r="F38" s="29" t="s">
        <v>4</v>
      </c>
      <c r="G38" s="327">
        <f t="shared" si="0"/>
        <v>34.646756756756758</v>
      </c>
      <c r="H38" s="118">
        <v>3464.6756756756758</v>
      </c>
    </row>
    <row r="39" spans="1:8" s="96" customFormat="1" x14ac:dyDescent="0.2">
      <c r="A39"/>
      <c r="B39" s="26" t="s">
        <v>22</v>
      </c>
      <c r="C39" s="132" t="s">
        <v>11</v>
      </c>
      <c r="D39" s="31">
        <v>24</v>
      </c>
      <c r="E39" s="71">
        <v>100</v>
      </c>
      <c r="F39" s="29" t="s">
        <v>4</v>
      </c>
      <c r="G39" s="327">
        <f t="shared" si="0"/>
        <v>42.305513513513517</v>
      </c>
      <c r="H39" s="118">
        <v>4230.5513513513515</v>
      </c>
    </row>
    <row r="40" spans="1:8" x14ac:dyDescent="0.2">
      <c r="B40" s="266"/>
      <c r="C40" s="267"/>
      <c r="D40" s="268"/>
      <c r="E40" s="269"/>
      <c r="F40" s="270"/>
      <c r="H40" s="244"/>
    </row>
    <row r="41" spans="1:8" x14ac:dyDescent="0.2">
      <c r="B41" s="36" t="s">
        <v>24</v>
      </c>
      <c r="C41" s="37"/>
      <c r="D41" s="38"/>
      <c r="E41" s="59"/>
      <c r="F41" s="40"/>
      <c r="G41" s="40"/>
      <c r="H41" s="243"/>
    </row>
    <row r="42" spans="1:8" x14ac:dyDescent="0.2">
      <c r="B42" s="76" t="s">
        <v>24</v>
      </c>
      <c r="C42" s="136" t="s">
        <v>194</v>
      </c>
      <c r="D42" s="273">
        <v>6</v>
      </c>
      <c r="E42" s="128">
        <v>200</v>
      </c>
      <c r="F42" s="86" t="s">
        <v>4</v>
      </c>
      <c r="G42" s="301">
        <f>(H42/100)</f>
        <v>4.3379999999999992</v>
      </c>
      <c r="H42" s="120">
        <v>433.7999999999999</v>
      </c>
    </row>
    <row r="43" spans="1:8" x14ac:dyDescent="0.2">
      <c r="B43" s="42" t="s">
        <v>24</v>
      </c>
      <c r="C43" s="132" t="s">
        <v>194</v>
      </c>
      <c r="D43" s="43">
        <v>7</v>
      </c>
      <c r="E43" s="66">
        <v>200</v>
      </c>
      <c r="F43" s="29" t="s">
        <v>4</v>
      </c>
      <c r="G43" s="301">
        <f t="shared" ref="G43:G49" si="1">(H43/100)</f>
        <v>5.6394000000000002</v>
      </c>
      <c r="H43" s="118">
        <v>563.94000000000005</v>
      </c>
    </row>
    <row r="44" spans="1:8" x14ac:dyDescent="0.2">
      <c r="B44" s="42" t="s">
        <v>24</v>
      </c>
      <c r="C44" s="132" t="s">
        <v>194</v>
      </c>
      <c r="D44" s="43">
        <v>8</v>
      </c>
      <c r="E44" s="66">
        <v>200</v>
      </c>
      <c r="F44" s="29" t="s">
        <v>4</v>
      </c>
      <c r="G44" s="301">
        <f t="shared" si="1"/>
        <v>7.741575000000001</v>
      </c>
      <c r="H44" s="118">
        <v>774.15750000000014</v>
      </c>
    </row>
    <row r="45" spans="1:8" x14ac:dyDescent="0.2">
      <c r="B45" s="42" t="s">
        <v>24</v>
      </c>
      <c r="C45" s="132" t="s">
        <v>194</v>
      </c>
      <c r="D45" s="43">
        <v>9</v>
      </c>
      <c r="E45" s="66">
        <v>200</v>
      </c>
      <c r="F45" s="29" t="s">
        <v>4</v>
      </c>
      <c r="G45" s="301">
        <f t="shared" si="1"/>
        <v>10.809532500000003</v>
      </c>
      <c r="H45" s="118">
        <v>1080.9532500000003</v>
      </c>
    </row>
    <row r="46" spans="1:8" x14ac:dyDescent="0.2">
      <c r="B46" s="42" t="s">
        <v>24</v>
      </c>
      <c r="C46" s="132" t="s">
        <v>194</v>
      </c>
      <c r="D46" s="43">
        <v>10</v>
      </c>
      <c r="E46" s="66">
        <v>200</v>
      </c>
      <c r="F46" s="29" t="s">
        <v>4</v>
      </c>
      <c r="G46" s="301">
        <f t="shared" si="1"/>
        <v>12.615900000000003</v>
      </c>
      <c r="H46" s="118">
        <v>1261.5900000000004</v>
      </c>
    </row>
    <row r="47" spans="1:8" x14ac:dyDescent="0.2">
      <c r="B47" s="42" t="s">
        <v>24</v>
      </c>
      <c r="C47" s="132" t="s">
        <v>194</v>
      </c>
      <c r="D47" s="43">
        <v>12</v>
      </c>
      <c r="E47" s="66">
        <v>200</v>
      </c>
      <c r="F47" s="29" t="s">
        <v>4</v>
      </c>
      <c r="G47" s="301">
        <f t="shared" si="1"/>
        <v>15.339787500000005</v>
      </c>
      <c r="H47" s="118">
        <v>1533.9787500000004</v>
      </c>
    </row>
    <row r="48" spans="1:8" x14ac:dyDescent="0.2">
      <c r="B48" s="42" t="s">
        <v>24</v>
      </c>
      <c r="C48" s="132" t="s">
        <v>194</v>
      </c>
      <c r="D48" s="43">
        <v>14</v>
      </c>
      <c r="E48" s="66">
        <v>100</v>
      </c>
      <c r="F48" s="29" t="s">
        <v>4</v>
      </c>
      <c r="G48" s="301">
        <f t="shared" si="1"/>
        <v>18.007125000000002</v>
      </c>
      <c r="H48" s="118">
        <v>1800.7125000000001</v>
      </c>
    </row>
    <row r="49" spans="1:8" x14ac:dyDescent="0.2">
      <c r="B49" s="42" t="s">
        <v>24</v>
      </c>
      <c r="C49" s="132" t="s">
        <v>194</v>
      </c>
      <c r="D49" s="43">
        <v>16</v>
      </c>
      <c r="E49" s="66">
        <v>100</v>
      </c>
      <c r="F49" s="29" t="s">
        <v>4</v>
      </c>
      <c r="G49" s="301">
        <f t="shared" si="1"/>
        <v>24.832406250000005</v>
      </c>
      <c r="H49" s="118">
        <v>2483.2406250000004</v>
      </c>
    </row>
    <row r="50" spans="1:8" s="96" customFormat="1" x14ac:dyDescent="0.2">
      <c r="A50"/>
      <c r="B50" s="32"/>
      <c r="C50" s="32"/>
      <c r="D50" s="34"/>
      <c r="E50" s="35"/>
      <c r="F50" s="35"/>
      <c r="H50" s="242"/>
    </row>
    <row r="51" spans="1:8" s="96" customFormat="1" x14ac:dyDescent="0.2">
      <c r="A51"/>
      <c r="B51" s="46" t="s">
        <v>192</v>
      </c>
      <c r="C51" s="215"/>
      <c r="D51" s="216"/>
      <c r="E51" s="217"/>
      <c r="F51" s="49"/>
      <c r="G51" s="49"/>
      <c r="H51" s="243"/>
    </row>
    <row r="52" spans="1:8" s="96" customFormat="1" x14ac:dyDescent="0.2">
      <c r="A52" s="104"/>
      <c r="B52" s="84" t="s">
        <v>192</v>
      </c>
      <c r="C52" s="136" t="s">
        <v>193</v>
      </c>
      <c r="D52" s="78">
        <v>6</v>
      </c>
      <c r="E52" s="272">
        <v>200</v>
      </c>
      <c r="F52" s="86" t="s">
        <v>4</v>
      </c>
      <c r="G52" s="328">
        <f>(H52/100)</f>
        <v>2.5992488135593224</v>
      </c>
      <c r="H52" s="120">
        <v>259.92488135593226</v>
      </c>
    </row>
    <row r="53" spans="1:8" s="96" customFormat="1" x14ac:dyDescent="0.2">
      <c r="A53" s="104"/>
      <c r="B53" s="26" t="s">
        <v>192</v>
      </c>
      <c r="C53" s="132" t="s">
        <v>193</v>
      </c>
      <c r="D53" s="30">
        <v>7</v>
      </c>
      <c r="E53" s="139">
        <v>200</v>
      </c>
      <c r="F53" s="29" t="s">
        <v>4</v>
      </c>
      <c r="G53" s="328">
        <f t="shared" ref="G53:G64" si="2">(H53/100)</f>
        <v>3.1206050847457623</v>
      </c>
      <c r="H53" s="118">
        <v>312.06050847457624</v>
      </c>
    </row>
    <row r="54" spans="1:8" s="96" customFormat="1" x14ac:dyDescent="0.2">
      <c r="A54" s="104"/>
      <c r="B54" s="26" t="s">
        <v>192</v>
      </c>
      <c r="C54" s="132" t="s">
        <v>193</v>
      </c>
      <c r="D54" s="30">
        <v>8</v>
      </c>
      <c r="E54" s="139">
        <v>200</v>
      </c>
      <c r="F54" s="29" t="s">
        <v>4</v>
      </c>
      <c r="G54" s="328">
        <f t="shared" si="2"/>
        <v>5.1452745762711869</v>
      </c>
      <c r="H54" s="118">
        <v>514.52745762711868</v>
      </c>
    </row>
    <row r="55" spans="1:8" s="96" customFormat="1" x14ac:dyDescent="0.2">
      <c r="A55" s="104"/>
      <c r="B55" s="26" t="s">
        <v>192</v>
      </c>
      <c r="C55" s="132" t="s">
        <v>193</v>
      </c>
      <c r="D55" s="30">
        <v>9</v>
      </c>
      <c r="E55" s="139">
        <v>200</v>
      </c>
      <c r="F55" s="29" t="s">
        <v>4</v>
      </c>
      <c r="G55" s="328">
        <f t="shared" si="2"/>
        <v>6.076296610169492</v>
      </c>
      <c r="H55" s="118">
        <v>607.62966101694917</v>
      </c>
    </row>
    <row r="56" spans="1:8" s="96" customFormat="1" x14ac:dyDescent="0.2">
      <c r="A56" s="104"/>
      <c r="B56" s="26" t="s">
        <v>192</v>
      </c>
      <c r="C56" s="132" t="s">
        <v>193</v>
      </c>
      <c r="D56" s="30">
        <v>10</v>
      </c>
      <c r="E56" s="139">
        <v>200</v>
      </c>
      <c r="F56" s="29" t="s">
        <v>4</v>
      </c>
      <c r="G56" s="328">
        <f t="shared" si="2"/>
        <v>6.8358508474576274</v>
      </c>
      <c r="H56" s="118">
        <v>683.58508474576274</v>
      </c>
    </row>
    <row r="57" spans="1:8" s="96" customFormat="1" x14ac:dyDescent="0.2">
      <c r="A57" s="104"/>
      <c r="B57" s="26" t="s">
        <v>192</v>
      </c>
      <c r="C57" s="132" t="s">
        <v>193</v>
      </c>
      <c r="D57" s="30">
        <v>11</v>
      </c>
      <c r="E57" s="139">
        <v>200</v>
      </c>
      <c r="F57" s="123" t="s">
        <v>4</v>
      </c>
      <c r="G57" s="328">
        <f t="shared" si="2"/>
        <v>8.9061725806451602</v>
      </c>
      <c r="H57" s="118">
        <v>890.61725806451602</v>
      </c>
    </row>
    <row r="58" spans="1:8" s="96" customFormat="1" x14ac:dyDescent="0.2">
      <c r="A58" s="104"/>
      <c r="B58" s="26" t="s">
        <v>192</v>
      </c>
      <c r="C58" s="132" t="s">
        <v>193</v>
      </c>
      <c r="D58" s="30">
        <v>12</v>
      </c>
      <c r="E58" s="139">
        <v>200</v>
      </c>
      <c r="F58" s="29" t="s">
        <v>4</v>
      </c>
      <c r="G58" s="328">
        <f t="shared" si="2"/>
        <v>9.7361194029850768</v>
      </c>
      <c r="H58" s="118">
        <v>973.61194029850765</v>
      </c>
    </row>
    <row r="59" spans="1:8" s="96" customFormat="1" x14ac:dyDescent="0.2">
      <c r="A59" s="104"/>
      <c r="B59" s="26" t="s">
        <v>192</v>
      </c>
      <c r="C59" s="132" t="s">
        <v>193</v>
      </c>
      <c r="D59" s="30">
        <v>14</v>
      </c>
      <c r="E59" s="71">
        <v>100</v>
      </c>
      <c r="F59" s="29" t="s">
        <v>4</v>
      </c>
      <c r="G59" s="328">
        <f t="shared" si="2"/>
        <v>13.675121194029852</v>
      </c>
      <c r="H59" s="118">
        <v>1367.5121194029853</v>
      </c>
    </row>
    <row r="60" spans="1:8" s="96" customFormat="1" x14ac:dyDescent="0.2">
      <c r="A60" s="104"/>
      <c r="B60" s="26" t="s">
        <v>192</v>
      </c>
      <c r="C60" s="132" t="s">
        <v>193</v>
      </c>
      <c r="D60" s="30">
        <v>16</v>
      </c>
      <c r="E60" s="71">
        <v>100</v>
      </c>
      <c r="F60" s="29" t="s">
        <v>4</v>
      </c>
      <c r="G60" s="328">
        <f t="shared" si="2"/>
        <v>16.663164179104484</v>
      </c>
      <c r="H60" s="118">
        <v>1666.3164179104483</v>
      </c>
    </row>
    <row r="61" spans="1:8" s="96" customFormat="1" x14ac:dyDescent="0.2">
      <c r="A61" s="104"/>
      <c r="B61" s="26" t="s">
        <v>192</v>
      </c>
      <c r="C61" s="132" t="s">
        <v>193</v>
      </c>
      <c r="D61" s="30">
        <v>18</v>
      </c>
      <c r="E61" s="71">
        <v>100</v>
      </c>
      <c r="F61" s="29" t="s">
        <v>4</v>
      </c>
      <c r="G61" s="328">
        <f t="shared" si="2"/>
        <v>19.738208955223886</v>
      </c>
      <c r="H61" s="118">
        <v>1973.8208955223886</v>
      </c>
    </row>
    <row r="62" spans="1:8" s="96" customFormat="1" x14ac:dyDescent="0.2">
      <c r="A62" s="104"/>
      <c r="B62" s="26" t="s">
        <v>192</v>
      </c>
      <c r="C62" s="132" t="s">
        <v>193</v>
      </c>
      <c r="D62" s="30">
        <v>20</v>
      </c>
      <c r="E62" s="71">
        <v>100</v>
      </c>
      <c r="F62" s="123" t="s">
        <v>4</v>
      </c>
      <c r="G62" s="328">
        <f t="shared" si="2"/>
        <v>26.914459701492543</v>
      </c>
      <c r="H62" s="118">
        <v>2691.4459701492542</v>
      </c>
    </row>
    <row r="63" spans="1:8" s="96" customFormat="1" x14ac:dyDescent="0.2">
      <c r="A63" s="104"/>
      <c r="B63" s="26" t="s">
        <v>192</v>
      </c>
      <c r="C63" s="132" t="s">
        <v>193</v>
      </c>
      <c r="D63" s="30">
        <v>22</v>
      </c>
      <c r="E63" s="71">
        <v>100</v>
      </c>
      <c r="F63" s="123" t="s">
        <v>4</v>
      </c>
      <c r="G63" s="328">
        <f t="shared" si="2"/>
        <v>32.047164179104485</v>
      </c>
      <c r="H63" s="118">
        <v>3204.7164179104484</v>
      </c>
    </row>
    <row r="64" spans="1:8" s="96" customFormat="1" x14ac:dyDescent="0.2">
      <c r="A64" s="104"/>
      <c r="B64" s="26" t="s">
        <v>192</v>
      </c>
      <c r="C64" s="132" t="s">
        <v>193</v>
      </c>
      <c r="D64" s="30">
        <v>24</v>
      </c>
      <c r="E64" s="71">
        <v>100</v>
      </c>
      <c r="F64" s="123" t="s">
        <v>4</v>
      </c>
      <c r="G64" s="328">
        <f t="shared" si="2"/>
        <v>36.467462686567167</v>
      </c>
      <c r="H64" s="118">
        <v>3646.7462686567169</v>
      </c>
    </row>
    <row r="65" spans="1:8" x14ac:dyDescent="0.2">
      <c r="A65" s="210"/>
      <c r="B65" s="32"/>
      <c r="C65" s="32"/>
      <c r="D65" s="32"/>
      <c r="E65" s="35"/>
      <c r="F65" s="32"/>
      <c r="H65" s="242"/>
    </row>
    <row r="66" spans="1:8" x14ac:dyDescent="0.2">
      <c r="A66" s="104"/>
      <c r="B66" s="46" t="s">
        <v>252</v>
      </c>
      <c r="C66" s="37"/>
      <c r="D66" s="38"/>
      <c r="E66" s="59"/>
      <c r="F66" s="40"/>
      <c r="G66" s="40"/>
      <c r="H66" s="243"/>
    </row>
    <row r="67" spans="1:8" s="96" customFormat="1" x14ac:dyDescent="0.2">
      <c r="A67" s="104"/>
      <c r="B67" s="84" t="s">
        <v>252</v>
      </c>
      <c r="C67" s="136" t="s">
        <v>195</v>
      </c>
      <c r="D67" s="265">
        <v>6</v>
      </c>
      <c r="E67" s="107">
        <v>200</v>
      </c>
      <c r="F67" s="271" t="s">
        <v>4</v>
      </c>
      <c r="G67" s="328">
        <f>(H67/100)</f>
        <v>3.5690730508474577</v>
      </c>
      <c r="H67" s="120">
        <v>356.90730508474576</v>
      </c>
    </row>
    <row r="68" spans="1:8" s="96" customFormat="1" x14ac:dyDescent="0.2">
      <c r="A68" s="104"/>
      <c r="B68" s="26" t="s">
        <v>252</v>
      </c>
      <c r="C68" s="132" t="s">
        <v>195</v>
      </c>
      <c r="D68" s="140">
        <v>7</v>
      </c>
      <c r="E68" s="71">
        <v>200</v>
      </c>
      <c r="F68" s="123" t="s">
        <v>4</v>
      </c>
      <c r="G68" s="328">
        <f t="shared" ref="G68:G77" si="3">(H68/100)</f>
        <v>4.3550874152542374</v>
      </c>
      <c r="H68" s="118">
        <v>435.50874152542372</v>
      </c>
    </row>
    <row r="69" spans="1:8" s="96" customFormat="1" x14ac:dyDescent="0.2">
      <c r="A69" s="104"/>
      <c r="B69" s="26" t="s">
        <v>252</v>
      </c>
      <c r="C69" s="132" t="s">
        <v>195</v>
      </c>
      <c r="D69" s="30">
        <v>8</v>
      </c>
      <c r="E69" s="71">
        <v>200</v>
      </c>
      <c r="F69" s="29" t="s">
        <v>4</v>
      </c>
      <c r="G69" s="328">
        <f t="shared" si="3"/>
        <v>6.9476478915254241</v>
      </c>
      <c r="H69" s="118">
        <v>694.76478915254245</v>
      </c>
    </row>
    <row r="70" spans="1:8" s="96" customFormat="1" x14ac:dyDescent="0.2">
      <c r="A70" s="104"/>
      <c r="B70" s="26" t="s">
        <v>252</v>
      </c>
      <c r="C70" s="132" t="s">
        <v>195</v>
      </c>
      <c r="D70" s="30">
        <v>9</v>
      </c>
      <c r="E70" s="71">
        <v>200</v>
      </c>
      <c r="F70" s="29" t="s">
        <v>4</v>
      </c>
      <c r="G70" s="328">
        <f t="shared" si="3"/>
        <v>8.2466438745762733</v>
      </c>
      <c r="H70" s="118">
        <v>824.6643874576273</v>
      </c>
    </row>
    <row r="71" spans="1:8" s="96" customFormat="1" x14ac:dyDescent="0.2">
      <c r="A71" s="104"/>
      <c r="B71" s="26" t="s">
        <v>252</v>
      </c>
      <c r="C71" s="132" t="s">
        <v>195</v>
      </c>
      <c r="D71" s="30">
        <v>10</v>
      </c>
      <c r="E71" s="71">
        <v>200</v>
      </c>
      <c r="F71" s="29" t="s">
        <v>4</v>
      </c>
      <c r="G71" s="328">
        <f t="shared" si="3"/>
        <v>9.6618340881355937</v>
      </c>
      <c r="H71" s="118">
        <v>966.18340881355937</v>
      </c>
    </row>
    <row r="72" spans="1:8" s="96" customFormat="1" x14ac:dyDescent="0.2">
      <c r="A72" s="104"/>
      <c r="B72" s="26" t="s">
        <v>252</v>
      </c>
      <c r="C72" s="132" t="s">
        <v>195</v>
      </c>
      <c r="D72" s="30">
        <v>11</v>
      </c>
      <c r="E72" s="71">
        <v>200</v>
      </c>
      <c r="F72" s="123" t="s">
        <v>4</v>
      </c>
      <c r="G72" s="328">
        <f t="shared" si="3"/>
        <v>12.441598475806451</v>
      </c>
      <c r="H72" s="118">
        <v>1244.1598475806452</v>
      </c>
    </row>
    <row r="73" spans="1:8" s="96" customFormat="1" x14ac:dyDescent="0.2">
      <c r="A73" s="104"/>
      <c r="B73" s="26" t="s">
        <v>252</v>
      </c>
      <c r="C73" s="132" t="s">
        <v>195</v>
      </c>
      <c r="D73" s="30">
        <v>12</v>
      </c>
      <c r="E73" s="71">
        <v>200</v>
      </c>
      <c r="F73" s="29" t="s">
        <v>4</v>
      </c>
      <c r="G73" s="328">
        <f t="shared" si="3"/>
        <v>12.880477611940302</v>
      </c>
      <c r="H73" s="118">
        <v>1288.0477611940303</v>
      </c>
    </row>
    <row r="74" spans="1:8" s="96" customFormat="1" x14ac:dyDescent="0.2">
      <c r="A74" s="104"/>
      <c r="B74" s="26" t="s">
        <v>252</v>
      </c>
      <c r="C74" s="132" t="s">
        <v>195</v>
      </c>
      <c r="D74" s="30">
        <v>14</v>
      </c>
      <c r="E74" s="71">
        <v>100</v>
      </c>
      <c r="F74" s="29" t="s">
        <v>4</v>
      </c>
      <c r="G74" s="328">
        <f t="shared" si="3"/>
        <v>18.16296850746269</v>
      </c>
      <c r="H74" s="118">
        <v>1816.296850746269</v>
      </c>
    </row>
    <row r="75" spans="1:8" s="96" customFormat="1" x14ac:dyDescent="0.2">
      <c r="A75" s="104"/>
      <c r="B75" s="26" t="s">
        <v>252</v>
      </c>
      <c r="C75" s="132" t="s">
        <v>195</v>
      </c>
      <c r="D75" s="30">
        <v>16</v>
      </c>
      <c r="E75" s="71">
        <v>100</v>
      </c>
      <c r="F75" s="29" t="s">
        <v>4</v>
      </c>
      <c r="G75" s="328">
        <f t="shared" si="3"/>
        <v>22.262629253731344</v>
      </c>
      <c r="H75" s="118">
        <v>2226.2629253731343</v>
      </c>
    </row>
    <row r="76" spans="1:8" s="96" customFormat="1" x14ac:dyDescent="0.2">
      <c r="A76" s="104"/>
      <c r="B76" s="26" t="s">
        <v>252</v>
      </c>
      <c r="C76" s="132" t="s">
        <v>195</v>
      </c>
      <c r="D76" s="30">
        <v>18</v>
      </c>
      <c r="E76" s="71">
        <v>100</v>
      </c>
      <c r="F76" s="29" t="s">
        <v>4</v>
      </c>
      <c r="G76" s="328">
        <f t="shared" si="3"/>
        <v>27.326292537313439</v>
      </c>
      <c r="H76" s="118">
        <v>2732.6292537313439</v>
      </c>
    </row>
    <row r="77" spans="1:8" s="96" customFormat="1" x14ac:dyDescent="0.2">
      <c r="A77" s="104"/>
      <c r="B77" s="26" t="s">
        <v>252</v>
      </c>
      <c r="C77" s="132" t="s">
        <v>195</v>
      </c>
      <c r="D77" s="30">
        <v>20</v>
      </c>
      <c r="E77" s="71">
        <v>100</v>
      </c>
      <c r="F77" s="123" t="s">
        <v>4</v>
      </c>
      <c r="G77" s="328">
        <f t="shared" si="3"/>
        <v>33.141432358208959</v>
      </c>
      <c r="H77" s="118">
        <v>3314.1432358208958</v>
      </c>
    </row>
    <row r="78" spans="1:8" s="96" customFormat="1" x14ac:dyDescent="0.2">
      <c r="A78"/>
      <c r="B78" s="32"/>
      <c r="C78" s="32"/>
      <c r="D78" s="34"/>
      <c r="E78" s="35"/>
      <c r="F78" s="35"/>
      <c r="H78" s="242"/>
    </row>
    <row r="79" spans="1:8" x14ac:dyDescent="0.2">
      <c r="B79" s="36" t="s">
        <v>198</v>
      </c>
      <c r="C79" s="37"/>
      <c r="D79" s="38"/>
      <c r="E79" s="59"/>
      <c r="F79" s="59"/>
      <c r="G79" s="59"/>
      <c r="H79" s="165"/>
    </row>
    <row r="80" spans="1:8" x14ac:dyDescent="0.2">
      <c r="B80" s="81" t="s">
        <v>198</v>
      </c>
      <c r="C80" s="144" t="s">
        <v>197</v>
      </c>
      <c r="D80" s="78">
        <v>6</v>
      </c>
      <c r="E80" s="107">
        <v>200</v>
      </c>
      <c r="F80" s="79" t="s">
        <v>4</v>
      </c>
      <c r="G80" s="301">
        <f>(H80/100)</f>
        <v>0.88612881355932216</v>
      </c>
      <c r="H80" s="120">
        <v>88.612881355932217</v>
      </c>
    </row>
    <row r="81" spans="2:8" x14ac:dyDescent="0.2">
      <c r="B81" s="81" t="s">
        <v>198</v>
      </c>
      <c r="C81" s="144" t="s">
        <v>197</v>
      </c>
      <c r="D81" s="78">
        <v>7</v>
      </c>
      <c r="E81" s="107">
        <v>200</v>
      </c>
      <c r="F81" s="251" t="s">
        <v>4</v>
      </c>
      <c r="G81" s="301">
        <f t="shared" ref="G81:G88" si="4">(H81/100)</f>
        <v>1.0068290322580644</v>
      </c>
      <c r="H81" s="118">
        <v>100.68290322580644</v>
      </c>
    </row>
    <row r="82" spans="2:8" x14ac:dyDescent="0.2">
      <c r="B82" s="81" t="s">
        <v>198</v>
      </c>
      <c r="C82" s="144" t="s">
        <v>197</v>
      </c>
      <c r="D82" s="30">
        <v>8</v>
      </c>
      <c r="E82" s="71">
        <v>200</v>
      </c>
      <c r="F82" s="60" t="s">
        <v>4</v>
      </c>
      <c r="G82" s="301">
        <f t="shared" si="4"/>
        <v>1.0569152542372884</v>
      </c>
      <c r="H82" s="118">
        <v>105.69152542372883</v>
      </c>
    </row>
    <row r="83" spans="2:8" x14ac:dyDescent="0.2">
      <c r="B83" s="81" t="s">
        <v>198</v>
      </c>
      <c r="C83" s="144" t="s">
        <v>197</v>
      </c>
      <c r="D83" s="30">
        <v>9</v>
      </c>
      <c r="E83" s="71">
        <v>200</v>
      </c>
      <c r="F83" s="125" t="s">
        <v>4</v>
      </c>
      <c r="G83" s="301">
        <f t="shared" si="4"/>
        <v>1.3746244067796609</v>
      </c>
      <c r="H83" s="118">
        <v>137.4624406779661</v>
      </c>
    </row>
    <row r="84" spans="2:8" x14ac:dyDescent="0.2">
      <c r="B84" s="81" t="s">
        <v>198</v>
      </c>
      <c r="C84" s="144" t="s">
        <v>197</v>
      </c>
      <c r="D84" s="30">
        <v>10</v>
      </c>
      <c r="E84" s="71">
        <v>200</v>
      </c>
      <c r="F84" s="60" t="s">
        <v>4</v>
      </c>
      <c r="G84" s="301">
        <f t="shared" si="4"/>
        <v>1.6858333333333335</v>
      </c>
      <c r="H84" s="118">
        <v>168.58333333333334</v>
      </c>
    </row>
    <row r="85" spans="2:8" x14ac:dyDescent="0.2">
      <c r="B85" s="81" t="s">
        <v>198</v>
      </c>
      <c r="C85" s="144" t="s">
        <v>197</v>
      </c>
      <c r="D85" s="30">
        <v>12</v>
      </c>
      <c r="E85" s="71">
        <v>200</v>
      </c>
      <c r="F85" s="60" t="s">
        <v>4</v>
      </c>
      <c r="G85" s="301">
        <f t="shared" si="4"/>
        <v>2.1105777777777779</v>
      </c>
      <c r="H85" s="118">
        <v>211.0577777777778</v>
      </c>
    </row>
    <row r="86" spans="2:8" x14ac:dyDescent="0.2">
      <c r="B86" s="81" t="s">
        <v>198</v>
      </c>
      <c r="C86" s="144" t="s">
        <v>197</v>
      </c>
      <c r="D86" s="30">
        <v>14</v>
      </c>
      <c r="E86" s="71">
        <v>200</v>
      </c>
      <c r="F86" s="60" t="s">
        <v>4</v>
      </c>
      <c r="G86" s="301">
        <f t="shared" si="4"/>
        <v>2.6375555555555552</v>
      </c>
      <c r="H86" s="118">
        <v>263.75555555555553</v>
      </c>
    </row>
    <row r="87" spans="2:8" x14ac:dyDescent="0.2">
      <c r="B87" s="81" t="s">
        <v>198</v>
      </c>
      <c r="C87" s="144" t="s">
        <v>197</v>
      </c>
      <c r="D87" s="30">
        <v>16</v>
      </c>
      <c r="E87" s="71">
        <v>100</v>
      </c>
      <c r="F87" s="60" t="s">
        <v>4</v>
      </c>
      <c r="G87" s="301">
        <f t="shared" si="4"/>
        <v>3.4491111111111108</v>
      </c>
      <c r="H87" s="118">
        <v>344.9111111111111</v>
      </c>
    </row>
    <row r="88" spans="2:8" x14ac:dyDescent="0.2">
      <c r="B88" s="81" t="s">
        <v>198</v>
      </c>
      <c r="C88" s="144" t="s">
        <v>197</v>
      </c>
      <c r="D88" s="30">
        <v>18</v>
      </c>
      <c r="E88" s="71">
        <v>100</v>
      </c>
      <c r="F88" s="60" t="s">
        <v>4</v>
      </c>
      <c r="G88" s="301">
        <f t="shared" si="4"/>
        <v>4.3713333333333333</v>
      </c>
      <c r="H88" s="118">
        <v>437.13333333333333</v>
      </c>
    </row>
    <row r="89" spans="2:8" x14ac:dyDescent="0.2">
      <c r="B89" s="32"/>
      <c r="C89" s="32"/>
      <c r="D89" s="32"/>
      <c r="E89" s="35"/>
      <c r="F89" s="32"/>
      <c r="H89" s="35"/>
    </row>
    <row r="90" spans="2:8" x14ac:dyDescent="0.2">
      <c r="B90" s="145" t="s">
        <v>198</v>
      </c>
      <c r="C90" s="102" t="s">
        <v>193</v>
      </c>
      <c r="D90" s="30">
        <v>6</v>
      </c>
      <c r="E90" s="71">
        <v>200</v>
      </c>
      <c r="F90" s="60" t="s">
        <v>4</v>
      </c>
      <c r="G90" s="301">
        <f>(H90/100)</f>
        <v>0.95576727272727269</v>
      </c>
      <c r="H90" s="118">
        <v>95.576727272727268</v>
      </c>
    </row>
    <row r="91" spans="2:8" x14ac:dyDescent="0.2">
      <c r="B91" s="81" t="s">
        <v>198</v>
      </c>
      <c r="C91" s="102" t="s">
        <v>193</v>
      </c>
      <c r="D91" s="30">
        <v>7</v>
      </c>
      <c r="E91" s="71">
        <v>200</v>
      </c>
      <c r="F91" s="125" t="s">
        <v>4</v>
      </c>
      <c r="G91" s="301">
        <f t="shared" ref="G91:G98" si="5">(H91/100)</f>
        <v>1.0648110508474575</v>
      </c>
      <c r="H91" s="118">
        <v>106.48110508474575</v>
      </c>
    </row>
    <row r="92" spans="2:8" x14ac:dyDescent="0.2">
      <c r="B92" s="81" t="s">
        <v>198</v>
      </c>
      <c r="C92" s="102" t="s">
        <v>193</v>
      </c>
      <c r="D92" s="30">
        <v>8</v>
      </c>
      <c r="E92" s="71">
        <v>200</v>
      </c>
      <c r="F92" s="60" t="s">
        <v>4</v>
      </c>
      <c r="G92" s="301">
        <f t="shared" si="5"/>
        <v>1.1112584745762712</v>
      </c>
      <c r="H92" s="118">
        <v>111.12584745762713</v>
      </c>
    </row>
    <row r="93" spans="2:8" x14ac:dyDescent="0.2">
      <c r="B93" s="81" t="s">
        <v>198</v>
      </c>
      <c r="C93" s="102" t="s">
        <v>193</v>
      </c>
      <c r="D93" s="30">
        <v>9</v>
      </c>
      <c r="E93" s="71">
        <v>200</v>
      </c>
      <c r="F93" s="125" t="s">
        <v>4</v>
      </c>
      <c r="G93" s="301">
        <f t="shared" si="5"/>
        <v>1.4475015254237289</v>
      </c>
      <c r="H93" s="118">
        <v>144.75015254237289</v>
      </c>
    </row>
    <row r="94" spans="2:8" x14ac:dyDescent="0.2">
      <c r="B94" s="81" t="s">
        <v>198</v>
      </c>
      <c r="C94" s="102" t="s">
        <v>193</v>
      </c>
      <c r="D94" s="30">
        <v>10</v>
      </c>
      <c r="E94" s="71">
        <v>200</v>
      </c>
      <c r="F94" s="60" t="s">
        <v>4</v>
      </c>
      <c r="G94" s="301">
        <f t="shared" si="5"/>
        <v>1.750416666666667</v>
      </c>
      <c r="H94" s="118">
        <v>175.04166666666669</v>
      </c>
    </row>
    <row r="95" spans="2:8" x14ac:dyDescent="0.2">
      <c r="B95" s="81" t="s">
        <v>198</v>
      </c>
      <c r="C95" s="102" t="s">
        <v>193</v>
      </c>
      <c r="D95" s="30">
        <v>12</v>
      </c>
      <c r="E95" s="71">
        <v>200</v>
      </c>
      <c r="F95" s="60" t="s">
        <v>4</v>
      </c>
      <c r="G95" s="301">
        <f t="shared" si="5"/>
        <v>2.2224666666666666</v>
      </c>
      <c r="H95" s="118">
        <v>222.24666666666667</v>
      </c>
    </row>
    <row r="96" spans="2:8" x14ac:dyDescent="0.2">
      <c r="B96" s="81" t="s">
        <v>198</v>
      </c>
      <c r="C96" s="102" t="s">
        <v>193</v>
      </c>
      <c r="D96" s="30">
        <v>14</v>
      </c>
      <c r="E96" s="71">
        <v>200</v>
      </c>
      <c r="F96" s="60" t="s">
        <v>4</v>
      </c>
      <c r="G96" s="301">
        <f t="shared" si="5"/>
        <v>2.7884999999999995</v>
      </c>
      <c r="H96" s="118">
        <v>278.84999999999997</v>
      </c>
    </row>
    <row r="97" spans="2:8" x14ac:dyDescent="0.2">
      <c r="B97" s="81" t="s">
        <v>198</v>
      </c>
      <c r="C97" s="102" t="s">
        <v>193</v>
      </c>
      <c r="D97" s="30">
        <v>16</v>
      </c>
      <c r="E97" s="71">
        <v>100</v>
      </c>
      <c r="F97" s="60" t="s">
        <v>4</v>
      </c>
      <c r="G97" s="301">
        <f t="shared" si="5"/>
        <v>3.6413055555555554</v>
      </c>
      <c r="H97" s="118">
        <v>364.13055555555553</v>
      </c>
    </row>
    <row r="98" spans="2:8" x14ac:dyDescent="0.2">
      <c r="B98" s="81" t="s">
        <v>198</v>
      </c>
      <c r="C98" s="102" t="s">
        <v>193</v>
      </c>
      <c r="D98" s="30">
        <v>18</v>
      </c>
      <c r="E98" s="71">
        <v>100</v>
      </c>
      <c r="F98" s="60" t="s">
        <v>4</v>
      </c>
      <c r="G98" s="301">
        <f t="shared" si="5"/>
        <v>4.6149166666666668</v>
      </c>
      <c r="H98" s="118">
        <v>461.49166666666667</v>
      </c>
    </row>
    <row r="99" spans="2:8" x14ac:dyDescent="0.2">
      <c r="B99" s="56"/>
      <c r="C99" s="56"/>
      <c r="D99" s="219"/>
      <c r="E99" s="220"/>
      <c r="F99" s="220"/>
      <c r="H99" s="221"/>
    </row>
    <row r="100" spans="2:8" x14ac:dyDescent="0.2">
      <c r="B100" s="36" t="s">
        <v>196</v>
      </c>
      <c r="C100" s="37"/>
      <c r="D100" s="38"/>
      <c r="E100" s="59"/>
      <c r="F100" s="59"/>
      <c r="G100" s="59"/>
      <c r="H100" s="165"/>
    </row>
    <row r="101" spans="2:8" x14ac:dyDescent="0.2">
      <c r="B101" s="81" t="s">
        <v>196</v>
      </c>
      <c r="C101" s="144" t="s">
        <v>197</v>
      </c>
      <c r="D101" s="78">
        <v>6</v>
      </c>
      <c r="E101" s="107">
        <v>200</v>
      </c>
      <c r="F101" s="79" t="s">
        <v>4</v>
      </c>
      <c r="G101" s="301">
        <f>(H101/100)</f>
        <v>0.81105000000000005</v>
      </c>
      <c r="H101" s="120">
        <v>81.105000000000004</v>
      </c>
    </row>
    <row r="102" spans="2:8" x14ac:dyDescent="0.2">
      <c r="B102" s="81" t="s">
        <v>196</v>
      </c>
      <c r="C102" s="144" t="s">
        <v>197</v>
      </c>
      <c r="D102" s="78">
        <v>7</v>
      </c>
      <c r="E102" s="107">
        <v>200</v>
      </c>
      <c r="F102" s="251" t="s">
        <v>4</v>
      </c>
      <c r="G102" s="301">
        <f t="shared" ref="G102:G110" si="6">(H102/100)</f>
        <v>1.0190226428571427</v>
      </c>
      <c r="H102" s="118">
        <v>101.90226428571427</v>
      </c>
    </row>
    <row r="103" spans="2:8" x14ac:dyDescent="0.2">
      <c r="B103" s="81" t="s">
        <v>196</v>
      </c>
      <c r="C103" s="144" t="s">
        <v>197</v>
      </c>
      <c r="D103" s="30">
        <v>8</v>
      </c>
      <c r="E103" s="71">
        <v>200</v>
      </c>
      <c r="F103" s="60" t="s">
        <v>4</v>
      </c>
      <c r="G103" s="301">
        <f t="shared" si="6"/>
        <v>1.1119222222222223</v>
      </c>
      <c r="H103" s="118">
        <v>111.19222222222223</v>
      </c>
    </row>
    <row r="104" spans="2:8" x14ac:dyDescent="0.2">
      <c r="B104" s="81" t="s">
        <v>196</v>
      </c>
      <c r="C104" s="144" t="s">
        <v>197</v>
      </c>
      <c r="D104" s="30">
        <v>9</v>
      </c>
      <c r="E104" s="71">
        <v>200</v>
      </c>
      <c r="F104" s="125" t="s">
        <v>4</v>
      </c>
      <c r="G104" s="301">
        <f t="shared" si="6"/>
        <v>1.4541486666666665</v>
      </c>
      <c r="H104" s="118">
        <v>145.41486666666665</v>
      </c>
    </row>
    <row r="105" spans="2:8" x14ac:dyDescent="0.2">
      <c r="B105" s="81" t="s">
        <v>196</v>
      </c>
      <c r="C105" s="144" t="s">
        <v>197</v>
      </c>
      <c r="D105" s="30">
        <v>10</v>
      </c>
      <c r="E105" s="71">
        <v>200</v>
      </c>
      <c r="F105" s="60" t="s">
        <v>4</v>
      </c>
      <c r="G105" s="301">
        <f t="shared" si="6"/>
        <v>1.669888888888889</v>
      </c>
      <c r="H105" s="118">
        <v>166.98888888888891</v>
      </c>
    </row>
    <row r="106" spans="2:8" x14ac:dyDescent="0.2">
      <c r="B106" s="81" t="s">
        <v>196</v>
      </c>
      <c r="C106" s="144" t="s">
        <v>197</v>
      </c>
      <c r="D106" s="30">
        <v>12</v>
      </c>
      <c r="E106" s="71">
        <v>200</v>
      </c>
      <c r="F106" s="60" t="s">
        <v>4</v>
      </c>
      <c r="G106" s="301">
        <f t="shared" si="6"/>
        <v>2.0181222222222224</v>
      </c>
      <c r="H106" s="118">
        <v>201.81222222222223</v>
      </c>
    </row>
    <row r="107" spans="2:8" x14ac:dyDescent="0.2">
      <c r="B107" s="81" t="s">
        <v>196</v>
      </c>
      <c r="C107" s="144" t="s">
        <v>197</v>
      </c>
      <c r="D107" s="30">
        <v>14</v>
      </c>
      <c r="E107" s="71">
        <v>200</v>
      </c>
      <c r="F107" s="60" t="s">
        <v>4</v>
      </c>
      <c r="G107" s="301">
        <f t="shared" si="6"/>
        <v>2.5261666666666662</v>
      </c>
      <c r="H107" s="118">
        <v>252.61666666666662</v>
      </c>
    </row>
    <row r="108" spans="2:8" x14ac:dyDescent="0.2">
      <c r="B108" s="81" t="s">
        <v>196</v>
      </c>
      <c r="C108" s="144" t="s">
        <v>197</v>
      </c>
      <c r="D108" s="30">
        <v>16</v>
      </c>
      <c r="E108" s="71">
        <v>100</v>
      </c>
      <c r="F108" s="60" t="s">
        <v>4</v>
      </c>
      <c r="G108" s="301">
        <f t="shared" si="6"/>
        <v>3.3682222222222213</v>
      </c>
      <c r="H108" s="118">
        <v>336.82222222222214</v>
      </c>
    </row>
    <row r="109" spans="2:8" x14ac:dyDescent="0.2">
      <c r="B109" s="81" t="s">
        <v>196</v>
      </c>
      <c r="C109" s="144" t="s">
        <v>197</v>
      </c>
      <c r="D109" s="30">
        <v>18</v>
      </c>
      <c r="E109" s="71">
        <v>100</v>
      </c>
      <c r="F109" s="60" t="s">
        <v>4</v>
      </c>
      <c r="G109" s="301">
        <f t="shared" si="6"/>
        <v>4.1187499999999995</v>
      </c>
      <c r="H109" s="118">
        <v>411.87499999999994</v>
      </c>
    </row>
    <row r="110" spans="2:8" x14ac:dyDescent="0.2">
      <c r="B110" s="81" t="s">
        <v>196</v>
      </c>
      <c r="C110" s="144" t="s">
        <v>197</v>
      </c>
      <c r="D110" s="30">
        <v>20</v>
      </c>
      <c r="E110" s="71">
        <v>100</v>
      </c>
      <c r="F110" s="60" t="s">
        <v>4</v>
      </c>
      <c r="G110" s="301">
        <f t="shared" si="6"/>
        <v>4.7594444444444433</v>
      </c>
      <c r="H110" s="118">
        <v>475.94444444444434</v>
      </c>
    </row>
    <row r="111" spans="2:8" x14ac:dyDescent="0.2">
      <c r="B111" s="92"/>
      <c r="C111" s="93"/>
      <c r="D111" s="52"/>
      <c r="E111" s="106"/>
      <c r="F111" s="94"/>
      <c r="H111" s="166"/>
    </row>
    <row r="112" spans="2:8" x14ac:dyDescent="0.2">
      <c r="B112" s="145" t="s">
        <v>196</v>
      </c>
      <c r="C112" s="102" t="s">
        <v>193</v>
      </c>
      <c r="D112" s="30">
        <v>6</v>
      </c>
      <c r="E112" s="71">
        <v>200</v>
      </c>
      <c r="F112" s="60" t="s">
        <v>4</v>
      </c>
      <c r="G112" s="301">
        <f>(H112/100)</f>
        <v>0.8305499999999999</v>
      </c>
      <c r="H112" s="118">
        <v>83.054999999999993</v>
      </c>
    </row>
    <row r="113" spans="1:8" x14ac:dyDescent="0.2">
      <c r="B113" s="145" t="s">
        <v>196</v>
      </c>
      <c r="C113" s="102" t="s">
        <v>193</v>
      </c>
      <c r="D113" s="30">
        <v>7</v>
      </c>
      <c r="E113" s="71">
        <v>200</v>
      </c>
      <c r="F113" s="125" t="s">
        <v>4</v>
      </c>
      <c r="G113" s="301">
        <f t="shared" ref="G113:G121" si="7">(H113/100)</f>
        <v>1.0454590714285716</v>
      </c>
      <c r="H113" s="118">
        <v>104.54590714285716</v>
      </c>
    </row>
    <row r="114" spans="1:8" x14ac:dyDescent="0.2">
      <c r="B114" s="145" t="s">
        <v>196</v>
      </c>
      <c r="C114" s="102" t="s">
        <v>193</v>
      </c>
      <c r="D114" s="30">
        <v>8</v>
      </c>
      <c r="E114" s="71">
        <v>200</v>
      </c>
      <c r="F114" s="60" t="s">
        <v>4</v>
      </c>
      <c r="G114" s="301">
        <f t="shared" si="7"/>
        <v>1.1630333333333331</v>
      </c>
      <c r="H114" s="118">
        <v>116.30333333333331</v>
      </c>
    </row>
    <row r="115" spans="1:8" x14ac:dyDescent="0.2">
      <c r="B115" s="145" t="s">
        <v>196</v>
      </c>
      <c r="C115" s="102" t="s">
        <v>193</v>
      </c>
      <c r="D115" s="30">
        <v>9</v>
      </c>
      <c r="E115" s="71">
        <v>200</v>
      </c>
      <c r="F115" s="125" t="s">
        <v>4</v>
      </c>
      <c r="G115" s="301">
        <f t="shared" si="7"/>
        <v>1.5574519999999998</v>
      </c>
      <c r="H115" s="118">
        <v>155.74519999999998</v>
      </c>
    </row>
    <row r="116" spans="1:8" x14ac:dyDescent="0.2">
      <c r="B116" s="145" t="s">
        <v>196</v>
      </c>
      <c r="C116" s="102" t="s">
        <v>193</v>
      </c>
      <c r="D116" s="30">
        <v>10</v>
      </c>
      <c r="E116" s="71">
        <v>200</v>
      </c>
      <c r="F116" s="60" t="s">
        <v>4</v>
      </c>
      <c r="G116" s="301">
        <f t="shared" si="7"/>
        <v>1.7501111111111112</v>
      </c>
      <c r="H116" s="118">
        <v>175.01111111111112</v>
      </c>
    </row>
    <row r="117" spans="1:8" x14ac:dyDescent="0.2">
      <c r="B117" s="145" t="s">
        <v>196</v>
      </c>
      <c r="C117" s="102" t="s">
        <v>193</v>
      </c>
      <c r="D117" s="30">
        <v>12</v>
      </c>
      <c r="E117" s="71">
        <v>200</v>
      </c>
      <c r="F117" s="60" t="s">
        <v>4</v>
      </c>
      <c r="G117" s="301">
        <f t="shared" si="7"/>
        <v>2.1123444444444446</v>
      </c>
      <c r="H117" s="118">
        <v>211.23444444444445</v>
      </c>
    </row>
    <row r="118" spans="1:8" x14ac:dyDescent="0.2">
      <c r="B118" s="145" t="s">
        <v>196</v>
      </c>
      <c r="C118" s="102" t="s">
        <v>193</v>
      </c>
      <c r="D118" s="30">
        <v>14</v>
      </c>
      <c r="E118" s="71">
        <v>200</v>
      </c>
      <c r="F118" s="60" t="s">
        <v>4</v>
      </c>
      <c r="G118" s="301">
        <f t="shared" si="7"/>
        <v>2.6488333333333332</v>
      </c>
      <c r="H118" s="118">
        <v>264.88333333333333</v>
      </c>
    </row>
    <row r="119" spans="1:8" x14ac:dyDescent="0.2">
      <c r="B119" s="145" t="s">
        <v>196</v>
      </c>
      <c r="C119" s="102" t="s">
        <v>193</v>
      </c>
      <c r="D119" s="30">
        <v>16</v>
      </c>
      <c r="E119" s="71">
        <v>100</v>
      </c>
      <c r="F119" s="60" t="s">
        <v>4</v>
      </c>
      <c r="G119" s="301">
        <f t="shared" si="7"/>
        <v>3.5215555555555564</v>
      </c>
      <c r="H119" s="118">
        <v>352.15555555555562</v>
      </c>
    </row>
    <row r="120" spans="1:8" x14ac:dyDescent="0.2">
      <c r="B120" s="145" t="s">
        <v>196</v>
      </c>
      <c r="C120" s="102" t="s">
        <v>193</v>
      </c>
      <c r="D120" s="30">
        <v>18</v>
      </c>
      <c r="E120" s="71">
        <v>100</v>
      </c>
      <c r="F120" s="60" t="s">
        <v>4</v>
      </c>
      <c r="G120" s="301">
        <f t="shared" si="7"/>
        <v>4.2937500000000002</v>
      </c>
      <c r="H120" s="118">
        <v>429.375</v>
      </c>
    </row>
    <row r="121" spans="1:8" x14ac:dyDescent="0.2">
      <c r="B121" s="145" t="s">
        <v>196</v>
      </c>
      <c r="C121" s="102" t="s">
        <v>193</v>
      </c>
      <c r="D121" s="30">
        <v>20</v>
      </c>
      <c r="E121" s="71">
        <v>100</v>
      </c>
      <c r="F121" s="60" t="s">
        <v>4</v>
      </c>
      <c r="G121" s="301">
        <f t="shared" si="7"/>
        <v>4.9688888888888885</v>
      </c>
      <c r="H121" s="118">
        <v>496.88888888888886</v>
      </c>
    </row>
    <row r="122" spans="1:8" s="74" customFormat="1" x14ac:dyDescent="0.2">
      <c r="A122" s="8"/>
      <c r="B122"/>
      <c r="C122" s="51"/>
      <c r="D122" s="55"/>
      <c r="E122" s="109"/>
      <c r="F122" s="33"/>
      <c r="G122" s="122"/>
    </row>
    <row r="123" spans="1:8" s="74" customFormat="1" x14ac:dyDescent="0.2">
      <c r="A123" s="8"/>
      <c r="B123"/>
      <c r="C123" s="51"/>
      <c r="D123" s="55"/>
      <c r="E123" s="109"/>
      <c r="F123" s="33"/>
      <c r="G123" s="122"/>
    </row>
    <row r="124" spans="1:8" s="74" customFormat="1" x14ac:dyDescent="0.2">
      <c r="A124" s="8"/>
      <c r="B124"/>
      <c r="C124" s="51"/>
      <c r="D124" s="55"/>
      <c r="E124" s="109"/>
      <c r="F124" s="33"/>
      <c r="G124" s="122"/>
    </row>
    <row r="125" spans="1:8" s="74" customFormat="1" x14ac:dyDescent="0.2">
      <c r="A125" s="8"/>
      <c r="B125" s="56"/>
      <c r="C125" s="51"/>
      <c r="D125" s="55"/>
      <c r="E125" s="109"/>
      <c r="F125" s="33"/>
      <c r="G125" s="122"/>
    </row>
    <row r="126" spans="1:8" s="74" customFormat="1" x14ac:dyDescent="0.2">
      <c r="A126" s="8"/>
      <c r="B126" s="56"/>
      <c r="C126" s="51"/>
      <c r="D126" s="55"/>
      <c r="E126" s="109"/>
      <c r="F126" s="33"/>
      <c r="G126" s="122"/>
    </row>
    <row r="127" spans="1:8" s="74" customFormat="1" x14ac:dyDescent="0.2">
      <c r="A127" s="8"/>
      <c r="B127" s="56"/>
      <c r="C127" s="51"/>
      <c r="D127" s="55"/>
      <c r="E127" s="109"/>
      <c r="F127" s="33"/>
      <c r="G127" s="122"/>
    </row>
    <row r="128" spans="1:8" s="74" customFormat="1" x14ac:dyDescent="0.2">
      <c r="A128" s="8"/>
      <c r="B128" s="56"/>
      <c r="C128" s="51"/>
      <c r="D128" s="55"/>
      <c r="E128" s="109"/>
      <c r="F128" s="33"/>
      <c r="G128" s="122"/>
    </row>
    <row r="129" spans="1:7" s="74" customFormat="1" x14ac:dyDescent="0.2">
      <c r="A129" s="8"/>
      <c r="B129" s="56"/>
      <c r="C129" s="51"/>
      <c r="D129" s="55"/>
      <c r="E129" s="109"/>
      <c r="F129" s="33"/>
      <c r="G129" s="122"/>
    </row>
    <row r="130" spans="1:7" s="74" customFormat="1" x14ac:dyDescent="0.2">
      <c r="A130" s="8"/>
      <c r="B130" s="56"/>
      <c r="C130" s="51"/>
      <c r="D130" s="55"/>
      <c r="E130" s="109"/>
      <c r="F130" s="33"/>
      <c r="G130" s="122"/>
    </row>
    <row r="131" spans="1:7" s="74" customFormat="1" x14ac:dyDescent="0.2">
      <c r="A131" s="8"/>
      <c r="B131" s="56"/>
      <c r="C131" s="51"/>
      <c r="D131" s="55"/>
      <c r="E131" s="109"/>
      <c r="F131" s="33"/>
      <c r="G131" s="122"/>
    </row>
    <row r="132" spans="1:7" s="75" customFormat="1" x14ac:dyDescent="0.2">
      <c r="A132" s="8"/>
      <c r="B132" s="56"/>
      <c r="C132" s="51"/>
      <c r="D132" s="55"/>
      <c r="E132" s="109"/>
      <c r="F132" s="33"/>
      <c r="G132" s="122"/>
    </row>
    <row r="133" spans="1:7" s="75" customFormat="1" x14ac:dyDescent="0.2">
      <c r="A133" s="8"/>
      <c r="B133" s="56"/>
      <c r="C133" s="51"/>
      <c r="D133" s="55"/>
      <c r="E133" s="109"/>
      <c r="F133" s="33"/>
      <c r="G133" s="122"/>
    </row>
    <row r="134" spans="1:7" s="75" customFormat="1" x14ac:dyDescent="0.2">
      <c r="A134" s="8"/>
      <c r="B134" s="56"/>
      <c r="C134" s="51"/>
      <c r="D134" s="55"/>
      <c r="E134" s="109"/>
      <c r="F134" s="33"/>
      <c r="G134" s="122"/>
    </row>
    <row r="135" spans="1:7" s="75" customFormat="1" x14ac:dyDescent="0.2">
      <c r="A135" s="8"/>
      <c r="B135" s="56"/>
      <c r="C135" s="51"/>
      <c r="D135" s="55"/>
      <c r="E135" s="109"/>
      <c r="F135" s="33"/>
      <c r="G135" s="122"/>
    </row>
    <row r="136" spans="1:7" s="75" customFormat="1" x14ac:dyDescent="0.2">
      <c r="A136" s="8"/>
      <c r="B136" s="56"/>
      <c r="C136" s="51"/>
      <c r="D136" s="55"/>
      <c r="E136" s="109"/>
      <c r="F136" s="33"/>
      <c r="G136" s="122"/>
    </row>
    <row r="137" spans="1:7" s="75" customFormat="1" x14ac:dyDescent="0.2">
      <c r="A137" s="8"/>
      <c r="B137" s="56"/>
      <c r="C137" s="51"/>
      <c r="D137" s="55"/>
      <c r="E137" s="109"/>
      <c r="F137" s="33"/>
      <c r="G137" s="122"/>
    </row>
    <row r="138" spans="1:7" s="75" customFormat="1" x14ac:dyDescent="0.2">
      <c r="A138" s="8"/>
      <c r="B138" s="56"/>
      <c r="C138" s="51"/>
      <c r="D138" s="55"/>
      <c r="E138" s="109"/>
      <c r="F138" s="33"/>
      <c r="G138" s="122"/>
    </row>
    <row r="139" spans="1:7" s="75" customFormat="1" x14ac:dyDescent="0.2">
      <c r="A139" s="8"/>
      <c r="B139" s="56"/>
      <c r="C139" s="51"/>
      <c r="D139" s="55"/>
      <c r="E139" s="109"/>
      <c r="F139" s="33"/>
      <c r="G139" s="122"/>
    </row>
    <row r="140" spans="1:7" s="75" customFormat="1" x14ac:dyDescent="0.2">
      <c r="A140" s="8"/>
      <c r="B140" s="56"/>
      <c r="C140" s="51"/>
      <c r="D140" s="55"/>
      <c r="E140" s="109"/>
      <c r="F140" s="33"/>
      <c r="G140" s="122"/>
    </row>
    <row r="141" spans="1:7" s="75" customFormat="1" x14ac:dyDescent="0.2">
      <c r="A141" s="8"/>
      <c r="B141" s="56"/>
      <c r="C141" s="51"/>
      <c r="D141" s="55"/>
      <c r="E141" s="109"/>
      <c r="F141" s="33"/>
      <c r="G141" s="122"/>
    </row>
    <row r="142" spans="1:7" s="75" customFormat="1" x14ac:dyDescent="0.2">
      <c r="A142" s="8"/>
      <c r="B142" s="56"/>
      <c r="C142" s="51"/>
      <c r="D142" s="55"/>
      <c r="E142" s="109"/>
      <c r="F142" s="33"/>
      <c r="G142" s="122"/>
    </row>
    <row r="143" spans="1:7" s="75" customFormat="1" x14ac:dyDescent="0.2">
      <c r="A143" s="8"/>
      <c r="B143" s="56"/>
      <c r="C143" s="51"/>
      <c r="D143" s="55"/>
      <c r="E143" s="109"/>
      <c r="F143" s="33"/>
      <c r="G143" s="122"/>
    </row>
    <row r="144" spans="1:7" s="75" customFormat="1" x14ac:dyDescent="0.2">
      <c r="A144" s="8"/>
      <c r="B144" s="56"/>
      <c r="C144" s="51"/>
      <c r="D144" s="55"/>
      <c r="E144" s="109"/>
      <c r="F144" s="33"/>
      <c r="G144" s="122"/>
    </row>
    <row r="145" spans="1:7" s="75" customFormat="1" x14ac:dyDescent="0.2">
      <c r="A145"/>
      <c r="B145" s="32"/>
      <c r="C145" s="32"/>
      <c r="D145" s="34"/>
      <c r="E145" s="35"/>
      <c r="F145" s="35"/>
      <c r="G145" s="115"/>
    </row>
    <row r="146" spans="1:7" s="75" customFormat="1" x14ac:dyDescent="0.2">
      <c r="A146"/>
      <c r="B146" s="32"/>
      <c r="C146" s="32"/>
      <c r="D146" s="34"/>
      <c r="E146" s="35"/>
      <c r="F146" s="35"/>
      <c r="G146" s="115"/>
    </row>
    <row r="147" spans="1:7" s="75" customFormat="1" x14ac:dyDescent="0.2">
      <c r="A147"/>
      <c r="B147" s="56" t="s">
        <v>40</v>
      </c>
      <c r="C147" s="32"/>
      <c r="D147" s="34"/>
      <c r="E147" s="35"/>
      <c r="F147" s="35"/>
      <c r="G147" s="115"/>
    </row>
    <row r="148" spans="1:7" s="2" customFormat="1" x14ac:dyDescent="0.2">
      <c r="A148"/>
      <c r="B148" s="56" t="s">
        <v>36</v>
      </c>
      <c r="C148" s="32"/>
      <c r="D148" s="34"/>
      <c r="E148" s="35"/>
      <c r="F148" s="35"/>
      <c r="G148" s="115"/>
    </row>
    <row r="149" spans="1:7" s="2" customFormat="1" x14ac:dyDescent="0.2">
      <c r="A149"/>
      <c r="B149" s="56" t="s">
        <v>51</v>
      </c>
      <c r="C149" s="32"/>
      <c r="D149" s="34"/>
      <c r="E149" s="35"/>
      <c r="F149" s="35"/>
      <c r="G149" s="115"/>
    </row>
    <row r="150" spans="1:7" s="2" customFormat="1" x14ac:dyDescent="0.2">
      <c r="A150"/>
      <c r="B150" s="32"/>
      <c r="C150" s="32"/>
      <c r="D150" s="34"/>
      <c r="E150" s="35"/>
      <c r="F150" s="35"/>
      <c r="G150" s="115"/>
    </row>
  </sheetData>
  <mergeCells count="1">
    <mergeCell ref="G24:H24"/>
  </mergeCells>
  <pageMargins left="0.74803149606299213" right="0.74803149606299213" top="0.98425196850393704" bottom="0.98425196850393704" header="0" footer="0"/>
  <pageSetup paperSize="9" fitToHeight="0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156"/>
  <sheetViews>
    <sheetView topLeftCell="A141" zoomScaleNormal="100" workbookViewId="0">
      <selection activeCell="I151" sqref="I151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2.28515625" style="5" customWidth="1"/>
    <col min="8" max="8" width="11.85546875" customWidth="1"/>
  </cols>
  <sheetData>
    <row r="10" spans="2:2" x14ac:dyDescent="0.2">
      <c r="B10" s="14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3" spans="2:8" ht="13.5" thickBot="1" x14ac:dyDescent="0.25"/>
    <row r="24" spans="2:8" ht="24.75" customHeight="1" thickTop="1" x14ac:dyDescent="0.2">
      <c r="B24" s="152" t="s">
        <v>71</v>
      </c>
      <c r="C24" s="153"/>
      <c r="D24" s="154"/>
      <c r="E24" s="155"/>
      <c r="F24" s="156"/>
      <c r="G24" s="326" t="s">
        <v>69</v>
      </c>
      <c r="H24" s="326"/>
    </row>
    <row r="25" spans="2:8" x14ac:dyDescent="0.2">
      <c r="B25" s="32"/>
      <c r="C25" s="32"/>
      <c r="D25" s="32"/>
      <c r="E25" s="32"/>
      <c r="F25" s="32"/>
      <c r="G25" s="35"/>
      <c r="H25" s="35"/>
    </row>
    <row r="26" spans="2:8" x14ac:dyDescent="0.2">
      <c r="B26" s="82" t="s">
        <v>0</v>
      </c>
      <c r="C26" s="82" t="s">
        <v>1</v>
      </c>
      <c r="D26" s="143" t="s">
        <v>2</v>
      </c>
      <c r="E26" s="83" t="s">
        <v>3</v>
      </c>
      <c r="F26" s="83"/>
      <c r="G26" s="256" t="str">
        <f>'Pro Race'!G26</f>
        <v>Retail  €/mt</v>
      </c>
      <c r="H26" s="256" t="str">
        <f>'Pro Race'!H26</f>
        <v>Retail  €/100mt</v>
      </c>
    </row>
    <row r="27" spans="2:8" x14ac:dyDescent="0.2">
      <c r="B27" s="36" t="s">
        <v>42</v>
      </c>
      <c r="C27" s="37"/>
      <c r="D27" s="38"/>
      <c r="E27" s="39"/>
      <c r="F27" s="59"/>
      <c r="G27" s="165"/>
      <c r="H27" s="165"/>
    </row>
    <row r="28" spans="2:8" x14ac:dyDescent="0.2">
      <c r="B28" s="81" t="s">
        <v>42</v>
      </c>
      <c r="C28" s="77" t="s">
        <v>41</v>
      </c>
      <c r="D28" s="78">
        <v>6</v>
      </c>
      <c r="E28" s="107">
        <v>200</v>
      </c>
      <c r="F28" s="79" t="s">
        <v>4</v>
      </c>
      <c r="G28" s="300">
        <f>(H28/100)</f>
        <v>0.70918220338983062</v>
      </c>
      <c r="H28" s="112">
        <v>70.918220338983062</v>
      </c>
    </row>
    <row r="29" spans="2:8" x14ac:dyDescent="0.2">
      <c r="B29" s="84" t="s">
        <v>42</v>
      </c>
      <c r="C29" s="170" t="s">
        <v>41</v>
      </c>
      <c r="D29" s="78">
        <v>7</v>
      </c>
      <c r="E29" s="107">
        <v>200</v>
      </c>
      <c r="F29" s="251" t="s">
        <v>4</v>
      </c>
      <c r="G29" s="300">
        <f t="shared" ref="G29:G37" si="0">(H29/100)</f>
        <v>0.90917177419354855</v>
      </c>
      <c r="H29" s="111">
        <v>90.917177419354857</v>
      </c>
    </row>
    <row r="30" spans="2:8" x14ac:dyDescent="0.2">
      <c r="B30" s="84" t="s">
        <v>42</v>
      </c>
      <c r="C30" s="170" t="s">
        <v>41</v>
      </c>
      <c r="D30" s="30">
        <v>8</v>
      </c>
      <c r="E30" s="71">
        <v>200</v>
      </c>
      <c r="F30" s="71" t="s">
        <v>4</v>
      </c>
      <c r="G30" s="300">
        <f t="shared" si="0"/>
        <v>1.025771186440678</v>
      </c>
      <c r="H30" s="111">
        <v>102.5771186440678</v>
      </c>
    </row>
    <row r="31" spans="2:8" x14ac:dyDescent="0.2">
      <c r="B31" s="84" t="s">
        <v>42</v>
      </c>
      <c r="C31" s="170" t="s">
        <v>41</v>
      </c>
      <c r="D31" s="30">
        <v>9</v>
      </c>
      <c r="E31" s="71">
        <v>200</v>
      </c>
      <c r="F31" s="125" t="s">
        <v>4</v>
      </c>
      <c r="G31" s="300">
        <f t="shared" si="0"/>
        <v>1.3051726779661019</v>
      </c>
      <c r="H31" s="111">
        <v>130.51726779661018</v>
      </c>
    </row>
    <row r="32" spans="2:8" x14ac:dyDescent="0.2">
      <c r="B32" s="81" t="s">
        <v>42</v>
      </c>
      <c r="C32" s="77" t="s">
        <v>41</v>
      </c>
      <c r="D32" s="30">
        <v>10</v>
      </c>
      <c r="E32" s="71">
        <v>200</v>
      </c>
      <c r="F32" s="60" t="s">
        <v>4</v>
      </c>
      <c r="G32" s="300">
        <f t="shared" si="0"/>
        <v>1.4764000000000004</v>
      </c>
      <c r="H32" s="111">
        <v>147.64000000000004</v>
      </c>
    </row>
    <row r="33" spans="2:8" x14ac:dyDescent="0.2">
      <c r="B33" s="81" t="s">
        <v>42</v>
      </c>
      <c r="C33" s="77" t="s">
        <v>41</v>
      </c>
      <c r="D33" s="30">
        <v>12</v>
      </c>
      <c r="E33" s="71">
        <v>200</v>
      </c>
      <c r="F33" s="60" t="s">
        <v>4</v>
      </c>
      <c r="G33" s="300">
        <f t="shared" si="0"/>
        <v>1.8658111111111113</v>
      </c>
      <c r="H33" s="111">
        <v>186.58111111111114</v>
      </c>
    </row>
    <row r="34" spans="2:8" x14ac:dyDescent="0.2">
      <c r="B34" s="81" t="s">
        <v>42</v>
      </c>
      <c r="C34" s="77" t="s">
        <v>41</v>
      </c>
      <c r="D34" s="30">
        <v>14</v>
      </c>
      <c r="E34" s="71">
        <v>200</v>
      </c>
      <c r="F34" s="60" t="s">
        <v>4</v>
      </c>
      <c r="G34" s="300">
        <f t="shared" si="0"/>
        <v>2.3797222222222216</v>
      </c>
      <c r="H34" s="111">
        <v>237.97222222222217</v>
      </c>
    </row>
    <row r="35" spans="2:8" x14ac:dyDescent="0.2">
      <c r="B35" s="81" t="s">
        <v>42</v>
      </c>
      <c r="C35" s="77" t="s">
        <v>41</v>
      </c>
      <c r="D35" s="30">
        <v>16</v>
      </c>
      <c r="E35" s="71">
        <v>100</v>
      </c>
      <c r="F35" s="60" t="s">
        <v>4</v>
      </c>
      <c r="G35" s="300">
        <f t="shared" si="0"/>
        <v>3.0936388888888882</v>
      </c>
      <c r="H35" s="111">
        <v>309.36388888888882</v>
      </c>
    </row>
    <row r="36" spans="2:8" x14ac:dyDescent="0.2">
      <c r="B36" s="81" t="s">
        <v>42</v>
      </c>
      <c r="C36" s="77" t="s">
        <v>41</v>
      </c>
      <c r="D36" s="30">
        <v>18</v>
      </c>
      <c r="E36" s="71">
        <v>100</v>
      </c>
      <c r="F36" s="60" t="s">
        <v>4</v>
      </c>
      <c r="G36" s="300">
        <f t="shared" si="0"/>
        <v>3.7709444444444444</v>
      </c>
      <c r="H36" s="111">
        <v>377.09444444444443</v>
      </c>
    </row>
    <row r="37" spans="2:8" x14ac:dyDescent="0.2">
      <c r="B37" s="81" t="s">
        <v>42</v>
      </c>
      <c r="C37" s="77" t="s">
        <v>41</v>
      </c>
      <c r="D37" s="30">
        <v>20</v>
      </c>
      <c r="E37" s="71">
        <v>100</v>
      </c>
      <c r="F37" s="60" t="s">
        <v>4</v>
      </c>
      <c r="G37" s="300">
        <f t="shared" si="0"/>
        <v>4.8143611111111104</v>
      </c>
      <c r="H37" s="111">
        <v>481.43611111111102</v>
      </c>
    </row>
    <row r="38" spans="2:8" x14ac:dyDescent="0.2">
      <c r="B38" s="32"/>
      <c r="C38" s="32"/>
      <c r="D38" s="32"/>
      <c r="E38" s="35"/>
      <c r="F38" s="32"/>
      <c r="H38" s="35"/>
    </row>
    <row r="39" spans="2:8" x14ac:dyDescent="0.2">
      <c r="B39" s="145" t="s">
        <v>42</v>
      </c>
      <c r="C39" s="102" t="s">
        <v>10</v>
      </c>
      <c r="D39" s="30">
        <v>6</v>
      </c>
      <c r="E39" s="71">
        <v>200</v>
      </c>
      <c r="F39" s="60" t="s">
        <v>4</v>
      </c>
      <c r="G39" s="300">
        <f>(H39/100)</f>
        <v>0.7342754237288136</v>
      </c>
      <c r="H39" s="111">
        <v>73.427542372881362</v>
      </c>
    </row>
    <row r="40" spans="2:8" x14ac:dyDescent="0.2">
      <c r="B40" s="26" t="s">
        <v>42</v>
      </c>
      <c r="C40" s="134" t="s">
        <v>10</v>
      </c>
      <c r="D40" s="30">
        <v>7</v>
      </c>
      <c r="E40" s="71">
        <v>200</v>
      </c>
      <c r="F40" s="125" t="s">
        <v>4</v>
      </c>
      <c r="G40" s="300">
        <f t="shared" ref="G40:G48" si="1">(H40/100)</f>
        <v>0.99343576271186462</v>
      </c>
      <c r="H40" s="111">
        <v>99.343576271186464</v>
      </c>
    </row>
    <row r="41" spans="2:8" x14ac:dyDescent="0.2">
      <c r="B41" s="26" t="s">
        <v>42</v>
      </c>
      <c r="C41" s="134" t="s">
        <v>10</v>
      </c>
      <c r="D41" s="30">
        <v>8</v>
      </c>
      <c r="E41" s="71">
        <v>200</v>
      </c>
      <c r="F41" s="71" t="s">
        <v>4</v>
      </c>
      <c r="G41" s="300">
        <f t="shared" si="1"/>
        <v>1.0829745762711867</v>
      </c>
      <c r="H41" s="111">
        <v>108.29745762711866</v>
      </c>
    </row>
    <row r="42" spans="2:8" x14ac:dyDescent="0.2">
      <c r="B42" s="26" t="s">
        <v>42</v>
      </c>
      <c r="C42" s="134" t="s">
        <v>10</v>
      </c>
      <c r="D42" s="30">
        <v>9</v>
      </c>
      <c r="E42" s="71">
        <v>200</v>
      </c>
      <c r="F42" s="125" t="s">
        <v>4</v>
      </c>
      <c r="G42" s="300">
        <f t="shared" si="1"/>
        <v>1.3825116610169494</v>
      </c>
      <c r="H42" s="111">
        <v>138.25116610169493</v>
      </c>
    </row>
    <row r="43" spans="2:8" x14ac:dyDescent="0.2">
      <c r="B43" s="81" t="s">
        <v>42</v>
      </c>
      <c r="C43" s="144" t="s">
        <v>10</v>
      </c>
      <c r="D43" s="30">
        <v>10</v>
      </c>
      <c r="E43" s="71">
        <v>200</v>
      </c>
      <c r="F43" s="60" t="s">
        <v>4</v>
      </c>
      <c r="G43" s="300">
        <f t="shared" si="1"/>
        <v>1.5804000000000002</v>
      </c>
      <c r="H43" s="111">
        <v>158.04000000000002</v>
      </c>
    </row>
    <row r="44" spans="2:8" x14ac:dyDescent="0.2">
      <c r="B44" s="81" t="s">
        <v>42</v>
      </c>
      <c r="C44" s="144" t="s">
        <v>10</v>
      </c>
      <c r="D44" s="30">
        <v>12</v>
      </c>
      <c r="E44" s="71">
        <v>200</v>
      </c>
      <c r="F44" s="60" t="s">
        <v>4</v>
      </c>
      <c r="G44" s="300">
        <f t="shared" si="1"/>
        <v>1.9801444444444447</v>
      </c>
      <c r="H44" s="111">
        <v>198.01444444444448</v>
      </c>
    </row>
    <row r="45" spans="2:8" x14ac:dyDescent="0.2">
      <c r="B45" s="81" t="s">
        <v>42</v>
      </c>
      <c r="C45" s="144" t="s">
        <v>10</v>
      </c>
      <c r="D45" s="30">
        <v>14</v>
      </c>
      <c r="E45" s="71">
        <v>200</v>
      </c>
      <c r="F45" s="60" t="s">
        <v>4</v>
      </c>
      <c r="G45" s="300">
        <f t="shared" si="1"/>
        <v>2.5458333333333334</v>
      </c>
      <c r="H45" s="111">
        <v>254.58333333333334</v>
      </c>
    </row>
    <row r="46" spans="2:8" x14ac:dyDescent="0.2">
      <c r="B46" s="81" t="s">
        <v>42</v>
      </c>
      <c r="C46" s="144" t="s">
        <v>10</v>
      </c>
      <c r="D46" s="30">
        <v>16</v>
      </c>
      <c r="E46" s="71">
        <v>100</v>
      </c>
      <c r="F46" s="60" t="s">
        <v>4</v>
      </c>
      <c r="G46" s="300">
        <f t="shared" si="1"/>
        <v>3.3001944444444447</v>
      </c>
      <c r="H46" s="111">
        <v>330.01944444444445</v>
      </c>
    </row>
    <row r="47" spans="2:8" x14ac:dyDescent="0.2">
      <c r="B47" s="81" t="s">
        <v>42</v>
      </c>
      <c r="C47" s="144" t="s">
        <v>10</v>
      </c>
      <c r="D47" s="30">
        <v>18</v>
      </c>
      <c r="E47" s="71">
        <v>100</v>
      </c>
      <c r="F47" s="60" t="s">
        <v>4</v>
      </c>
      <c r="G47" s="300">
        <f t="shared" si="1"/>
        <v>4.0227222222222219</v>
      </c>
      <c r="H47" s="111">
        <v>402.27222222222218</v>
      </c>
    </row>
    <row r="48" spans="2:8" x14ac:dyDescent="0.2">
      <c r="B48" s="81" t="s">
        <v>42</v>
      </c>
      <c r="C48" s="144" t="s">
        <v>10</v>
      </c>
      <c r="D48" s="30">
        <v>20</v>
      </c>
      <c r="E48" s="71">
        <v>100</v>
      </c>
      <c r="F48" s="60" t="s">
        <v>4</v>
      </c>
      <c r="G48" s="300">
        <f t="shared" si="1"/>
        <v>5.1358055555555548</v>
      </c>
      <c r="H48" s="111">
        <v>513.58055555555552</v>
      </c>
    </row>
    <row r="49" spans="2:8" x14ac:dyDescent="0.2">
      <c r="B49" s="32"/>
      <c r="C49" s="32"/>
      <c r="D49" s="32"/>
      <c r="E49" s="35"/>
      <c r="F49" s="32"/>
      <c r="H49" s="35"/>
    </row>
    <row r="50" spans="2:8" x14ac:dyDescent="0.2">
      <c r="B50" s="36" t="s">
        <v>43</v>
      </c>
      <c r="C50" s="37"/>
      <c r="D50" s="38"/>
      <c r="E50" s="59"/>
      <c r="F50" s="59"/>
      <c r="G50" s="59"/>
      <c r="H50" s="165"/>
    </row>
    <row r="51" spans="2:8" x14ac:dyDescent="0.2">
      <c r="B51" s="81" t="s">
        <v>43</v>
      </c>
      <c r="C51" s="77" t="s">
        <v>41</v>
      </c>
      <c r="D51" s="78">
        <v>5</v>
      </c>
      <c r="E51" s="107">
        <v>200</v>
      </c>
      <c r="F51" s="79" t="s">
        <v>4</v>
      </c>
      <c r="G51" s="300">
        <f>(H51/100)</f>
        <v>0.53800677966101706</v>
      </c>
      <c r="H51" s="112">
        <v>53.800677966101709</v>
      </c>
    </row>
    <row r="52" spans="2:8" x14ac:dyDescent="0.2">
      <c r="B52" s="81" t="s">
        <v>43</v>
      </c>
      <c r="C52" s="77" t="s">
        <v>41</v>
      </c>
      <c r="D52" s="78">
        <v>6</v>
      </c>
      <c r="E52" s="107">
        <v>200</v>
      </c>
      <c r="F52" s="79" t="s">
        <v>4</v>
      </c>
      <c r="G52" s="300">
        <f t="shared" ref="G52:G61" si="2">(H52/100)</f>
        <v>0.88612881355932216</v>
      </c>
      <c r="H52" s="112">
        <v>88.612881355932217</v>
      </c>
    </row>
    <row r="53" spans="2:8" x14ac:dyDescent="0.2">
      <c r="B53" s="84" t="s">
        <v>43</v>
      </c>
      <c r="C53" s="170" t="s">
        <v>41</v>
      </c>
      <c r="D53" s="78">
        <v>7</v>
      </c>
      <c r="E53" s="107">
        <v>200</v>
      </c>
      <c r="F53" s="251" t="s">
        <v>4</v>
      </c>
      <c r="G53" s="300">
        <f t="shared" si="2"/>
        <v>1.0068290322580644</v>
      </c>
      <c r="H53" s="111">
        <v>100.68290322580644</v>
      </c>
    </row>
    <row r="54" spans="2:8" x14ac:dyDescent="0.2">
      <c r="B54" s="81" t="s">
        <v>43</v>
      </c>
      <c r="C54" s="77" t="s">
        <v>41</v>
      </c>
      <c r="D54" s="30">
        <v>8</v>
      </c>
      <c r="E54" s="71">
        <v>200</v>
      </c>
      <c r="F54" s="60" t="s">
        <v>4</v>
      </c>
      <c r="G54" s="300">
        <f t="shared" si="2"/>
        <v>1.0569152542372884</v>
      </c>
      <c r="H54" s="111">
        <v>105.69152542372883</v>
      </c>
    </row>
    <row r="55" spans="2:8" x14ac:dyDescent="0.2">
      <c r="B55" s="84" t="s">
        <v>43</v>
      </c>
      <c r="C55" s="170" t="s">
        <v>41</v>
      </c>
      <c r="D55" s="30">
        <v>9</v>
      </c>
      <c r="E55" s="71">
        <v>200</v>
      </c>
      <c r="F55" s="125" t="s">
        <v>4</v>
      </c>
      <c r="G55" s="300">
        <f t="shared" si="2"/>
        <v>1.3746244067796609</v>
      </c>
      <c r="H55" s="111">
        <v>137.4624406779661</v>
      </c>
    </row>
    <row r="56" spans="2:8" x14ac:dyDescent="0.2">
      <c r="B56" s="81" t="s">
        <v>43</v>
      </c>
      <c r="C56" s="77" t="s">
        <v>41</v>
      </c>
      <c r="D56" s="30">
        <v>10</v>
      </c>
      <c r="E56" s="71">
        <v>200</v>
      </c>
      <c r="F56" s="60" t="s">
        <v>4</v>
      </c>
      <c r="G56" s="300">
        <f t="shared" si="2"/>
        <v>1.6858333333333335</v>
      </c>
      <c r="H56" s="111">
        <v>168.58333333333334</v>
      </c>
    </row>
    <row r="57" spans="2:8" x14ac:dyDescent="0.2">
      <c r="B57" s="81" t="s">
        <v>43</v>
      </c>
      <c r="C57" s="77" t="s">
        <v>41</v>
      </c>
      <c r="D57" s="30">
        <v>12</v>
      </c>
      <c r="E57" s="71">
        <v>200</v>
      </c>
      <c r="F57" s="60" t="s">
        <v>4</v>
      </c>
      <c r="G57" s="300">
        <f t="shared" si="2"/>
        <v>2.1105777777777779</v>
      </c>
      <c r="H57" s="111">
        <v>211.0577777777778</v>
      </c>
    </row>
    <row r="58" spans="2:8" x14ac:dyDescent="0.2">
      <c r="B58" s="81" t="s">
        <v>43</v>
      </c>
      <c r="C58" s="77" t="s">
        <v>41</v>
      </c>
      <c r="D58" s="30">
        <v>14</v>
      </c>
      <c r="E58" s="71">
        <v>200</v>
      </c>
      <c r="F58" s="60" t="s">
        <v>4</v>
      </c>
      <c r="G58" s="300">
        <f t="shared" si="2"/>
        <v>2.6375555555555552</v>
      </c>
      <c r="H58" s="111">
        <v>263.75555555555553</v>
      </c>
    </row>
    <row r="59" spans="2:8" x14ac:dyDescent="0.2">
      <c r="B59" s="81" t="s">
        <v>43</v>
      </c>
      <c r="C59" s="77" t="s">
        <v>41</v>
      </c>
      <c r="D59" s="30">
        <v>16</v>
      </c>
      <c r="E59" s="71">
        <v>100</v>
      </c>
      <c r="F59" s="60" t="s">
        <v>4</v>
      </c>
      <c r="G59" s="300">
        <f t="shared" si="2"/>
        <v>3.4491111111111108</v>
      </c>
      <c r="H59" s="111">
        <v>344.9111111111111</v>
      </c>
    </row>
    <row r="60" spans="2:8" x14ac:dyDescent="0.2">
      <c r="B60" s="81" t="s">
        <v>43</v>
      </c>
      <c r="C60" s="77" t="s">
        <v>41</v>
      </c>
      <c r="D60" s="30">
        <v>18</v>
      </c>
      <c r="E60" s="71">
        <v>100</v>
      </c>
      <c r="F60" s="60" t="s">
        <v>4</v>
      </c>
      <c r="G60" s="300">
        <f t="shared" si="2"/>
        <v>4.3713333333333333</v>
      </c>
      <c r="H60" s="111">
        <v>437.13333333333333</v>
      </c>
    </row>
    <row r="61" spans="2:8" x14ac:dyDescent="0.2">
      <c r="B61" s="81" t="s">
        <v>43</v>
      </c>
      <c r="C61" s="77" t="s">
        <v>41</v>
      </c>
      <c r="D61" s="30">
        <v>22</v>
      </c>
      <c r="E61" s="71">
        <v>100</v>
      </c>
      <c r="F61" s="60" t="s">
        <v>4</v>
      </c>
      <c r="G61" s="300">
        <f t="shared" si="2"/>
        <v>6.123555555555555</v>
      </c>
      <c r="H61" s="111">
        <v>612.3555555555555</v>
      </c>
    </row>
    <row r="62" spans="2:8" x14ac:dyDescent="0.2">
      <c r="B62" s="32"/>
      <c r="C62" s="32"/>
      <c r="D62" s="32"/>
      <c r="E62" s="35"/>
      <c r="F62" s="32"/>
      <c r="H62" s="35"/>
    </row>
    <row r="63" spans="2:8" x14ac:dyDescent="0.2">
      <c r="B63" s="145" t="s">
        <v>43</v>
      </c>
      <c r="C63" s="61" t="s">
        <v>10</v>
      </c>
      <c r="D63" s="30">
        <v>4</v>
      </c>
      <c r="E63" s="71">
        <v>200</v>
      </c>
      <c r="F63" s="60" t="s">
        <v>4</v>
      </c>
      <c r="G63" s="300">
        <f>(H63/100)</f>
        <v>0.49054909090909082</v>
      </c>
      <c r="H63" s="111">
        <v>49.054909090909085</v>
      </c>
    </row>
    <row r="64" spans="2:8" x14ac:dyDescent="0.2">
      <c r="B64" s="145" t="s">
        <v>43</v>
      </c>
      <c r="C64" s="61" t="s">
        <v>10</v>
      </c>
      <c r="D64" s="30">
        <v>5</v>
      </c>
      <c r="E64" s="71">
        <v>200</v>
      </c>
      <c r="F64" s="60" t="s">
        <v>4</v>
      </c>
      <c r="G64" s="300">
        <f t="shared" ref="G64:G74" si="3">(H64/100)</f>
        <v>0.58028727272727276</v>
      </c>
      <c r="H64" s="111">
        <v>58.028727272727274</v>
      </c>
    </row>
    <row r="65" spans="2:8" x14ac:dyDescent="0.2">
      <c r="B65" s="145" t="s">
        <v>43</v>
      </c>
      <c r="C65" s="61" t="s">
        <v>10</v>
      </c>
      <c r="D65" s="30">
        <v>6</v>
      </c>
      <c r="E65" s="71">
        <v>200</v>
      </c>
      <c r="F65" s="60" t="s">
        <v>4</v>
      </c>
      <c r="G65" s="300">
        <f t="shared" si="3"/>
        <v>0.95576727272727269</v>
      </c>
      <c r="H65" s="111">
        <v>95.576727272727268</v>
      </c>
    </row>
    <row r="66" spans="2:8" x14ac:dyDescent="0.2">
      <c r="B66" s="26" t="s">
        <v>43</v>
      </c>
      <c r="C66" s="252" t="s">
        <v>10</v>
      </c>
      <c r="D66" s="30">
        <v>7</v>
      </c>
      <c r="E66" s="71">
        <v>200</v>
      </c>
      <c r="F66" s="125" t="s">
        <v>4</v>
      </c>
      <c r="G66" s="300">
        <f t="shared" si="3"/>
        <v>1.0648110508474575</v>
      </c>
      <c r="H66" s="111">
        <v>106.48110508474575</v>
      </c>
    </row>
    <row r="67" spans="2:8" x14ac:dyDescent="0.2">
      <c r="B67" s="81" t="s">
        <v>43</v>
      </c>
      <c r="C67" s="61" t="s">
        <v>10</v>
      </c>
      <c r="D67" s="30">
        <v>8</v>
      </c>
      <c r="E67" s="71">
        <v>200</v>
      </c>
      <c r="F67" s="60" t="s">
        <v>4</v>
      </c>
      <c r="G67" s="300">
        <f t="shared" si="3"/>
        <v>1.1112584745762712</v>
      </c>
      <c r="H67" s="111">
        <v>111.12584745762713</v>
      </c>
    </row>
    <row r="68" spans="2:8" x14ac:dyDescent="0.2">
      <c r="B68" s="26" t="s">
        <v>43</v>
      </c>
      <c r="C68" s="252" t="s">
        <v>10</v>
      </c>
      <c r="D68" s="30">
        <v>9</v>
      </c>
      <c r="E68" s="71">
        <v>200</v>
      </c>
      <c r="F68" s="125" t="s">
        <v>4</v>
      </c>
      <c r="G68" s="300">
        <f t="shared" si="3"/>
        <v>1.4475015254237289</v>
      </c>
      <c r="H68" s="111">
        <v>144.75015254237289</v>
      </c>
    </row>
    <row r="69" spans="2:8" x14ac:dyDescent="0.2">
      <c r="B69" s="81" t="s">
        <v>43</v>
      </c>
      <c r="C69" s="61" t="s">
        <v>10</v>
      </c>
      <c r="D69" s="30">
        <v>10</v>
      </c>
      <c r="E69" s="71">
        <v>200</v>
      </c>
      <c r="F69" s="60" t="s">
        <v>4</v>
      </c>
      <c r="G69" s="300">
        <f t="shared" si="3"/>
        <v>1.750416666666667</v>
      </c>
      <c r="H69" s="111">
        <v>175.04166666666669</v>
      </c>
    </row>
    <row r="70" spans="2:8" x14ac:dyDescent="0.2">
      <c r="B70" s="81" t="s">
        <v>43</v>
      </c>
      <c r="C70" s="61" t="s">
        <v>10</v>
      </c>
      <c r="D70" s="30">
        <v>12</v>
      </c>
      <c r="E70" s="71">
        <v>200</v>
      </c>
      <c r="F70" s="60" t="s">
        <v>4</v>
      </c>
      <c r="G70" s="300">
        <f t="shared" si="3"/>
        <v>2.2224666666666666</v>
      </c>
      <c r="H70" s="111">
        <v>222.24666666666667</v>
      </c>
    </row>
    <row r="71" spans="2:8" x14ac:dyDescent="0.2">
      <c r="B71" s="81" t="s">
        <v>43</v>
      </c>
      <c r="C71" s="61" t="s">
        <v>10</v>
      </c>
      <c r="D71" s="30">
        <v>14</v>
      </c>
      <c r="E71" s="71">
        <v>200</v>
      </c>
      <c r="F71" s="60" t="s">
        <v>4</v>
      </c>
      <c r="G71" s="300">
        <f t="shared" si="3"/>
        <v>2.7884999999999995</v>
      </c>
      <c r="H71" s="111">
        <v>278.84999999999997</v>
      </c>
    </row>
    <row r="72" spans="2:8" x14ac:dyDescent="0.2">
      <c r="B72" s="81" t="s">
        <v>43</v>
      </c>
      <c r="C72" s="61" t="s">
        <v>10</v>
      </c>
      <c r="D72" s="30">
        <v>16</v>
      </c>
      <c r="E72" s="71">
        <v>100</v>
      </c>
      <c r="F72" s="60" t="s">
        <v>4</v>
      </c>
      <c r="G72" s="300">
        <f t="shared" si="3"/>
        <v>3.6413055555555554</v>
      </c>
      <c r="H72" s="111">
        <v>364.13055555555553</v>
      </c>
    </row>
    <row r="73" spans="2:8" x14ac:dyDescent="0.2">
      <c r="B73" s="81" t="s">
        <v>43</v>
      </c>
      <c r="C73" s="61" t="s">
        <v>10</v>
      </c>
      <c r="D73" s="30">
        <v>18</v>
      </c>
      <c r="E73" s="71">
        <v>100</v>
      </c>
      <c r="F73" s="60" t="s">
        <v>4</v>
      </c>
      <c r="G73" s="300">
        <f t="shared" si="3"/>
        <v>4.6149166666666668</v>
      </c>
      <c r="H73" s="111">
        <v>461.49166666666667</v>
      </c>
    </row>
    <row r="74" spans="2:8" x14ac:dyDescent="0.2">
      <c r="B74" s="81" t="s">
        <v>43</v>
      </c>
      <c r="C74" s="61" t="s">
        <v>10</v>
      </c>
      <c r="D74" s="30">
        <v>22</v>
      </c>
      <c r="E74" s="71">
        <v>100</v>
      </c>
      <c r="F74" s="60" t="s">
        <v>4</v>
      </c>
      <c r="G74" s="300">
        <f t="shared" si="3"/>
        <v>6.4205111111111091</v>
      </c>
      <c r="H74" s="111">
        <v>642.05111111111091</v>
      </c>
    </row>
    <row r="75" spans="2:8" x14ac:dyDescent="0.2">
      <c r="B75" s="32"/>
      <c r="C75" s="32"/>
      <c r="D75" s="32"/>
      <c r="E75" s="35"/>
      <c r="F75" s="32"/>
      <c r="H75" s="35"/>
    </row>
    <row r="76" spans="2:8" x14ac:dyDescent="0.2">
      <c r="B76" s="36" t="s">
        <v>113</v>
      </c>
      <c r="C76" s="47"/>
      <c r="D76" s="80"/>
      <c r="E76" s="64"/>
      <c r="F76" s="64"/>
      <c r="G76" s="64"/>
      <c r="H76" s="165"/>
    </row>
    <row r="77" spans="2:8" x14ac:dyDescent="0.2">
      <c r="B77" s="76" t="s">
        <v>113</v>
      </c>
      <c r="C77" s="77" t="s">
        <v>10</v>
      </c>
      <c r="D77" s="78">
        <v>4</v>
      </c>
      <c r="E77" s="107">
        <v>200</v>
      </c>
      <c r="F77" s="251" t="s">
        <v>4</v>
      </c>
      <c r="G77" s="300">
        <f>(H77/100)</f>
        <v>0.62466101694915266</v>
      </c>
      <c r="H77" s="112">
        <v>62.466101694915267</v>
      </c>
    </row>
    <row r="78" spans="2:8" x14ac:dyDescent="0.2">
      <c r="B78" s="76" t="s">
        <v>113</v>
      </c>
      <c r="C78" s="77" t="s">
        <v>10</v>
      </c>
      <c r="D78" s="78">
        <v>6</v>
      </c>
      <c r="E78" s="107">
        <v>200</v>
      </c>
      <c r="F78" s="79" t="s">
        <v>4</v>
      </c>
      <c r="G78" s="300">
        <f t="shared" ref="G78:G85" si="4">(H78/100)</f>
        <v>1.2453355932203394</v>
      </c>
      <c r="H78" s="111">
        <v>124.53355932203394</v>
      </c>
    </row>
    <row r="79" spans="2:8" x14ac:dyDescent="0.2">
      <c r="B79" s="76" t="s">
        <v>113</v>
      </c>
      <c r="C79" s="61" t="s">
        <v>10</v>
      </c>
      <c r="D79" s="30">
        <v>8</v>
      </c>
      <c r="E79" s="71">
        <v>200</v>
      </c>
      <c r="F79" s="60" t="s">
        <v>4</v>
      </c>
      <c r="G79" s="300">
        <f t="shared" si="4"/>
        <v>1.7078262711864409</v>
      </c>
      <c r="H79" s="111">
        <v>170.78262711864409</v>
      </c>
    </row>
    <row r="80" spans="2:8" x14ac:dyDescent="0.2">
      <c r="B80" s="76" t="s">
        <v>113</v>
      </c>
      <c r="C80" s="61" t="s">
        <v>10</v>
      </c>
      <c r="D80" s="30">
        <v>9</v>
      </c>
      <c r="E80" s="71">
        <v>201</v>
      </c>
      <c r="F80" s="60" t="s">
        <v>4</v>
      </c>
      <c r="G80" s="300">
        <f t="shared" si="4"/>
        <v>2.078099135593221</v>
      </c>
      <c r="H80" s="111">
        <v>207.8099135593221</v>
      </c>
    </row>
    <row r="81" spans="2:8" x14ac:dyDescent="0.2">
      <c r="B81" s="76" t="s">
        <v>113</v>
      </c>
      <c r="C81" s="61" t="s">
        <v>10</v>
      </c>
      <c r="D81" s="30">
        <v>10</v>
      </c>
      <c r="E81" s="71">
        <v>202</v>
      </c>
      <c r="F81" s="60" t="s">
        <v>4</v>
      </c>
      <c r="G81" s="300">
        <f t="shared" si="4"/>
        <v>2.3411440677966104</v>
      </c>
      <c r="H81" s="111">
        <v>234.11440677966104</v>
      </c>
    </row>
    <row r="82" spans="2:8" x14ac:dyDescent="0.2">
      <c r="B82" s="76" t="s">
        <v>113</v>
      </c>
      <c r="C82" s="61" t="s">
        <v>10</v>
      </c>
      <c r="D82" s="30">
        <v>12</v>
      </c>
      <c r="E82" s="71">
        <v>200</v>
      </c>
      <c r="F82" s="60" t="s">
        <v>4</v>
      </c>
      <c r="G82" s="300">
        <f t="shared" si="4"/>
        <v>3.2220406779661022</v>
      </c>
      <c r="H82" s="111">
        <v>322.20406779661022</v>
      </c>
    </row>
    <row r="83" spans="2:8" x14ac:dyDescent="0.2">
      <c r="B83" s="76" t="s">
        <v>113</v>
      </c>
      <c r="C83" s="61" t="s">
        <v>10</v>
      </c>
      <c r="D83" s="30">
        <v>14</v>
      </c>
      <c r="E83" s="71">
        <v>200</v>
      </c>
      <c r="F83" s="60" t="s">
        <v>4</v>
      </c>
      <c r="G83" s="300">
        <f t="shared" si="4"/>
        <v>4.1547559322033907</v>
      </c>
      <c r="H83" s="111">
        <v>415.47559322033908</v>
      </c>
    </row>
    <row r="84" spans="2:8" x14ac:dyDescent="0.2">
      <c r="B84" s="76" t="s">
        <v>113</v>
      </c>
      <c r="C84" s="61" t="s">
        <v>10</v>
      </c>
      <c r="D84" s="30">
        <v>16</v>
      </c>
      <c r="E84" s="71">
        <v>100</v>
      </c>
      <c r="F84" s="60" t="s">
        <v>4</v>
      </c>
      <c r="G84" s="300">
        <f t="shared" si="4"/>
        <v>5.3922559322033896</v>
      </c>
      <c r="H84" s="111">
        <v>539.22559322033896</v>
      </c>
    </row>
    <row r="85" spans="2:8" x14ac:dyDescent="0.2">
      <c r="B85" s="76" t="s">
        <v>113</v>
      </c>
      <c r="C85" s="61" t="s">
        <v>10</v>
      </c>
      <c r="D85" s="30">
        <v>18</v>
      </c>
      <c r="E85" s="71">
        <v>100</v>
      </c>
      <c r="F85" s="60" t="s">
        <v>4</v>
      </c>
      <c r="G85" s="300">
        <f t="shared" si="4"/>
        <v>6.8340355932203387</v>
      </c>
      <c r="H85" s="111">
        <v>683.40355932203386</v>
      </c>
    </row>
    <row r="86" spans="2:8" x14ac:dyDescent="0.2">
      <c r="B86" s="32"/>
      <c r="C86" s="32"/>
      <c r="D86" s="32"/>
      <c r="E86" s="35"/>
      <c r="F86" s="32"/>
      <c r="H86" s="35"/>
    </row>
    <row r="87" spans="2:8" x14ac:dyDescent="0.2">
      <c r="B87" s="36" t="s">
        <v>44</v>
      </c>
      <c r="C87" s="37"/>
      <c r="D87" s="38"/>
      <c r="E87" s="59"/>
      <c r="F87" s="59"/>
      <c r="G87" s="59"/>
      <c r="H87" s="165"/>
    </row>
    <row r="88" spans="2:8" x14ac:dyDescent="0.2">
      <c r="B88" s="81" t="s">
        <v>44</v>
      </c>
      <c r="C88" s="77" t="s">
        <v>41</v>
      </c>
      <c r="D88" s="78">
        <v>5</v>
      </c>
      <c r="E88" s="107">
        <v>200</v>
      </c>
      <c r="F88" s="79" t="s">
        <v>4</v>
      </c>
      <c r="G88" s="300">
        <f>(H88/100)</f>
        <v>0.63011111111111107</v>
      </c>
      <c r="H88" s="112">
        <v>63.011111111111106</v>
      </c>
    </row>
    <row r="89" spans="2:8" x14ac:dyDescent="0.2">
      <c r="B89" s="81" t="s">
        <v>44</v>
      </c>
      <c r="C89" s="77" t="s">
        <v>41</v>
      </c>
      <c r="D89" s="78">
        <v>6</v>
      </c>
      <c r="E89" s="107">
        <v>200</v>
      </c>
      <c r="F89" s="79" t="s">
        <v>4</v>
      </c>
      <c r="G89" s="300">
        <f t="shared" ref="G89:G98" si="5">(H89/100)</f>
        <v>0.81105000000000005</v>
      </c>
      <c r="H89" s="111">
        <v>81.105000000000004</v>
      </c>
    </row>
    <row r="90" spans="2:8" x14ac:dyDescent="0.2">
      <c r="B90" s="84" t="s">
        <v>44</v>
      </c>
      <c r="C90" s="170" t="s">
        <v>41</v>
      </c>
      <c r="D90" s="78">
        <v>7</v>
      </c>
      <c r="E90" s="107">
        <v>200</v>
      </c>
      <c r="F90" s="251" t="s">
        <v>4</v>
      </c>
      <c r="G90" s="300">
        <f t="shared" si="5"/>
        <v>1.0190226428571427</v>
      </c>
      <c r="H90" s="111">
        <v>101.90226428571427</v>
      </c>
    </row>
    <row r="91" spans="2:8" x14ac:dyDescent="0.2">
      <c r="B91" s="81" t="s">
        <v>44</v>
      </c>
      <c r="C91" s="77" t="s">
        <v>41</v>
      </c>
      <c r="D91" s="30">
        <v>8</v>
      </c>
      <c r="E91" s="71">
        <v>200</v>
      </c>
      <c r="F91" s="60" t="s">
        <v>4</v>
      </c>
      <c r="G91" s="300">
        <f t="shared" si="5"/>
        <v>1.1119222222222223</v>
      </c>
      <c r="H91" s="111">
        <v>111.19222222222223</v>
      </c>
    </row>
    <row r="92" spans="2:8" x14ac:dyDescent="0.2">
      <c r="B92" s="84" t="s">
        <v>44</v>
      </c>
      <c r="C92" s="170" t="s">
        <v>41</v>
      </c>
      <c r="D92" s="30">
        <v>9</v>
      </c>
      <c r="E92" s="71">
        <v>200</v>
      </c>
      <c r="F92" s="125" t="s">
        <v>4</v>
      </c>
      <c r="G92" s="300">
        <f t="shared" si="5"/>
        <v>1.4541486666666665</v>
      </c>
      <c r="H92" s="111">
        <v>145.41486666666665</v>
      </c>
    </row>
    <row r="93" spans="2:8" x14ac:dyDescent="0.2">
      <c r="B93" s="81" t="s">
        <v>44</v>
      </c>
      <c r="C93" s="77" t="s">
        <v>41</v>
      </c>
      <c r="D93" s="30">
        <v>10</v>
      </c>
      <c r="E93" s="71">
        <v>200</v>
      </c>
      <c r="F93" s="60" t="s">
        <v>4</v>
      </c>
      <c r="G93" s="300">
        <f t="shared" si="5"/>
        <v>1.669888888888889</v>
      </c>
      <c r="H93" s="111">
        <v>166.98888888888891</v>
      </c>
    </row>
    <row r="94" spans="2:8" x14ac:dyDescent="0.2">
      <c r="B94" s="81" t="s">
        <v>44</v>
      </c>
      <c r="C94" s="77" t="s">
        <v>41</v>
      </c>
      <c r="D94" s="30">
        <v>12</v>
      </c>
      <c r="E94" s="71">
        <v>200</v>
      </c>
      <c r="F94" s="60" t="s">
        <v>4</v>
      </c>
      <c r="G94" s="300">
        <f t="shared" si="5"/>
        <v>2.0181222222222224</v>
      </c>
      <c r="H94" s="111">
        <v>201.81222222222223</v>
      </c>
    </row>
    <row r="95" spans="2:8" x14ac:dyDescent="0.2">
      <c r="B95" s="81" t="s">
        <v>44</v>
      </c>
      <c r="C95" s="77" t="s">
        <v>41</v>
      </c>
      <c r="D95" s="30">
        <v>14</v>
      </c>
      <c r="E95" s="71">
        <v>200</v>
      </c>
      <c r="F95" s="60" t="s">
        <v>4</v>
      </c>
      <c r="G95" s="300">
        <f t="shared" si="5"/>
        <v>2.5261666666666662</v>
      </c>
      <c r="H95" s="111">
        <v>252.61666666666662</v>
      </c>
    </row>
    <row r="96" spans="2:8" x14ac:dyDescent="0.2">
      <c r="B96" s="81" t="s">
        <v>44</v>
      </c>
      <c r="C96" s="77" t="s">
        <v>41</v>
      </c>
      <c r="D96" s="30">
        <v>16</v>
      </c>
      <c r="E96" s="71">
        <v>100</v>
      </c>
      <c r="F96" s="60" t="s">
        <v>4</v>
      </c>
      <c r="G96" s="300">
        <f t="shared" si="5"/>
        <v>3.3682222222222213</v>
      </c>
      <c r="H96" s="111">
        <v>336.82222222222214</v>
      </c>
    </row>
    <row r="97" spans="2:8" x14ac:dyDescent="0.2">
      <c r="B97" s="81" t="s">
        <v>44</v>
      </c>
      <c r="C97" s="77" t="s">
        <v>41</v>
      </c>
      <c r="D97" s="30">
        <v>18</v>
      </c>
      <c r="E97" s="71">
        <v>100</v>
      </c>
      <c r="F97" s="60" t="s">
        <v>4</v>
      </c>
      <c r="G97" s="300">
        <f t="shared" si="5"/>
        <v>4.1187499999999995</v>
      </c>
      <c r="H97" s="111">
        <v>411.87499999999994</v>
      </c>
    </row>
    <row r="98" spans="2:8" x14ac:dyDescent="0.2">
      <c r="B98" s="81" t="s">
        <v>44</v>
      </c>
      <c r="C98" s="77" t="s">
        <v>41</v>
      </c>
      <c r="D98" s="30">
        <v>20</v>
      </c>
      <c r="E98" s="71">
        <v>100</v>
      </c>
      <c r="F98" s="60" t="s">
        <v>4</v>
      </c>
      <c r="G98" s="300">
        <f t="shared" si="5"/>
        <v>4.7594444444444433</v>
      </c>
      <c r="H98" s="111">
        <v>475.94444444444434</v>
      </c>
    </row>
    <row r="99" spans="2:8" x14ac:dyDescent="0.2">
      <c r="B99" s="92"/>
      <c r="C99" s="93"/>
      <c r="D99" s="52"/>
      <c r="E99" s="106"/>
      <c r="F99" s="94"/>
      <c r="H99" s="166"/>
    </row>
    <row r="100" spans="2:8" x14ac:dyDescent="0.2">
      <c r="B100" s="145" t="s">
        <v>44</v>
      </c>
      <c r="C100" s="61" t="s">
        <v>10</v>
      </c>
      <c r="D100" s="30">
        <v>5</v>
      </c>
      <c r="E100" s="71">
        <v>200</v>
      </c>
      <c r="F100" s="60" t="s">
        <v>4</v>
      </c>
      <c r="G100" s="300">
        <f>(H100/100)</f>
        <v>0.64122222222222225</v>
      </c>
      <c r="H100" s="111">
        <v>64.12222222222222</v>
      </c>
    </row>
    <row r="101" spans="2:8" x14ac:dyDescent="0.2">
      <c r="B101" s="145" t="s">
        <v>44</v>
      </c>
      <c r="C101" s="61" t="s">
        <v>10</v>
      </c>
      <c r="D101" s="30">
        <v>6</v>
      </c>
      <c r="E101" s="71">
        <v>200</v>
      </c>
      <c r="F101" s="60" t="s">
        <v>4</v>
      </c>
      <c r="G101" s="300">
        <f t="shared" ref="G101:G110" si="6">(H101/100)</f>
        <v>0.8305499999999999</v>
      </c>
      <c r="H101" s="111">
        <v>83.054999999999993</v>
      </c>
    </row>
    <row r="102" spans="2:8" x14ac:dyDescent="0.2">
      <c r="B102" s="26" t="s">
        <v>44</v>
      </c>
      <c r="C102" s="252" t="s">
        <v>10</v>
      </c>
      <c r="D102" s="30">
        <v>7</v>
      </c>
      <c r="E102" s="71">
        <v>200</v>
      </c>
      <c r="F102" s="125" t="s">
        <v>4</v>
      </c>
      <c r="G102" s="300">
        <f t="shared" si="6"/>
        <v>1.0454590714285716</v>
      </c>
      <c r="H102" s="111">
        <v>104.54590714285716</v>
      </c>
    </row>
    <row r="103" spans="2:8" x14ac:dyDescent="0.2">
      <c r="B103" s="81" t="s">
        <v>44</v>
      </c>
      <c r="C103" s="77" t="s">
        <v>10</v>
      </c>
      <c r="D103" s="30">
        <v>8</v>
      </c>
      <c r="E103" s="71">
        <v>200</v>
      </c>
      <c r="F103" s="60" t="s">
        <v>4</v>
      </c>
      <c r="G103" s="300">
        <f t="shared" si="6"/>
        <v>1.1630333333333331</v>
      </c>
      <c r="H103" s="111">
        <v>116.30333333333331</v>
      </c>
    </row>
    <row r="104" spans="2:8" x14ac:dyDescent="0.2">
      <c r="B104" s="26" t="s">
        <v>44</v>
      </c>
      <c r="C104" s="252" t="s">
        <v>10</v>
      </c>
      <c r="D104" s="30">
        <v>9</v>
      </c>
      <c r="E104" s="71">
        <v>200</v>
      </c>
      <c r="F104" s="125" t="s">
        <v>4</v>
      </c>
      <c r="G104" s="300">
        <f t="shared" si="6"/>
        <v>1.5574519999999998</v>
      </c>
      <c r="H104" s="111">
        <v>155.74519999999998</v>
      </c>
    </row>
    <row r="105" spans="2:8" x14ac:dyDescent="0.2">
      <c r="B105" s="81" t="s">
        <v>44</v>
      </c>
      <c r="C105" s="77" t="s">
        <v>10</v>
      </c>
      <c r="D105" s="30">
        <v>10</v>
      </c>
      <c r="E105" s="71">
        <v>200</v>
      </c>
      <c r="F105" s="60" t="s">
        <v>4</v>
      </c>
      <c r="G105" s="300">
        <f t="shared" si="6"/>
        <v>1.7501111111111112</v>
      </c>
      <c r="H105" s="111">
        <v>175.01111111111112</v>
      </c>
    </row>
    <row r="106" spans="2:8" x14ac:dyDescent="0.2">
      <c r="B106" s="81" t="s">
        <v>44</v>
      </c>
      <c r="C106" s="77" t="s">
        <v>10</v>
      </c>
      <c r="D106" s="30">
        <v>12</v>
      </c>
      <c r="E106" s="71">
        <v>200</v>
      </c>
      <c r="F106" s="60" t="s">
        <v>4</v>
      </c>
      <c r="G106" s="300">
        <f t="shared" si="6"/>
        <v>2.1123444444444446</v>
      </c>
      <c r="H106" s="111">
        <v>211.23444444444445</v>
      </c>
    </row>
    <row r="107" spans="2:8" x14ac:dyDescent="0.2">
      <c r="B107" s="81" t="s">
        <v>44</v>
      </c>
      <c r="C107" s="77" t="s">
        <v>10</v>
      </c>
      <c r="D107" s="30">
        <v>14</v>
      </c>
      <c r="E107" s="71">
        <v>200</v>
      </c>
      <c r="F107" s="60" t="s">
        <v>4</v>
      </c>
      <c r="G107" s="300">
        <f t="shared" si="6"/>
        <v>2.6488333333333332</v>
      </c>
      <c r="H107" s="111">
        <v>264.88333333333333</v>
      </c>
    </row>
    <row r="108" spans="2:8" x14ac:dyDescent="0.2">
      <c r="B108" s="81" t="s">
        <v>44</v>
      </c>
      <c r="C108" s="77" t="s">
        <v>10</v>
      </c>
      <c r="D108" s="30">
        <v>16</v>
      </c>
      <c r="E108" s="71">
        <v>100</v>
      </c>
      <c r="F108" s="60" t="s">
        <v>4</v>
      </c>
      <c r="G108" s="300">
        <f t="shared" si="6"/>
        <v>3.5215555555555564</v>
      </c>
      <c r="H108" s="111">
        <v>352.15555555555562</v>
      </c>
    </row>
    <row r="109" spans="2:8" x14ac:dyDescent="0.2">
      <c r="B109" s="81" t="s">
        <v>44</v>
      </c>
      <c r="C109" s="77" t="s">
        <v>10</v>
      </c>
      <c r="D109" s="30">
        <v>18</v>
      </c>
      <c r="E109" s="71">
        <v>100</v>
      </c>
      <c r="F109" s="60" t="s">
        <v>4</v>
      </c>
      <c r="G109" s="300">
        <f t="shared" si="6"/>
        <v>4.2937500000000002</v>
      </c>
      <c r="H109" s="111">
        <v>429.375</v>
      </c>
    </row>
    <row r="110" spans="2:8" x14ac:dyDescent="0.2">
      <c r="B110" s="81" t="s">
        <v>44</v>
      </c>
      <c r="C110" s="77" t="s">
        <v>10</v>
      </c>
      <c r="D110" s="30">
        <v>20</v>
      </c>
      <c r="E110" s="71">
        <v>100</v>
      </c>
      <c r="F110" s="60" t="s">
        <v>4</v>
      </c>
      <c r="G110" s="300">
        <f t="shared" si="6"/>
        <v>4.9688888888888885</v>
      </c>
      <c r="H110" s="111">
        <v>496.88888888888886</v>
      </c>
    </row>
    <row r="111" spans="2:8" x14ac:dyDescent="0.2">
      <c r="B111" s="92"/>
      <c r="C111" s="93"/>
      <c r="D111" s="52"/>
      <c r="E111" s="106"/>
      <c r="F111" s="94"/>
      <c r="H111" s="166"/>
    </row>
    <row r="112" spans="2:8" x14ac:dyDescent="0.2">
      <c r="B112" s="36" t="s">
        <v>31</v>
      </c>
      <c r="C112" s="37"/>
      <c r="D112" s="38"/>
      <c r="E112" s="59"/>
      <c r="F112" s="59"/>
      <c r="G112" s="59"/>
      <c r="H112" s="165"/>
    </row>
    <row r="113" spans="1:8" x14ac:dyDescent="0.2">
      <c r="B113" s="76" t="s">
        <v>31</v>
      </c>
      <c r="C113" s="77" t="s">
        <v>10</v>
      </c>
      <c r="D113" s="78">
        <v>6</v>
      </c>
      <c r="E113" s="107">
        <v>200</v>
      </c>
      <c r="F113" s="79" t="s">
        <v>4</v>
      </c>
      <c r="G113" s="300">
        <f>(H113/100)</f>
        <v>0.84372966101694924</v>
      </c>
      <c r="H113" s="112">
        <v>84.372966101694928</v>
      </c>
    </row>
    <row r="114" spans="1:8" x14ac:dyDescent="0.2">
      <c r="B114" s="42" t="s">
        <v>31</v>
      </c>
      <c r="C114" s="61" t="s">
        <v>10</v>
      </c>
      <c r="D114" s="30">
        <v>8</v>
      </c>
      <c r="E114" s="71">
        <v>200</v>
      </c>
      <c r="F114" s="60" t="s">
        <v>4</v>
      </c>
      <c r="G114" s="300">
        <f t="shared" ref="G114:G119" si="7">(H114/100)</f>
        <v>1.4718305084745764</v>
      </c>
      <c r="H114" s="111">
        <v>147.18305084745765</v>
      </c>
    </row>
    <row r="115" spans="1:8" x14ac:dyDescent="0.2">
      <c r="B115" s="42" t="s">
        <v>31</v>
      </c>
      <c r="C115" s="61" t="s">
        <v>10</v>
      </c>
      <c r="D115" s="30">
        <v>10</v>
      </c>
      <c r="E115" s="71">
        <v>200</v>
      </c>
      <c r="F115" s="60" t="s">
        <v>4</v>
      </c>
      <c r="G115" s="300">
        <f t="shared" si="7"/>
        <v>2.0384237288135596</v>
      </c>
      <c r="H115" s="111">
        <v>203.84237288135597</v>
      </c>
    </row>
    <row r="116" spans="1:8" x14ac:dyDescent="0.2">
      <c r="B116" s="42" t="s">
        <v>31</v>
      </c>
      <c r="C116" s="61" t="s">
        <v>10</v>
      </c>
      <c r="D116" s="30">
        <v>12</v>
      </c>
      <c r="E116" s="71">
        <v>200</v>
      </c>
      <c r="F116" s="60" t="s">
        <v>4</v>
      </c>
      <c r="G116" s="300">
        <f t="shared" si="7"/>
        <v>2.4877118644067799</v>
      </c>
      <c r="H116" s="111">
        <v>248.77118644067798</v>
      </c>
    </row>
    <row r="117" spans="1:8" x14ac:dyDescent="0.2">
      <c r="B117" s="42" t="s">
        <v>31</v>
      </c>
      <c r="C117" s="61" t="s">
        <v>10</v>
      </c>
      <c r="D117" s="30">
        <v>14</v>
      </c>
      <c r="E117" s="71">
        <v>200</v>
      </c>
      <c r="F117" s="60" t="s">
        <v>4</v>
      </c>
      <c r="G117" s="300">
        <f t="shared" si="7"/>
        <v>3.2943661016949166</v>
      </c>
      <c r="H117" s="111">
        <v>329.43661016949164</v>
      </c>
    </row>
    <row r="118" spans="1:8" x14ac:dyDescent="0.2">
      <c r="B118" s="42" t="s">
        <v>31</v>
      </c>
      <c r="C118" s="61" t="s">
        <v>10</v>
      </c>
      <c r="D118" s="30">
        <v>16</v>
      </c>
      <c r="E118" s="71">
        <v>100</v>
      </c>
      <c r="F118" s="60" t="s">
        <v>4</v>
      </c>
      <c r="G118" s="300">
        <f t="shared" si="7"/>
        <v>4.492998305084746</v>
      </c>
      <c r="H118" s="111">
        <v>449.2998305084746</v>
      </c>
    </row>
    <row r="119" spans="1:8" x14ac:dyDescent="0.2">
      <c r="B119" s="42" t="s">
        <v>31</v>
      </c>
      <c r="C119" s="61" t="s">
        <v>10</v>
      </c>
      <c r="D119" s="30">
        <v>18</v>
      </c>
      <c r="E119" s="71">
        <v>100</v>
      </c>
      <c r="F119" s="60" t="s">
        <v>4</v>
      </c>
      <c r="G119" s="300">
        <f t="shared" si="7"/>
        <v>5.7058322033898312</v>
      </c>
      <c r="H119" s="111">
        <v>570.5832203389831</v>
      </c>
    </row>
    <row r="120" spans="1:8" x14ac:dyDescent="0.2">
      <c r="A120" s="8"/>
      <c r="B120" s="53"/>
      <c r="C120" s="51"/>
      <c r="D120" s="52"/>
      <c r="E120" s="106"/>
      <c r="F120" s="33"/>
      <c r="H120" s="122"/>
    </row>
    <row r="121" spans="1:8" x14ac:dyDescent="0.2">
      <c r="B121" s="36" t="s">
        <v>47</v>
      </c>
      <c r="C121" s="279"/>
      <c r="D121" s="130"/>
      <c r="E121" s="280"/>
      <c r="F121" s="280"/>
      <c r="G121" s="280"/>
      <c r="H121" s="121"/>
    </row>
    <row r="122" spans="1:8" x14ac:dyDescent="0.2">
      <c r="B122" s="76" t="s">
        <v>47</v>
      </c>
      <c r="C122" s="278" t="s">
        <v>46</v>
      </c>
      <c r="D122" s="273">
        <v>1</v>
      </c>
      <c r="E122" s="128">
        <v>200</v>
      </c>
      <c r="F122" s="128" t="s">
        <v>4</v>
      </c>
      <c r="G122" s="300">
        <f>(H122/100)</f>
        <v>6.6430188679245286E-2</v>
      </c>
      <c r="H122" s="112">
        <v>6.6430188679245283</v>
      </c>
    </row>
    <row r="123" spans="1:8" x14ac:dyDescent="0.2">
      <c r="B123" s="42" t="s">
        <v>47</v>
      </c>
      <c r="C123" s="44" t="s">
        <v>46</v>
      </c>
      <c r="D123" s="43">
        <v>1.4</v>
      </c>
      <c r="E123" s="66">
        <v>200</v>
      </c>
      <c r="F123" s="66" t="s">
        <v>4</v>
      </c>
      <c r="G123" s="300">
        <f t="shared" ref="G123:G130" si="8">(H123/100)</f>
        <v>8.8913207547169831E-2</v>
      </c>
      <c r="H123" s="111">
        <v>8.8913207547169826</v>
      </c>
    </row>
    <row r="124" spans="1:8" x14ac:dyDescent="0.2">
      <c r="B124" s="42" t="s">
        <v>47</v>
      </c>
      <c r="C124" s="44" t="s">
        <v>46</v>
      </c>
      <c r="D124" s="43">
        <v>2</v>
      </c>
      <c r="E124" s="66">
        <v>200</v>
      </c>
      <c r="F124" s="66" t="s">
        <v>4</v>
      </c>
      <c r="G124" s="300">
        <f t="shared" si="8"/>
        <v>0.11796452830188682</v>
      </c>
      <c r="H124" s="111">
        <v>11.796452830188683</v>
      </c>
    </row>
    <row r="125" spans="1:8" x14ac:dyDescent="0.2">
      <c r="B125" s="42" t="s">
        <v>47</v>
      </c>
      <c r="C125" s="44" t="s">
        <v>46</v>
      </c>
      <c r="D125" s="43">
        <v>3</v>
      </c>
      <c r="E125" s="66">
        <v>200</v>
      </c>
      <c r="F125" s="66" t="s">
        <v>4</v>
      </c>
      <c r="G125" s="300">
        <f t="shared" si="8"/>
        <v>0.25764230769230773</v>
      </c>
      <c r="H125" s="111">
        <v>25.764230769230771</v>
      </c>
    </row>
    <row r="126" spans="1:8" s="104" customFormat="1" x14ac:dyDescent="0.2">
      <c r="B126" s="42" t="s">
        <v>47</v>
      </c>
      <c r="C126" s="44" t="s">
        <v>46</v>
      </c>
      <c r="D126" s="43">
        <v>4</v>
      </c>
      <c r="E126" s="66">
        <v>200</v>
      </c>
      <c r="F126" s="66" t="s">
        <v>4</v>
      </c>
      <c r="G126" s="300">
        <f t="shared" si="8"/>
        <v>0.23256000000000004</v>
      </c>
      <c r="H126" s="118">
        <v>23.256000000000004</v>
      </c>
    </row>
    <row r="127" spans="1:8" s="104" customFormat="1" x14ac:dyDescent="0.2">
      <c r="B127" s="42" t="s">
        <v>47</v>
      </c>
      <c r="C127" s="44" t="s">
        <v>46</v>
      </c>
      <c r="D127" s="43">
        <v>5</v>
      </c>
      <c r="E127" s="66">
        <v>200</v>
      </c>
      <c r="F127" s="66" t="s">
        <v>4</v>
      </c>
      <c r="G127" s="300">
        <f t="shared" si="8"/>
        <v>0.24381</v>
      </c>
      <c r="H127" s="118">
        <v>24.381</v>
      </c>
    </row>
    <row r="128" spans="1:8" x14ac:dyDescent="0.2">
      <c r="B128" s="42" t="s">
        <v>47</v>
      </c>
      <c r="C128" s="44" t="s">
        <v>46</v>
      </c>
      <c r="D128" s="43">
        <v>6</v>
      </c>
      <c r="E128" s="66">
        <v>200</v>
      </c>
      <c r="F128" s="66" t="s">
        <v>4</v>
      </c>
      <c r="G128" s="300">
        <f t="shared" si="8"/>
        <v>0.5056615384615385</v>
      </c>
      <c r="H128" s="111">
        <v>50.566153846153853</v>
      </c>
    </row>
    <row r="129" spans="2:8" x14ac:dyDescent="0.2">
      <c r="B129" s="42" t="s">
        <v>47</v>
      </c>
      <c r="C129" s="44" t="s">
        <v>46</v>
      </c>
      <c r="D129" s="43">
        <v>8</v>
      </c>
      <c r="E129" s="66">
        <v>200</v>
      </c>
      <c r="F129" s="66" t="s">
        <v>4</v>
      </c>
      <c r="G129" s="300">
        <f t="shared" si="8"/>
        <v>0.94236923076923096</v>
      </c>
      <c r="H129" s="111">
        <v>94.236923076923091</v>
      </c>
    </row>
    <row r="130" spans="2:8" x14ac:dyDescent="0.2">
      <c r="B130" s="42" t="s">
        <v>47</v>
      </c>
      <c r="C130" s="44" t="s">
        <v>46</v>
      </c>
      <c r="D130" s="43">
        <v>10</v>
      </c>
      <c r="E130" s="66">
        <v>200</v>
      </c>
      <c r="F130" s="124" t="s">
        <v>4</v>
      </c>
      <c r="G130" s="300">
        <f t="shared" si="8"/>
        <v>1.3735384615384616</v>
      </c>
      <c r="H130" s="111">
        <v>137.35384615384615</v>
      </c>
    </row>
    <row r="131" spans="2:8" x14ac:dyDescent="0.2">
      <c r="E131" s="5"/>
    </row>
    <row r="132" spans="2:8" ht="13.5" customHeight="1" x14ac:dyDescent="0.2">
      <c r="B132" s="36" t="s">
        <v>35</v>
      </c>
      <c r="C132" s="279"/>
      <c r="D132" s="130"/>
      <c r="E132" s="280"/>
      <c r="F132" s="280"/>
      <c r="G132" s="280"/>
      <c r="H132" s="121"/>
    </row>
    <row r="133" spans="2:8" x14ac:dyDescent="0.2">
      <c r="B133" s="76" t="s">
        <v>35</v>
      </c>
      <c r="C133" s="278" t="s">
        <v>11</v>
      </c>
      <c r="D133" s="273">
        <v>3</v>
      </c>
      <c r="E133" s="128">
        <v>200</v>
      </c>
      <c r="F133" s="128" t="s">
        <v>4</v>
      </c>
      <c r="G133" s="300">
        <f>(H133/100)</f>
        <v>0.39203389830508473</v>
      </c>
      <c r="H133" s="112">
        <v>39.20338983050847</v>
      </c>
    </row>
    <row r="134" spans="2:8" x14ac:dyDescent="0.2">
      <c r="B134" s="42" t="s">
        <v>35</v>
      </c>
      <c r="C134" s="44" t="s">
        <v>11</v>
      </c>
      <c r="D134" s="43">
        <v>4</v>
      </c>
      <c r="E134" s="66">
        <v>200</v>
      </c>
      <c r="F134" s="66" t="s">
        <v>4</v>
      </c>
      <c r="G134" s="300">
        <f t="shared" ref="G134:G136" si="9">(H134/100)</f>
        <v>0.41265263157894738</v>
      </c>
      <c r="H134" s="111">
        <v>41.265263157894736</v>
      </c>
    </row>
    <row r="135" spans="2:8" x14ac:dyDescent="0.2">
      <c r="B135" s="42" t="s">
        <v>35</v>
      </c>
      <c r="C135" s="44" t="s">
        <v>11</v>
      </c>
      <c r="D135" s="43">
        <v>5</v>
      </c>
      <c r="E135" s="66">
        <v>200</v>
      </c>
      <c r="F135" s="66" t="s">
        <v>4</v>
      </c>
      <c r="G135" s="300">
        <f t="shared" si="9"/>
        <v>0.45811525423728822</v>
      </c>
      <c r="H135" s="111">
        <v>45.811525423728824</v>
      </c>
    </row>
    <row r="136" spans="2:8" x14ac:dyDescent="0.2">
      <c r="B136" s="42" t="s">
        <v>35</v>
      </c>
      <c r="C136" s="44" t="s">
        <v>11</v>
      </c>
      <c r="D136" s="43">
        <v>6</v>
      </c>
      <c r="E136" s="66">
        <v>200</v>
      </c>
      <c r="F136" s="66" t="s">
        <v>4</v>
      </c>
      <c r="G136" s="300">
        <f t="shared" si="9"/>
        <v>0.75128135593220369</v>
      </c>
      <c r="H136" s="111">
        <v>75.128135593220364</v>
      </c>
    </row>
    <row r="137" spans="2:8" x14ac:dyDescent="0.2">
      <c r="B137" s="56"/>
      <c r="C137" s="148"/>
      <c r="D137" s="55"/>
      <c r="E137" s="109"/>
      <c r="F137" s="109"/>
      <c r="H137" s="122"/>
    </row>
    <row r="138" spans="2:8" x14ac:dyDescent="0.2">
      <c r="B138" s="42" t="s">
        <v>35</v>
      </c>
      <c r="C138" s="61" t="s">
        <v>46</v>
      </c>
      <c r="D138" s="31">
        <v>3</v>
      </c>
      <c r="E138" s="60">
        <v>200</v>
      </c>
      <c r="F138" s="66" t="s">
        <v>4</v>
      </c>
      <c r="G138" s="300">
        <f>(H138/100)</f>
        <v>0.43641509433962272</v>
      </c>
      <c r="H138" s="111">
        <v>43.64150943396227</v>
      </c>
    </row>
    <row r="139" spans="2:8" x14ac:dyDescent="0.2">
      <c r="B139" s="42" t="s">
        <v>35</v>
      </c>
      <c r="C139" s="61" t="s">
        <v>46</v>
      </c>
      <c r="D139" s="31">
        <v>4</v>
      </c>
      <c r="E139" s="60">
        <v>200</v>
      </c>
      <c r="F139" s="66" t="s">
        <v>4</v>
      </c>
      <c r="G139" s="300">
        <f t="shared" ref="G139:G141" si="10">(H139/100)</f>
        <v>0.47042400000000001</v>
      </c>
      <c r="H139" s="111">
        <v>47.042400000000001</v>
      </c>
    </row>
    <row r="140" spans="2:8" x14ac:dyDescent="0.2">
      <c r="B140" s="42" t="s">
        <v>35</v>
      </c>
      <c r="C140" s="61" t="s">
        <v>46</v>
      </c>
      <c r="D140" s="31">
        <v>5</v>
      </c>
      <c r="E140" s="60">
        <v>200</v>
      </c>
      <c r="F140" s="66" t="s">
        <v>4</v>
      </c>
      <c r="G140" s="300">
        <f t="shared" si="10"/>
        <v>0.5197846153846154</v>
      </c>
      <c r="H140" s="111">
        <v>51.978461538461538</v>
      </c>
    </row>
    <row r="141" spans="2:8" x14ac:dyDescent="0.2">
      <c r="B141" s="42" t="s">
        <v>35</v>
      </c>
      <c r="C141" s="61" t="s">
        <v>46</v>
      </c>
      <c r="D141" s="31">
        <v>6</v>
      </c>
      <c r="E141" s="60">
        <v>200</v>
      </c>
      <c r="F141" s="66" t="s">
        <v>4</v>
      </c>
      <c r="G141" s="300">
        <f t="shared" si="10"/>
        <v>0.8208444444444446</v>
      </c>
      <c r="H141" s="111">
        <v>82.084444444444458</v>
      </c>
    </row>
    <row r="142" spans="2:8" x14ac:dyDescent="0.2">
      <c r="B142" s="32"/>
      <c r="C142" s="32"/>
      <c r="D142" s="32"/>
      <c r="E142" s="35"/>
      <c r="F142" s="32"/>
      <c r="H142" s="115"/>
    </row>
    <row r="143" spans="2:8" x14ac:dyDescent="0.2">
      <c r="B143" s="46" t="s">
        <v>190</v>
      </c>
      <c r="C143" s="88"/>
      <c r="D143" s="89"/>
      <c r="E143" s="90"/>
      <c r="F143" s="90"/>
      <c r="G143" s="90"/>
      <c r="H143" s="91"/>
    </row>
    <row r="144" spans="2:8" x14ac:dyDescent="0.2">
      <c r="B144" s="84" t="s">
        <v>190</v>
      </c>
      <c r="C144" s="85" t="s">
        <v>9</v>
      </c>
      <c r="D144" s="87">
        <v>8</v>
      </c>
      <c r="E144" s="107">
        <v>200</v>
      </c>
      <c r="F144" s="79" t="s">
        <v>4</v>
      </c>
      <c r="G144" s="300">
        <f>(H144/100)</f>
        <v>3.3332608695652182</v>
      </c>
      <c r="H144" s="112">
        <v>333.32608695652181</v>
      </c>
    </row>
    <row r="145" spans="2:8" x14ac:dyDescent="0.2">
      <c r="B145" s="84" t="s">
        <v>190</v>
      </c>
      <c r="C145" s="27" t="s">
        <v>9</v>
      </c>
      <c r="D145" s="31">
        <v>9</v>
      </c>
      <c r="E145" s="71">
        <v>200</v>
      </c>
      <c r="F145" s="60" t="s">
        <v>4</v>
      </c>
      <c r="G145" s="300">
        <f t="shared" ref="G145:G146" si="11">(H145/100)</f>
        <v>3.6872833846153852</v>
      </c>
      <c r="H145" s="111">
        <v>368.7283384615385</v>
      </c>
    </row>
    <row r="146" spans="2:8" x14ac:dyDescent="0.2">
      <c r="B146" s="84" t="s">
        <v>190</v>
      </c>
      <c r="C146" s="27" t="s">
        <v>9</v>
      </c>
      <c r="D146" s="31">
        <v>10</v>
      </c>
      <c r="E146" s="71">
        <v>200</v>
      </c>
      <c r="F146" s="60" t="s">
        <v>4</v>
      </c>
      <c r="G146" s="300">
        <f t="shared" si="11"/>
        <v>5.4067826086956527</v>
      </c>
      <c r="H146" s="111">
        <v>540.67826086956529</v>
      </c>
    </row>
    <row r="147" spans="2:8" x14ac:dyDescent="0.2">
      <c r="B147" s="32"/>
      <c r="C147" s="32"/>
      <c r="D147" s="32"/>
      <c r="E147" s="35"/>
      <c r="F147" s="32"/>
      <c r="G147" s="115"/>
    </row>
    <row r="148" spans="2:8" x14ac:dyDescent="0.2">
      <c r="B148" s="62"/>
      <c r="C148" s="62"/>
      <c r="D148" s="32"/>
      <c r="E148" s="32"/>
      <c r="F148" s="32"/>
      <c r="G148" s="35"/>
    </row>
    <row r="149" spans="2:8" x14ac:dyDescent="0.2">
      <c r="C149" s="32"/>
      <c r="D149" s="32"/>
      <c r="E149" s="32"/>
      <c r="F149" s="32"/>
      <c r="G149" s="35"/>
    </row>
    <row r="150" spans="2:8" x14ac:dyDescent="0.2">
      <c r="C150" s="32"/>
      <c r="D150" s="32"/>
      <c r="E150" s="32"/>
      <c r="F150" s="32"/>
      <c r="G150" s="35"/>
    </row>
    <row r="151" spans="2:8" x14ac:dyDescent="0.2">
      <c r="C151" s="32"/>
      <c r="D151" s="32"/>
      <c r="E151" s="32"/>
      <c r="F151" s="32"/>
      <c r="G151" s="35"/>
    </row>
    <row r="152" spans="2:8" x14ac:dyDescent="0.2">
      <c r="C152" s="32"/>
      <c r="D152" s="32"/>
      <c r="E152" s="32"/>
      <c r="F152" s="32"/>
      <c r="G152" s="35"/>
    </row>
    <row r="153" spans="2:8" x14ac:dyDescent="0.2">
      <c r="B153" s="32"/>
      <c r="C153" s="32"/>
      <c r="D153" s="32"/>
      <c r="E153" s="32"/>
      <c r="F153" s="32"/>
      <c r="G153" s="35"/>
    </row>
    <row r="154" spans="2:8" x14ac:dyDescent="0.2">
      <c r="B154" s="32"/>
      <c r="C154" s="32"/>
      <c r="D154" s="32"/>
      <c r="E154" s="32"/>
      <c r="F154" s="32"/>
      <c r="G154" s="35"/>
    </row>
    <row r="155" spans="2:8" x14ac:dyDescent="0.2">
      <c r="B155" s="32"/>
      <c r="C155" s="32"/>
      <c r="D155" s="32"/>
      <c r="E155" s="32"/>
      <c r="F155" s="32"/>
      <c r="G155" s="35"/>
    </row>
    <row r="156" spans="2:8" x14ac:dyDescent="0.2">
      <c r="B156" s="32"/>
      <c r="C156" s="32"/>
      <c r="D156" s="32"/>
      <c r="E156" s="32"/>
      <c r="F156" s="32"/>
      <c r="G156" s="35"/>
    </row>
  </sheetData>
  <mergeCells count="1">
    <mergeCell ref="G24:H24"/>
  </mergeCells>
  <phoneticPr fontId="0" type="noConversion"/>
  <pageMargins left="0.74803149606299213" right="0.74803149606299213" top="0.98425196850393704" bottom="0.98425196850393704" header="0" footer="0"/>
  <pageSetup paperSize="9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179"/>
  <sheetViews>
    <sheetView topLeftCell="A124" zoomScaleNormal="100" workbookViewId="0">
      <selection activeCell="J175" sqref="J175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3.42578125" customWidth="1"/>
    <col min="8" max="8" width="12.42578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1" spans="2:8" x14ac:dyDescent="0.2">
      <c r="B21" s="32"/>
      <c r="C21" s="32"/>
      <c r="D21" s="32"/>
      <c r="E21" s="32"/>
      <c r="F21" s="32"/>
      <c r="G21" s="32"/>
    </row>
    <row r="22" spans="2:8" x14ac:dyDescent="0.2">
      <c r="B22" s="32"/>
      <c r="C22" s="32"/>
      <c r="D22" s="32"/>
      <c r="E22" s="32"/>
      <c r="F22" s="32"/>
      <c r="G22" s="32"/>
    </row>
    <row r="23" spans="2:8" ht="13.5" thickBot="1" x14ac:dyDescent="0.25">
      <c r="B23" s="32"/>
      <c r="C23" s="32"/>
      <c r="D23" s="32"/>
      <c r="E23" s="32"/>
      <c r="F23" s="32"/>
      <c r="G23" s="32"/>
    </row>
    <row r="24" spans="2:8" ht="24.75" customHeight="1" thickTop="1" x14ac:dyDescent="0.2">
      <c r="B24" s="152" t="s">
        <v>227</v>
      </c>
      <c r="C24" s="153"/>
      <c r="D24" s="154"/>
      <c r="E24" s="155"/>
      <c r="F24" s="156"/>
      <c r="G24" s="326" t="s">
        <v>69</v>
      </c>
      <c r="H24" s="326"/>
    </row>
    <row r="25" spans="2:8" x14ac:dyDescent="0.2">
      <c r="B25" s="32"/>
      <c r="C25" s="32"/>
      <c r="D25" s="32"/>
      <c r="E25" s="32"/>
      <c r="F25" s="32"/>
      <c r="G25" s="32"/>
      <c r="H25" s="32"/>
    </row>
    <row r="26" spans="2:8" x14ac:dyDescent="0.2">
      <c r="B26" s="82" t="s">
        <v>0</v>
      </c>
      <c r="C26" s="82" t="s">
        <v>1</v>
      </c>
      <c r="D26" s="143" t="s">
        <v>2</v>
      </c>
      <c r="E26" s="83" t="s">
        <v>3</v>
      </c>
      <c r="F26" s="83"/>
      <c r="G26" s="256" t="str">
        <f>'Pro Race'!G26</f>
        <v>Retail  €/mt</v>
      </c>
      <c r="H26" s="256" t="str">
        <f>'Pro Race'!H26</f>
        <v>Retail  €/100mt</v>
      </c>
    </row>
    <row r="27" spans="2:8" x14ac:dyDescent="0.2">
      <c r="B27" s="46" t="s">
        <v>22</v>
      </c>
      <c r="C27" s="47"/>
      <c r="D27" s="48"/>
      <c r="E27" s="47"/>
      <c r="F27" s="64"/>
      <c r="G27" s="41"/>
      <c r="H27" s="41"/>
    </row>
    <row r="28" spans="2:8" x14ac:dyDescent="0.2">
      <c r="B28" s="84" t="s">
        <v>22</v>
      </c>
      <c r="C28" s="85" t="s">
        <v>7</v>
      </c>
      <c r="D28" s="263">
        <v>2.5</v>
      </c>
      <c r="E28" s="107">
        <v>200</v>
      </c>
      <c r="F28" s="86" t="s">
        <v>4</v>
      </c>
      <c r="G28" s="328">
        <f>(H28/100)</f>
        <v>0.83031750000000015</v>
      </c>
      <c r="H28" s="112">
        <v>83.031750000000017</v>
      </c>
    </row>
    <row r="29" spans="2:8" x14ac:dyDescent="0.2">
      <c r="B29" s="26" t="s">
        <v>22</v>
      </c>
      <c r="C29" s="27" t="s">
        <v>7</v>
      </c>
      <c r="D29" s="30">
        <v>3</v>
      </c>
      <c r="E29" s="71">
        <v>200</v>
      </c>
      <c r="F29" s="29" t="s">
        <v>4</v>
      </c>
      <c r="G29" s="328">
        <f t="shared" ref="G29:G34" si="0">(H29/100)</f>
        <v>1.3127812500000002</v>
      </c>
      <c r="H29" s="111">
        <v>131.27812500000002</v>
      </c>
    </row>
    <row r="30" spans="2:8" x14ac:dyDescent="0.2">
      <c r="B30" s="26" t="s">
        <v>22</v>
      </c>
      <c r="C30" s="27" t="s">
        <v>7</v>
      </c>
      <c r="D30" s="30">
        <v>4</v>
      </c>
      <c r="E30" s="71">
        <v>200</v>
      </c>
      <c r="F30" s="29" t="s">
        <v>4</v>
      </c>
      <c r="G30" s="328">
        <f t="shared" si="0"/>
        <v>1.8109014084507045</v>
      </c>
      <c r="H30" s="111">
        <v>181.09014084507044</v>
      </c>
    </row>
    <row r="31" spans="2:8" x14ac:dyDescent="0.2">
      <c r="B31" s="26" t="s">
        <v>22</v>
      </c>
      <c r="C31" s="27" t="s">
        <v>7</v>
      </c>
      <c r="D31" s="30">
        <v>5</v>
      </c>
      <c r="E31" s="71">
        <v>200</v>
      </c>
      <c r="F31" s="29" t="s">
        <v>4</v>
      </c>
      <c r="G31" s="328">
        <f t="shared" si="0"/>
        <v>3.4230000000000005</v>
      </c>
      <c r="H31" s="111">
        <v>342.30000000000007</v>
      </c>
    </row>
    <row r="32" spans="2:8" x14ac:dyDescent="0.2">
      <c r="B32" s="26" t="s">
        <v>22</v>
      </c>
      <c r="C32" s="27" t="s">
        <v>7</v>
      </c>
      <c r="D32" s="30">
        <v>6</v>
      </c>
      <c r="E32" s="71">
        <v>200</v>
      </c>
      <c r="F32" s="29" t="s">
        <v>4</v>
      </c>
      <c r="G32" s="328">
        <f t="shared" si="0"/>
        <v>4.6249500000000001</v>
      </c>
      <c r="H32" s="111">
        <v>462.495</v>
      </c>
    </row>
    <row r="33" spans="1:8" x14ac:dyDescent="0.2">
      <c r="B33" s="26" t="s">
        <v>22</v>
      </c>
      <c r="C33" s="27" t="s">
        <v>7</v>
      </c>
      <c r="D33" s="30">
        <v>7</v>
      </c>
      <c r="E33" s="71">
        <v>200</v>
      </c>
      <c r="F33" s="29" t="s">
        <v>4</v>
      </c>
      <c r="G33" s="328">
        <f t="shared" si="0"/>
        <v>5.8863000000000003</v>
      </c>
      <c r="H33" s="111">
        <v>588.63</v>
      </c>
    </row>
    <row r="34" spans="1:8" x14ac:dyDescent="0.2">
      <c r="B34" s="26" t="s">
        <v>22</v>
      </c>
      <c r="C34" s="27" t="s">
        <v>7</v>
      </c>
      <c r="D34" s="30">
        <v>8</v>
      </c>
      <c r="E34" s="71">
        <v>200</v>
      </c>
      <c r="F34" s="29" t="s">
        <v>4</v>
      </c>
      <c r="G34" s="328">
        <f t="shared" si="0"/>
        <v>8.1505125000000014</v>
      </c>
      <c r="H34" s="111">
        <v>815.0512500000001</v>
      </c>
    </row>
    <row r="35" spans="1:8" x14ac:dyDescent="0.2">
      <c r="A35" s="8"/>
      <c r="B35" s="53"/>
      <c r="C35" s="51"/>
      <c r="D35" s="52"/>
      <c r="E35" s="106"/>
      <c r="F35" s="33"/>
      <c r="H35" s="122"/>
    </row>
    <row r="36" spans="1:8" x14ac:dyDescent="0.2">
      <c r="A36" s="104"/>
      <c r="B36" s="46" t="s">
        <v>50</v>
      </c>
      <c r="C36" s="47"/>
      <c r="D36" s="48"/>
      <c r="E36" s="64"/>
      <c r="F36" s="64"/>
      <c r="G36" s="64"/>
      <c r="H36" s="243"/>
    </row>
    <row r="37" spans="1:8" x14ac:dyDescent="0.2">
      <c r="A37" s="104"/>
      <c r="B37" s="84" t="s">
        <v>50</v>
      </c>
      <c r="C37" s="85" t="s">
        <v>7</v>
      </c>
      <c r="D37" s="78">
        <v>3</v>
      </c>
      <c r="E37" s="107">
        <v>200</v>
      </c>
      <c r="F37" s="86" t="s">
        <v>4</v>
      </c>
      <c r="G37" s="328">
        <f>(H37/100)</f>
        <v>1.4130491803278686</v>
      </c>
      <c r="H37" s="112">
        <v>141.30491803278687</v>
      </c>
    </row>
    <row r="38" spans="1:8" x14ac:dyDescent="0.2">
      <c r="A38" s="104"/>
      <c r="B38" s="84" t="s">
        <v>50</v>
      </c>
      <c r="C38" s="27" t="s">
        <v>7</v>
      </c>
      <c r="D38" s="30">
        <v>4</v>
      </c>
      <c r="E38" s="71">
        <v>200</v>
      </c>
      <c r="F38" s="29" t="s">
        <v>4</v>
      </c>
      <c r="G38" s="328">
        <f t="shared" ref="G38:G40" si="1">(H38/100)</f>
        <v>2.159117647058824</v>
      </c>
      <c r="H38" s="111">
        <v>215.9117647058824</v>
      </c>
    </row>
    <row r="39" spans="1:8" x14ac:dyDescent="0.2">
      <c r="A39" s="104"/>
      <c r="B39" s="84" t="s">
        <v>50</v>
      </c>
      <c r="C39" s="27" t="s">
        <v>7</v>
      </c>
      <c r="D39" s="30">
        <v>5</v>
      </c>
      <c r="E39" s="71">
        <v>200</v>
      </c>
      <c r="F39" s="29" t="s">
        <v>4</v>
      </c>
      <c r="G39" s="328">
        <f t="shared" si="1"/>
        <v>4.1571147540983606</v>
      </c>
      <c r="H39" s="111">
        <v>415.71147540983605</v>
      </c>
    </row>
    <row r="40" spans="1:8" x14ac:dyDescent="0.2">
      <c r="A40" s="104"/>
      <c r="B40" s="84" t="s">
        <v>50</v>
      </c>
      <c r="C40" s="27" t="s">
        <v>7</v>
      </c>
      <c r="D40" s="30">
        <v>6</v>
      </c>
      <c r="E40" s="71">
        <v>200</v>
      </c>
      <c r="F40" s="29" t="s">
        <v>4</v>
      </c>
      <c r="G40" s="328">
        <f t="shared" si="1"/>
        <v>5.449337704918034</v>
      </c>
      <c r="H40" s="111">
        <v>544.93377049180344</v>
      </c>
    </row>
    <row r="41" spans="1:8" x14ac:dyDescent="0.2">
      <c r="B41" s="32"/>
      <c r="C41" s="32"/>
      <c r="D41" s="32"/>
      <c r="E41" s="35"/>
      <c r="F41" s="32"/>
      <c r="H41" s="32"/>
    </row>
    <row r="42" spans="1:8" x14ac:dyDescent="0.2">
      <c r="B42" s="46" t="s">
        <v>220</v>
      </c>
      <c r="C42" s="47"/>
      <c r="D42" s="48"/>
      <c r="E42" s="47"/>
      <c r="F42" s="64"/>
      <c r="G42" s="64"/>
      <c r="H42" s="41"/>
    </row>
    <row r="43" spans="1:8" x14ac:dyDescent="0.2">
      <c r="B43" s="84" t="s">
        <v>220</v>
      </c>
      <c r="C43" s="85" t="s">
        <v>7</v>
      </c>
      <c r="D43" s="78">
        <v>3</v>
      </c>
      <c r="E43" s="107">
        <v>200</v>
      </c>
      <c r="F43" s="86" t="s">
        <v>4</v>
      </c>
      <c r="G43" s="328">
        <f>(H43/100)</f>
        <v>1.1934375000000002</v>
      </c>
      <c r="H43" s="112">
        <v>119.34375000000001</v>
      </c>
    </row>
    <row r="44" spans="1:8" x14ac:dyDescent="0.2">
      <c r="B44" s="84" t="s">
        <v>220</v>
      </c>
      <c r="C44" s="85" t="s">
        <v>7</v>
      </c>
      <c r="D44" s="78">
        <v>4</v>
      </c>
      <c r="E44" s="107">
        <v>200</v>
      </c>
      <c r="F44" s="86" t="s">
        <v>4</v>
      </c>
      <c r="G44" s="328">
        <f t="shared" ref="G44:G46" si="2">(H44/100)</f>
        <v>1.7857499999999999</v>
      </c>
      <c r="H44" s="112">
        <v>178.57499999999999</v>
      </c>
    </row>
    <row r="45" spans="1:8" x14ac:dyDescent="0.2">
      <c r="B45" s="84" t="s">
        <v>220</v>
      </c>
      <c r="C45" s="85" t="s">
        <v>7</v>
      </c>
      <c r="D45" s="78">
        <v>5</v>
      </c>
      <c r="E45" s="107">
        <v>200</v>
      </c>
      <c r="F45" s="86" t="s">
        <v>4</v>
      </c>
      <c r="G45" s="328">
        <f t="shared" si="2"/>
        <v>2.7811875000000001</v>
      </c>
      <c r="H45" s="112">
        <v>278.11875000000003</v>
      </c>
    </row>
    <row r="46" spans="1:8" x14ac:dyDescent="0.2">
      <c r="B46" s="84" t="s">
        <v>220</v>
      </c>
      <c r="C46" s="85" t="s">
        <v>7</v>
      </c>
      <c r="D46" s="78">
        <v>6</v>
      </c>
      <c r="E46" s="107">
        <v>200</v>
      </c>
      <c r="F46" s="86" t="s">
        <v>4</v>
      </c>
      <c r="G46" s="328">
        <f t="shared" si="2"/>
        <v>4.2801281250000001</v>
      </c>
      <c r="H46" s="112">
        <v>428.0128125</v>
      </c>
    </row>
    <row r="47" spans="1:8" x14ac:dyDescent="0.2">
      <c r="B47" s="266"/>
      <c r="C47" s="267"/>
      <c r="D47" s="268"/>
      <c r="E47" s="269"/>
      <c r="F47" s="270"/>
      <c r="H47" s="244"/>
    </row>
    <row r="48" spans="1:8" x14ac:dyDescent="0.2">
      <c r="B48" s="36" t="s">
        <v>24</v>
      </c>
      <c r="C48" s="37"/>
      <c r="D48" s="38"/>
      <c r="E48" s="59"/>
      <c r="F48" s="40"/>
      <c r="G48" s="40"/>
      <c r="H48" s="41"/>
    </row>
    <row r="49" spans="2:8" x14ac:dyDescent="0.2">
      <c r="B49" s="76" t="s">
        <v>24</v>
      </c>
      <c r="C49" s="85" t="s">
        <v>25</v>
      </c>
      <c r="D49" s="273">
        <v>3</v>
      </c>
      <c r="E49" s="128">
        <v>200</v>
      </c>
      <c r="F49" s="86" t="s">
        <v>4</v>
      </c>
      <c r="G49" s="328">
        <f>(H49/100)</f>
        <v>1.4525901639344267</v>
      </c>
      <c r="H49" s="112">
        <v>145.25901639344266</v>
      </c>
    </row>
    <row r="50" spans="2:8" x14ac:dyDescent="0.2">
      <c r="B50" s="42" t="s">
        <v>24</v>
      </c>
      <c r="C50" s="27" t="s">
        <v>25</v>
      </c>
      <c r="D50" s="43">
        <v>4</v>
      </c>
      <c r="E50" s="66">
        <v>200</v>
      </c>
      <c r="F50" s="29" t="s">
        <v>4</v>
      </c>
      <c r="G50" s="328">
        <f t="shared" ref="G50:G52" si="3">(H50/100)</f>
        <v>1.7230250000000005</v>
      </c>
      <c r="H50" s="111">
        <v>172.30250000000004</v>
      </c>
    </row>
    <row r="51" spans="2:8" x14ac:dyDescent="0.2">
      <c r="B51" s="42" t="s">
        <v>24</v>
      </c>
      <c r="C51" s="27" t="s">
        <v>25</v>
      </c>
      <c r="D51" s="43">
        <v>5</v>
      </c>
      <c r="E51" s="66">
        <v>200</v>
      </c>
      <c r="F51" s="29" t="s">
        <v>4</v>
      </c>
      <c r="G51" s="328">
        <f t="shared" si="3"/>
        <v>3.2628750000000006</v>
      </c>
      <c r="H51" s="111">
        <v>326.28750000000008</v>
      </c>
    </row>
    <row r="52" spans="2:8" x14ac:dyDescent="0.2">
      <c r="B52" s="42" t="s">
        <v>24</v>
      </c>
      <c r="C52" s="27" t="s">
        <v>25</v>
      </c>
      <c r="D52" s="43">
        <v>6</v>
      </c>
      <c r="E52" s="66">
        <v>200</v>
      </c>
      <c r="F52" s="29" t="s">
        <v>4</v>
      </c>
      <c r="G52" s="328">
        <f t="shared" si="3"/>
        <v>4.3379999999999992</v>
      </c>
      <c r="H52" s="111">
        <v>433.7999999999999</v>
      </c>
    </row>
    <row r="53" spans="2:8" x14ac:dyDescent="0.2">
      <c r="B53" s="32"/>
      <c r="C53" s="32"/>
      <c r="D53" s="32"/>
      <c r="E53" s="35"/>
      <c r="F53" s="32"/>
      <c r="H53" s="32"/>
    </row>
    <row r="54" spans="2:8" x14ac:dyDescent="0.2">
      <c r="B54" s="46" t="s">
        <v>23</v>
      </c>
      <c r="C54" s="215"/>
      <c r="D54" s="216"/>
      <c r="E54" s="217"/>
      <c r="F54" s="49"/>
      <c r="G54" s="49"/>
      <c r="H54" s="41"/>
    </row>
    <row r="55" spans="2:8" x14ac:dyDescent="0.2">
      <c r="B55" s="84" t="s">
        <v>23</v>
      </c>
      <c r="C55" s="85" t="s">
        <v>19</v>
      </c>
      <c r="D55" s="263">
        <v>4</v>
      </c>
      <c r="E55" s="107">
        <v>200</v>
      </c>
      <c r="F55" s="86" t="s">
        <v>4</v>
      </c>
      <c r="G55" s="328">
        <f>(H55/100)</f>
        <v>2.0061457627118648</v>
      </c>
      <c r="H55" s="112">
        <v>200.61457627118648</v>
      </c>
    </row>
    <row r="56" spans="2:8" x14ac:dyDescent="0.2">
      <c r="B56" s="26" t="s">
        <v>23</v>
      </c>
      <c r="C56" s="27" t="s">
        <v>19</v>
      </c>
      <c r="D56" s="30">
        <v>5</v>
      </c>
      <c r="E56" s="71">
        <v>200</v>
      </c>
      <c r="F56" s="29" t="s">
        <v>4</v>
      </c>
      <c r="G56" s="328">
        <f t="shared" ref="G56:G61" si="4">(H56/100)</f>
        <v>2.4776644067796614</v>
      </c>
      <c r="H56" s="111">
        <v>247.76644067796613</v>
      </c>
    </row>
    <row r="57" spans="2:8" x14ac:dyDescent="0.2">
      <c r="B57" s="26" t="s">
        <v>23</v>
      </c>
      <c r="C57" s="27" t="s">
        <v>19</v>
      </c>
      <c r="D57" s="30">
        <v>6</v>
      </c>
      <c r="E57" s="71">
        <v>200</v>
      </c>
      <c r="F57" s="29" t="s">
        <v>4</v>
      </c>
      <c r="G57" s="328">
        <f t="shared" si="4"/>
        <v>2.5992488135593224</v>
      </c>
      <c r="H57" s="111">
        <v>259.92488135593226</v>
      </c>
    </row>
    <row r="58" spans="2:8" x14ac:dyDescent="0.2">
      <c r="B58" s="26" t="s">
        <v>23</v>
      </c>
      <c r="C58" s="27" t="s">
        <v>19</v>
      </c>
      <c r="D58" s="30">
        <v>7</v>
      </c>
      <c r="E58" s="71">
        <v>200</v>
      </c>
      <c r="F58" s="29" t="s">
        <v>4</v>
      </c>
      <c r="G58" s="328">
        <f t="shared" si="4"/>
        <v>3.1206050847457623</v>
      </c>
      <c r="H58" s="111">
        <v>312.06050847457624</v>
      </c>
    </row>
    <row r="59" spans="2:8" x14ac:dyDescent="0.2">
      <c r="B59" s="26" t="s">
        <v>23</v>
      </c>
      <c r="C59" s="27" t="s">
        <v>19</v>
      </c>
      <c r="D59" s="30">
        <v>8</v>
      </c>
      <c r="E59" s="71">
        <v>200</v>
      </c>
      <c r="F59" s="29" t="s">
        <v>4</v>
      </c>
      <c r="G59" s="328">
        <f t="shared" si="4"/>
        <v>5.1452745762711869</v>
      </c>
      <c r="H59" s="111">
        <v>514.52745762711868</v>
      </c>
    </row>
    <row r="60" spans="2:8" x14ac:dyDescent="0.2">
      <c r="B60" s="26" t="s">
        <v>23</v>
      </c>
      <c r="C60" s="27" t="s">
        <v>19</v>
      </c>
      <c r="D60" s="30">
        <v>9</v>
      </c>
      <c r="E60" s="71">
        <v>200</v>
      </c>
      <c r="F60" s="29" t="s">
        <v>4</v>
      </c>
      <c r="G60" s="328">
        <f t="shared" si="4"/>
        <v>6.076296610169492</v>
      </c>
      <c r="H60" s="111">
        <v>607.62966101694917</v>
      </c>
    </row>
    <row r="61" spans="2:8" x14ac:dyDescent="0.2">
      <c r="B61" s="26" t="s">
        <v>23</v>
      </c>
      <c r="C61" s="27" t="s">
        <v>19</v>
      </c>
      <c r="D61" s="30">
        <v>10</v>
      </c>
      <c r="E61" s="71">
        <v>200</v>
      </c>
      <c r="F61" s="29" t="s">
        <v>4</v>
      </c>
      <c r="G61" s="328">
        <f t="shared" si="4"/>
        <v>6.8358508474576274</v>
      </c>
      <c r="H61" s="111">
        <v>683.58508474576274</v>
      </c>
    </row>
    <row r="62" spans="2:8" x14ac:dyDescent="0.2">
      <c r="B62" s="32"/>
      <c r="C62" s="32"/>
      <c r="D62" s="32"/>
      <c r="E62" s="35"/>
      <c r="F62" s="32"/>
      <c r="H62" s="32"/>
    </row>
    <row r="63" spans="2:8" x14ac:dyDescent="0.2">
      <c r="B63" s="46" t="s">
        <v>37</v>
      </c>
      <c r="C63" s="47"/>
      <c r="D63" s="48"/>
      <c r="E63" s="64"/>
      <c r="F63" s="49"/>
      <c r="G63" s="49"/>
      <c r="H63" s="41"/>
    </row>
    <row r="64" spans="2:8" x14ac:dyDescent="0.2">
      <c r="B64" s="84" t="s">
        <v>37</v>
      </c>
      <c r="C64" s="85" t="s">
        <v>19</v>
      </c>
      <c r="D64" s="263">
        <v>4</v>
      </c>
      <c r="E64" s="107">
        <v>200</v>
      </c>
      <c r="F64" s="271" t="s">
        <v>4</v>
      </c>
      <c r="G64" s="328">
        <f>(H64/100)</f>
        <v>2.077909505084746</v>
      </c>
      <c r="H64" s="112">
        <v>207.79095050847459</v>
      </c>
    </row>
    <row r="65" spans="1:8" x14ac:dyDescent="0.2">
      <c r="B65" s="26" t="s">
        <v>37</v>
      </c>
      <c r="C65" s="27" t="s">
        <v>19</v>
      </c>
      <c r="D65" s="30">
        <v>5</v>
      </c>
      <c r="E65" s="71">
        <v>200</v>
      </c>
      <c r="F65" s="29" t="s">
        <v>4</v>
      </c>
      <c r="G65" s="328">
        <f t="shared" ref="G65:G70" si="5">(H65/100)</f>
        <v>2.6058467796610176</v>
      </c>
      <c r="H65" s="111">
        <v>260.58467796610176</v>
      </c>
    </row>
    <row r="66" spans="1:8" x14ac:dyDescent="0.2">
      <c r="B66" s="26" t="s">
        <v>37</v>
      </c>
      <c r="C66" s="27" t="s">
        <v>19</v>
      </c>
      <c r="D66" s="30">
        <v>6</v>
      </c>
      <c r="E66" s="71">
        <v>200</v>
      </c>
      <c r="F66" s="29" t="s">
        <v>4</v>
      </c>
      <c r="G66" s="328">
        <f t="shared" si="5"/>
        <v>2.8881510508474575</v>
      </c>
      <c r="H66" s="111">
        <v>288.81510508474577</v>
      </c>
    </row>
    <row r="67" spans="1:8" x14ac:dyDescent="0.2">
      <c r="B67" s="26" t="s">
        <v>37</v>
      </c>
      <c r="C67" s="27" t="s">
        <v>19</v>
      </c>
      <c r="D67" s="30">
        <v>7</v>
      </c>
      <c r="E67" s="71">
        <v>200</v>
      </c>
      <c r="F67" s="29" t="s">
        <v>4</v>
      </c>
      <c r="G67" s="328">
        <f t="shared" si="5"/>
        <v>3.3212489491525434</v>
      </c>
      <c r="H67" s="111">
        <v>332.12489491525434</v>
      </c>
    </row>
    <row r="68" spans="1:8" x14ac:dyDescent="0.2">
      <c r="B68" s="26" t="s">
        <v>37</v>
      </c>
      <c r="C68" s="27" t="s">
        <v>19</v>
      </c>
      <c r="D68" s="30">
        <v>8</v>
      </c>
      <c r="E68" s="71">
        <v>200</v>
      </c>
      <c r="F68" s="29" t="s">
        <v>4</v>
      </c>
      <c r="G68" s="328">
        <f t="shared" si="5"/>
        <v>5.4712854915254248</v>
      </c>
      <c r="H68" s="111">
        <v>547.12854915254252</v>
      </c>
    </row>
    <row r="69" spans="1:8" x14ac:dyDescent="0.2">
      <c r="B69" s="26" t="s">
        <v>37</v>
      </c>
      <c r="C69" s="27" t="s">
        <v>19</v>
      </c>
      <c r="D69" s="30">
        <v>9</v>
      </c>
      <c r="E69" s="71">
        <v>200</v>
      </c>
      <c r="F69" s="29" t="s">
        <v>4</v>
      </c>
      <c r="G69" s="328">
        <f t="shared" si="5"/>
        <v>6.5619945762711858</v>
      </c>
      <c r="H69" s="111">
        <v>656.19945762711859</v>
      </c>
    </row>
    <row r="70" spans="1:8" x14ac:dyDescent="0.2">
      <c r="B70" s="26" t="s">
        <v>37</v>
      </c>
      <c r="C70" s="27" t="s">
        <v>19</v>
      </c>
      <c r="D70" s="30">
        <v>10</v>
      </c>
      <c r="E70" s="71">
        <v>200</v>
      </c>
      <c r="F70" s="29" t="s">
        <v>4</v>
      </c>
      <c r="G70" s="328">
        <f t="shared" si="5"/>
        <v>7.6943186440677973</v>
      </c>
      <c r="H70" s="111">
        <v>769.43186440677971</v>
      </c>
    </row>
    <row r="71" spans="1:8" x14ac:dyDescent="0.2">
      <c r="A71" s="8"/>
      <c r="B71" s="53"/>
      <c r="C71" s="51"/>
      <c r="D71" s="52"/>
      <c r="E71" s="106"/>
      <c r="F71" s="33"/>
      <c r="H71" s="122"/>
    </row>
    <row r="72" spans="1:8" x14ac:dyDescent="0.2">
      <c r="B72" s="46" t="s">
        <v>106</v>
      </c>
      <c r="C72" s="47"/>
      <c r="D72" s="48"/>
      <c r="E72" s="64"/>
      <c r="F72" s="49"/>
      <c r="G72" s="49"/>
      <c r="H72" s="41"/>
    </row>
    <row r="73" spans="1:8" x14ac:dyDescent="0.2">
      <c r="B73" s="84" t="s">
        <v>106</v>
      </c>
      <c r="C73" s="85" t="s">
        <v>19</v>
      </c>
      <c r="D73" s="78">
        <v>5</v>
      </c>
      <c r="E73" s="107">
        <v>200</v>
      </c>
      <c r="F73" s="86" t="s">
        <v>4</v>
      </c>
      <c r="G73" s="328">
        <f>(H73/100)</f>
        <v>3.5825555555555559</v>
      </c>
      <c r="H73" s="112">
        <v>358.25555555555559</v>
      </c>
    </row>
    <row r="74" spans="1:8" x14ac:dyDescent="0.2">
      <c r="B74" s="26" t="s">
        <v>106</v>
      </c>
      <c r="C74" s="27" t="s">
        <v>19</v>
      </c>
      <c r="D74" s="30">
        <v>6</v>
      </c>
      <c r="E74" s="71">
        <v>200</v>
      </c>
      <c r="F74" s="29" t="s">
        <v>4</v>
      </c>
      <c r="G74" s="328">
        <f t="shared" ref="G74:G78" si="6">(H74/100)</f>
        <v>3.9381222222222214</v>
      </c>
      <c r="H74" s="111">
        <v>393.81222222222215</v>
      </c>
    </row>
    <row r="75" spans="1:8" x14ac:dyDescent="0.2">
      <c r="B75" s="26" t="s">
        <v>106</v>
      </c>
      <c r="C75" s="27" t="s">
        <v>19</v>
      </c>
      <c r="D75" s="30">
        <v>7</v>
      </c>
      <c r="E75" s="71">
        <v>200</v>
      </c>
      <c r="F75" s="29" t="s">
        <v>4</v>
      </c>
      <c r="G75" s="328">
        <f t="shared" si="6"/>
        <v>4.3645576271186437</v>
      </c>
      <c r="H75" s="111">
        <v>436.45576271186439</v>
      </c>
    </row>
    <row r="76" spans="1:8" x14ac:dyDescent="0.2">
      <c r="B76" s="26" t="s">
        <v>106</v>
      </c>
      <c r="C76" s="27" t="s">
        <v>19</v>
      </c>
      <c r="D76" s="30">
        <v>8</v>
      </c>
      <c r="E76" s="71">
        <v>200</v>
      </c>
      <c r="F76" s="29" t="s">
        <v>4</v>
      </c>
      <c r="G76" s="328">
        <f t="shared" si="6"/>
        <v>6.8342186440677981</v>
      </c>
      <c r="H76" s="111">
        <v>683.42186440677983</v>
      </c>
    </row>
    <row r="77" spans="1:8" x14ac:dyDescent="0.2">
      <c r="B77" s="26" t="s">
        <v>106</v>
      </c>
      <c r="C77" s="27" t="s">
        <v>19</v>
      </c>
      <c r="D77" s="30">
        <v>9</v>
      </c>
      <c r="E77" s="71">
        <v>200</v>
      </c>
      <c r="F77" s="29" t="s">
        <v>4</v>
      </c>
      <c r="G77" s="328">
        <f t="shared" si="6"/>
        <v>8.2826313559322031</v>
      </c>
      <c r="H77" s="111">
        <v>828.26313559322034</v>
      </c>
    </row>
    <row r="78" spans="1:8" x14ac:dyDescent="0.2">
      <c r="B78" s="26" t="s">
        <v>106</v>
      </c>
      <c r="C78" s="27" t="s">
        <v>19</v>
      </c>
      <c r="D78" s="30">
        <v>10</v>
      </c>
      <c r="E78" s="71">
        <v>200</v>
      </c>
      <c r="F78" s="29" t="s">
        <v>4</v>
      </c>
      <c r="G78" s="328">
        <f t="shared" si="6"/>
        <v>10.011335593220339</v>
      </c>
      <c r="H78" s="111">
        <v>1001.133559322034</v>
      </c>
    </row>
    <row r="79" spans="1:8" x14ac:dyDescent="0.2">
      <c r="A79" s="8"/>
      <c r="B79" s="53"/>
      <c r="C79" s="51"/>
      <c r="D79" s="52"/>
      <c r="E79" s="106"/>
      <c r="F79" s="33"/>
      <c r="H79" s="122"/>
    </row>
    <row r="80" spans="1:8" x14ac:dyDescent="0.2">
      <c r="A80" s="167"/>
      <c r="B80" s="46" t="s">
        <v>187</v>
      </c>
      <c r="C80" s="37" t="s">
        <v>171</v>
      </c>
      <c r="D80" s="38"/>
      <c r="E80" s="59"/>
      <c r="F80" s="40"/>
      <c r="G80" s="40"/>
      <c r="H80" s="243"/>
    </row>
    <row r="81" spans="1:8" x14ac:dyDescent="0.2">
      <c r="A81" s="167"/>
      <c r="B81" s="84" t="s">
        <v>186</v>
      </c>
      <c r="C81" s="264" t="s">
        <v>114</v>
      </c>
      <c r="D81" s="78">
        <v>5</v>
      </c>
      <c r="E81" s="107">
        <v>200</v>
      </c>
      <c r="F81" s="86" t="s">
        <v>4</v>
      </c>
      <c r="G81" s="328">
        <f>(H81/100)</f>
        <v>5.1288173076923078</v>
      </c>
      <c r="H81" s="112">
        <v>512.88173076923078</v>
      </c>
    </row>
    <row r="82" spans="1:8" x14ac:dyDescent="0.2">
      <c r="A82" s="167"/>
      <c r="B82" s="84" t="s">
        <v>186</v>
      </c>
      <c r="C82" s="264" t="s">
        <v>114</v>
      </c>
      <c r="D82" s="78">
        <v>6</v>
      </c>
      <c r="E82" s="107">
        <v>200</v>
      </c>
      <c r="F82" s="86" t="s">
        <v>4</v>
      </c>
      <c r="G82" s="328">
        <f>(H82/100)</f>
        <v>9.6340961538461531</v>
      </c>
      <c r="H82" s="112">
        <v>963.40961538461534</v>
      </c>
    </row>
    <row r="83" spans="1:8" x14ac:dyDescent="0.2">
      <c r="B83" s="32"/>
      <c r="C83" s="32"/>
      <c r="D83" s="32"/>
      <c r="E83" s="35"/>
      <c r="F83" s="32"/>
      <c r="H83" s="115"/>
    </row>
    <row r="84" spans="1:8" x14ac:dyDescent="0.2">
      <c r="B84" s="36" t="s">
        <v>28</v>
      </c>
      <c r="C84" s="57"/>
      <c r="D84" s="58"/>
      <c r="E84" s="59"/>
      <c r="F84" s="59"/>
      <c r="G84" s="59"/>
      <c r="H84" s="41"/>
    </row>
    <row r="85" spans="1:8" x14ac:dyDescent="0.2">
      <c r="B85" s="76" t="s">
        <v>28</v>
      </c>
      <c r="C85" s="85" t="s">
        <v>16</v>
      </c>
      <c r="D85" s="78">
        <v>1.6</v>
      </c>
      <c r="E85" s="107" t="s">
        <v>5</v>
      </c>
      <c r="F85" s="79" t="s">
        <v>4</v>
      </c>
      <c r="G85" s="328">
        <f>(H85/100)</f>
        <v>0.20081111111111111</v>
      </c>
      <c r="H85" s="112">
        <v>20.08111111111111</v>
      </c>
    </row>
    <row r="86" spans="1:8" x14ac:dyDescent="0.2">
      <c r="B86" s="42" t="s">
        <v>28</v>
      </c>
      <c r="C86" s="27" t="s">
        <v>16</v>
      </c>
      <c r="D86" s="30">
        <v>2</v>
      </c>
      <c r="E86" s="71" t="s">
        <v>5</v>
      </c>
      <c r="F86" s="60" t="s">
        <v>4</v>
      </c>
      <c r="G86" s="328">
        <f t="shared" ref="G86:G92" si="7">(H86/100)</f>
        <v>0.23969898305084741</v>
      </c>
      <c r="H86" s="111">
        <v>23.96989830508474</v>
      </c>
    </row>
    <row r="87" spans="1:8" x14ac:dyDescent="0.2">
      <c r="B87" s="42" t="s">
        <v>28</v>
      </c>
      <c r="C87" s="27" t="s">
        <v>16</v>
      </c>
      <c r="D87" s="30">
        <v>2.5</v>
      </c>
      <c r="E87" s="71" t="s">
        <v>5</v>
      </c>
      <c r="F87" s="60" t="s">
        <v>4</v>
      </c>
      <c r="G87" s="328">
        <f t="shared" si="7"/>
        <v>0.32530576271186434</v>
      </c>
      <c r="H87" s="111">
        <v>32.530576271186433</v>
      </c>
    </row>
    <row r="88" spans="1:8" x14ac:dyDescent="0.2">
      <c r="B88" s="42" t="s">
        <v>28</v>
      </c>
      <c r="C88" s="27" t="s">
        <v>16</v>
      </c>
      <c r="D88" s="30">
        <v>3</v>
      </c>
      <c r="E88" s="71" t="s">
        <v>5</v>
      </c>
      <c r="F88" s="60" t="s">
        <v>4</v>
      </c>
      <c r="G88" s="328">
        <f t="shared" si="7"/>
        <v>0.76591525423728812</v>
      </c>
      <c r="H88" s="111">
        <v>76.591525423728811</v>
      </c>
    </row>
    <row r="89" spans="1:8" x14ac:dyDescent="0.2">
      <c r="B89" s="42" t="s">
        <v>28</v>
      </c>
      <c r="C89" s="27" t="s">
        <v>16</v>
      </c>
      <c r="D89" s="30">
        <v>4</v>
      </c>
      <c r="E89" s="71">
        <v>200</v>
      </c>
      <c r="F89" s="60" t="s">
        <v>4</v>
      </c>
      <c r="G89" s="328">
        <f t="shared" si="7"/>
        <v>1.5100965517241378</v>
      </c>
      <c r="H89" s="111">
        <v>151.00965517241377</v>
      </c>
    </row>
    <row r="90" spans="1:8" x14ac:dyDescent="0.2">
      <c r="B90" s="42" t="s">
        <v>28</v>
      </c>
      <c r="C90" s="27" t="s">
        <v>16</v>
      </c>
      <c r="D90" s="30">
        <v>5</v>
      </c>
      <c r="E90" s="71">
        <v>200</v>
      </c>
      <c r="F90" s="60" t="s">
        <v>4</v>
      </c>
      <c r="G90" s="328">
        <f t="shared" si="7"/>
        <v>1.7839241379310347</v>
      </c>
      <c r="H90" s="111">
        <v>178.39241379310346</v>
      </c>
    </row>
    <row r="91" spans="1:8" x14ac:dyDescent="0.2">
      <c r="B91" s="42" t="s">
        <v>28</v>
      </c>
      <c r="C91" s="27" t="s">
        <v>16</v>
      </c>
      <c r="D91" s="30">
        <v>6</v>
      </c>
      <c r="E91" s="66">
        <v>200</v>
      </c>
      <c r="F91" s="60" t="s">
        <v>4</v>
      </c>
      <c r="G91" s="328">
        <f t="shared" si="7"/>
        <v>2.5286896551724136</v>
      </c>
      <c r="H91" s="111">
        <v>252.86896551724135</v>
      </c>
    </row>
    <row r="92" spans="1:8" x14ac:dyDescent="0.2">
      <c r="B92" s="42" t="s">
        <v>28</v>
      </c>
      <c r="C92" s="27" t="s">
        <v>16</v>
      </c>
      <c r="D92" s="30">
        <v>8</v>
      </c>
      <c r="E92" s="66">
        <v>200</v>
      </c>
      <c r="F92" s="60" t="s">
        <v>4</v>
      </c>
      <c r="G92" s="328">
        <f t="shared" si="7"/>
        <v>4.4116271186440681</v>
      </c>
      <c r="H92" s="111">
        <v>441.16271186440679</v>
      </c>
    </row>
    <row r="93" spans="1:8" x14ac:dyDescent="0.2">
      <c r="B93" s="32"/>
      <c r="C93" s="32"/>
      <c r="D93" s="32"/>
      <c r="E93" s="35"/>
      <c r="F93" s="32"/>
      <c r="H93" s="115"/>
    </row>
    <row r="94" spans="1:8" x14ac:dyDescent="0.2">
      <c r="B94" s="36" t="s">
        <v>313</v>
      </c>
      <c r="C94" s="57"/>
      <c r="D94" s="58"/>
      <c r="E94" s="59"/>
      <c r="F94" s="59"/>
      <c r="G94" s="59"/>
      <c r="H94" s="41"/>
    </row>
    <row r="95" spans="1:8" x14ac:dyDescent="0.2">
      <c r="B95" s="42" t="s">
        <v>312</v>
      </c>
      <c r="C95" s="27" t="s">
        <v>16</v>
      </c>
      <c r="D95" s="30">
        <v>3</v>
      </c>
      <c r="E95" s="71" t="s">
        <v>5</v>
      </c>
      <c r="F95" s="60" t="s">
        <v>4</v>
      </c>
      <c r="G95" s="328">
        <f>(H95/100)</f>
        <v>0.82826803874092003</v>
      </c>
      <c r="H95" s="111">
        <v>82.826803874092008</v>
      </c>
    </row>
    <row r="96" spans="1:8" x14ac:dyDescent="0.2">
      <c r="B96" s="42" t="s">
        <v>312</v>
      </c>
      <c r="C96" s="27" t="s">
        <v>16</v>
      </c>
      <c r="D96" s="30">
        <v>4</v>
      </c>
      <c r="E96" s="71">
        <v>200</v>
      </c>
      <c r="F96" s="60" t="s">
        <v>4</v>
      </c>
      <c r="G96" s="328">
        <f t="shared" ref="G96:G98" si="8">(H96/100)</f>
        <v>1.6443474088669949</v>
      </c>
      <c r="H96" s="111">
        <v>164.4347408866995</v>
      </c>
    </row>
    <row r="97" spans="1:8" x14ac:dyDescent="0.2">
      <c r="B97" s="42" t="s">
        <v>312</v>
      </c>
      <c r="C97" s="27" t="s">
        <v>16</v>
      </c>
      <c r="D97" s="30">
        <v>5</v>
      </c>
      <c r="E97" s="71">
        <v>200</v>
      </c>
      <c r="F97" s="60" t="s">
        <v>4</v>
      </c>
      <c r="G97" s="328">
        <f t="shared" si="8"/>
        <v>1.9498529556650246</v>
      </c>
      <c r="H97" s="111">
        <v>194.98529556650246</v>
      </c>
    </row>
    <row r="98" spans="1:8" x14ac:dyDescent="0.2">
      <c r="B98" s="42" t="s">
        <v>312</v>
      </c>
      <c r="C98" s="27" t="s">
        <v>16</v>
      </c>
      <c r="D98" s="30">
        <v>6</v>
      </c>
      <c r="E98" s="66">
        <v>200</v>
      </c>
      <c r="F98" s="60" t="s">
        <v>4</v>
      </c>
      <c r="G98" s="328">
        <f t="shared" si="8"/>
        <v>2.7676108374384234</v>
      </c>
      <c r="H98" s="111">
        <v>276.76108374384233</v>
      </c>
    </row>
    <row r="99" spans="1:8" x14ac:dyDescent="0.2">
      <c r="A99" s="8"/>
      <c r="B99" s="56"/>
      <c r="C99" s="51"/>
      <c r="D99" s="52"/>
      <c r="E99" s="109"/>
      <c r="F99" s="94"/>
      <c r="H99" s="122"/>
    </row>
    <row r="100" spans="1:8" x14ac:dyDescent="0.2">
      <c r="B100" s="36" t="s">
        <v>275</v>
      </c>
      <c r="C100" s="57"/>
      <c r="D100" s="58"/>
      <c r="E100" s="59"/>
      <c r="F100" s="59"/>
      <c r="G100" s="59"/>
      <c r="H100" s="41"/>
    </row>
    <row r="101" spans="1:8" x14ac:dyDescent="0.2">
      <c r="A101" s="104"/>
      <c r="B101" s="42" t="s">
        <v>275</v>
      </c>
      <c r="C101" s="27" t="s">
        <v>16</v>
      </c>
      <c r="D101" s="30">
        <v>2</v>
      </c>
      <c r="E101" s="71">
        <v>35</v>
      </c>
      <c r="F101" s="60" t="s">
        <v>4</v>
      </c>
      <c r="G101" s="328">
        <f>(H101/100)</f>
        <v>9.2116677966101679E-2</v>
      </c>
      <c r="H101" s="111">
        <v>9.2116677966101683</v>
      </c>
    </row>
    <row r="102" spans="1:8" x14ac:dyDescent="0.2">
      <c r="A102" s="104"/>
      <c r="B102" s="42" t="s">
        <v>275</v>
      </c>
      <c r="C102" s="27" t="s">
        <v>16</v>
      </c>
      <c r="D102" s="30">
        <v>3</v>
      </c>
      <c r="E102" s="71">
        <v>20</v>
      </c>
      <c r="F102" s="60" t="s">
        <v>4</v>
      </c>
      <c r="G102" s="328">
        <f t="shared" ref="G102:G103" si="9">(H102/100)</f>
        <v>0.16576779661016949</v>
      </c>
      <c r="H102" s="111">
        <v>16.57677966101695</v>
      </c>
    </row>
    <row r="103" spans="1:8" x14ac:dyDescent="0.2">
      <c r="A103" s="104"/>
      <c r="B103" s="42" t="s">
        <v>275</v>
      </c>
      <c r="C103" s="27" t="s">
        <v>16</v>
      </c>
      <c r="D103" s="30">
        <v>4</v>
      </c>
      <c r="E103" s="71">
        <v>20</v>
      </c>
      <c r="F103" s="60" t="s">
        <v>4</v>
      </c>
      <c r="G103" s="328">
        <f t="shared" si="9"/>
        <v>0.32625724137931028</v>
      </c>
      <c r="H103" s="111">
        <v>32.62572413793103</v>
      </c>
    </row>
    <row r="104" spans="1:8" x14ac:dyDescent="0.2">
      <c r="A104" s="104"/>
      <c r="B104" s="45"/>
      <c r="C104" s="293"/>
      <c r="D104" s="294"/>
      <c r="E104" s="295"/>
      <c r="F104" s="295"/>
      <c r="H104" s="296"/>
    </row>
    <row r="105" spans="1:8" x14ac:dyDescent="0.2">
      <c r="B105" s="36" t="s">
        <v>273</v>
      </c>
      <c r="C105" s="37" t="s">
        <v>279</v>
      </c>
      <c r="D105" s="38"/>
      <c r="E105" s="59"/>
      <c r="F105" s="59"/>
      <c r="G105" s="59"/>
      <c r="H105" s="277"/>
    </row>
    <row r="106" spans="1:8" x14ac:dyDescent="0.2">
      <c r="A106" s="104"/>
      <c r="B106" s="76" t="s">
        <v>273</v>
      </c>
      <c r="C106" s="136" t="s">
        <v>253</v>
      </c>
      <c r="D106" s="78">
        <v>6</v>
      </c>
      <c r="E106" s="107">
        <v>200</v>
      </c>
      <c r="F106" s="107" t="s">
        <v>4</v>
      </c>
      <c r="G106" s="328">
        <f>(H106/100)</f>
        <v>1.9226200000000007</v>
      </c>
      <c r="H106" s="112">
        <v>192.26200000000006</v>
      </c>
    </row>
    <row r="107" spans="1:8" x14ac:dyDescent="0.2">
      <c r="A107" s="104"/>
      <c r="B107" s="76" t="s">
        <v>273</v>
      </c>
      <c r="C107" s="136" t="s">
        <v>253</v>
      </c>
      <c r="D107" s="78">
        <v>7</v>
      </c>
      <c r="E107" s="107">
        <v>200</v>
      </c>
      <c r="F107" s="107" t="s">
        <v>4</v>
      </c>
      <c r="G107" s="328">
        <f t="shared" ref="G107:G109" si="10">(H107/100)</f>
        <v>2.3503622727272728</v>
      </c>
      <c r="H107" s="112">
        <v>235.03622727272727</v>
      </c>
    </row>
    <row r="108" spans="1:8" x14ac:dyDescent="0.2">
      <c r="A108" s="104"/>
      <c r="B108" s="42" t="s">
        <v>273</v>
      </c>
      <c r="C108" s="132" t="s">
        <v>253</v>
      </c>
      <c r="D108" s="30">
        <v>8</v>
      </c>
      <c r="E108" s="71">
        <v>200</v>
      </c>
      <c r="F108" s="71" t="s">
        <v>4</v>
      </c>
      <c r="G108" s="328">
        <f t="shared" si="10"/>
        <v>3.2685447619047618</v>
      </c>
      <c r="H108" s="111">
        <v>326.85447619047619</v>
      </c>
    </row>
    <row r="109" spans="1:8" x14ac:dyDescent="0.2">
      <c r="A109" s="104"/>
      <c r="B109" s="42" t="s">
        <v>273</v>
      </c>
      <c r="C109" s="132" t="s">
        <v>253</v>
      </c>
      <c r="D109" s="30">
        <v>10</v>
      </c>
      <c r="E109" s="71">
        <v>200</v>
      </c>
      <c r="F109" s="71" t="s">
        <v>4</v>
      </c>
      <c r="G109" s="328">
        <f t="shared" si="10"/>
        <v>4.4871189230769248</v>
      </c>
      <c r="H109" s="111">
        <v>448.71189230769249</v>
      </c>
    </row>
    <row r="110" spans="1:8" x14ac:dyDescent="0.2">
      <c r="B110" s="32"/>
      <c r="C110" s="32"/>
      <c r="D110" s="32"/>
      <c r="E110" s="35"/>
      <c r="F110" s="32"/>
      <c r="H110" s="32"/>
    </row>
    <row r="111" spans="1:8" x14ac:dyDescent="0.2">
      <c r="B111" s="46" t="s">
        <v>280</v>
      </c>
      <c r="C111" s="37"/>
      <c r="D111" s="216"/>
      <c r="E111" s="217"/>
      <c r="F111" s="49"/>
      <c r="G111" s="49"/>
      <c r="H111" s="41"/>
    </row>
    <row r="112" spans="1:8" x14ac:dyDescent="0.2">
      <c r="B112" s="26" t="s">
        <v>280</v>
      </c>
      <c r="C112" s="27" t="s">
        <v>19</v>
      </c>
      <c r="D112" s="30">
        <v>6</v>
      </c>
      <c r="E112" s="71">
        <v>200</v>
      </c>
      <c r="F112" s="29" t="s">
        <v>4</v>
      </c>
      <c r="G112" s="329">
        <f>(H112/100)</f>
        <v>2.57</v>
      </c>
      <c r="H112" s="111">
        <v>257</v>
      </c>
    </row>
    <row r="113" spans="1:8" x14ac:dyDescent="0.2">
      <c r="A113" s="8"/>
      <c r="B113" s="56"/>
      <c r="C113" s="51"/>
      <c r="D113" s="55"/>
      <c r="E113" s="109"/>
      <c r="F113" s="33"/>
      <c r="H113" s="122"/>
    </row>
    <row r="114" spans="1:8" x14ac:dyDescent="0.2">
      <c r="B114" s="46" t="s">
        <v>45</v>
      </c>
      <c r="C114" s="88"/>
      <c r="D114" s="89"/>
      <c r="E114" s="90"/>
      <c r="F114" s="90"/>
      <c r="G114" s="330"/>
      <c r="H114" s="91"/>
    </row>
    <row r="115" spans="1:8" x14ac:dyDescent="0.2">
      <c r="B115" s="84" t="s">
        <v>45</v>
      </c>
      <c r="C115" s="136" t="s">
        <v>254</v>
      </c>
      <c r="D115" s="87">
        <v>4</v>
      </c>
      <c r="E115" s="107">
        <v>200</v>
      </c>
      <c r="F115" s="79" t="s">
        <v>4</v>
      </c>
      <c r="G115" s="328">
        <f>(H115/100)</f>
        <v>1.1206681967213117</v>
      </c>
      <c r="H115" s="112">
        <v>112.06681967213117</v>
      </c>
    </row>
    <row r="116" spans="1:8" x14ac:dyDescent="0.2">
      <c r="B116" s="84" t="s">
        <v>45</v>
      </c>
      <c r="C116" s="136" t="s">
        <v>254</v>
      </c>
      <c r="D116" s="87">
        <v>5</v>
      </c>
      <c r="E116" s="107">
        <v>200</v>
      </c>
      <c r="F116" s="79" t="s">
        <v>4</v>
      </c>
      <c r="G116" s="328">
        <f t="shared" ref="G116:G121" si="11">(H116/100)</f>
        <v>1.8723529411764703</v>
      </c>
      <c r="H116" s="111">
        <v>187.23529411764704</v>
      </c>
    </row>
    <row r="117" spans="1:8" x14ac:dyDescent="0.2">
      <c r="B117" s="84" t="s">
        <v>45</v>
      </c>
      <c r="C117" s="136" t="s">
        <v>254</v>
      </c>
      <c r="D117" s="87">
        <v>6</v>
      </c>
      <c r="E117" s="107">
        <v>200</v>
      </c>
      <c r="F117" s="79" t="s">
        <v>4</v>
      </c>
      <c r="G117" s="328">
        <f t="shared" si="11"/>
        <v>2.5964847457627123</v>
      </c>
      <c r="H117" s="111">
        <v>259.64847457627121</v>
      </c>
    </row>
    <row r="118" spans="1:8" x14ac:dyDescent="0.2">
      <c r="B118" s="84" t="s">
        <v>45</v>
      </c>
      <c r="C118" s="136" t="s">
        <v>254</v>
      </c>
      <c r="D118" s="87">
        <v>7</v>
      </c>
      <c r="E118" s="107">
        <v>200</v>
      </c>
      <c r="F118" s="79" t="s">
        <v>4</v>
      </c>
      <c r="G118" s="328">
        <f t="shared" si="11"/>
        <v>2.9920429687500003</v>
      </c>
      <c r="H118" s="111">
        <v>299.20429687500001</v>
      </c>
    </row>
    <row r="119" spans="1:8" x14ac:dyDescent="0.2">
      <c r="B119" s="84" t="s">
        <v>45</v>
      </c>
      <c r="C119" s="136" t="s">
        <v>254</v>
      </c>
      <c r="D119" s="31">
        <v>8</v>
      </c>
      <c r="E119" s="71">
        <v>200</v>
      </c>
      <c r="F119" s="60" t="s">
        <v>4</v>
      </c>
      <c r="G119" s="328">
        <f t="shared" si="11"/>
        <v>3.3332608695652182</v>
      </c>
      <c r="H119" s="111">
        <v>333.32608695652181</v>
      </c>
    </row>
    <row r="120" spans="1:8" x14ac:dyDescent="0.2">
      <c r="B120" s="84" t="s">
        <v>45</v>
      </c>
      <c r="C120" s="136" t="s">
        <v>254</v>
      </c>
      <c r="D120" s="31">
        <v>9</v>
      </c>
      <c r="E120" s="71">
        <v>200</v>
      </c>
      <c r="F120" s="60" t="s">
        <v>4</v>
      </c>
      <c r="G120" s="328">
        <f t="shared" si="11"/>
        <v>3.6872833846153852</v>
      </c>
      <c r="H120" s="111">
        <v>368.7283384615385</v>
      </c>
    </row>
    <row r="121" spans="1:8" x14ac:dyDescent="0.2">
      <c r="B121" s="84" t="s">
        <v>45</v>
      </c>
      <c r="C121" s="136" t="s">
        <v>254</v>
      </c>
      <c r="D121" s="31">
        <v>10</v>
      </c>
      <c r="E121" s="71">
        <v>200</v>
      </c>
      <c r="F121" s="60" t="s">
        <v>4</v>
      </c>
      <c r="G121" s="328">
        <f t="shared" si="11"/>
        <v>5.4067826086956527</v>
      </c>
      <c r="H121" s="111">
        <v>540.67826086956529</v>
      </c>
    </row>
    <row r="122" spans="1:8" x14ac:dyDescent="0.2">
      <c r="B122" s="32"/>
      <c r="C122" s="32"/>
      <c r="D122" s="32"/>
      <c r="E122" s="35"/>
      <c r="F122" s="32"/>
      <c r="H122" s="32"/>
    </row>
    <row r="123" spans="1:8" x14ac:dyDescent="0.2">
      <c r="B123" s="46" t="s">
        <v>32</v>
      </c>
      <c r="C123" s="47"/>
      <c r="D123" s="48"/>
      <c r="E123" s="64"/>
      <c r="F123" s="49"/>
      <c r="G123" s="49"/>
      <c r="H123" s="41"/>
    </row>
    <row r="124" spans="1:8" x14ac:dyDescent="0.2">
      <c r="B124" s="84" t="s">
        <v>32</v>
      </c>
      <c r="C124" s="85" t="s">
        <v>9</v>
      </c>
      <c r="D124" s="263">
        <v>4</v>
      </c>
      <c r="E124" s="107">
        <v>199</v>
      </c>
      <c r="F124" s="86" t="s">
        <v>4</v>
      </c>
      <c r="G124" s="328">
        <f>(H124/100)</f>
        <v>2.0217071186440685</v>
      </c>
      <c r="H124" s="112">
        <v>202.17071186440685</v>
      </c>
    </row>
    <row r="125" spans="1:8" x14ac:dyDescent="0.2">
      <c r="B125" s="84" t="s">
        <v>32</v>
      </c>
      <c r="C125" s="85" t="s">
        <v>9</v>
      </c>
      <c r="D125" s="78">
        <v>5</v>
      </c>
      <c r="E125" s="107">
        <v>200</v>
      </c>
      <c r="F125" s="86" t="s">
        <v>4</v>
      </c>
      <c r="G125" s="328">
        <f t="shared" ref="G125:G130" si="12">(H125/100)</f>
        <v>3.1503294915254245</v>
      </c>
      <c r="H125" s="111">
        <v>315.03294915254247</v>
      </c>
    </row>
    <row r="126" spans="1:8" x14ac:dyDescent="0.2">
      <c r="A126" s="104"/>
      <c r="B126" s="26" t="s">
        <v>32</v>
      </c>
      <c r="C126" s="27" t="s">
        <v>9</v>
      </c>
      <c r="D126" s="30">
        <v>6</v>
      </c>
      <c r="E126" s="71">
        <v>200</v>
      </c>
      <c r="F126" s="29" t="s">
        <v>4</v>
      </c>
      <c r="G126" s="328">
        <f t="shared" si="12"/>
        <v>3.5939531250000005</v>
      </c>
      <c r="H126" s="111">
        <v>359.39531250000005</v>
      </c>
    </row>
    <row r="127" spans="1:8" x14ac:dyDescent="0.2">
      <c r="B127" s="26" t="s">
        <v>32</v>
      </c>
      <c r="C127" s="27" t="s">
        <v>9</v>
      </c>
      <c r="D127" s="30">
        <v>7</v>
      </c>
      <c r="E127" s="71">
        <v>200</v>
      </c>
      <c r="F127" s="29" t="s">
        <v>4</v>
      </c>
      <c r="G127" s="328">
        <f t="shared" si="12"/>
        <v>5.1674237288135609</v>
      </c>
      <c r="H127" s="111">
        <v>516.74237288135612</v>
      </c>
    </row>
    <row r="128" spans="1:8" x14ac:dyDescent="0.2">
      <c r="B128" s="26" t="s">
        <v>32</v>
      </c>
      <c r="C128" s="27" t="s">
        <v>9</v>
      </c>
      <c r="D128" s="30">
        <v>8</v>
      </c>
      <c r="E128" s="71">
        <v>200</v>
      </c>
      <c r="F128" s="29" t="s">
        <v>4</v>
      </c>
      <c r="G128" s="328">
        <f t="shared" si="12"/>
        <v>5.5886908474576273</v>
      </c>
      <c r="H128" s="111">
        <v>558.86908474576273</v>
      </c>
    </row>
    <row r="129" spans="1:8" s="104" customFormat="1" x14ac:dyDescent="0.2">
      <c r="B129" s="26" t="s">
        <v>32</v>
      </c>
      <c r="C129" s="27" t="s">
        <v>9</v>
      </c>
      <c r="D129" s="30">
        <v>9</v>
      </c>
      <c r="E129" s="71">
        <v>200</v>
      </c>
      <c r="F129" s="123" t="s">
        <v>4</v>
      </c>
      <c r="G129" s="328">
        <f t="shared" si="12"/>
        <v>7.8947898305084756</v>
      </c>
      <c r="H129" s="111">
        <v>789.47898305084755</v>
      </c>
    </row>
    <row r="130" spans="1:8" s="104" customFormat="1" x14ac:dyDescent="0.2">
      <c r="B130" s="26" t="s">
        <v>32</v>
      </c>
      <c r="C130" s="27" t="s">
        <v>9</v>
      </c>
      <c r="D130" s="30">
        <v>10</v>
      </c>
      <c r="E130" s="71">
        <v>200</v>
      </c>
      <c r="F130" s="29" t="s">
        <v>4</v>
      </c>
      <c r="G130" s="328">
        <f t="shared" si="12"/>
        <v>8.9167387500000004</v>
      </c>
      <c r="H130" s="111">
        <v>891.67387500000007</v>
      </c>
    </row>
    <row r="131" spans="1:8" x14ac:dyDescent="0.2">
      <c r="B131" s="32"/>
      <c r="C131" s="32"/>
      <c r="D131" s="32"/>
      <c r="E131" s="35"/>
      <c r="F131" s="32"/>
      <c r="H131" s="32"/>
    </row>
    <row r="132" spans="1:8" x14ac:dyDescent="0.2">
      <c r="B132" s="46" t="s">
        <v>27</v>
      </c>
      <c r="C132" s="47"/>
      <c r="D132" s="48"/>
      <c r="E132" s="64"/>
      <c r="F132" s="49"/>
      <c r="G132" s="49"/>
      <c r="H132" s="41"/>
    </row>
    <row r="133" spans="1:8" x14ac:dyDescent="0.2">
      <c r="B133" s="84" t="s">
        <v>27</v>
      </c>
      <c r="C133" s="136" t="s">
        <v>254</v>
      </c>
      <c r="D133" s="78">
        <v>4</v>
      </c>
      <c r="E133" s="107">
        <v>200</v>
      </c>
      <c r="F133" s="86" t="s">
        <v>4</v>
      </c>
      <c r="G133" s="328">
        <f>(H133/100)</f>
        <v>1.2462545454545457</v>
      </c>
      <c r="H133" s="112">
        <v>124.62545454545457</v>
      </c>
    </row>
    <row r="134" spans="1:8" x14ac:dyDescent="0.2">
      <c r="B134" s="26" t="s">
        <v>27</v>
      </c>
      <c r="C134" s="136" t="s">
        <v>254</v>
      </c>
      <c r="D134" s="30">
        <v>5</v>
      </c>
      <c r="E134" s="71">
        <v>200</v>
      </c>
      <c r="F134" s="29" t="s">
        <v>4</v>
      </c>
      <c r="G134" s="328">
        <f t="shared" ref="G134:G139" si="13">(H134/100)</f>
        <v>2.1385423728813566</v>
      </c>
      <c r="H134" s="111">
        <v>213.85423728813566</v>
      </c>
    </row>
    <row r="135" spans="1:8" x14ac:dyDescent="0.2">
      <c r="B135" s="26" t="s">
        <v>27</v>
      </c>
      <c r="C135" s="136" t="s">
        <v>254</v>
      </c>
      <c r="D135" s="30">
        <v>6</v>
      </c>
      <c r="E135" s="71">
        <v>200</v>
      </c>
      <c r="F135" s="29" t="s">
        <v>4</v>
      </c>
      <c r="G135" s="328">
        <f t="shared" si="13"/>
        <v>2.8271999999999995</v>
      </c>
      <c r="H135" s="111">
        <v>282.71999999999997</v>
      </c>
    </row>
    <row r="136" spans="1:8" x14ac:dyDescent="0.2">
      <c r="B136" s="26" t="s">
        <v>27</v>
      </c>
      <c r="C136" s="136" t="s">
        <v>254</v>
      </c>
      <c r="D136" s="30">
        <v>7</v>
      </c>
      <c r="E136" s="71">
        <v>200</v>
      </c>
      <c r="F136" s="29" t="s">
        <v>4</v>
      </c>
      <c r="G136" s="328">
        <f t="shared" si="13"/>
        <v>3.147641379310345</v>
      </c>
      <c r="H136" s="111">
        <v>314.7641379310345</v>
      </c>
    </row>
    <row r="137" spans="1:8" x14ac:dyDescent="0.2">
      <c r="B137" s="26" t="s">
        <v>27</v>
      </c>
      <c r="C137" s="136" t="s">
        <v>254</v>
      </c>
      <c r="D137" s="30">
        <v>8</v>
      </c>
      <c r="E137" s="71">
        <v>200</v>
      </c>
      <c r="F137" s="29" t="s">
        <v>4</v>
      </c>
      <c r="G137" s="328">
        <f t="shared" si="13"/>
        <v>3.9760714285714287</v>
      </c>
      <c r="H137" s="111">
        <v>397.60714285714289</v>
      </c>
    </row>
    <row r="138" spans="1:8" x14ac:dyDescent="0.2">
      <c r="B138" s="26" t="s">
        <v>27</v>
      </c>
      <c r="C138" s="136" t="s">
        <v>254</v>
      </c>
      <c r="D138" s="30">
        <v>10</v>
      </c>
      <c r="E138" s="71">
        <v>200</v>
      </c>
      <c r="F138" s="29" t="s">
        <v>4</v>
      </c>
      <c r="G138" s="328">
        <f t="shared" si="13"/>
        <v>5.7233684210526299</v>
      </c>
      <c r="H138" s="111">
        <v>572.33684210526303</v>
      </c>
    </row>
    <row r="139" spans="1:8" x14ac:dyDescent="0.2">
      <c r="B139" s="26" t="s">
        <v>27</v>
      </c>
      <c r="C139" s="136" t="s">
        <v>254</v>
      </c>
      <c r="D139" s="30">
        <v>12</v>
      </c>
      <c r="E139" s="71">
        <v>200</v>
      </c>
      <c r="F139" s="29" t="s">
        <v>4</v>
      </c>
      <c r="G139" s="328">
        <f t="shared" si="13"/>
        <v>7.7895737704918053</v>
      </c>
      <c r="H139" s="111">
        <v>778.95737704918054</v>
      </c>
    </row>
    <row r="140" spans="1:8" x14ac:dyDescent="0.2">
      <c r="A140" s="8"/>
      <c r="B140" s="53"/>
      <c r="C140" s="51"/>
      <c r="D140" s="52"/>
      <c r="E140" s="106"/>
      <c r="F140" s="33"/>
      <c r="H140" s="122"/>
    </row>
    <row r="141" spans="1:8" x14ac:dyDescent="0.2">
      <c r="B141" s="46" t="s">
        <v>30</v>
      </c>
      <c r="C141" s="47"/>
      <c r="D141" s="48"/>
      <c r="E141" s="64"/>
      <c r="F141" s="49"/>
      <c r="G141" s="49"/>
      <c r="H141" s="41"/>
    </row>
    <row r="142" spans="1:8" x14ac:dyDescent="0.2">
      <c r="B142" s="84" t="s">
        <v>30</v>
      </c>
      <c r="C142" s="85" t="s">
        <v>10</v>
      </c>
      <c r="D142" s="263">
        <v>1.6</v>
      </c>
      <c r="E142" s="107">
        <v>200</v>
      </c>
      <c r="F142" s="271" t="s">
        <v>4</v>
      </c>
      <c r="G142" s="328">
        <f>(H142/100)</f>
        <v>0.11544489795918367</v>
      </c>
      <c r="H142" s="112">
        <v>11.544489795918366</v>
      </c>
    </row>
    <row r="143" spans="1:8" x14ac:dyDescent="0.2">
      <c r="B143" s="84" t="s">
        <v>30</v>
      </c>
      <c r="C143" s="85" t="s">
        <v>10</v>
      </c>
      <c r="D143" s="28">
        <v>2</v>
      </c>
      <c r="E143" s="71">
        <v>200</v>
      </c>
      <c r="F143" s="123" t="s">
        <v>4</v>
      </c>
      <c r="G143" s="328">
        <f t="shared" ref="G143:G147" si="14">(H143/100)</f>
        <v>0.25610204081632654</v>
      </c>
      <c r="H143" s="111">
        <v>25.610204081632652</v>
      </c>
    </row>
    <row r="144" spans="1:8" x14ac:dyDescent="0.2">
      <c r="B144" s="84" t="s">
        <v>30</v>
      </c>
      <c r="C144" s="85" t="s">
        <v>10</v>
      </c>
      <c r="D144" s="78">
        <v>3</v>
      </c>
      <c r="E144" s="107">
        <v>200</v>
      </c>
      <c r="F144" s="86" t="s">
        <v>4</v>
      </c>
      <c r="G144" s="328">
        <f t="shared" si="14"/>
        <v>0.36252857142857148</v>
      </c>
      <c r="H144" s="111">
        <v>36.252857142857145</v>
      </c>
    </row>
    <row r="145" spans="1:8" x14ac:dyDescent="0.2">
      <c r="B145" s="26" t="s">
        <v>30</v>
      </c>
      <c r="C145" s="85" t="s">
        <v>10</v>
      </c>
      <c r="D145" s="30">
        <v>4</v>
      </c>
      <c r="E145" s="71">
        <v>200</v>
      </c>
      <c r="F145" s="29" t="s">
        <v>4</v>
      </c>
      <c r="G145" s="328">
        <f t="shared" si="14"/>
        <v>0.42254237288135599</v>
      </c>
      <c r="H145" s="111">
        <v>42.254237288135599</v>
      </c>
    </row>
    <row r="146" spans="1:8" x14ac:dyDescent="0.2">
      <c r="B146" s="26" t="s">
        <v>30</v>
      </c>
      <c r="C146" s="85" t="s">
        <v>10</v>
      </c>
      <c r="D146" s="30">
        <v>5</v>
      </c>
      <c r="E146" s="71">
        <v>200</v>
      </c>
      <c r="F146" s="29" t="s">
        <v>4</v>
      </c>
      <c r="G146" s="328">
        <f t="shared" si="14"/>
        <v>0.49021016949152552</v>
      </c>
      <c r="H146" s="111">
        <v>49.021016949152553</v>
      </c>
    </row>
    <row r="147" spans="1:8" x14ac:dyDescent="0.2">
      <c r="B147" s="26" t="s">
        <v>30</v>
      </c>
      <c r="C147" s="85" t="s">
        <v>10</v>
      </c>
      <c r="D147" s="30">
        <v>6</v>
      </c>
      <c r="E147" s="71">
        <v>200</v>
      </c>
      <c r="F147" s="29" t="s">
        <v>4</v>
      </c>
      <c r="G147" s="328">
        <f t="shared" si="14"/>
        <v>0.83479245283018888</v>
      </c>
      <c r="H147" s="111">
        <v>83.479245283018884</v>
      </c>
    </row>
    <row r="148" spans="1:8" x14ac:dyDescent="0.2">
      <c r="A148" s="104"/>
      <c r="B148" s="32"/>
      <c r="C148" s="32"/>
      <c r="D148" s="32"/>
      <c r="E148" s="35"/>
      <c r="F148" s="32"/>
      <c r="H148" s="32"/>
    </row>
    <row r="149" spans="1:8" x14ac:dyDescent="0.2">
      <c r="A149" s="104"/>
      <c r="B149" s="46" t="s">
        <v>274</v>
      </c>
      <c r="C149" s="47"/>
      <c r="D149" s="48"/>
      <c r="E149" s="64"/>
      <c r="F149" s="49"/>
      <c r="G149" s="49"/>
      <c r="H149" s="41"/>
    </row>
    <row r="150" spans="1:8" x14ac:dyDescent="0.2">
      <c r="A150" s="104"/>
      <c r="B150" s="84" t="s">
        <v>274</v>
      </c>
      <c r="C150" s="85" t="s">
        <v>10</v>
      </c>
      <c r="D150" s="263">
        <v>2</v>
      </c>
      <c r="E150" s="107">
        <v>35</v>
      </c>
      <c r="F150" s="271" t="s">
        <v>4</v>
      </c>
      <c r="G150" s="328">
        <f>(H150/100)</f>
        <v>9.1644025423728792E-2</v>
      </c>
      <c r="H150" s="112">
        <v>9.1644025423728799</v>
      </c>
    </row>
    <row r="151" spans="1:8" x14ac:dyDescent="0.2">
      <c r="A151" s="104"/>
      <c r="B151" s="84" t="s">
        <v>274</v>
      </c>
      <c r="C151" s="85" t="s">
        <v>10</v>
      </c>
      <c r="D151" s="263">
        <v>3</v>
      </c>
      <c r="E151" s="107">
        <v>20</v>
      </c>
      <c r="F151" s="271" t="s">
        <v>4</v>
      </c>
      <c r="G151" s="328">
        <f t="shared" ref="G151:G152" si="15">(H151/100)</f>
        <v>7.517593220338982E-2</v>
      </c>
      <c r="H151" s="112">
        <v>7.5175932203389824</v>
      </c>
    </row>
    <row r="152" spans="1:8" x14ac:dyDescent="0.2">
      <c r="A152" s="104"/>
      <c r="B152" s="84" t="s">
        <v>274</v>
      </c>
      <c r="C152" s="85" t="s">
        <v>10</v>
      </c>
      <c r="D152" s="263">
        <v>4</v>
      </c>
      <c r="E152" s="107">
        <v>20</v>
      </c>
      <c r="F152" s="271" t="s">
        <v>4</v>
      </c>
      <c r="G152" s="328">
        <f t="shared" si="15"/>
        <v>0.10771714285714289</v>
      </c>
      <c r="H152" s="112">
        <v>10.771714285714289</v>
      </c>
    </row>
    <row r="153" spans="1:8" x14ac:dyDescent="0.2">
      <c r="A153" s="210"/>
      <c r="B153" s="53"/>
      <c r="C153" s="51"/>
      <c r="D153" s="95"/>
      <c r="E153" s="106"/>
      <c r="F153" s="169"/>
      <c r="H153" s="122"/>
    </row>
    <row r="154" spans="1:8" x14ac:dyDescent="0.2">
      <c r="A154" s="104"/>
      <c r="B154" s="21" t="s">
        <v>255</v>
      </c>
      <c r="C154" s="22"/>
      <c r="D154" s="23"/>
      <c r="E154" s="24"/>
      <c r="F154" s="63"/>
      <c r="G154" s="63"/>
      <c r="H154" s="25"/>
    </row>
    <row r="155" spans="1:8" x14ac:dyDescent="0.2">
      <c r="B155" s="84" t="s">
        <v>255</v>
      </c>
      <c r="C155" s="136" t="s">
        <v>11</v>
      </c>
      <c r="D155" s="78">
        <v>3</v>
      </c>
      <c r="E155" s="107">
        <v>200</v>
      </c>
      <c r="F155" s="86" t="s">
        <v>4</v>
      </c>
      <c r="G155" s="328">
        <f>(H155/100)</f>
        <v>1.4571428571428573</v>
      </c>
      <c r="H155" s="112">
        <v>145.71428571428572</v>
      </c>
    </row>
    <row r="156" spans="1:8" x14ac:dyDescent="0.2">
      <c r="B156" s="84" t="s">
        <v>255</v>
      </c>
      <c r="C156" s="136" t="s">
        <v>11</v>
      </c>
      <c r="D156" s="30">
        <v>4</v>
      </c>
      <c r="E156" s="71">
        <v>200</v>
      </c>
      <c r="F156" s="29" t="s">
        <v>4</v>
      </c>
      <c r="G156" s="328">
        <f t="shared" ref="G156:G158" si="16">(H156/100)</f>
        <v>1.5428571428571431</v>
      </c>
      <c r="H156" s="111">
        <v>154.28571428571431</v>
      </c>
    </row>
    <row r="157" spans="1:8" x14ac:dyDescent="0.2">
      <c r="B157" s="84" t="s">
        <v>255</v>
      </c>
      <c r="C157" s="136" t="s">
        <v>11</v>
      </c>
      <c r="D157" s="30">
        <v>5</v>
      </c>
      <c r="E157" s="71">
        <v>200</v>
      </c>
      <c r="F157" s="29" t="s">
        <v>4</v>
      </c>
      <c r="G157" s="328">
        <f t="shared" si="16"/>
        <v>2.342857142857143</v>
      </c>
      <c r="H157" s="111">
        <v>234.28571428571431</v>
      </c>
    </row>
    <row r="158" spans="1:8" x14ac:dyDescent="0.2">
      <c r="B158" s="84" t="s">
        <v>255</v>
      </c>
      <c r="C158" s="136" t="s">
        <v>11</v>
      </c>
      <c r="D158" s="78">
        <v>6</v>
      </c>
      <c r="E158" s="107">
        <v>200</v>
      </c>
      <c r="F158" s="86" t="s">
        <v>4</v>
      </c>
      <c r="G158" s="328">
        <f t="shared" si="16"/>
        <v>2.9142857142857146</v>
      </c>
      <c r="H158" s="111">
        <v>291.42857142857144</v>
      </c>
    </row>
    <row r="159" spans="1:8" x14ac:dyDescent="0.2">
      <c r="C159" s="62"/>
      <c r="D159" s="32"/>
      <c r="E159" s="32"/>
      <c r="F159" s="32"/>
      <c r="H159" s="32"/>
    </row>
    <row r="160" spans="1:8" x14ac:dyDescent="0.2">
      <c r="B160" s="46" t="s">
        <v>318</v>
      </c>
      <c r="C160" s="47"/>
      <c r="D160" s="48"/>
      <c r="E160" s="64"/>
      <c r="F160" s="49"/>
      <c r="G160" s="49"/>
      <c r="H160" s="41"/>
    </row>
    <row r="161" spans="1:8" x14ac:dyDescent="0.2">
      <c r="B161" s="84" t="s">
        <v>84</v>
      </c>
      <c r="C161" s="136" t="s">
        <v>85</v>
      </c>
      <c r="D161" s="78">
        <v>3</v>
      </c>
      <c r="E161" s="107">
        <v>200</v>
      </c>
      <c r="F161" s="86" t="s">
        <v>4</v>
      </c>
      <c r="G161" s="328">
        <f>(H161/100)</f>
        <v>0.838095238095238</v>
      </c>
      <c r="H161" s="112">
        <v>83.809523809523796</v>
      </c>
    </row>
    <row r="162" spans="1:8" x14ac:dyDescent="0.2">
      <c r="B162" s="84" t="s">
        <v>84</v>
      </c>
      <c r="C162" s="136" t="s">
        <v>85</v>
      </c>
      <c r="D162" s="30">
        <v>4</v>
      </c>
      <c r="E162" s="71">
        <v>200</v>
      </c>
      <c r="F162" s="29" t="s">
        <v>4</v>
      </c>
      <c r="G162" s="328">
        <f t="shared" ref="G162:G166" si="17">(H162/100)</f>
        <v>0.91156462585034026</v>
      </c>
      <c r="H162" s="111">
        <v>91.156462585034021</v>
      </c>
    </row>
    <row r="163" spans="1:8" x14ac:dyDescent="0.2">
      <c r="B163" s="84" t="s">
        <v>84</v>
      </c>
      <c r="C163" s="136" t="s">
        <v>85</v>
      </c>
      <c r="D163" s="30">
        <v>5</v>
      </c>
      <c r="E163" s="71">
        <v>200</v>
      </c>
      <c r="F163" s="29" t="s">
        <v>4</v>
      </c>
      <c r="G163" s="328">
        <f t="shared" si="17"/>
        <v>1.2698412698412702</v>
      </c>
      <c r="H163" s="111">
        <v>126.98412698412702</v>
      </c>
    </row>
    <row r="164" spans="1:8" x14ac:dyDescent="0.2">
      <c r="B164" s="84" t="s">
        <v>84</v>
      </c>
      <c r="C164" s="136" t="s">
        <v>85</v>
      </c>
      <c r="D164" s="78">
        <v>6</v>
      </c>
      <c r="E164" s="107">
        <v>200</v>
      </c>
      <c r="F164" s="86" t="s">
        <v>4</v>
      </c>
      <c r="G164" s="328">
        <f t="shared" si="17"/>
        <v>1.4532019704433496</v>
      </c>
      <c r="H164" s="111">
        <v>145.32019704433498</v>
      </c>
    </row>
    <row r="165" spans="1:8" x14ac:dyDescent="0.2">
      <c r="B165" s="84" t="s">
        <v>84</v>
      </c>
      <c r="C165" s="136" t="s">
        <v>85</v>
      </c>
      <c r="D165" s="30">
        <v>8</v>
      </c>
      <c r="E165" s="71">
        <v>200</v>
      </c>
      <c r="F165" s="29" t="s">
        <v>4</v>
      </c>
      <c r="G165" s="328">
        <f t="shared" si="17"/>
        <v>2.1111111111111112</v>
      </c>
      <c r="H165" s="111">
        <v>211.11111111111111</v>
      </c>
    </row>
    <row r="166" spans="1:8" x14ac:dyDescent="0.2">
      <c r="B166" s="84" t="s">
        <v>84</v>
      </c>
      <c r="C166" s="136" t="s">
        <v>85</v>
      </c>
      <c r="D166" s="30">
        <v>10</v>
      </c>
      <c r="E166" s="71">
        <v>200</v>
      </c>
      <c r="F166" s="29" t="s">
        <v>4</v>
      </c>
      <c r="G166" s="328">
        <f t="shared" si="17"/>
        <v>2.7632653061224501</v>
      </c>
      <c r="H166" s="111">
        <v>276.32653061224499</v>
      </c>
    </row>
    <row r="167" spans="1:8" x14ac:dyDescent="0.2">
      <c r="B167" s="53"/>
      <c r="C167" s="51"/>
      <c r="D167" s="52"/>
      <c r="E167" s="106"/>
      <c r="F167" s="33"/>
      <c r="H167" s="54"/>
    </row>
    <row r="168" spans="1:8" x14ac:dyDescent="0.2">
      <c r="A168" s="104"/>
      <c r="B168" s="46" t="s">
        <v>18</v>
      </c>
      <c r="C168" s="37"/>
      <c r="D168" s="38"/>
      <c r="E168" s="59"/>
      <c r="F168" s="40"/>
      <c r="G168" s="40"/>
      <c r="H168" s="41"/>
    </row>
    <row r="169" spans="1:8" x14ac:dyDescent="0.2">
      <c r="A169" s="104"/>
      <c r="B169" s="84" t="s">
        <v>18</v>
      </c>
      <c r="C169" s="85" t="s">
        <v>14</v>
      </c>
      <c r="D169" s="78">
        <v>1</v>
      </c>
      <c r="E169" s="107">
        <v>500</v>
      </c>
      <c r="F169" s="79" t="s">
        <v>4</v>
      </c>
      <c r="G169" s="328">
        <f>(H169/100)</f>
        <v>0.21855555555555559</v>
      </c>
      <c r="H169" s="112">
        <v>21.855555555555558</v>
      </c>
    </row>
    <row r="170" spans="1:8" x14ac:dyDescent="0.2">
      <c r="A170" s="104"/>
      <c r="B170" s="26" t="s">
        <v>18</v>
      </c>
      <c r="C170" s="27" t="s">
        <v>13</v>
      </c>
      <c r="D170" s="30">
        <v>1.2</v>
      </c>
      <c r="E170" s="71">
        <v>500</v>
      </c>
      <c r="F170" s="60" t="s">
        <v>4</v>
      </c>
      <c r="G170" s="328">
        <f t="shared" ref="G170:G171" si="18">(H170/100)</f>
        <v>0.25373863636363647</v>
      </c>
      <c r="H170" s="111">
        <v>25.373863636363648</v>
      </c>
    </row>
    <row r="171" spans="1:8" x14ac:dyDescent="0.2">
      <c r="A171" s="104"/>
      <c r="B171" s="26" t="s">
        <v>18</v>
      </c>
      <c r="C171" s="27" t="s">
        <v>15</v>
      </c>
      <c r="D171" s="30">
        <v>1.4</v>
      </c>
      <c r="E171" s="71">
        <v>500</v>
      </c>
      <c r="F171" s="60" t="s">
        <v>4</v>
      </c>
      <c r="G171" s="328">
        <f t="shared" si="18"/>
        <v>0.54793548387096791</v>
      </c>
      <c r="H171" s="111">
        <v>54.793548387096791</v>
      </c>
    </row>
    <row r="172" spans="1:8" x14ac:dyDescent="0.2">
      <c r="A172" s="104"/>
      <c r="B172" s="50"/>
      <c r="C172" s="51"/>
      <c r="D172" s="52"/>
      <c r="E172" s="106"/>
      <c r="F172" s="17"/>
      <c r="G172" s="13"/>
    </row>
    <row r="173" spans="1:8" x14ac:dyDescent="0.2">
      <c r="A173" s="104"/>
      <c r="B173" s="46" t="s">
        <v>281</v>
      </c>
      <c r="C173" s="298" t="s">
        <v>282</v>
      </c>
      <c r="D173" s="48"/>
      <c r="E173" s="64"/>
      <c r="F173" s="49"/>
      <c r="G173" s="49"/>
      <c r="H173" s="41"/>
    </row>
    <row r="174" spans="1:8" x14ac:dyDescent="0.2">
      <c r="A174" s="104"/>
      <c r="B174" s="84" t="s">
        <v>281</v>
      </c>
      <c r="C174" s="85" t="s">
        <v>10</v>
      </c>
      <c r="D174" s="78">
        <v>6</v>
      </c>
      <c r="E174" s="107">
        <v>200</v>
      </c>
      <c r="F174" s="86" t="s">
        <v>4</v>
      </c>
      <c r="G174" s="328">
        <f>(H174/100)</f>
        <v>0.25935000000000008</v>
      </c>
      <c r="H174" s="112">
        <v>25.935000000000009</v>
      </c>
    </row>
    <row r="175" spans="1:8" x14ac:dyDescent="0.2">
      <c r="A175" s="248"/>
      <c r="B175" s="84" t="s">
        <v>281</v>
      </c>
      <c r="C175" s="85" t="s">
        <v>10</v>
      </c>
      <c r="D175" s="78">
        <v>8</v>
      </c>
      <c r="E175" s="107">
        <v>200</v>
      </c>
      <c r="F175" s="86" t="s">
        <v>4</v>
      </c>
      <c r="G175" s="328">
        <f>(H175/100)</f>
        <v>0.47880000000000023</v>
      </c>
      <c r="H175" s="112">
        <v>47.880000000000024</v>
      </c>
    </row>
    <row r="176" spans="1:8" x14ac:dyDescent="0.2">
      <c r="A176" s="104"/>
      <c r="B176" s="32"/>
      <c r="C176" s="32"/>
      <c r="D176" s="32"/>
      <c r="E176" s="35"/>
      <c r="F176" s="32"/>
      <c r="G176" s="32"/>
    </row>
    <row r="177" spans="1:7" x14ac:dyDescent="0.2">
      <c r="A177" s="104"/>
      <c r="B177" s="53"/>
      <c r="C177" s="51"/>
      <c r="D177" s="52"/>
      <c r="E177" s="106"/>
      <c r="F177" s="33"/>
      <c r="G177" s="54"/>
    </row>
    <row r="178" spans="1:7" x14ac:dyDescent="0.2">
      <c r="A178" s="104"/>
      <c r="C178" s="32"/>
      <c r="D178" s="32"/>
      <c r="E178" s="32"/>
      <c r="F178" s="32"/>
      <c r="G178" s="32"/>
    </row>
    <row r="179" spans="1:7" x14ac:dyDescent="0.2">
      <c r="A179" s="104"/>
      <c r="C179" s="32"/>
    </row>
  </sheetData>
  <mergeCells count="1">
    <mergeCell ref="G24:H24"/>
  </mergeCells>
  <phoneticPr fontId="5" type="noConversion"/>
  <pageMargins left="0.74803149606299213" right="0.74803149606299213" top="0.98425196850393704" bottom="0.98425196850393704" header="0" footer="0"/>
  <pageSetup paperSize="9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125"/>
  <sheetViews>
    <sheetView topLeftCell="A34" zoomScaleNormal="100" workbookViewId="0">
      <selection activeCell="J79" sqref="J79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0.85546875" customWidth="1"/>
    <col min="8" max="8" width="13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3" spans="1:8" ht="13.5" thickBot="1" x14ac:dyDescent="0.25">
      <c r="C23" s="32"/>
      <c r="D23" s="32"/>
      <c r="E23" s="32"/>
      <c r="F23" s="32"/>
      <c r="G23" s="32"/>
    </row>
    <row r="24" spans="1:8" ht="24.75" customHeight="1" thickTop="1" x14ac:dyDescent="0.2">
      <c r="B24" s="152" t="s">
        <v>72</v>
      </c>
      <c r="C24" s="153"/>
      <c r="D24" s="154"/>
      <c r="E24" s="155"/>
      <c r="F24" s="156"/>
      <c r="G24" s="331" t="s">
        <v>69</v>
      </c>
      <c r="H24" s="331"/>
    </row>
    <row r="25" spans="1:8" x14ac:dyDescent="0.2">
      <c r="B25" s="32"/>
      <c r="C25" s="32"/>
      <c r="D25" s="32"/>
      <c r="E25" s="32"/>
      <c r="F25" s="32"/>
      <c r="G25" s="32"/>
      <c r="H25" s="32"/>
    </row>
    <row r="26" spans="1:8" x14ac:dyDescent="0.2">
      <c r="B26" s="82" t="s">
        <v>0</v>
      </c>
      <c r="C26" s="82" t="s">
        <v>1</v>
      </c>
      <c r="D26" s="143" t="s">
        <v>2</v>
      </c>
      <c r="E26" s="83" t="s">
        <v>3</v>
      </c>
      <c r="F26" s="83"/>
      <c r="G26" s="256" t="str">
        <f>'Pro Race'!G26</f>
        <v>Retail  €/mt</v>
      </c>
      <c r="H26" s="256" t="str">
        <f>'Pro Race'!H26</f>
        <v>Retail  €/100mt</v>
      </c>
    </row>
    <row r="27" spans="1:8" x14ac:dyDescent="0.2">
      <c r="B27" s="46" t="s">
        <v>22</v>
      </c>
      <c r="C27" s="47"/>
      <c r="D27" s="48"/>
      <c r="E27" s="47"/>
      <c r="F27" s="64"/>
      <c r="G27" s="41"/>
      <c r="H27" s="41"/>
    </row>
    <row r="28" spans="1:8" x14ac:dyDescent="0.2">
      <c r="A28" s="104"/>
      <c r="B28" s="84" t="s">
        <v>22</v>
      </c>
      <c r="C28" s="85" t="s">
        <v>7</v>
      </c>
      <c r="D28" s="263">
        <v>2.5</v>
      </c>
      <c r="E28" s="107">
        <v>200</v>
      </c>
      <c r="F28" s="86" t="s">
        <v>4</v>
      </c>
      <c r="G28" s="328">
        <f>(H28/100)</f>
        <v>0.83031750000000015</v>
      </c>
      <c r="H28" s="120">
        <v>83.031750000000017</v>
      </c>
    </row>
    <row r="29" spans="1:8" x14ac:dyDescent="0.2">
      <c r="A29" s="104"/>
      <c r="B29" s="26" t="s">
        <v>22</v>
      </c>
      <c r="C29" s="27" t="s">
        <v>7</v>
      </c>
      <c r="D29" s="30">
        <v>3</v>
      </c>
      <c r="E29" s="71">
        <v>200</v>
      </c>
      <c r="F29" s="29" t="s">
        <v>4</v>
      </c>
      <c r="G29" s="328">
        <f t="shared" ref="G29:G44" si="0">(H29/100)</f>
        <v>1.3127812500000002</v>
      </c>
      <c r="H29" s="118">
        <v>131.27812500000002</v>
      </c>
    </row>
    <row r="30" spans="1:8" x14ac:dyDescent="0.2">
      <c r="A30" s="104"/>
      <c r="B30" s="26" t="s">
        <v>22</v>
      </c>
      <c r="C30" s="27" t="s">
        <v>7</v>
      </c>
      <c r="D30" s="30">
        <v>4</v>
      </c>
      <c r="E30" s="71">
        <v>200</v>
      </c>
      <c r="F30" s="29" t="s">
        <v>4</v>
      </c>
      <c r="G30" s="328">
        <f t="shared" si="0"/>
        <v>1.8109014084507045</v>
      </c>
      <c r="H30" s="118">
        <v>181.09014084507044</v>
      </c>
    </row>
    <row r="31" spans="1:8" x14ac:dyDescent="0.2">
      <c r="A31" s="104"/>
      <c r="B31" s="26" t="s">
        <v>22</v>
      </c>
      <c r="C31" s="27" t="s">
        <v>7</v>
      </c>
      <c r="D31" s="30">
        <v>5</v>
      </c>
      <c r="E31" s="71">
        <v>200</v>
      </c>
      <c r="F31" s="29" t="s">
        <v>4</v>
      </c>
      <c r="G31" s="328">
        <f t="shared" si="0"/>
        <v>3.4230000000000005</v>
      </c>
      <c r="H31" s="118">
        <v>342.30000000000007</v>
      </c>
    </row>
    <row r="32" spans="1:8" x14ac:dyDescent="0.2">
      <c r="A32" s="104"/>
      <c r="B32" s="26" t="s">
        <v>22</v>
      </c>
      <c r="C32" s="27" t="s">
        <v>7</v>
      </c>
      <c r="D32" s="30">
        <v>6</v>
      </c>
      <c r="E32" s="71">
        <v>200</v>
      </c>
      <c r="F32" s="29" t="s">
        <v>4</v>
      </c>
      <c r="G32" s="328">
        <f t="shared" si="0"/>
        <v>4.6249500000000001</v>
      </c>
      <c r="H32" s="118">
        <v>462.495</v>
      </c>
    </row>
    <row r="33" spans="1:8" x14ac:dyDescent="0.2">
      <c r="A33" s="104"/>
      <c r="B33" s="26" t="s">
        <v>22</v>
      </c>
      <c r="C33" s="27" t="s">
        <v>7</v>
      </c>
      <c r="D33" s="30">
        <v>7</v>
      </c>
      <c r="E33" s="71">
        <v>200</v>
      </c>
      <c r="F33" s="29" t="s">
        <v>4</v>
      </c>
      <c r="G33" s="328">
        <f t="shared" si="0"/>
        <v>5.8863000000000003</v>
      </c>
      <c r="H33" s="118">
        <v>588.63</v>
      </c>
    </row>
    <row r="34" spans="1:8" x14ac:dyDescent="0.2">
      <c r="A34" s="104"/>
      <c r="B34" s="26" t="s">
        <v>22</v>
      </c>
      <c r="C34" s="27" t="s">
        <v>7</v>
      </c>
      <c r="D34" s="30">
        <v>8</v>
      </c>
      <c r="E34" s="71">
        <v>200</v>
      </c>
      <c r="F34" s="29" t="s">
        <v>4</v>
      </c>
      <c r="G34" s="328">
        <f t="shared" si="0"/>
        <v>8.1505125000000014</v>
      </c>
      <c r="H34" s="118">
        <v>815.0512500000001</v>
      </c>
    </row>
    <row r="35" spans="1:8" x14ac:dyDescent="0.2">
      <c r="A35" s="104"/>
      <c r="B35" s="26" t="s">
        <v>22</v>
      </c>
      <c r="C35" s="27" t="s">
        <v>7</v>
      </c>
      <c r="D35" s="30">
        <v>9</v>
      </c>
      <c r="E35" s="71">
        <v>200</v>
      </c>
      <c r="F35" s="29" t="s">
        <v>4</v>
      </c>
      <c r="G35" s="328">
        <f t="shared" si="0"/>
        <v>11.076337499999999</v>
      </c>
      <c r="H35" s="118">
        <v>1107.63375</v>
      </c>
    </row>
    <row r="36" spans="1:8" x14ac:dyDescent="0.2">
      <c r="A36" s="104"/>
      <c r="B36" s="26" t="s">
        <v>22</v>
      </c>
      <c r="C36" s="27" t="s">
        <v>7</v>
      </c>
      <c r="D36" s="30">
        <v>10</v>
      </c>
      <c r="E36" s="71">
        <v>200</v>
      </c>
      <c r="F36" s="29" t="s">
        <v>4</v>
      </c>
      <c r="G36" s="328">
        <f t="shared" si="0"/>
        <v>12.7482375</v>
      </c>
      <c r="H36" s="118">
        <v>1274.82375</v>
      </c>
    </row>
    <row r="37" spans="1:8" x14ac:dyDescent="0.2">
      <c r="A37" s="104"/>
      <c r="B37" s="26" t="s">
        <v>22</v>
      </c>
      <c r="C37" s="27" t="s">
        <v>7</v>
      </c>
      <c r="D37" s="30">
        <v>12</v>
      </c>
      <c r="E37" s="71">
        <v>200</v>
      </c>
      <c r="F37" s="29" t="s">
        <v>4</v>
      </c>
      <c r="G37" s="328">
        <f t="shared" si="0"/>
        <v>14.538260869565219</v>
      </c>
      <c r="H37" s="118">
        <v>1453.826086956522</v>
      </c>
    </row>
    <row r="38" spans="1:8" x14ac:dyDescent="0.2">
      <c r="A38" s="104"/>
      <c r="B38" s="26" t="s">
        <v>22</v>
      </c>
      <c r="C38" s="27" t="s">
        <v>7</v>
      </c>
      <c r="D38" s="30">
        <v>14</v>
      </c>
      <c r="E38" s="71">
        <v>100</v>
      </c>
      <c r="F38" s="29" t="s">
        <v>4</v>
      </c>
      <c r="G38" s="328">
        <f t="shared" si="0"/>
        <v>16.411621621621624</v>
      </c>
      <c r="H38" s="118">
        <v>1641.1621621621623</v>
      </c>
    </row>
    <row r="39" spans="1:8" x14ac:dyDescent="0.2">
      <c r="A39" s="104"/>
      <c r="B39" s="26" t="s">
        <v>22</v>
      </c>
      <c r="C39" s="27" t="s">
        <v>7</v>
      </c>
      <c r="D39" s="30">
        <v>16</v>
      </c>
      <c r="E39" s="71">
        <v>100</v>
      </c>
      <c r="F39" s="29" t="s">
        <v>4</v>
      </c>
      <c r="G39" s="328">
        <f t="shared" si="0"/>
        <v>21.882162162162164</v>
      </c>
      <c r="H39" s="118">
        <v>2188.2162162162163</v>
      </c>
    </row>
    <row r="40" spans="1:8" x14ac:dyDescent="0.2">
      <c r="A40" s="104"/>
      <c r="B40" s="26" t="s">
        <v>22</v>
      </c>
      <c r="C40" s="27" t="s">
        <v>7</v>
      </c>
      <c r="D40" s="30">
        <v>18</v>
      </c>
      <c r="E40" s="71">
        <v>100</v>
      </c>
      <c r="F40" s="29" t="s">
        <v>4</v>
      </c>
      <c r="G40" s="328">
        <f t="shared" si="0"/>
        <v>27.535054054054054</v>
      </c>
      <c r="H40" s="118">
        <v>2753.5054054054053</v>
      </c>
    </row>
    <row r="41" spans="1:8" x14ac:dyDescent="0.2">
      <c r="A41" s="104"/>
      <c r="B41" s="26" t="s">
        <v>22</v>
      </c>
      <c r="C41" s="27" t="s">
        <v>7</v>
      </c>
      <c r="D41" s="30">
        <v>20</v>
      </c>
      <c r="E41" s="71">
        <v>100</v>
      </c>
      <c r="F41" s="29" t="s">
        <v>4</v>
      </c>
      <c r="G41" s="328">
        <f t="shared" si="0"/>
        <v>30.999729729729729</v>
      </c>
      <c r="H41" s="118">
        <v>3099.9729729729729</v>
      </c>
    </row>
    <row r="42" spans="1:8" x14ac:dyDescent="0.2">
      <c r="A42" s="104"/>
      <c r="B42" s="26" t="s">
        <v>22</v>
      </c>
      <c r="C42" s="27" t="s">
        <v>7</v>
      </c>
      <c r="D42" s="31">
        <v>22</v>
      </c>
      <c r="E42" s="71">
        <v>100</v>
      </c>
      <c r="F42" s="29" t="s">
        <v>4</v>
      </c>
      <c r="G42" s="328">
        <f t="shared" si="0"/>
        <v>34.646756756756758</v>
      </c>
      <c r="H42" s="118">
        <v>3464.6756756756758</v>
      </c>
    </row>
    <row r="43" spans="1:8" x14ac:dyDescent="0.2">
      <c r="A43" s="104"/>
      <c r="B43" s="26" t="s">
        <v>22</v>
      </c>
      <c r="C43" s="27" t="s">
        <v>7</v>
      </c>
      <c r="D43" s="31">
        <v>24</v>
      </c>
      <c r="E43" s="71">
        <v>100</v>
      </c>
      <c r="F43" s="29" t="s">
        <v>4</v>
      </c>
      <c r="G43" s="328">
        <f t="shared" si="0"/>
        <v>42.305513513513517</v>
      </c>
      <c r="H43" s="118">
        <v>4230.5513513513515</v>
      </c>
    </row>
    <row r="44" spans="1:8" x14ac:dyDescent="0.2">
      <c r="A44" s="104"/>
      <c r="B44" s="26" t="s">
        <v>22</v>
      </c>
      <c r="C44" s="27" t="s">
        <v>7</v>
      </c>
      <c r="D44" s="31">
        <v>26</v>
      </c>
      <c r="E44" s="71">
        <v>100</v>
      </c>
      <c r="F44" s="29" t="s">
        <v>4</v>
      </c>
      <c r="G44" s="328">
        <f t="shared" si="0"/>
        <v>51.240729729729736</v>
      </c>
      <c r="H44" s="118">
        <v>5124.0729729729737</v>
      </c>
    </row>
    <row r="45" spans="1:8" x14ac:dyDescent="0.2">
      <c r="B45" s="266"/>
      <c r="C45" s="267"/>
      <c r="D45" s="268"/>
      <c r="E45" s="269"/>
      <c r="F45" s="270"/>
      <c r="H45" s="244"/>
    </row>
    <row r="46" spans="1:8" x14ac:dyDescent="0.2">
      <c r="B46" s="36" t="s">
        <v>24</v>
      </c>
      <c r="C46" s="37"/>
      <c r="D46" s="38"/>
      <c r="E46" s="59"/>
      <c r="F46" s="40"/>
      <c r="G46" s="40"/>
      <c r="H46" s="121"/>
    </row>
    <row r="47" spans="1:8" x14ac:dyDescent="0.2">
      <c r="B47" s="76" t="s">
        <v>24</v>
      </c>
      <c r="C47" s="85" t="s">
        <v>25</v>
      </c>
      <c r="D47" s="273">
        <v>3</v>
      </c>
      <c r="E47" s="128">
        <v>200</v>
      </c>
      <c r="F47" s="86" t="s">
        <v>4</v>
      </c>
      <c r="G47" s="328">
        <f>(H47/100)</f>
        <v>1.4525901639344267</v>
      </c>
      <c r="H47" s="120">
        <v>145.25901639344266</v>
      </c>
    </row>
    <row r="48" spans="1:8" x14ac:dyDescent="0.2">
      <c r="B48" s="42" t="s">
        <v>24</v>
      </c>
      <c r="C48" s="27" t="s">
        <v>25</v>
      </c>
      <c r="D48" s="43">
        <v>4</v>
      </c>
      <c r="E48" s="66">
        <v>200</v>
      </c>
      <c r="F48" s="29" t="s">
        <v>4</v>
      </c>
      <c r="G48" s="328">
        <f t="shared" ref="G48:G57" si="1">(H48/100)</f>
        <v>1.7230250000000005</v>
      </c>
      <c r="H48" s="118">
        <v>172.30250000000004</v>
      </c>
    </row>
    <row r="49" spans="2:8" x14ac:dyDescent="0.2">
      <c r="B49" s="42" t="s">
        <v>24</v>
      </c>
      <c r="C49" s="27" t="s">
        <v>25</v>
      </c>
      <c r="D49" s="43">
        <v>5</v>
      </c>
      <c r="E49" s="66">
        <v>200</v>
      </c>
      <c r="F49" s="29" t="s">
        <v>4</v>
      </c>
      <c r="G49" s="328">
        <f t="shared" si="1"/>
        <v>3.2628750000000006</v>
      </c>
      <c r="H49" s="118">
        <v>326.28750000000008</v>
      </c>
    </row>
    <row r="50" spans="2:8" x14ac:dyDescent="0.2">
      <c r="B50" s="42" t="s">
        <v>24</v>
      </c>
      <c r="C50" s="27" t="s">
        <v>25</v>
      </c>
      <c r="D50" s="43">
        <v>6</v>
      </c>
      <c r="E50" s="66">
        <v>200</v>
      </c>
      <c r="F50" s="29" t="s">
        <v>4</v>
      </c>
      <c r="G50" s="328">
        <f t="shared" si="1"/>
        <v>4.3379999999999992</v>
      </c>
      <c r="H50" s="118">
        <v>433.7999999999999</v>
      </c>
    </row>
    <row r="51" spans="2:8" x14ac:dyDescent="0.2">
      <c r="B51" s="42" t="s">
        <v>24</v>
      </c>
      <c r="C51" s="27" t="s">
        <v>25</v>
      </c>
      <c r="D51" s="43">
        <v>7</v>
      </c>
      <c r="E51" s="66">
        <v>200</v>
      </c>
      <c r="F51" s="29" t="s">
        <v>4</v>
      </c>
      <c r="G51" s="328">
        <f t="shared" si="1"/>
        <v>5.6394000000000002</v>
      </c>
      <c r="H51" s="118">
        <v>563.94000000000005</v>
      </c>
    </row>
    <row r="52" spans="2:8" x14ac:dyDescent="0.2">
      <c r="B52" s="42" t="s">
        <v>24</v>
      </c>
      <c r="C52" s="27" t="s">
        <v>25</v>
      </c>
      <c r="D52" s="43">
        <v>8</v>
      </c>
      <c r="E52" s="66">
        <v>200</v>
      </c>
      <c r="F52" s="29" t="s">
        <v>4</v>
      </c>
      <c r="G52" s="328">
        <f t="shared" si="1"/>
        <v>7.741575000000001</v>
      </c>
      <c r="H52" s="118">
        <v>774.15750000000014</v>
      </c>
    </row>
    <row r="53" spans="2:8" x14ac:dyDescent="0.2">
      <c r="B53" s="42" t="s">
        <v>24</v>
      </c>
      <c r="C53" s="27" t="s">
        <v>25</v>
      </c>
      <c r="D53" s="43">
        <v>9</v>
      </c>
      <c r="E53" s="66">
        <v>200</v>
      </c>
      <c r="F53" s="29" t="s">
        <v>4</v>
      </c>
      <c r="G53" s="328">
        <f t="shared" si="1"/>
        <v>10.809532500000003</v>
      </c>
      <c r="H53" s="118">
        <v>1080.9532500000003</v>
      </c>
    </row>
    <row r="54" spans="2:8" x14ac:dyDescent="0.2">
      <c r="B54" s="42" t="s">
        <v>24</v>
      </c>
      <c r="C54" s="27" t="s">
        <v>25</v>
      </c>
      <c r="D54" s="43">
        <v>10</v>
      </c>
      <c r="E54" s="66">
        <v>200</v>
      </c>
      <c r="F54" s="29" t="s">
        <v>4</v>
      </c>
      <c r="G54" s="328">
        <f t="shared" si="1"/>
        <v>12.615900000000003</v>
      </c>
      <c r="H54" s="118">
        <v>1261.5900000000004</v>
      </c>
    </row>
    <row r="55" spans="2:8" x14ac:dyDescent="0.2">
      <c r="B55" s="42" t="s">
        <v>24</v>
      </c>
      <c r="C55" s="27" t="s">
        <v>25</v>
      </c>
      <c r="D55" s="43">
        <v>12</v>
      </c>
      <c r="E55" s="66">
        <v>200</v>
      </c>
      <c r="F55" s="29" t="s">
        <v>4</v>
      </c>
      <c r="G55" s="328">
        <f t="shared" si="1"/>
        <v>15.339787500000005</v>
      </c>
      <c r="H55" s="118">
        <v>1533.9787500000004</v>
      </c>
    </row>
    <row r="56" spans="2:8" x14ac:dyDescent="0.2">
      <c r="B56" s="42" t="s">
        <v>24</v>
      </c>
      <c r="C56" s="27" t="s">
        <v>25</v>
      </c>
      <c r="D56" s="43">
        <v>14</v>
      </c>
      <c r="E56" s="66">
        <v>100</v>
      </c>
      <c r="F56" s="29" t="s">
        <v>4</v>
      </c>
      <c r="G56" s="328">
        <f t="shared" si="1"/>
        <v>18.007125000000002</v>
      </c>
      <c r="H56" s="118">
        <v>1800.7125000000001</v>
      </c>
    </row>
    <row r="57" spans="2:8" x14ac:dyDescent="0.2">
      <c r="B57" s="42" t="s">
        <v>24</v>
      </c>
      <c r="C57" s="27" t="s">
        <v>25</v>
      </c>
      <c r="D57" s="43">
        <v>16</v>
      </c>
      <c r="E57" s="66">
        <v>100</v>
      </c>
      <c r="F57" s="29" t="s">
        <v>4</v>
      </c>
      <c r="G57" s="328">
        <f t="shared" si="1"/>
        <v>24.832406250000005</v>
      </c>
      <c r="H57" s="118">
        <v>2483.2406250000004</v>
      </c>
    </row>
    <row r="58" spans="2:8" x14ac:dyDescent="0.2">
      <c r="B58" s="32"/>
      <c r="C58" s="32"/>
      <c r="D58" s="32"/>
      <c r="E58" s="35"/>
      <c r="F58" s="32"/>
      <c r="H58" s="32"/>
    </row>
    <row r="59" spans="2:8" x14ac:dyDescent="0.2">
      <c r="B59" s="36" t="s">
        <v>28</v>
      </c>
      <c r="C59" s="57"/>
      <c r="D59" s="58"/>
      <c r="E59" s="59"/>
      <c r="F59" s="59"/>
      <c r="G59" s="59"/>
      <c r="H59" s="41"/>
    </row>
    <row r="60" spans="2:8" x14ac:dyDescent="0.2">
      <c r="B60" s="76" t="s">
        <v>28</v>
      </c>
      <c r="C60" s="85" t="s">
        <v>16</v>
      </c>
      <c r="D60" s="78">
        <v>1.6</v>
      </c>
      <c r="E60" s="107" t="s">
        <v>5</v>
      </c>
      <c r="F60" s="79" t="s">
        <v>4</v>
      </c>
      <c r="G60" s="328">
        <f>(H60/100)</f>
        <v>0.20081111111111111</v>
      </c>
      <c r="H60" s="120">
        <v>20.08111111111111</v>
      </c>
    </row>
    <row r="61" spans="2:8" x14ac:dyDescent="0.2">
      <c r="B61" s="42" t="s">
        <v>28</v>
      </c>
      <c r="C61" s="27" t="s">
        <v>16</v>
      </c>
      <c r="D61" s="30">
        <v>2</v>
      </c>
      <c r="E61" s="71" t="s">
        <v>5</v>
      </c>
      <c r="F61" s="60" t="s">
        <v>4</v>
      </c>
      <c r="G61" s="328">
        <f t="shared" ref="G61:G67" si="2">(H61/100)</f>
        <v>0.23969898305084741</v>
      </c>
      <c r="H61" s="118">
        <v>23.96989830508474</v>
      </c>
    </row>
    <row r="62" spans="2:8" x14ac:dyDescent="0.2">
      <c r="B62" s="42" t="s">
        <v>28</v>
      </c>
      <c r="C62" s="27" t="s">
        <v>16</v>
      </c>
      <c r="D62" s="30">
        <v>2.5</v>
      </c>
      <c r="E62" s="71" t="s">
        <v>5</v>
      </c>
      <c r="F62" s="60" t="s">
        <v>4</v>
      </c>
      <c r="G62" s="328">
        <f t="shared" si="2"/>
        <v>0.32530576271186434</v>
      </c>
      <c r="H62" s="118">
        <v>32.530576271186433</v>
      </c>
    </row>
    <row r="63" spans="2:8" x14ac:dyDescent="0.2">
      <c r="B63" s="42" t="s">
        <v>28</v>
      </c>
      <c r="C63" s="27" t="s">
        <v>16</v>
      </c>
      <c r="D63" s="30">
        <v>3</v>
      </c>
      <c r="E63" s="71" t="s">
        <v>5</v>
      </c>
      <c r="F63" s="60" t="s">
        <v>4</v>
      </c>
      <c r="G63" s="328">
        <f t="shared" si="2"/>
        <v>0.76591525423728812</v>
      </c>
      <c r="H63" s="118">
        <v>76.591525423728811</v>
      </c>
    </row>
    <row r="64" spans="2:8" x14ac:dyDescent="0.2">
      <c r="B64" s="42" t="s">
        <v>28</v>
      </c>
      <c r="C64" s="27" t="s">
        <v>16</v>
      </c>
      <c r="D64" s="30">
        <v>4</v>
      </c>
      <c r="E64" s="71">
        <v>200</v>
      </c>
      <c r="F64" s="60" t="s">
        <v>4</v>
      </c>
      <c r="G64" s="328">
        <f t="shared" si="2"/>
        <v>1.5100965517241378</v>
      </c>
      <c r="H64" s="118">
        <v>151.00965517241377</v>
      </c>
    </row>
    <row r="65" spans="1:8" x14ac:dyDescent="0.2">
      <c r="B65" s="42" t="s">
        <v>28</v>
      </c>
      <c r="C65" s="27" t="s">
        <v>16</v>
      </c>
      <c r="D65" s="30">
        <v>5</v>
      </c>
      <c r="E65" s="71">
        <v>200</v>
      </c>
      <c r="F65" s="60" t="s">
        <v>4</v>
      </c>
      <c r="G65" s="328">
        <f t="shared" si="2"/>
        <v>1.7839241379310347</v>
      </c>
      <c r="H65" s="118">
        <v>178.39241379310346</v>
      </c>
    </row>
    <row r="66" spans="1:8" x14ac:dyDescent="0.2">
      <c r="B66" s="42" t="s">
        <v>28</v>
      </c>
      <c r="C66" s="27" t="s">
        <v>16</v>
      </c>
      <c r="D66" s="30">
        <v>6</v>
      </c>
      <c r="E66" s="66">
        <v>200</v>
      </c>
      <c r="F66" s="60" t="s">
        <v>4</v>
      </c>
      <c r="G66" s="328">
        <f t="shared" si="2"/>
        <v>2.5286896551724136</v>
      </c>
      <c r="H66" s="118">
        <v>252.86896551724135</v>
      </c>
    </row>
    <row r="67" spans="1:8" x14ac:dyDescent="0.2">
      <c r="B67" s="42" t="s">
        <v>28</v>
      </c>
      <c r="C67" s="27" t="s">
        <v>16</v>
      </c>
      <c r="D67" s="30">
        <v>8</v>
      </c>
      <c r="E67" s="66">
        <v>200</v>
      </c>
      <c r="F67" s="60" t="s">
        <v>4</v>
      </c>
      <c r="G67" s="328">
        <f t="shared" si="2"/>
        <v>4.4116271186440681</v>
      </c>
      <c r="H67" s="118">
        <v>441.16271186440679</v>
      </c>
    </row>
    <row r="68" spans="1:8" x14ac:dyDescent="0.2">
      <c r="B68" s="32"/>
      <c r="C68" s="32"/>
      <c r="D68" s="32"/>
      <c r="E68" s="35"/>
      <c r="F68" s="32"/>
      <c r="H68" s="32"/>
    </row>
    <row r="69" spans="1:8" x14ac:dyDescent="0.2">
      <c r="B69" s="36" t="s">
        <v>86</v>
      </c>
      <c r="C69" s="279"/>
      <c r="D69" s="130"/>
      <c r="E69" s="280"/>
      <c r="F69" s="280"/>
      <c r="G69" s="280"/>
      <c r="H69" s="121"/>
    </row>
    <row r="70" spans="1:8" x14ac:dyDescent="0.2">
      <c r="B70" s="76" t="s">
        <v>86</v>
      </c>
      <c r="C70" s="278" t="s">
        <v>46</v>
      </c>
      <c r="D70" s="273">
        <v>3</v>
      </c>
      <c r="E70" s="128">
        <v>200</v>
      </c>
      <c r="F70" s="128" t="s">
        <v>4</v>
      </c>
      <c r="G70" s="328">
        <f>(H70/100)</f>
        <v>0.40650230769230772</v>
      </c>
      <c r="H70" s="120">
        <v>40.650230769230774</v>
      </c>
    </row>
    <row r="71" spans="1:8" x14ac:dyDescent="0.2">
      <c r="B71" s="42" t="s">
        <v>86</v>
      </c>
      <c r="C71" s="44" t="s">
        <v>46</v>
      </c>
      <c r="D71" s="43">
        <v>4</v>
      </c>
      <c r="E71" s="66">
        <v>200</v>
      </c>
      <c r="F71" s="66" t="s">
        <v>4</v>
      </c>
      <c r="G71" s="328">
        <f t="shared" ref="G71:G74" si="3">(H71/100)</f>
        <v>0.44842909090909105</v>
      </c>
      <c r="H71" s="118">
        <v>44.842909090909103</v>
      </c>
    </row>
    <row r="72" spans="1:8" x14ac:dyDescent="0.2">
      <c r="B72" s="42" t="s">
        <v>86</v>
      </c>
      <c r="C72" s="44" t="s">
        <v>46</v>
      </c>
      <c r="D72" s="43">
        <v>5</v>
      </c>
      <c r="E72" s="66">
        <v>200</v>
      </c>
      <c r="F72" s="66" t="s">
        <v>4</v>
      </c>
      <c r="G72" s="328">
        <f t="shared" si="3"/>
        <v>0.63120489795918366</v>
      </c>
      <c r="H72" s="118">
        <v>63.120489795918367</v>
      </c>
    </row>
    <row r="73" spans="1:8" x14ac:dyDescent="0.2">
      <c r="B73" s="42" t="s">
        <v>86</v>
      </c>
      <c r="C73" s="44" t="s">
        <v>46</v>
      </c>
      <c r="D73" s="43">
        <v>6</v>
      </c>
      <c r="E73" s="66">
        <v>200</v>
      </c>
      <c r="F73" s="66" t="s">
        <v>4</v>
      </c>
      <c r="G73" s="328">
        <f t="shared" si="3"/>
        <v>0.70736326530612248</v>
      </c>
      <c r="H73" s="118">
        <v>70.736326530612246</v>
      </c>
    </row>
    <row r="74" spans="1:8" x14ac:dyDescent="0.2">
      <c r="B74" s="42" t="s">
        <v>86</v>
      </c>
      <c r="C74" s="44" t="s">
        <v>46</v>
      </c>
      <c r="D74" s="43">
        <v>8</v>
      </c>
      <c r="E74" s="66">
        <v>200</v>
      </c>
      <c r="F74" s="66" t="s">
        <v>4</v>
      </c>
      <c r="G74" s="328">
        <f t="shared" si="3"/>
        <v>1.2116571428571432</v>
      </c>
      <c r="H74" s="118">
        <v>121.16571428571432</v>
      </c>
    </row>
    <row r="76" spans="1:8" x14ac:dyDescent="0.2">
      <c r="A76" s="104"/>
      <c r="B76" s="36" t="s">
        <v>217</v>
      </c>
      <c r="C76" s="37"/>
      <c r="D76" s="38"/>
      <c r="E76" s="59"/>
      <c r="F76" s="40"/>
      <c r="G76" s="40"/>
      <c r="H76" s="121"/>
    </row>
    <row r="77" spans="1:8" x14ac:dyDescent="0.2">
      <c r="A77" s="104"/>
      <c r="B77" s="257" t="s">
        <v>217</v>
      </c>
      <c r="C77" s="85" t="s">
        <v>11</v>
      </c>
      <c r="D77" s="273">
        <v>3</v>
      </c>
      <c r="E77" s="128">
        <v>200</v>
      </c>
      <c r="F77" s="86" t="s">
        <v>4</v>
      </c>
      <c r="G77" s="328">
        <f>(H77/100)</f>
        <v>0.61520666666666668</v>
      </c>
      <c r="H77" s="120">
        <v>61.520666666666671</v>
      </c>
    </row>
    <row r="78" spans="1:8" x14ac:dyDescent="0.2">
      <c r="A78" s="104"/>
      <c r="B78" s="257" t="s">
        <v>217</v>
      </c>
      <c r="C78" s="85" t="s">
        <v>11</v>
      </c>
      <c r="D78" s="273">
        <v>4</v>
      </c>
      <c r="E78" s="128">
        <v>200</v>
      </c>
      <c r="F78" s="86" t="s">
        <v>4</v>
      </c>
      <c r="G78" s="328">
        <f t="shared" ref="G78:G81" si="4">(H78/100)</f>
        <v>0.6849333333333335</v>
      </c>
      <c r="H78" s="120">
        <v>68.493333333333354</v>
      </c>
    </row>
    <row r="79" spans="1:8" x14ac:dyDescent="0.2">
      <c r="A79" s="104"/>
      <c r="B79" s="45" t="s">
        <v>217</v>
      </c>
      <c r="C79" s="27" t="s">
        <v>11</v>
      </c>
      <c r="D79" s="43">
        <v>5</v>
      </c>
      <c r="E79" s="66">
        <v>200</v>
      </c>
      <c r="F79" s="29" t="s">
        <v>4</v>
      </c>
      <c r="G79" s="328">
        <f t="shared" si="4"/>
        <v>1.4888666666666668</v>
      </c>
      <c r="H79" s="118">
        <v>148.88666666666668</v>
      </c>
    </row>
    <row r="80" spans="1:8" x14ac:dyDescent="0.2">
      <c r="A80" s="104"/>
      <c r="B80" s="45" t="s">
        <v>217</v>
      </c>
      <c r="C80" s="27" t="s">
        <v>11</v>
      </c>
      <c r="D80" s="43">
        <v>6</v>
      </c>
      <c r="E80" s="66">
        <v>200</v>
      </c>
      <c r="F80" s="29" t="s">
        <v>4</v>
      </c>
      <c r="G80" s="328">
        <f t="shared" si="4"/>
        <v>1.5157333333333332</v>
      </c>
      <c r="H80" s="118">
        <v>151.57333333333332</v>
      </c>
    </row>
    <row r="81" spans="1:8" x14ac:dyDescent="0.2">
      <c r="A81" s="104"/>
      <c r="B81" s="45" t="s">
        <v>217</v>
      </c>
      <c r="C81" s="27" t="s">
        <v>11</v>
      </c>
      <c r="D81" s="43">
        <v>8</v>
      </c>
      <c r="E81" s="66">
        <v>200</v>
      </c>
      <c r="F81" s="29" t="s">
        <v>4</v>
      </c>
      <c r="G81" s="328">
        <f t="shared" si="4"/>
        <v>3.9346666666666668</v>
      </c>
      <c r="H81" s="118">
        <v>393.4666666666667</v>
      </c>
    </row>
    <row r="82" spans="1:8" x14ac:dyDescent="0.2">
      <c r="B82" s="32"/>
      <c r="C82" s="32"/>
      <c r="D82" s="32"/>
      <c r="E82" s="35"/>
      <c r="F82" s="32"/>
      <c r="H82" s="115"/>
    </row>
    <row r="83" spans="1:8" x14ac:dyDescent="0.2">
      <c r="B83" s="36" t="s">
        <v>34</v>
      </c>
      <c r="C83" s="37"/>
      <c r="D83" s="38"/>
      <c r="E83" s="59"/>
      <c r="F83" s="40"/>
      <c r="G83" s="40"/>
      <c r="H83" s="121"/>
    </row>
    <row r="84" spans="1:8" x14ac:dyDescent="0.2">
      <c r="B84" s="257" t="s">
        <v>34</v>
      </c>
      <c r="C84" s="85" t="s">
        <v>11</v>
      </c>
      <c r="D84" s="273">
        <v>2.8</v>
      </c>
      <c r="E84" s="128">
        <v>200</v>
      </c>
      <c r="F84" s="86" t="s">
        <v>4</v>
      </c>
      <c r="G84" s="328">
        <f>(H84/100)</f>
        <v>0.29609333333333338</v>
      </c>
      <c r="H84" s="120">
        <v>29.609333333333339</v>
      </c>
    </row>
    <row r="85" spans="1:8" x14ac:dyDescent="0.2">
      <c r="B85" s="45" t="s">
        <v>34</v>
      </c>
      <c r="C85" s="27" t="s">
        <v>11</v>
      </c>
      <c r="D85" s="43">
        <v>3.8</v>
      </c>
      <c r="E85" s="66">
        <v>200</v>
      </c>
      <c r="F85" s="29" t="s">
        <v>4</v>
      </c>
      <c r="G85" s="328">
        <f t="shared" ref="G85:G90" si="5">(H85/100)</f>
        <v>0.3237888888888889</v>
      </c>
      <c r="H85" s="118">
        <v>32.378888888888888</v>
      </c>
    </row>
    <row r="86" spans="1:8" x14ac:dyDescent="0.2">
      <c r="B86" s="45" t="s">
        <v>34</v>
      </c>
      <c r="C86" s="27" t="s">
        <v>11</v>
      </c>
      <c r="D86" s="43">
        <v>4.8</v>
      </c>
      <c r="E86" s="66">
        <v>200</v>
      </c>
      <c r="F86" s="29" t="s">
        <v>4</v>
      </c>
      <c r="G86" s="328">
        <f t="shared" si="5"/>
        <v>0.39301224489795927</v>
      </c>
      <c r="H86" s="118">
        <v>39.301224489795928</v>
      </c>
    </row>
    <row r="87" spans="1:8" x14ac:dyDescent="0.2">
      <c r="B87" s="45" t="s">
        <v>34</v>
      </c>
      <c r="C87" s="132" t="s">
        <v>11</v>
      </c>
      <c r="D87" s="43">
        <v>5.8</v>
      </c>
      <c r="E87" s="66">
        <v>200</v>
      </c>
      <c r="F87" s="29" t="s">
        <v>4</v>
      </c>
      <c r="G87" s="328">
        <f t="shared" si="5"/>
        <v>0.6513000000000001</v>
      </c>
      <c r="H87" s="118">
        <v>65.13000000000001</v>
      </c>
    </row>
    <row r="88" spans="1:8" x14ac:dyDescent="0.2">
      <c r="B88" s="45" t="s">
        <v>34</v>
      </c>
      <c r="C88" s="132" t="s">
        <v>11</v>
      </c>
      <c r="D88" s="43">
        <v>6.8</v>
      </c>
      <c r="E88" s="66">
        <v>200</v>
      </c>
      <c r="F88" s="29" t="s">
        <v>4</v>
      </c>
      <c r="G88" s="328">
        <f t="shared" si="5"/>
        <v>0.77428163265306127</v>
      </c>
      <c r="H88" s="118">
        <v>77.428163265306125</v>
      </c>
    </row>
    <row r="89" spans="1:8" x14ac:dyDescent="0.2">
      <c r="B89" s="42" t="s">
        <v>34</v>
      </c>
      <c r="C89" s="132" t="s">
        <v>11</v>
      </c>
      <c r="D89" s="43">
        <v>7.8</v>
      </c>
      <c r="E89" s="66">
        <v>200</v>
      </c>
      <c r="F89" s="29" t="s">
        <v>4</v>
      </c>
      <c r="G89" s="328">
        <f t="shared" si="5"/>
        <v>0.88809795918367351</v>
      </c>
      <c r="H89" s="118">
        <v>88.809795918367357</v>
      </c>
    </row>
    <row r="90" spans="1:8" x14ac:dyDescent="0.2">
      <c r="B90" s="42" t="s">
        <v>34</v>
      </c>
      <c r="C90" s="132" t="s">
        <v>11</v>
      </c>
      <c r="D90" s="43">
        <v>9.8000000000000007</v>
      </c>
      <c r="E90" s="66">
        <v>200</v>
      </c>
      <c r="F90" s="123" t="s">
        <v>4</v>
      </c>
      <c r="G90" s="328">
        <f t="shared" si="5"/>
        <v>1.4411142857142858</v>
      </c>
      <c r="H90" s="118">
        <v>144.11142857142858</v>
      </c>
    </row>
    <row r="91" spans="1:8" x14ac:dyDescent="0.2">
      <c r="B91" s="32"/>
      <c r="C91" s="32"/>
      <c r="D91" s="32"/>
      <c r="E91" s="35"/>
      <c r="F91" s="32"/>
      <c r="H91" s="115"/>
    </row>
    <row r="92" spans="1:8" x14ac:dyDescent="0.2">
      <c r="B92" s="36" t="s">
        <v>34</v>
      </c>
      <c r="C92" s="37"/>
      <c r="D92" s="38"/>
      <c r="E92" s="59"/>
      <c r="F92" s="40"/>
      <c r="G92" s="40"/>
      <c r="H92" s="121"/>
    </row>
    <row r="93" spans="1:8" x14ac:dyDescent="0.2">
      <c r="B93" s="257" t="s">
        <v>34</v>
      </c>
      <c r="C93" s="136" t="s">
        <v>48</v>
      </c>
      <c r="D93" s="273">
        <v>2.8</v>
      </c>
      <c r="E93" s="128">
        <v>200</v>
      </c>
      <c r="F93" s="86" t="s">
        <v>4</v>
      </c>
      <c r="G93" s="328">
        <f>(H93)</f>
        <v>31.276000000000003</v>
      </c>
      <c r="H93" s="120">
        <v>31.276000000000003</v>
      </c>
    </row>
    <row r="94" spans="1:8" x14ac:dyDescent="0.2">
      <c r="B94" s="45" t="s">
        <v>34</v>
      </c>
      <c r="C94" s="132" t="s">
        <v>48</v>
      </c>
      <c r="D94" s="43">
        <v>3.8</v>
      </c>
      <c r="E94" s="66">
        <v>200</v>
      </c>
      <c r="F94" s="29" t="s">
        <v>4</v>
      </c>
      <c r="G94" s="328">
        <f t="shared" ref="G94:G99" si="6">(H94)</f>
        <v>35.573333333333338</v>
      </c>
      <c r="H94" s="118">
        <v>35.573333333333338</v>
      </c>
    </row>
    <row r="95" spans="1:8" x14ac:dyDescent="0.2">
      <c r="B95" s="45" t="s">
        <v>34</v>
      </c>
      <c r="C95" s="132" t="s">
        <v>48</v>
      </c>
      <c r="D95" s="43">
        <v>4.8</v>
      </c>
      <c r="E95" s="66">
        <v>200</v>
      </c>
      <c r="F95" s="29" t="s">
        <v>4</v>
      </c>
      <c r="G95" s="328">
        <f t="shared" si="6"/>
        <v>44.199183673469399</v>
      </c>
      <c r="H95" s="118">
        <v>44.199183673469399</v>
      </c>
    </row>
    <row r="96" spans="1:8" x14ac:dyDescent="0.2">
      <c r="B96" s="45" t="s">
        <v>34</v>
      </c>
      <c r="C96" s="132" t="s">
        <v>48</v>
      </c>
      <c r="D96" s="43">
        <v>5.8</v>
      </c>
      <c r="E96" s="66">
        <v>200</v>
      </c>
      <c r="F96" s="29" t="s">
        <v>4</v>
      </c>
      <c r="G96" s="328">
        <f t="shared" si="6"/>
        <v>72.63000000000001</v>
      </c>
      <c r="H96" s="118">
        <v>72.63000000000001</v>
      </c>
    </row>
    <row r="97" spans="1:8" x14ac:dyDescent="0.2">
      <c r="B97" s="45" t="s">
        <v>34</v>
      </c>
      <c r="C97" s="132" t="s">
        <v>48</v>
      </c>
      <c r="D97" s="43">
        <v>6.8</v>
      </c>
      <c r="E97" s="66">
        <v>200</v>
      </c>
      <c r="F97" s="29" t="s">
        <v>4</v>
      </c>
      <c r="G97" s="328">
        <f t="shared" si="6"/>
        <v>88.754693877551034</v>
      </c>
      <c r="H97" s="118">
        <v>88.754693877551034</v>
      </c>
    </row>
    <row r="98" spans="1:8" x14ac:dyDescent="0.2">
      <c r="B98" s="42" t="s">
        <v>34</v>
      </c>
      <c r="C98" s="132" t="s">
        <v>48</v>
      </c>
      <c r="D98" s="43">
        <v>7.8</v>
      </c>
      <c r="E98" s="66">
        <v>200</v>
      </c>
      <c r="F98" s="29" t="s">
        <v>4</v>
      </c>
      <c r="G98" s="328">
        <f t="shared" si="6"/>
        <v>103.50367346938778</v>
      </c>
      <c r="H98" s="118">
        <v>103.50367346938778</v>
      </c>
    </row>
    <row r="99" spans="1:8" x14ac:dyDescent="0.2">
      <c r="B99" s="42" t="s">
        <v>34</v>
      </c>
      <c r="C99" s="132" t="s">
        <v>48</v>
      </c>
      <c r="D99" s="43">
        <v>9.8000000000000007</v>
      </c>
      <c r="E99" s="66">
        <v>200</v>
      </c>
      <c r="F99" s="123" t="s">
        <v>4</v>
      </c>
      <c r="G99" s="328">
        <f t="shared" si="6"/>
        <v>166.48897959183677</v>
      </c>
      <c r="H99" s="118">
        <v>166.48897959183677</v>
      </c>
    </row>
    <row r="100" spans="1:8" x14ac:dyDescent="0.2">
      <c r="C100" s="32"/>
    </row>
    <row r="101" spans="1:8" x14ac:dyDescent="0.2">
      <c r="A101" s="167"/>
      <c r="B101" s="36" t="s">
        <v>256</v>
      </c>
      <c r="C101" s="279"/>
      <c r="D101" s="130"/>
      <c r="E101" s="280"/>
      <c r="F101" s="280"/>
      <c r="G101" s="280"/>
      <c r="H101" s="121"/>
    </row>
    <row r="102" spans="1:8" x14ac:dyDescent="0.2">
      <c r="A102" s="167"/>
      <c r="B102" s="76" t="s">
        <v>256</v>
      </c>
      <c r="C102" s="281" t="s">
        <v>14</v>
      </c>
      <c r="D102" s="273">
        <v>4</v>
      </c>
      <c r="E102" s="128">
        <v>200</v>
      </c>
      <c r="F102" s="128" t="s">
        <v>4</v>
      </c>
      <c r="G102" s="328">
        <f>(H102/100)</f>
        <v>0.15934065934065933</v>
      </c>
      <c r="H102" s="120">
        <v>15.934065934065933</v>
      </c>
    </row>
    <row r="103" spans="1:8" x14ac:dyDescent="0.2">
      <c r="A103" s="167"/>
      <c r="B103" s="42" t="s">
        <v>256</v>
      </c>
      <c r="C103" s="218" t="s">
        <v>14</v>
      </c>
      <c r="D103" s="43">
        <v>6</v>
      </c>
      <c r="E103" s="66">
        <v>200</v>
      </c>
      <c r="F103" s="66" t="s">
        <v>4</v>
      </c>
      <c r="G103" s="328">
        <f t="shared" ref="G103:G107" si="7">(H103/100)</f>
        <v>0.27597402597402604</v>
      </c>
      <c r="H103" s="118">
        <v>27.597402597402603</v>
      </c>
    </row>
    <row r="104" spans="1:8" x14ac:dyDescent="0.2">
      <c r="A104" s="104"/>
      <c r="B104" s="42" t="s">
        <v>256</v>
      </c>
      <c r="C104" s="218" t="s">
        <v>14</v>
      </c>
      <c r="D104" s="43">
        <v>8</v>
      </c>
      <c r="E104" s="66">
        <v>200</v>
      </c>
      <c r="F104" s="66" t="s">
        <v>4</v>
      </c>
      <c r="G104" s="328">
        <f t="shared" si="7"/>
        <v>0.39358600583090381</v>
      </c>
      <c r="H104" s="118">
        <v>39.358600583090379</v>
      </c>
    </row>
    <row r="105" spans="1:8" x14ac:dyDescent="0.2">
      <c r="A105" s="104"/>
      <c r="B105" s="42" t="s">
        <v>256</v>
      </c>
      <c r="C105" s="218" t="s">
        <v>14</v>
      </c>
      <c r="D105" s="43">
        <v>10</v>
      </c>
      <c r="E105" s="66">
        <v>200</v>
      </c>
      <c r="F105" s="66" t="s">
        <v>4</v>
      </c>
      <c r="G105" s="328">
        <f t="shared" si="7"/>
        <v>0.59037900874635574</v>
      </c>
      <c r="H105" s="118">
        <v>59.037900874635575</v>
      </c>
    </row>
    <row r="106" spans="1:8" x14ac:dyDescent="0.2">
      <c r="A106" s="104"/>
      <c r="B106" s="42" t="s">
        <v>256</v>
      </c>
      <c r="C106" s="218" t="s">
        <v>14</v>
      </c>
      <c r="D106" s="43">
        <v>12</v>
      </c>
      <c r="E106" s="66">
        <v>200</v>
      </c>
      <c r="F106" s="66" t="s">
        <v>4</v>
      </c>
      <c r="G106" s="328">
        <f t="shared" si="7"/>
        <v>0.85276967930029146</v>
      </c>
      <c r="H106" s="118">
        <v>85.276967930029144</v>
      </c>
    </row>
    <row r="107" spans="1:8" x14ac:dyDescent="0.2">
      <c r="A107" s="104"/>
      <c r="B107" s="42" t="s">
        <v>256</v>
      </c>
      <c r="C107" s="218" t="s">
        <v>14</v>
      </c>
      <c r="D107" s="43">
        <v>14</v>
      </c>
      <c r="E107" s="66">
        <v>200</v>
      </c>
      <c r="F107" s="66" t="s">
        <v>4</v>
      </c>
      <c r="G107" s="328">
        <f t="shared" si="7"/>
        <v>1.1807580174927115</v>
      </c>
      <c r="H107" s="118">
        <v>118.07580174927115</v>
      </c>
    </row>
    <row r="108" spans="1:8" x14ac:dyDescent="0.2">
      <c r="B108" s="32"/>
      <c r="C108" s="32"/>
      <c r="D108" s="32"/>
      <c r="E108" s="35"/>
      <c r="F108" s="32"/>
      <c r="H108" s="115"/>
    </row>
    <row r="109" spans="1:8" x14ac:dyDescent="0.2">
      <c r="A109" s="104"/>
      <c r="B109" s="36" t="s">
        <v>257</v>
      </c>
      <c r="C109" s="37"/>
      <c r="D109" s="38"/>
      <c r="E109" s="59"/>
      <c r="F109" s="40"/>
      <c r="G109" s="40"/>
      <c r="H109" s="121"/>
    </row>
    <row r="110" spans="1:8" x14ac:dyDescent="0.2">
      <c r="A110" s="104"/>
      <c r="B110" s="257" t="s">
        <v>257</v>
      </c>
      <c r="C110" s="136" t="s">
        <v>126</v>
      </c>
      <c r="D110" s="273">
        <v>8</v>
      </c>
      <c r="E110" s="128">
        <v>200</v>
      </c>
      <c r="F110" s="86" t="s">
        <v>4</v>
      </c>
      <c r="G110" s="328">
        <f>(H110/100)</f>
        <v>10.068975</v>
      </c>
      <c r="H110" s="120">
        <v>1006.8975</v>
      </c>
    </row>
    <row r="111" spans="1:8" x14ac:dyDescent="0.2">
      <c r="A111" s="104"/>
      <c r="B111" s="45" t="s">
        <v>257</v>
      </c>
      <c r="C111" s="132" t="s">
        <v>126</v>
      </c>
      <c r="D111" s="43">
        <v>11</v>
      </c>
      <c r="E111" s="66">
        <v>200</v>
      </c>
      <c r="F111" s="29" t="s">
        <v>4</v>
      </c>
      <c r="G111" s="328">
        <f>(H111/100)</f>
        <v>16.002250000000004</v>
      </c>
      <c r="H111" s="118">
        <v>1600.2250000000004</v>
      </c>
    </row>
    <row r="112" spans="1:8" x14ac:dyDescent="0.2">
      <c r="A112" s="104"/>
      <c r="B112" s="45" t="s">
        <v>257</v>
      </c>
      <c r="C112" s="132" t="s">
        <v>126</v>
      </c>
      <c r="D112" s="43">
        <v>15</v>
      </c>
      <c r="E112" s="66">
        <v>200</v>
      </c>
      <c r="F112" s="123" t="s">
        <v>4</v>
      </c>
      <c r="G112" s="328">
        <f>(H112/100)</f>
        <v>26.690356000000005</v>
      </c>
      <c r="H112" s="118">
        <v>2669.0356000000006</v>
      </c>
    </row>
    <row r="113" spans="1:8" x14ac:dyDescent="0.2">
      <c r="A113" s="104"/>
      <c r="B113" s="32"/>
      <c r="C113" s="32"/>
      <c r="D113" s="32"/>
      <c r="E113" s="35"/>
      <c r="F113" s="32"/>
      <c r="H113" s="115"/>
    </row>
    <row r="114" spans="1:8" x14ac:dyDescent="0.2">
      <c r="A114" s="104"/>
      <c r="B114" s="36" t="s">
        <v>258</v>
      </c>
      <c r="C114" s="37"/>
      <c r="D114" s="38"/>
      <c r="E114" s="59"/>
      <c r="F114" s="40"/>
      <c r="G114" s="40"/>
      <c r="H114" s="121"/>
    </row>
    <row r="115" spans="1:8" x14ac:dyDescent="0.2">
      <c r="A115" s="104"/>
      <c r="B115" s="257" t="s">
        <v>264</v>
      </c>
      <c r="C115" s="136"/>
      <c r="D115" s="141">
        <v>8</v>
      </c>
      <c r="E115" s="128">
        <v>1</v>
      </c>
      <c r="F115" s="86" t="s">
        <v>4</v>
      </c>
      <c r="G115" s="328">
        <f>(H115/100)</f>
        <v>0.60009601536245805</v>
      </c>
      <c r="H115" s="120">
        <v>60.009601536245803</v>
      </c>
    </row>
    <row r="116" spans="1:8" x14ac:dyDescent="0.2">
      <c r="A116" s="104"/>
      <c r="B116" s="45" t="s">
        <v>264</v>
      </c>
      <c r="C116" s="132"/>
      <c r="D116" s="135" t="s">
        <v>162</v>
      </c>
      <c r="E116" s="66">
        <v>1</v>
      </c>
      <c r="F116" s="29" t="s">
        <v>4</v>
      </c>
      <c r="G116" s="328">
        <f>(H116/100)</f>
        <v>0.60009601536245805</v>
      </c>
      <c r="H116" s="118">
        <v>60.009601536245803</v>
      </c>
    </row>
    <row r="117" spans="1:8" x14ac:dyDescent="0.2">
      <c r="A117" s="104"/>
      <c r="B117" s="32"/>
      <c r="C117" s="32"/>
      <c r="D117" s="32"/>
      <c r="E117" s="35"/>
      <c r="F117" s="32"/>
      <c r="H117" s="115"/>
    </row>
    <row r="118" spans="1:8" x14ac:dyDescent="0.2">
      <c r="B118" s="46" t="s">
        <v>112</v>
      </c>
      <c r="C118" s="47"/>
      <c r="D118" s="48"/>
      <c r="E118" s="64"/>
      <c r="F118" s="64"/>
      <c r="G118" s="64"/>
      <c r="H118" s="41"/>
    </row>
    <row r="119" spans="1:8" x14ac:dyDescent="0.2">
      <c r="B119" s="26" t="s">
        <v>112</v>
      </c>
      <c r="C119" s="27" t="s">
        <v>7</v>
      </c>
      <c r="D119" s="30">
        <v>4</v>
      </c>
      <c r="E119" s="66">
        <v>200</v>
      </c>
      <c r="F119" s="29" t="s">
        <v>4</v>
      </c>
      <c r="G119" s="328">
        <f>(H119/100)</f>
        <v>0.70530612244897961</v>
      </c>
      <c r="H119" s="118">
        <v>70.530612244897966</v>
      </c>
    </row>
    <row r="120" spans="1:8" x14ac:dyDescent="0.2">
      <c r="B120" s="26" t="s">
        <v>112</v>
      </c>
      <c r="C120" s="27" t="s">
        <v>7</v>
      </c>
      <c r="D120" s="30">
        <v>5</v>
      </c>
      <c r="E120" s="66">
        <v>200</v>
      </c>
      <c r="F120" s="29" t="s">
        <v>4</v>
      </c>
      <c r="G120" s="328">
        <f t="shared" ref="G120:G122" si="8">(H120/100)</f>
        <v>0.8763428571428572</v>
      </c>
      <c r="H120" s="118">
        <v>87.634285714285724</v>
      </c>
    </row>
    <row r="121" spans="1:8" x14ac:dyDescent="0.2">
      <c r="A121" s="104"/>
      <c r="B121" s="26" t="s">
        <v>112</v>
      </c>
      <c r="C121" s="27" t="s">
        <v>7</v>
      </c>
      <c r="D121" s="30">
        <v>6</v>
      </c>
      <c r="E121" s="66">
        <v>200</v>
      </c>
      <c r="F121" s="29" t="s">
        <v>4</v>
      </c>
      <c r="G121" s="328">
        <f t="shared" si="8"/>
        <v>1.0491428571428574</v>
      </c>
      <c r="H121" s="118">
        <v>104.91428571428574</v>
      </c>
    </row>
    <row r="122" spans="1:8" x14ac:dyDescent="0.2">
      <c r="A122" s="104"/>
      <c r="B122" s="26" t="s">
        <v>112</v>
      </c>
      <c r="C122" s="27" t="s">
        <v>7</v>
      </c>
      <c r="D122" s="30">
        <v>10</v>
      </c>
      <c r="E122" s="66">
        <v>200</v>
      </c>
      <c r="F122" s="123" t="s">
        <v>4</v>
      </c>
      <c r="G122" s="328">
        <f t="shared" si="8"/>
        <v>2.207461224489796</v>
      </c>
      <c r="H122" s="118">
        <v>220.74612244897961</v>
      </c>
    </row>
    <row r="123" spans="1:8" x14ac:dyDescent="0.2">
      <c r="A123" s="104"/>
      <c r="B123" s="32"/>
      <c r="C123" s="32"/>
      <c r="D123" s="32"/>
      <c r="E123" s="35"/>
      <c r="F123" s="32"/>
      <c r="G123" s="115"/>
    </row>
    <row r="124" spans="1:8" x14ac:dyDescent="0.2">
      <c r="A124" s="104"/>
    </row>
    <row r="125" spans="1:8" x14ac:dyDescent="0.2">
      <c r="A125" s="104"/>
    </row>
  </sheetData>
  <phoneticPr fontId="5" type="noConversion"/>
  <pageMargins left="0.74803149606299213" right="0.74803149606299213" top="0.98425196850393704" bottom="0.98425196850393704" header="0" footer="0"/>
  <pageSetup paperSize="9" fitToHeight="0" orientation="portrait" horizontalDpi="300" verticalDpi="300" r:id="rId1"/>
  <headerFooter alignWithMargins="0"/>
  <ignoredErrors>
    <ignoredError sqref="E60:E6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56"/>
  <sheetViews>
    <sheetView topLeftCell="A40" zoomScaleNormal="100" workbookViewId="0">
      <selection activeCell="K38" sqref="K38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2.28515625" customWidth="1"/>
    <col min="8" max="8" width="14.710937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53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3" spans="1:8" ht="13.5" thickBot="1" x14ac:dyDescent="0.25">
      <c r="B23" s="32"/>
      <c r="C23" s="32"/>
      <c r="D23" s="32"/>
      <c r="E23" s="32"/>
      <c r="F23" s="32"/>
      <c r="G23" s="32"/>
    </row>
    <row r="24" spans="1:8" ht="24.75" customHeight="1" thickTop="1" x14ac:dyDescent="0.2">
      <c r="B24" s="152" t="s">
        <v>73</v>
      </c>
      <c r="C24" s="153"/>
      <c r="D24" s="154"/>
      <c r="E24" s="155"/>
      <c r="F24" s="156"/>
      <c r="G24" s="332" t="s">
        <v>69</v>
      </c>
      <c r="H24" s="332"/>
    </row>
    <row r="25" spans="1:8" x14ac:dyDescent="0.2">
      <c r="B25" s="32"/>
      <c r="C25" s="32"/>
      <c r="D25" s="32"/>
      <c r="E25" s="32"/>
      <c r="F25" s="32"/>
      <c r="G25" s="32"/>
      <c r="H25" s="32"/>
    </row>
    <row r="26" spans="1:8" x14ac:dyDescent="0.2">
      <c r="B26" s="82" t="s">
        <v>0</v>
      </c>
      <c r="C26" s="82" t="s">
        <v>1</v>
      </c>
      <c r="D26" s="143" t="s">
        <v>2</v>
      </c>
      <c r="E26" s="83" t="s">
        <v>3</v>
      </c>
      <c r="F26" s="83"/>
      <c r="G26" s="256" t="str">
        <f>'Pro Race'!G26</f>
        <v>Retail  €/mt</v>
      </c>
      <c r="H26" s="256" t="str">
        <f>'Pro Race'!H26</f>
        <v>Retail  €/100mt</v>
      </c>
    </row>
    <row r="27" spans="1:8" x14ac:dyDescent="0.2">
      <c r="B27" s="46" t="s">
        <v>22</v>
      </c>
      <c r="C27" s="47"/>
      <c r="D27" s="48"/>
      <c r="E27" s="47"/>
      <c r="F27" s="64"/>
      <c r="G27" s="41"/>
      <c r="H27" s="41"/>
    </row>
    <row r="28" spans="1:8" x14ac:dyDescent="0.2">
      <c r="A28" s="104"/>
      <c r="B28" s="84" t="s">
        <v>22</v>
      </c>
      <c r="C28" s="85" t="s">
        <v>7</v>
      </c>
      <c r="D28" s="263">
        <v>2.5</v>
      </c>
      <c r="E28" s="107">
        <v>200</v>
      </c>
      <c r="F28" s="86" t="s">
        <v>4</v>
      </c>
      <c r="G28" s="328">
        <f>(H28/100)</f>
        <v>0.83031750000000015</v>
      </c>
      <c r="H28" s="112">
        <v>83.031750000000017</v>
      </c>
    </row>
    <row r="29" spans="1:8" x14ac:dyDescent="0.2">
      <c r="A29" s="104"/>
      <c r="B29" s="26" t="s">
        <v>22</v>
      </c>
      <c r="C29" s="27" t="s">
        <v>7</v>
      </c>
      <c r="D29" s="30">
        <v>3</v>
      </c>
      <c r="E29" s="71">
        <v>200</v>
      </c>
      <c r="F29" s="29" t="s">
        <v>4</v>
      </c>
      <c r="G29" s="328">
        <f t="shared" ref="G29:G34" si="0">(H29/100)</f>
        <v>1.3127812500000002</v>
      </c>
      <c r="H29" s="111">
        <v>131.27812500000002</v>
      </c>
    </row>
    <row r="30" spans="1:8" x14ac:dyDescent="0.2">
      <c r="A30" s="104"/>
      <c r="B30" s="26" t="s">
        <v>22</v>
      </c>
      <c r="C30" s="27" t="s">
        <v>7</v>
      </c>
      <c r="D30" s="30">
        <v>4</v>
      </c>
      <c r="E30" s="71">
        <v>200</v>
      </c>
      <c r="F30" s="29" t="s">
        <v>4</v>
      </c>
      <c r="G30" s="328">
        <f t="shared" si="0"/>
        <v>1.8109014084507045</v>
      </c>
      <c r="H30" s="111">
        <v>181.09014084507044</v>
      </c>
    </row>
    <row r="31" spans="1:8" x14ac:dyDescent="0.2">
      <c r="A31" s="104"/>
      <c r="B31" s="26" t="s">
        <v>22</v>
      </c>
      <c r="C31" s="27" t="s">
        <v>7</v>
      </c>
      <c r="D31" s="30">
        <v>5</v>
      </c>
      <c r="E31" s="71">
        <v>200</v>
      </c>
      <c r="F31" s="29" t="s">
        <v>4</v>
      </c>
      <c r="G31" s="328">
        <f t="shared" si="0"/>
        <v>3.4230000000000005</v>
      </c>
      <c r="H31" s="111">
        <v>342.30000000000007</v>
      </c>
    </row>
    <row r="32" spans="1:8" x14ac:dyDescent="0.2">
      <c r="A32" s="104"/>
      <c r="B32" s="26" t="s">
        <v>22</v>
      </c>
      <c r="C32" s="27" t="s">
        <v>7</v>
      </c>
      <c r="D32" s="30">
        <v>6</v>
      </c>
      <c r="E32" s="71">
        <v>200</v>
      </c>
      <c r="F32" s="29" t="s">
        <v>4</v>
      </c>
      <c r="G32" s="328">
        <f t="shared" si="0"/>
        <v>4.6249500000000001</v>
      </c>
      <c r="H32" s="111">
        <v>462.495</v>
      </c>
    </row>
    <row r="33" spans="1:8" x14ac:dyDescent="0.2">
      <c r="A33" s="104"/>
      <c r="B33" s="26" t="s">
        <v>22</v>
      </c>
      <c r="C33" s="27" t="s">
        <v>7</v>
      </c>
      <c r="D33" s="30">
        <v>7</v>
      </c>
      <c r="E33" s="71">
        <v>200</v>
      </c>
      <c r="F33" s="29" t="s">
        <v>4</v>
      </c>
      <c r="G33" s="328">
        <f t="shared" si="0"/>
        <v>5.8863000000000003</v>
      </c>
      <c r="H33" s="111">
        <v>588.63</v>
      </c>
    </row>
    <row r="34" spans="1:8" x14ac:dyDescent="0.2">
      <c r="A34" s="104"/>
      <c r="B34" s="26" t="s">
        <v>22</v>
      </c>
      <c r="C34" s="27" t="s">
        <v>7</v>
      </c>
      <c r="D34" s="30">
        <v>8</v>
      </c>
      <c r="E34" s="71">
        <v>200</v>
      </c>
      <c r="F34" s="29" t="s">
        <v>4</v>
      </c>
      <c r="G34" s="328">
        <f t="shared" si="0"/>
        <v>8.1505125000000014</v>
      </c>
      <c r="H34" s="111">
        <v>815.0512500000001</v>
      </c>
    </row>
    <row r="35" spans="1:8" x14ac:dyDescent="0.2">
      <c r="A35" s="8"/>
      <c r="B35" s="53"/>
      <c r="C35" s="51"/>
      <c r="D35" s="52"/>
      <c r="E35" s="106"/>
      <c r="F35" s="33"/>
      <c r="H35" s="122"/>
    </row>
    <row r="36" spans="1:8" x14ac:dyDescent="0.2">
      <c r="B36" s="46" t="s">
        <v>220</v>
      </c>
      <c r="C36" s="47"/>
      <c r="D36" s="48"/>
      <c r="E36" s="47"/>
      <c r="F36" s="64"/>
      <c r="G36" s="64"/>
      <c r="H36" s="41"/>
    </row>
    <row r="37" spans="1:8" x14ac:dyDescent="0.2">
      <c r="B37" s="84" t="s">
        <v>220</v>
      </c>
      <c r="C37" s="85" t="s">
        <v>7</v>
      </c>
      <c r="D37" s="78">
        <v>5</v>
      </c>
      <c r="E37" s="107">
        <v>200</v>
      </c>
      <c r="F37" s="86" t="s">
        <v>4</v>
      </c>
      <c r="G37" s="328">
        <f>(H37/100)</f>
        <v>2.7811875000000001</v>
      </c>
      <c r="H37" s="112">
        <v>278.11875000000003</v>
      </c>
    </row>
    <row r="38" spans="1:8" x14ac:dyDescent="0.2">
      <c r="A38" s="210"/>
      <c r="B38" s="53"/>
      <c r="C38" s="51"/>
      <c r="D38" s="52"/>
      <c r="E38" s="106"/>
      <c r="F38" s="33"/>
      <c r="H38" s="122"/>
    </row>
    <row r="39" spans="1:8" x14ac:dyDescent="0.2">
      <c r="B39" s="46" t="s">
        <v>107</v>
      </c>
      <c r="C39" s="47"/>
      <c r="D39" s="48"/>
      <c r="E39" s="64"/>
      <c r="F39" s="64"/>
      <c r="G39" s="64"/>
      <c r="H39" s="121"/>
    </row>
    <row r="40" spans="1:8" x14ac:dyDescent="0.2">
      <c r="B40" s="84" t="s">
        <v>107</v>
      </c>
      <c r="C40" s="282" t="s">
        <v>11</v>
      </c>
      <c r="D40" s="263">
        <v>3.8</v>
      </c>
      <c r="E40" s="107">
        <v>200</v>
      </c>
      <c r="F40" s="251" t="s">
        <v>4</v>
      </c>
      <c r="G40" s="328">
        <f>(H40/100)</f>
        <v>2.5013777777777779</v>
      </c>
      <c r="H40" s="112">
        <v>250.13777777777779</v>
      </c>
    </row>
    <row r="41" spans="1:8" x14ac:dyDescent="0.2">
      <c r="B41" s="62"/>
      <c r="C41" s="62"/>
      <c r="D41" s="32"/>
      <c r="E41" s="32"/>
      <c r="F41" s="32"/>
      <c r="H41" s="32"/>
    </row>
    <row r="42" spans="1:8" x14ac:dyDescent="0.2">
      <c r="B42" s="46" t="s">
        <v>161</v>
      </c>
      <c r="C42" s="47"/>
      <c r="D42" s="48"/>
      <c r="E42" s="64"/>
      <c r="F42" s="64"/>
      <c r="G42" s="64"/>
      <c r="H42" s="41"/>
    </row>
    <row r="43" spans="1:8" x14ac:dyDescent="0.2">
      <c r="A43" s="73"/>
      <c r="B43" s="84" t="s">
        <v>161</v>
      </c>
      <c r="C43" s="85" t="s">
        <v>11</v>
      </c>
      <c r="D43" s="87">
        <v>1.7</v>
      </c>
      <c r="E43" s="107">
        <v>200</v>
      </c>
      <c r="F43" s="79" t="s">
        <v>4</v>
      </c>
      <c r="G43" s="328">
        <f>(H43/100)</f>
        <v>0.59837288135593225</v>
      </c>
      <c r="H43" s="112">
        <v>59.837288135593226</v>
      </c>
    </row>
    <row r="44" spans="1:8" x14ac:dyDescent="0.2">
      <c r="B44" s="62"/>
      <c r="C44" s="62"/>
      <c r="D44" s="32"/>
      <c r="E44" s="32"/>
      <c r="F44" s="32"/>
      <c r="H44" s="32"/>
    </row>
    <row r="45" spans="1:8" x14ac:dyDescent="0.2">
      <c r="B45" s="46" t="s">
        <v>188</v>
      </c>
      <c r="C45" s="47"/>
      <c r="D45" s="48"/>
      <c r="E45" s="64"/>
      <c r="F45" s="64"/>
      <c r="G45" s="64"/>
      <c r="H45" s="41"/>
    </row>
    <row r="46" spans="1:8" x14ac:dyDescent="0.2">
      <c r="A46" s="73"/>
      <c r="B46" s="84" t="s">
        <v>188</v>
      </c>
      <c r="C46" s="85" t="s">
        <v>11</v>
      </c>
      <c r="D46" s="87">
        <v>1</v>
      </c>
      <c r="E46" s="107">
        <v>200</v>
      </c>
      <c r="F46" s="79" t="s">
        <v>4</v>
      </c>
      <c r="G46" s="328">
        <f>(H46/100)</f>
        <v>0.42305084745762722</v>
      </c>
      <c r="H46" s="112">
        <v>42.30508474576272</v>
      </c>
    </row>
    <row r="47" spans="1:8" x14ac:dyDescent="0.2">
      <c r="A47" s="73"/>
      <c r="B47" s="26" t="s">
        <v>188</v>
      </c>
      <c r="C47" s="27" t="s">
        <v>11</v>
      </c>
      <c r="D47" s="31">
        <v>1.7</v>
      </c>
      <c r="E47" s="71">
        <v>200</v>
      </c>
      <c r="F47" s="60" t="s">
        <v>4</v>
      </c>
      <c r="G47" s="328">
        <f>(H47/100)</f>
        <v>0.70649491525423747</v>
      </c>
      <c r="H47" s="111">
        <v>70.649491525423741</v>
      </c>
    </row>
    <row r="48" spans="1:8" x14ac:dyDescent="0.2">
      <c r="B48" s="62"/>
      <c r="C48" s="62"/>
      <c r="D48" s="32"/>
      <c r="E48" s="32"/>
      <c r="F48" s="32"/>
      <c r="H48" s="32"/>
    </row>
    <row r="49" spans="1:8" x14ac:dyDescent="0.2">
      <c r="A49" s="104"/>
      <c r="B49" s="46" t="s">
        <v>218</v>
      </c>
      <c r="C49" s="47"/>
      <c r="D49" s="48"/>
      <c r="E49" s="64"/>
      <c r="F49" s="64"/>
      <c r="G49" s="64"/>
      <c r="H49" s="41"/>
    </row>
    <row r="50" spans="1:8" x14ac:dyDescent="0.2">
      <c r="A50" s="248"/>
      <c r="B50" s="84" t="s">
        <v>218</v>
      </c>
      <c r="C50" s="85" t="s">
        <v>11</v>
      </c>
      <c r="D50" s="87">
        <v>1.3</v>
      </c>
      <c r="E50" s="107">
        <v>200</v>
      </c>
      <c r="F50" s="79" t="s">
        <v>4</v>
      </c>
      <c r="G50" s="328">
        <f>(H50/100)</f>
        <v>0.57819661016949164</v>
      </c>
      <c r="H50" s="112">
        <v>57.819661016949162</v>
      </c>
    </row>
    <row r="51" spans="1:8" x14ac:dyDescent="0.2">
      <c r="A51" s="104"/>
      <c r="B51" s="53"/>
      <c r="C51" s="32"/>
      <c r="D51" s="32"/>
      <c r="E51" s="32"/>
      <c r="F51" s="32"/>
      <c r="H51" s="32"/>
    </row>
    <row r="52" spans="1:8" x14ac:dyDescent="0.2">
      <c r="A52" s="104"/>
      <c r="B52" s="46" t="s">
        <v>189</v>
      </c>
      <c r="C52" s="47"/>
      <c r="D52" s="48"/>
      <c r="E52" s="64"/>
      <c r="F52" s="49"/>
      <c r="G52" s="49"/>
      <c r="H52" s="41"/>
    </row>
    <row r="53" spans="1:8" x14ac:dyDescent="0.2">
      <c r="A53" s="104"/>
      <c r="B53" s="84" t="s">
        <v>189</v>
      </c>
      <c r="C53" s="85" t="s">
        <v>10</v>
      </c>
      <c r="D53" s="78">
        <v>3</v>
      </c>
      <c r="E53" s="107">
        <v>200</v>
      </c>
      <c r="F53" s="86" t="s">
        <v>4</v>
      </c>
      <c r="G53" s="328">
        <f>(H53/100)</f>
        <v>0.28972653061224496</v>
      </c>
      <c r="H53" s="112">
        <v>28.972653061224495</v>
      </c>
    </row>
    <row r="54" spans="1:8" x14ac:dyDescent="0.2">
      <c r="A54" s="104"/>
      <c r="C54" s="32"/>
      <c r="D54" s="32"/>
      <c r="E54" s="32"/>
      <c r="F54" s="32"/>
      <c r="G54" s="32"/>
    </row>
    <row r="55" spans="1:8" x14ac:dyDescent="0.2">
      <c r="C55" s="32"/>
      <c r="D55" s="32"/>
      <c r="E55" s="32"/>
      <c r="F55" s="32"/>
      <c r="G55" s="32"/>
    </row>
    <row r="56" spans="1:8" x14ac:dyDescent="0.2">
      <c r="C56" s="32"/>
      <c r="D56" s="32"/>
      <c r="E56" s="32"/>
      <c r="F56" s="32"/>
      <c r="G56" s="32"/>
    </row>
  </sheetData>
  <mergeCells count="1">
    <mergeCell ref="G24:H24"/>
  </mergeCells>
  <phoneticPr fontId="5" type="noConversion"/>
  <pageMargins left="0.74803149606299213" right="0.74803149606299213" top="0.98425196850393704" bottom="0.98425196850393704" header="0" footer="0"/>
  <pageSetup paperSize="9" fitToHeight="0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H119"/>
  <sheetViews>
    <sheetView topLeftCell="A22" zoomScaleNormal="100" workbookViewId="0">
      <selection activeCell="K118" sqref="K118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1.85546875" customWidth="1"/>
    <col min="8" max="8" width="13.5703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3" spans="2:8" ht="13.5" thickBot="1" x14ac:dyDescent="0.25"/>
    <row r="24" spans="2:8" ht="24.75" customHeight="1" thickTop="1" x14ac:dyDescent="0.2">
      <c r="B24" s="152" t="s">
        <v>74</v>
      </c>
      <c r="C24" s="153"/>
      <c r="D24" s="154"/>
      <c r="E24" s="155"/>
      <c r="F24" s="156"/>
      <c r="G24" s="326" t="s">
        <v>69</v>
      </c>
      <c r="H24" s="326"/>
    </row>
    <row r="25" spans="2:8" x14ac:dyDescent="0.2">
      <c r="C25" s="32"/>
      <c r="D25" s="32"/>
      <c r="E25" s="32"/>
      <c r="F25" s="32"/>
      <c r="G25" s="32"/>
      <c r="H25" s="32"/>
    </row>
    <row r="26" spans="2:8" x14ac:dyDescent="0.2">
      <c r="B26" s="82" t="s">
        <v>0</v>
      </c>
      <c r="C26" s="82" t="s">
        <v>1</v>
      </c>
      <c r="D26" s="283" t="s">
        <v>2</v>
      </c>
      <c r="E26" s="82" t="s">
        <v>3</v>
      </c>
      <c r="F26" s="83"/>
      <c r="G26" s="256" t="str">
        <f>'Pro Race'!G26</f>
        <v>Retail  €/mt</v>
      </c>
      <c r="H26" s="256" t="str">
        <f>'Pro Race'!H26</f>
        <v>Retail  €/100mt</v>
      </c>
    </row>
    <row r="27" spans="2:8" x14ac:dyDescent="0.2">
      <c r="B27" s="36" t="s">
        <v>259</v>
      </c>
      <c r="C27" s="129"/>
      <c r="D27" s="258"/>
      <c r="E27" s="59"/>
      <c r="F27" s="59"/>
      <c r="G27" s="41"/>
      <c r="H27" s="41"/>
    </row>
    <row r="28" spans="2:8" x14ac:dyDescent="0.2">
      <c r="B28" s="76" t="s">
        <v>259</v>
      </c>
      <c r="C28" s="278" t="s">
        <v>11</v>
      </c>
      <c r="D28" s="273">
        <v>4</v>
      </c>
      <c r="E28" s="128">
        <v>200</v>
      </c>
      <c r="F28" s="128" t="s">
        <v>4</v>
      </c>
      <c r="G28" s="328">
        <f>(H28/100)</f>
        <v>0.22792864864864867</v>
      </c>
      <c r="H28" s="112">
        <v>22.792864864864868</v>
      </c>
    </row>
    <row r="29" spans="2:8" x14ac:dyDescent="0.2">
      <c r="B29" s="42" t="s">
        <v>259</v>
      </c>
      <c r="C29" s="44" t="s">
        <v>11</v>
      </c>
      <c r="D29" s="43">
        <v>5</v>
      </c>
      <c r="E29" s="66">
        <v>200</v>
      </c>
      <c r="F29" s="66" t="s">
        <v>4</v>
      </c>
      <c r="G29" s="328">
        <f t="shared" ref="G29:G40" si="0">(H29/100)</f>
        <v>0.3798810810810811</v>
      </c>
      <c r="H29" s="111">
        <v>37.988108108108108</v>
      </c>
    </row>
    <row r="30" spans="2:8" x14ac:dyDescent="0.2">
      <c r="B30" s="42" t="s">
        <v>259</v>
      </c>
      <c r="C30" s="44" t="s">
        <v>11</v>
      </c>
      <c r="D30" s="43">
        <v>6</v>
      </c>
      <c r="E30" s="66">
        <v>200</v>
      </c>
      <c r="F30" s="66" t="s">
        <v>4</v>
      </c>
      <c r="G30" s="328">
        <f t="shared" si="0"/>
        <v>0.4938454054054055</v>
      </c>
      <c r="H30" s="111">
        <v>49.384540540540549</v>
      </c>
    </row>
    <row r="31" spans="2:8" x14ac:dyDescent="0.2">
      <c r="B31" s="42" t="s">
        <v>259</v>
      </c>
      <c r="C31" s="44" t="s">
        <v>11</v>
      </c>
      <c r="D31" s="43">
        <v>8</v>
      </c>
      <c r="E31" s="66">
        <v>200</v>
      </c>
      <c r="F31" s="66" t="s">
        <v>4</v>
      </c>
      <c r="G31" s="328">
        <f t="shared" si="0"/>
        <v>0.65062762500000004</v>
      </c>
      <c r="H31" s="111">
        <v>65.062762500000005</v>
      </c>
    </row>
    <row r="32" spans="2:8" x14ac:dyDescent="0.2">
      <c r="B32" s="42" t="s">
        <v>259</v>
      </c>
      <c r="C32" s="44" t="s">
        <v>11</v>
      </c>
      <c r="D32" s="43">
        <v>10</v>
      </c>
      <c r="E32" s="66">
        <v>200</v>
      </c>
      <c r="F32" s="66" t="s">
        <v>4</v>
      </c>
      <c r="G32" s="328">
        <f t="shared" si="0"/>
        <v>1.0170981818181819</v>
      </c>
      <c r="H32" s="111">
        <v>101.70981818181819</v>
      </c>
    </row>
    <row r="33" spans="2:8" x14ac:dyDescent="0.2">
      <c r="B33" s="42" t="s">
        <v>259</v>
      </c>
      <c r="C33" s="44" t="s">
        <v>11</v>
      </c>
      <c r="D33" s="43">
        <v>12</v>
      </c>
      <c r="E33" s="66">
        <v>200</v>
      </c>
      <c r="F33" s="66" t="s">
        <v>4</v>
      </c>
      <c r="G33" s="328">
        <f t="shared" si="0"/>
        <v>1.4533235625000001</v>
      </c>
      <c r="H33" s="111">
        <v>145.33235625</v>
      </c>
    </row>
    <row r="34" spans="2:8" x14ac:dyDescent="0.2">
      <c r="B34" s="42" t="s">
        <v>259</v>
      </c>
      <c r="C34" s="44" t="s">
        <v>11</v>
      </c>
      <c r="D34" s="43">
        <v>14</v>
      </c>
      <c r="E34" s="66">
        <v>200</v>
      </c>
      <c r="F34" s="66" t="s">
        <v>4</v>
      </c>
      <c r="G34" s="328">
        <f t="shared" si="0"/>
        <v>1.8547228125000002</v>
      </c>
      <c r="H34" s="111">
        <v>185.47228125000001</v>
      </c>
    </row>
    <row r="35" spans="2:8" x14ac:dyDescent="0.2">
      <c r="B35" s="42" t="s">
        <v>259</v>
      </c>
      <c r="C35" s="44" t="s">
        <v>11</v>
      </c>
      <c r="D35" s="43">
        <v>16</v>
      </c>
      <c r="E35" s="66">
        <v>100</v>
      </c>
      <c r="F35" s="66" t="s">
        <v>4</v>
      </c>
      <c r="G35" s="328">
        <f t="shared" si="0"/>
        <v>2.3479640624999996</v>
      </c>
      <c r="H35" s="111">
        <v>234.79640624999996</v>
      </c>
    </row>
    <row r="36" spans="2:8" x14ac:dyDescent="0.2">
      <c r="B36" s="42" t="s">
        <v>259</v>
      </c>
      <c r="C36" s="44" t="s">
        <v>11</v>
      </c>
      <c r="D36" s="43">
        <v>18</v>
      </c>
      <c r="E36" s="66">
        <v>100</v>
      </c>
      <c r="F36" s="66" t="s">
        <v>4</v>
      </c>
      <c r="G36" s="328">
        <f t="shared" si="0"/>
        <v>3.0647047499999989</v>
      </c>
      <c r="H36" s="111">
        <v>306.47047499999991</v>
      </c>
    </row>
    <row r="37" spans="2:8" x14ac:dyDescent="0.2">
      <c r="B37" s="42" t="s">
        <v>259</v>
      </c>
      <c r="C37" s="44" t="s">
        <v>11</v>
      </c>
      <c r="D37" s="43">
        <v>20</v>
      </c>
      <c r="E37" s="66">
        <v>100</v>
      </c>
      <c r="F37" s="66" t="s">
        <v>6</v>
      </c>
      <c r="G37" s="328">
        <f t="shared" si="0"/>
        <v>3.7814043750000006</v>
      </c>
      <c r="H37" s="111">
        <v>378.14043750000008</v>
      </c>
    </row>
    <row r="38" spans="2:8" x14ac:dyDescent="0.2">
      <c r="B38" s="42" t="s">
        <v>259</v>
      </c>
      <c r="C38" s="44" t="s">
        <v>11</v>
      </c>
      <c r="D38" s="43">
        <v>22</v>
      </c>
      <c r="E38" s="66">
        <v>100</v>
      </c>
      <c r="F38" s="66" t="s">
        <v>6</v>
      </c>
      <c r="G38" s="328">
        <f t="shared" si="0"/>
        <v>3.8675906250000001</v>
      </c>
      <c r="H38" s="111">
        <v>386.75906250000003</v>
      </c>
    </row>
    <row r="39" spans="2:8" x14ac:dyDescent="0.2">
      <c r="B39" s="42" t="s">
        <v>259</v>
      </c>
      <c r="C39" s="44" t="s">
        <v>11</v>
      </c>
      <c r="D39" s="43">
        <v>24</v>
      </c>
      <c r="E39" s="66">
        <v>100</v>
      </c>
      <c r="F39" s="66" t="s">
        <v>6</v>
      </c>
      <c r="G39" s="328">
        <f t="shared" si="0"/>
        <v>4.3107749999999996</v>
      </c>
      <c r="H39" s="111">
        <v>431.07749999999999</v>
      </c>
    </row>
    <row r="40" spans="2:8" x14ac:dyDescent="0.2">
      <c r="B40" s="42" t="s">
        <v>259</v>
      </c>
      <c r="C40" s="44" t="s">
        <v>11</v>
      </c>
      <c r="D40" s="43">
        <v>26</v>
      </c>
      <c r="E40" s="66">
        <v>100</v>
      </c>
      <c r="F40" s="66" t="s">
        <v>6</v>
      </c>
      <c r="G40" s="328">
        <f t="shared" si="0"/>
        <v>4.7777250000000011</v>
      </c>
      <c r="H40" s="111">
        <v>477.77250000000009</v>
      </c>
    </row>
    <row r="41" spans="2:8" x14ac:dyDescent="0.2">
      <c r="B41" s="56"/>
      <c r="C41" s="148"/>
      <c r="D41" s="55"/>
      <c r="E41" s="109"/>
      <c r="F41" s="109"/>
      <c r="H41" s="122"/>
    </row>
    <row r="42" spans="2:8" x14ac:dyDescent="0.2">
      <c r="B42" s="42" t="s">
        <v>259</v>
      </c>
      <c r="C42" s="44" t="s">
        <v>48</v>
      </c>
      <c r="D42" s="43">
        <v>6</v>
      </c>
      <c r="E42" s="66">
        <v>200</v>
      </c>
      <c r="F42" s="66" t="s">
        <v>4</v>
      </c>
      <c r="G42" s="328">
        <f>(H42/100)</f>
        <v>0.53926079999999998</v>
      </c>
      <c r="H42" s="111">
        <v>53.926079999999999</v>
      </c>
    </row>
    <row r="43" spans="2:8" x14ac:dyDescent="0.2">
      <c r="B43" s="42" t="s">
        <v>259</v>
      </c>
      <c r="C43" s="44" t="s">
        <v>48</v>
      </c>
      <c r="D43" s="43">
        <v>8</v>
      </c>
      <c r="E43" s="66">
        <v>200</v>
      </c>
      <c r="F43" s="66" t="s">
        <v>4</v>
      </c>
      <c r="G43" s="328">
        <f t="shared" ref="G43:G52" si="1">(H43/100)</f>
        <v>0.73984873846153865</v>
      </c>
      <c r="H43" s="111">
        <v>73.98487384615386</v>
      </c>
    </row>
    <row r="44" spans="2:8" x14ac:dyDescent="0.2">
      <c r="B44" s="42" t="s">
        <v>259</v>
      </c>
      <c r="C44" s="44" t="s">
        <v>48</v>
      </c>
      <c r="D44" s="43">
        <v>10</v>
      </c>
      <c r="E44" s="66">
        <v>200</v>
      </c>
      <c r="F44" s="66" t="s">
        <v>4</v>
      </c>
      <c r="G44" s="328">
        <f t="shared" si="1"/>
        <v>1.163111641791045</v>
      </c>
      <c r="H44" s="111">
        <v>116.31116417910449</v>
      </c>
    </row>
    <row r="45" spans="2:8" x14ac:dyDescent="0.2">
      <c r="B45" s="42" t="s">
        <v>259</v>
      </c>
      <c r="C45" s="44" t="s">
        <v>48</v>
      </c>
      <c r="D45" s="43">
        <v>12</v>
      </c>
      <c r="E45" s="66">
        <v>200</v>
      </c>
      <c r="F45" s="66" t="s">
        <v>4</v>
      </c>
      <c r="G45" s="328">
        <f t="shared" si="1"/>
        <v>1.6686570461538464</v>
      </c>
      <c r="H45" s="111">
        <v>166.86570461538463</v>
      </c>
    </row>
    <row r="46" spans="2:8" x14ac:dyDescent="0.2">
      <c r="B46" s="42" t="s">
        <v>259</v>
      </c>
      <c r="C46" s="44" t="s">
        <v>48</v>
      </c>
      <c r="D46" s="43">
        <v>14</v>
      </c>
      <c r="E46" s="66">
        <v>100</v>
      </c>
      <c r="F46" s="66" t="s">
        <v>4</v>
      </c>
      <c r="G46" s="328">
        <f t="shared" si="1"/>
        <v>2.1377270769230772</v>
      </c>
      <c r="H46" s="111">
        <v>213.7727076923077</v>
      </c>
    </row>
    <row r="47" spans="2:8" x14ac:dyDescent="0.2">
      <c r="B47" s="42" t="s">
        <v>259</v>
      </c>
      <c r="C47" s="44" t="s">
        <v>48</v>
      </c>
      <c r="D47" s="43">
        <v>16</v>
      </c>
      <c r="E47" s="66">
        <v>100</v>
      </c>
      <c r="F47" s="66" t="s">
        <v>4</v>
      </c>
      <c r="G47" s="328">
        <f t="shared" si="1"/>
        <v>2.7156876923076925</v>
      </c>
      <c r="H47" s="111">
        <v>271.56876923076925</v>
      </c>
    </row>
    <row r="48" spans="2:8" x14ac:dyDescent="0.2">
      <c r="B48" s="42" t="s">
        <v>259</v>
      </c>
      <c r="C48" s="44" t="s">
        <v>48</v>
      </c>
      <c r="D48" s="43">
        <v>18</v>
      </c>
      <c r="E48" s="66">
        <v>100</v>
      </c>
      <c r="F48" s="66" t="s">
        <v>4</v>
      </c>
      <c r="G48" s="328">
        <f t="shared" si="1"/>
        <v>3.543709292307692</v>
      </c>
      <c r="H48" s="111">
        <v>354.37092923076921</v>
      </c>
    </row>
    <row r="49" spans="2:8" x14ac:dyDescent="0.2">
      <c r="B49" s="42" t="s">
        <v>259</v>
      </c>
      <c r="C49" s="44" t="s">
        <v>48</v>
      </c>
      <c r="D49" s="43">
        <v>20</v>
      </c>
      <c r="E49" s="66">
        <v>100</v>
      </c>
      <c r="F49" s="66" t="s">
        <v>6</v>
      </c>
      <c r="G49" s="328">
        <f t="shared" si="1"/>
        <v>4.3855366153846154</v>
      </c>
      <c r="H49" s="111">
        <v>438.55366153846154</v>
      </c>
    </row>
    <row r="50" spans="2:8" x14ac:dyDescent="0.2">
      <c r="B50" s="42" t="s">
        <v>259</v>
      </c>
      <c r="C50" s="44" t="s">
        <v>48</v>
      </c>
      <c r="D50" s="43">
        <v>22</v>
      </c>
      <c r="E50" s="66">
        <v>100</v>
      </c>
      <c r="F50" s="66" t="s">
        <v>6</v>
      </c>
      <c r="G50" s="328">
        <f t="shared" si="1"/>
        <v>4.5119353846153842</v>
      </c>
      <c r="H50" s="111">
        <v>451.19353846153842</v>
      </c>
    </row>
    <row r="51" spans="2:8" x14ac:dyDescent="0.2">
      <c r="B51" s="42" t="s">
        <v>259</v>
      </c>
      <c r="C51" s="44" t="s">
        <v>48</v>
      </c>
      <c r="D51" s="43">
        <v>24</v>
      </c>
      <c r="E51" s="66">
        <v>100</v>
      </c>
      <c r="F51" s="66" t="s">
        <v>6</v>
      </c>
      <c r="G51" s="328">
        <f t="shared" si="1"/>
        <v>5.0406092307692312</v>
      </c>
      <c r="H51" s="111">
        <v>504.06092307692313</v>
      </c>
    </row>
    <row r="52" spans="2:8" x14ac:dyDescent="0.2">
      <c r="B52" s="42" t="s">
        <v>259</v>
      </c>
      <c r="C52" s="44" t="s">
        <v>48</v>
      </c>
      <c r="D52" s="43">
        <v>26</v>
      </c>
      <c r="E52" s="66">
        <v>100</v>
      </c>
      <c r="F52" s="66" t="s">
        <v>6</v>
      </c>
      <c r="G52" s="328">
        <f t="shared" si="1"/>
        <v>5.6272984615384622</v>
      </c>
      <c r="H52" s="111">
        <v>562.72984615384621</v>
      </c>
    </row>
    <row r="53" spans="2:8" x14ac:dyDescent="0.2">
      <c r="B53" s="15"/>
      <c r="C53" s="15"/>
      <c r="D53" s="16"/>
      <c r="E53" s="17"/>
      <c r="F53" s="17"/>
      <c r="H53" s="114"/>
    </row>
    <row r="54" spans="2:8" x14ac:dyDescent="0.2">
      <c r="B54" s="286" t="s">
        <v>17</v>
      </c>
      <c r="C54" s="287" t="s">
        <v>260</v>
      </c>
      <c r="D54" s="288"/>
      <c r="E54" s="280"/>
      <c r="F54" s="280"/>
      <c r="G54" s="280"/>
      <c r="H54" s="121"/>
    </row>
    <row r="55" spans="2:8" x14ac:dyDescent="0.2">
      <c r="B55" s="81" t="s">
        <v>17</v>
      </c>
      <c r="C55" s="284" t="s">
        <v>46</v>
      </c>
      <c r="D55" s="285">
        <v>8</v>
      </c>
      <c r="E55" s="128">
        <v>200</v>
      </c>
      <c r="F55" s="107" t="s">
        <v>4</v>
      </c>
      <c r="G55" s="328">
        <f>(H55/100)</f>
        <v>1.0868796610169493</v>
      </c>
      <c r="H55" s="112">
        <v>108.68796610169494</v>
      </c>
    </row>
    <row r="56" spans="2:8" x14ac:dyDescent="0.2">
      <c r="B56" s="81" t="s">
        <v>17</v>
      </c>
      <c r="C56" s="284" t="s">
        <v>46</v>
      </c>
      <c r="D56" s="285">
        <v>12</v>
      </c>
      <c r="E56" s="128">
        <v>200</v>
      </c>
      <c r="F56" s="107" t="s">
        <v>4</v>
      </c>
      <c r="G56" s="328">
        <f t="shared" ref="G56:G62" si="2">(H56/100)</f>
        <v>1.9114932203389834</v>
      </c>
      <c r="H56" s="112">
        <v>191.14932203389833</v>
      </c>
    </row>
    <row r="57" spans="2:8" x14ac:dyDescent="0.2">
      <c r="B57" s="145" t="s">
        <v>17</v>
      </c>
      <c r="C57" s="67" t="s">
        <v>46</v>
      </c>
      <c r="D57" s="72">
        <v>15</v>
      </c>
      <c r="E57" s="60">
        <v>100</v>
      </c>
      <c r="F57" s="71" t="s">
        <v>4</v>
      </c>
      <c r="G57" s="328">
        <f t="shared" si="2"/>
        <v>2.5248355932203399</v>
      </c>
      <c r="H57" s="111">
        <v>252.48355932203398</v>
      </c>
    </row>
    <row r="58" spans="2:8" x14ac:dyDescent="0.2">
      <c r="B58" s="145" t="s">
        <v>17</v>
      </c>
      <c r="C58" s="67" t="s">
        <v>46</v>
      </c>
      <c r="D58" s="72">
        <v>19</v>
      </c>
      <c r="E58" s="60">
        <v>100</v>
      </c>
      <c r="F58" s="71" t="s">
        <v>4</v>
      </c>
      <c r="G58" s="328">
        <f t="shared" si="2"/>
        <v>3.842481355932204</v>
      </c>
      <c r="H58" s="111">
        <v>384.24813559322041</v>
      </c>
    </row>
    <row r="59" spans="2:8" x14ac:dyDescent="0.2">
      <c r="B59" s="145" t="s">
        <v>17</v>
      </c>
      <c r="C59" s="67" t="s">
        <v>46</v>
      </c>
      <c r="D59" s="72">
        <v>22</v>
      </c>
      <c r="E59" s="60">
        <v>100</v>
      </c>
      <c r="F59" s="71" t="s">
        <v>4</v>
      </c>
      <c r="G59" s="328">
        <f t="shared" si="2"/>
        <v>5.7637525423728819</v>
      </c>
      <c r="H59" s="111">
        <v>576.37525423728823</v>
      </c>
    </row>
    <row r="60" spans="2:8" x14ac:dyDescent="0.2">
      <c r="B60" s="145" t="s">
        <v>17</v>
      </c>
      <c r="C60" s="67" t="s">
        <v>46</v>
      </c>
      <c r="D60" s="72">
        <v>24</v>
      </c>
      <c r="E60" s="60">
        <v>100</v>
      </c>
      <c r="F60" s="71" t="s">
        <v>4</v>
      </c>
      <c r="G60" s="328">
        <f t="shared" si="2"/>
        <v>6.8365677966101694</v>
      </c>
      <c r="H60" s="111">
        <v>683.65677966101691</v>
      </c>
    </row>
    <row r="61" spans="2:8" x14ac:dyDescent="0.2">
      <c r="B61" s="145" t="s">
        <v>17</v>
      </c>
      <c r="C61" s="67" t="s">
        <v>46</v>
      </c>
      <c r="D61" s="72">
        <v>38</v>
      </c>
      <c r="E61" s="60">
        <v>100</v>
      </c>
      <c r="F61" s="125" t="s">
        <v>4</v>
      </c>
      <c r="G61" s="328">
        <f t="shared" si="2"/>
        <v>17.123260869565222</v>
      </c>
      <c r="H61" s="111">
        <v>1712.3260869565222</v>
      </c>
    </row>
    <row r="62" spans="2:8" x14ac:dyDescent="0.2">
      <c r="B62" s="145" t="s">
        <v>17</v>
      </c>
      <c r="C62" s="67" t="s">
        <v>46</v>
      </c>
      <c r="D62" s="72">
        <v>40</v>
      </c>
      <c r="E62" s="60">
        <v>100</v>
      </c>
      <c r="F62" s="125" t="s">
        <v>4</v>
      </c>
      <c r="G62" s="328">
        <f t="shared" si="2"/>
        <v>20.705000000000009</v>
      </c>
      <c r="H62" s="111">
        <v>2070.5000000000009</v>
      </c>
    </row>
    <row r="63" spans="2:8" x14ac:dyDescent="0.2">
      <c r="B63" s="32"/>
      <c r="C63" s="32"/>
      <c r="D63" s="32"/>
      <c r="E63" s="35"/>
      <c r="F63" s="32"/>
      <c r="H63" s="115"/>
    </row>
    <row r="64" spans="2:8" x14ac:dyDescent="0.2">
      <c r="B64" s="286" t="s">
        <v>52</v>
      </c>
      <c r="C64" s="287" t="s">
        <v>261</v>
      </c>
      <c r="D64" s="288"/>
      <c r="E64" s="280"/>
      <c r="F64" s="280"/>
      <c r="G64" s="280"/>
      <c r="H64" s="121"/>
    </row>
    <row r="65" spans="1:8" x14ac:dyDescent="0.2">
      <c r="B65" s="81" t="s">
        <v>52</v>
      </c>
      <c r="C65" s="284" t="s">
        <v>46</v>
      </c>
      <c r="D65" s="285">
        <v>8</v>
      </c>
      <c r="E65" s="128">
        <v>200</v>
      </c>
      <c r="F65" s="289" t="s">
        <v>4</v>
      </c>
      <c r="G65" s="328">
        <f>(H65/100)</f>
        <v>1.1690847457627123</v>
      </c>
      <c r="H65" s="112">
        <v>116.90847457627123</v>
      </c>
    </row>
    <row r="66" spans="1:8" x14ac:dyDescent="0.2">
      <c r="A66" s="104"/>
      <c r="B66" s="145" t="s">
        <v>52</v>
      </c>
      <c r="C66" s="67" t="s">
        <v>46</v>
      </c>
      <c r="D66" s="70">
        <v>10</v>
      </c>
      <c r="E66" s="66">
        <v>200</v>
      </c>
      <c r="F66" s="124" t="s">
        <v>4</v>
      </c>
      <c r="G66" s="328">
        <f t="shared" ref="G66:G81" si="3">(H66/100)</f>
        <v>1.6253389830508476</v>
      </c>
      <c r="H66" s="111">
        <v>162.53389830508476</v>
      </c>
    </row>
    <row r="67" spans="1:8" x14ac:dyDescent="0.2">
      <c r="A67" s="104"/>
      <c r="B67" s="145" t="s">
        <v>52</v>
      </c>
      <c r="C67" s="67" t="s">
        <v>46</v>
      </c>
      <c r="D67" s="70">
        <v>12</v>
      </c>
      <c r="E67" s="66">
        <v>200</v>
      </c>
      <c r="F67" s="71" t="s">
        <v>4</v>
      </c>
      <c r="G67" s="328">
        <f t="shared" si="3"/>
        <v>1.7874915254237291</v>
      </c>
      <c r="H67" s="111">
        <v>178.74915254237291</v>
      </c>
    </row>
    <row r="68" spans="1:8" x14ac:dyDescent="0.2">
      <c r="A68" s="104"/>
      <c r="B68" s="145" t="s">
        <v>52</v>
      </c>
      <c r="C68" s="67" t="s">
        <v>46</v>
      </c>
      <c r="D68" s="72">
        <v>14</v>
      </c>
      <c r="E68" s="60">
        <v>200</v>
      </c>
      <c r="F68" s="71" t="s">
        <v>4</v>
      </c>
      <c r="G68" s="328">
        <f t="shared" si="3"/>
        <v>2.423044067796611</v>
      </c>
      <c r="H68" s="111">
        <v>242.30440677966109</v>
      </c>
    </row>
    <row r="69" spans="1:8" x14ac:dyDescent="0.2">
      <c r="A69" s="104"/>
      <c r="B69" s="145" t="s">
        <v>52</v>
      </c>
      <c r="C69" s="67" t="s">
        <v>46</v>
      </c>
      <c r="D69" s="72">
        <v>16</v>
      </c>
      <c r="E69" s="60">
        <v>100</v>
      </c>
      <c r="F69" s="71" t="s">
        <v>4</v>
      </c>
      <c r="G69" s="328">
        <f t="shared" si="3"/>
        <v>2.9629830508474582</v>
      </c>
      <c r="H69" s="111">
        <v>296.29830508474583</v>
      </c>
    </row>
    <row r="70" spans="1:8" x14ac:dyDescent="0.2">
      <c r="B70" s="145" t="s">
        <v>52</v>
      </c>
      <c r="C70" s="67" t="s">
        <v>46</v>
      </c>
      <c r="D70" s="72">
        <v>18</v>
      </c>
      <c r="E70" s="60">
        <v>100</v>
      </c>
      <c r="F70" s="71" t="s">
        <v>4</v>
      </c>
      <c r="G70" s="328">
        <f t="shared" si="3"/>
        <v>4.2615305084745776</v>
      </c>
      <c r="H70" s="111">
        <v>426.15305084745773</v>
      </c>
    </row>
    <row r="71" spans="1:8" x14ac:dyDescent="0.2">
      <c r="B71" s="145" t="s">
        <v>52</v>
      </c>
      <c r="C71" s="67" t="s">
        <v>46</v>
      </c>
      <c r="D71" s="101">
        <v>20</v>
      </c>
      <c r="E71" s="60">
        <v>100</v>
      </c>
      <c r="F71" s="71" t="s">
        <v>4</v>
      </c>
      <c r="G71" s="328">
        <f t="shared" si="3"/>
        <v>5.2674711864406785</v>
      </c>
      <c r="H71" s="111">
        <v>526.74711864406788</v>
      </c>
    </row>
    <row r="72" spans="1:8" x14ac:dyDescent="0.2">
      <c r="B72" s="145" t="s">
        <v>52</v>
      </c>
      <c r="C72" s="67" t="s">
        <v>46</v>
      </c>
      <c r="D72" s="101">
        <v>22</v>
      </c>
      <c r="E72" s="60">
        <v>100</v>
      </c>
      <c r="F72" s="125" t="s">
        <v>4</v>
      </c>
      <c r="G72" s="328">
        <f t="shared" si="3"/>
        <v>6.9414813559322042</v>
      </c>
      <c r="H72" s="111">
        <v>694.14813559322045</v>
      </c>
    </row>
    <row r="73" spans="1:8" x14ac:dyDescent="0.2">
      <c r="B73" s="145" t="s">
        <v>52</v>
      </c>
      <c r="C73" s="67" t="s">
        <v>46</v>
      </c>
      <c r="D73" s="101">
        <v>24</v>
      </c>
      <c r="E73" s="60">
        <v>100</v>
      </c>
      <c r="F73" s="71" t="s">
        <v>4</v>
      </c>
      <c r="G73" s="328">
        <f t="shared" si="3"/>
        <v>7.3159322033898322</v>
      </c>
      <c r="H73" s="111">
        <v>731.5932203389832</v>
      </c>
    </row>
    <row r="74" spans="1:8" x14ac:dyDescent="0.2">
      <c r="A74" s="104"/>
      <c r="B74" s="145" t="s">
        <v>52</v>
      </c>
      <c r="C74" s="67" t="s">
        <v>46</v>
      </c>
      <c r="D74" s="101">
        <v>26</v>
      </c>
      <c r="E74" s="60">
        <v>100</v>
      </c>
      <c r="F74" s="71" t="s">
        <v>4</v>
      </c>
      <c r="G74" s="328">
        <f t="shared" si="3"/>
        <v>8.6145101694915294</v>
      </c>
      <c r="H74" s="111">
        <v>861.45101694915297</v>
      </c>
    </row>
    <row r="75" spans="1:8" x14ac:dyDescent="0.2">
      <c r="A75" s="104"/>
      <c r="B75" s="145" t="s">
        <v>52</v>
      </c>
      <c r="C75" s="67" t="s">
        <v>46</v>
      </c>
      <c r="D75" s="101">
        <v>28</v>
      </c>
      <c r="E75" s="60">
        <v>100</v>
      </c>
      <c r="F75" s="71" t="s">
        <v>4</v>
      </c>
      <c r="G75" s="328">
        <f t="shared" si="3"/>
        <v>9.5458846153846171</v>
      </c>
      <c r="H75" s="111">
        <v>954.58846153846173</v>
      </c>
    </row>
    <row r="76" spans="1:8" x14ac:dyDescent="0.2">
      <c r="A76" s="104"/>
      <c r="B76" s="145" t="s">
        <v>52</v>
      </c>
      <c r="C76" s="67" t="s">
        <v>46</v>
      </c>
      <c r="D76" s="101">
        <v>30</v>
      </c>
      <c r="E76" s="60">
        <v>100</v>
      </c>
      <c r="F76" s="71" t="s">
        <v>4</v>
      </c>
      <c r="G76" s="328">
        <f t="shared" si="3"/>
        <v>11.289046153846154</v>
      </c>
      <c r="H76" s="111">
        <v>1128.9046153846155</v>
      </c>
    </row>
    <row r="77" spans="1:8" x14ac:dyDescent="0.2">
      <c r="A77" s="104"/>
      <c r="B77" s="145" t="s">
        <v>52</v>
      </c>
      <c r="C77" s="67" t="s">
        <v>46</v>
      </c>
      <c r="D77" s="101">
        <v>32</v>
      </c>
      <c r="E77" s="60">
        <v>100</v>
      </c>
      <c r="F77" s="71" t="s">
        <v>4</v>
      </c>
      <c r="G77" s="328">
        <f t="shared" si="3"/>
        <v>13.447246153846159</v>
      </c>
      <c r="H77" s="111">
        <v>1344.7246153846158</v>
      </c>
    </row>
    <row r="78" spans="1:8" x14ac:dyDescent="0.2">
      <c r="A78" s="104"/>
      <c r="B78" s="145" t="s">
        <v>52</v>
      </c>
      <c r="C78" s="67" t="s">
        <v>46</v>
      </c>
      <c r="D78" s="101">
        <v>36</v>
      </c>
      <c r="E78" s="60">
        <v>100</v>
      </c>
      <c r="F78" s="71" t="s">
        <v>4</v>
      </c>
      <c r="G78" s="328">
        <f t="shared" si="3"/>
        <v>17.929661538461541</v>
      </c>
      <c r="H78" s="111">
        <v>1792.9661538461542</v>
      </c>
    </row>
    <row r="79" spans="1:8" x14ac:dyDescent="0.2">
      <c r="A79" s="104"/>
      <c r="B79" s="145" t="s">
        <v>52</v>
      </c>
      <c r="C79" s="67" t="s">
        <v>46</v>
      </c>
      <c r="D79" s="101">
        <v>38</v>
      </c>
      <c r="E79" s="60">
        <v>100</v>
      </c>
      <c r="F79" s="125" t="s">
        <v>4</v>
      </c>
      <c r="G79" s="328">
        <f t="shared" si="3"/>
        <v>21.773653846153849</v>
      </c>
      <c r="H79" s="111">
        <v>2177.3653846153848</v>
      </c>
    </row>
    <row r="80" spans="1:8" x14ac:dyDescent="0.2">
      <c r="A80" s="104"/>
      <c r="B80" s="145" t="s">
        <v>52</v>
      </c>
      <c r="C80" s="67" t="s">
        <v>46</v>
      </c>
      <c r="D80" s="101">
        <v>40</v>
      </c>
      <c r="E80" s="60">
        <v>100</v>
      </c>
      <c r="F80" s="125" t="s">
        <v>4</v>
      </c>
      <c r="G80" s="328">
        <f t="shared" si="3"/>
        <v>24.784269230769233</v>
      </c>
      <c r="H80" s="111">
        <v>2478.4269230769232</v>
      </c>
    </row>
    <row r="81" spans="1:8" x14ac:dyDescent="0.2">
      <c r="A81" s="104"/>
      <c r="B81" s="145" t="s">
        <v>52</v>
      </c>
      <c r="C81" s="67" t="s">
        <v>46</v>
      </c>
      <c r="D81" s="101">
        <v>44</v>
      </c>
      <c r="E81" s="60">
        <v>100</v>
      </c>
      <c r="F81" s="125" t="s">
        <v>4</v>
      </c>
      <c r="G81" s="328">
        <f t="shared" si="3"/>
        <v>28.800692307692312</v>
      </c>
      <c r="H81" s="111">
        <v>2880.0692307692311</v>
      </c>
    </row>
    <row r="82" spans="1:8" x14ac:dyDescent="0.2">
      <c r="B82" s="56"/>
      <c r="C82" s="148"/>
      <c r="D82" s="55"/>
      <c r="E82" s="109"/>
      <c r="F82" s="109"/>
      <c r="H82" s="122"/>
    </row>
    <row r="83" spans="1:8" x14ac:dyDescent="0.2">
      <c r="B83" s="286" t="s">
        <v>276</v>
      </c>
      <c r="C83" s="287" t="s">
        <v>319</v>
      </c>
      <c r="D83" s="288"/>
      <c r="E83" s="280"/>
      <c r="F83" s="280"/>
      <c r="G83" s="280"/>
      <c r="H83" s="121"/>
    </row>
    <row r="84" spans="1:8" x14ac:dyDescent="0.2">
      <c r="B84" s="81" t="s">
        <v>276</v>
      </c>
      <c r="C84" s="284" t="s">
        <v>46</v>
      </c>
      <c r="D84" s="285">
        <v>12</v>
      </c>
      <c r="E84" s="128">
        <v>200</v>
      </c>
      <c r="F84" s="107" t="s">
        <v>4</v>
      </c>
      <c r="G84" s="328">
        <f>(H84/100)</f>
        <v>2.0951122500000006</v>
      </c>
      <c r="H84" s="112">
        <v>209.51122500000005</v>
      </c>
    </row>
    <row r="85" spans="1:8" x14ac:dyDescent="0.2">
      <c r="B85" s="145" t="s">
        <v>276</v>
      </c>
      <c r="C85" s="67" t="s">
        <v>46</v>
      </c>
      <c r="D85" s="72">
        <v>15</v>
      </c>
      <c r="E85" s="60">
        <v>100</v>
      </c>
      <c r="F85" s="71" t="s">
        <v>4</v>
      </c>
      <c r="G85" s="328">
        <f t="shared" ref="G85:G90" si="4">(H85/100)</f>
        <v>2.7755538940677966</v>
      </c>
      <c r="H85" s="111">
        <v>277.55538940677968</v>
      </c>
    </row>
    <row r="86" spans="1:8" x14ac:dyDescent="0.2">
      <c r="B86" s="145" t="s">
        <v>276</v>
      </c>
      <c r="C86" s="67" t="s">
        <v>46</v>
      </c>
      <c r="D86" s="72">
        <v>19</v>
      </c>
      <c r="E86" s="60">
        <v>100</v>
      </c>
      <c r="F86" s="71" t="s">
        <v>4</v>
      </c>
      <c r="G86" s="328">
        <f t="shared" si="4"/>
        <v>4.2070875071186462</v>
      </c>
      <c r="H86" s="111">
        <v>420.70875071186464</v>
      </c>
    </row>
    <row r="87" spans="1:8" x14ac:dyDescent="0.2">
      <c r="B87" s="145" t="s">
        <v>276</v>
      </c>
      <c r="C87" s="67" t="s">
        <v>46</v>
      </c>
      <c r="D87" s="72">
        <v>22</v>
      </c>
      <c r="E87" s="60">
        <v>100</v>
      </c>
      <c r="F87" s="71" t="s">
        <v>4</v>
      </c>
      <c r="G87" s="328">
        <f t="shared" si="4"/>
        <v>6.317539445593221</v>
      </c>
      <c r="H87" s="111">
        <v>631.75394455932212</v>
      </c>
    </row>
    <row r="88" spans="1:8" x14ac:dyDescent="0.2">
      <c r="B88" s="145" t="s">
        <v>276</v>
      </c>
      <c r="C88" s="67" t="s">
        <v>46</v>
      </c>
      <c r="D88" s="72">
        <v>24</v>
      </c>
      <c r="E88" s="60">
        <v>100</v>
      </c>
      <c r="F88" s="71" t="s">
        <v>4</v>
      </c>
      <c r="G88" s="328">
        <f t="shared" si="4"/>
        <v>7.4873743474576289</v>
      </c>
      <c r="H88" s="111">
        <v>748.73743474576293</v>
      </c>
    </row>
    <row r="89" spans="1:8" x14ac:dyDescent="0.2">
      <c r="B89" s="145" t="s">
        <v>276</v>
      </c>
      <c r="C89" s="67" t="s">
        <v>46</v>
      </c>
      <c r="D89" s="72">
        <v>38</v>
      </c>
      <c r="E89" s="60">
        <v>100</v>
      </c>
      <c r="F89" s="125" t="s">
        <v>4</v>
      </c>
      <c r="G89" s="328">
        <f t="shared" si="4"/>
        <v>18.63899026956522</v>
      </c>
      <c r="H89" s="111">
        <v>1863.899026956522</v>
      </c>
    </row>
    <row r="90" spans="1:8" x14ac:dyDescent="0.2">
      <c r="B90" s="145" t="s">
        <v>276</v>
      </c>
      <c r="C90" s="67" t="s">
        <v>46</v>
      </c>
      <c r="D90" s="72">
        <v>40</v>
      </c>
      <c r="E90" s="60">
        <v>100</v>
      </c>
      <c r="F90" s="125" t="s">
        <v>4</v>
      </c>
      <c r="G90" s="328">
        <f t="shared" si="4"/>
        <v>22.549771147826092</v>
      </c>
      <c r="H90" s="111">
        <v>2254.9771147826091</v>
      </c>
    </row>
    <row r="91" spans="1:8" x14ac:dyDescent="0.2">
      <c r="B91" s="32"/>
      <c r="C91" s="32"/>
      <c r="D91" s="32"/>
      <c r="E91" s="35"/>
      <c r="F91" s="32"/>
      <c r="H91" s="115"/>
    </row>
    <row r="92" spans="1:8" x14ac:dyDescent="0.2">
      <c r="B92" s="286" t="s">
        <v>277</v>
      </c>
      <c r="C92" s="287" t="s">
        <v>278</v>
      </c>
      <c r="D92" s="288"/>
      <c r="E92" s="280"/>
      <c r="F92" s="280"/>
      <c r="G92" s="280"/>
      <c r="H92" s="121"/>
    </row>
    <row r="93" spans="1:8" x14ac:dyDescent="0.2">
      <c r="B93" s="81" t="s">
        <v>277</v>
      </c>
      <c r="C93" s="284" t="s">
        <v>46</v>
      </c>
      <c r="D93" s="285">
        <v>8</v>
      </c>
      <c r="E93" s="128">
        <v>200</v>
      </c>
      <c r="F93" s="289" t="s">
        <v>4</v>
      </c>
      <c r="G93" s="328">
        <f>(H93/100)</f>
        <v>1.2710128271186445</v>
      </c>
      <c r="H93" s="112">
        <v>127.10128271186446</v>
      </c>
    </row>
    <row r="94" spans="1:8" x14ac:dyDescent="0.2">
      <c r="B94" s="145" t="s">
        <v>277</v>
      </c>
      <c r="C94" s="67" t="s">
        <v>46</v>
      </c>
      <c r="D94" s="70">
        <v>10</v>
      </c>
      <c r="E94" s="66">
        <v>200</v>
      </c>
      <c r="F94" s="124" t="s">
        <v>4</v>
      </c>
      <c r="G94" s="328">
        <f>(H94/100)</f>
        <v>1.7915157838983051</v>
      </c>
      <c r="H94" s="111">
        <v>179.15157838983052</v>
      </c>
    </row>
    <row r="95" spans="1:8" x14ac:dyDescent="0.2">
      <c r="B95" s="145" t="s">
        <v>277</v>
      </c>
      <c r="C95" s="67" t="s">
        <v>46</v>
      </c>
      <c r="D95" s="70">
        <v>12</v>
      </c>
      <c r="E95" s="66">
        <v>200</v>
      </c>
      <c r="F95" s="71" t="s">
        <v>4</v>
      </c>
      <c r="G95" s="328">
        <f>(H95/100)</f>
        <v>1.983790288983051</v>
      </c>
      <c r="H95" s="111">
        <v>198.37902889830511</v>
      </c>
    </row>
    <row r="96" spans="1:8" x14ac:dyDescent="0.2">
      <c r="B96" s="145" t="s">
        <v>277</v>
      </c>
      <c r="C96" s="67" t="s">
        <v>46</v>
      </c>
      <c r="D96" s="72">
        <v>14</v>
      </c>
      <c r="E96" s="60">
        <v>200</v>
      </c>
      <c r="F96" s="71" t="s">
        <v>4</v>
      </c>
      <c r="G96" s="328">
        <f>(H96/100)</f>
        <v>2.8031604086440685</v>
      </c>
      <c r="H96" s="111">
        <v>280.31604086440683</v>
      </c>
    </row>
    <row r="97" spans="1:8" x14ac:dyDescent="0.2">
      <c r="B97" s="145" t="s">
        <v>277</v>
      </c>
      <c r="C97" s="67" t="s">
        <v>46</v>
      </c>
      <c r="D97" s="72">
        <v>16</v>
      </c>
      <c r="E97" s="60">
        <v>100</v>
      </c>
      <c r="F97" s="71" t="s">
        <v>4</v>
      </c>
      <c r="G97" s="328">
        <f>(H97/100)</f>
        <v>3.4541665627118641</v>
      </c>
      <c r="H97" s="111">
        <v>345.41665627118641</v>
      </c>
    </row>
    <row r="98" spans="1:8" x14ac:dyDescent="0.2">
      <c r="B98" s="145" t="s">
        <v>277</v>
      </c>
      <c r="C98" s="67" t="s">
        <v>46</v>
      </c>
      <c r="D98" s="72">
        <v>18</v>
      </c>
      <c r="E98" s="60">
        <v>100</v>
      </c>
      <c r="F98" s="71" t="s">
        <v>4</v>
      </c>
      <c r="G98" s="328">
        <f>(H98/100)</f>
        <v>5.0350947933050865</v>
      </c>
      <c r="H98" s="111">
        <v>503.50947933050867</v>
      </c>
    </row>
    <row r="99" spans="1:8" x14ac:dyDescent="0.2">
      <c r="B99" s="145" t="s">
        <v>277</v>
      </c>
      <c r="C99" s="67" t="s">
        <v>46</v>
      </c>
      <c r="D99" s="101">
        <v>20</v>
      </c>
      <c r="E99" s="60">
        <v>100</v>
      </c>
      <c r="F99" s="71" t="s">
        <v>4</v>
      </c>
      <c r="G99" s="328">
        <f>(H99/100)</f>
        <v>6.2211901179661035</v>
      </c>
      <c r="H99" s="111">
        <v>622.11901179661038</v>
      </c>
    </row>
    <row r="100" spans="1:8" x14ac:dyDescent="0.2">
      <c r="B100" s="145" t="s">
        <v>277</v>
      </c>
      <c r="C100" s="67" t="s">
        <v>46</v>
      </c>
      <c r="D100" s="101">
        <v>22</v>
      </c>
      <c r="E100" s="60">
        <v>100</v>
      </c>
      <c r="F100" s="125" t="s">
        <v>4</v>
      </c>
      <c r="G100" s="328">
        <f>(H100/100)</f>
        <v>8.1820570454237274</v>
      </c>
      <c r="H100" s="111">
        <v>818.2057045423727</v>
      </c>
    </row>
    <row r="101" spans="1:8" x14ac:dyDescent="0.2">
      <c r="B101" s="145" t="s">
        <v>277</v>
      </c>
      <c r="C101" s="67" t="s">
        <v>46</v>
      </c>
      <c r="D101" s="101">
        <v>24</v>
      </c>
      <c r="E101" s="60">
        <v>100</v>
      </c>
      <c r="F101" s="71" t="s">
        <v>4</v>
      </c>
      <c r="G101" s="328">
        <f>(H101/100)</f>
        <v>8.6268932542372916</v>
      </c>
      <c r="H101" s="111">
        <v>862.6893254237292</v>
      </c>
    </row>
    <row r="102" spans="1:8" x14ac:dyDescent="0.2">
      <c r="A102" s="104"/>
      <c r="B102" s="145" t="s">
        <v>277</v>
      </c>
      <c r="C102" s="67" t="s">
        <v>46</v>
      </c>
      <c r="D102" s="101">
        <v>26</v>
      </c>
      <c r="E102" s="60">
        <v>100</v>
      </c>
      <c r="F102" s="71" t="s">
        <v>4</v>
      </c>
      <c r="G102" s="328">
        <f>(H102/100)</f>
        <v>10.178238831101698</v>
      </c>
      <c r="H102" s="111">
        <v>1017.8238831101698</v>
      </c>
    </row>
    <row r="103" spans="1:8" x14ac:dyDescent="0.2">
      <c r="A103" s="104"/>
      <c r="B103" s="145" t="s">
        <v>277</v>
      </c>
      <c r="C103" s="67" t="s">
        <v>46</v>
      </c>
      <c r="D103" s="101">
        <v>28</v>
      </c>
      <c r="E103" s="60">
        <v>100</v>
      </c>
      <c r="F103" s="71" t="s">
        <v>4</v>
      </c>
      <c r="G103" s="328">
        <f>(H103/100)</f>
        <v>11.278678828846155</v>
      </c>
      <c r="H103" s="111">
        <v>1127.8678828846155</v>
      </c>
    </row>
    <row r="104" spans="1:8" x14ac:dyDescent="0.2">
      <c r="A104" s="104"/>
      <c r="B104" s="145" t="s">
        <v>277</v>
      </c>
      <c r="C104" s="67" t="s">
        <v>46</v>
      </c>
      <c r="D104" s="101">
        <v>30</v>
      </c>
      <c r="E104" s="60">
        <v>100</v>
      </c>
      <c r="F104" s="71" t="s">
        <v>4</v>
      </c>
      <c r="G104" s="328">
        <f>(H104/100)</f>
        <v>13.32511177846154</v>
      </c>
      <c r="H104" s="111">
        <v>1332.5111778461539</v>
      </c>
    </row>
    <row r="105" spans="1:8" x14ac:dyDescent="0.2">
      <c r="A105" s="104"/>
      <c r="B105" s="145" t="s">
        <v>277</v>
      </c>
      <c r="C105" s="67" t="s">
        <v>46</v>
      </c>
      <c r="D105" s="101">
        <v>32</v>
      </c>
      <c r="E105" s="60">
        <v>100</v>
      </c>
      <c r="F105" s="71" t="s">
        <v>4</v>
      </c>
      <c r="G105" s="328">
        <f>(H105/100)</f>
        <v>15.888225828461541</v>
      </c>
      <c r="H105" s="111">
        <v>1588.8225828461541</v>
      </c>
    </row>
    <row r="106" spans="1:8" x14ac:dyDescent="0.2">
      <c r="A106" s="104"/>
      <c r="B106" s="145" t="s">
        <v>277</v>
      </c>
      <c r="C106" s="67" t="s">
        <v>46</v>
      </c>
      <c r="D106" s="101">
        <v>36</v>
      </c>
      <c r="E106" s="60">
        <v>100</v>
      </c>
      <c r="F106" s="71" t="s">
        <v>4</v>
      </c>
      <c r="G106" s="328">
        <f>(H106/100)</f>
        <v>21.163412824615389</v>
      </c>
      <c r="H106" s="111">
        <v>2116.3412824615389</v>
      </c>
    </row>
    <row r="107" spans="1:8" x14ac:dyDescent="0.2">
      <c r="A107" s="104"/>
      <c r="B107" s="145" t="s">
        <v>277</v>
      </c>
      <c r="C107" s="67" t="s">
        <v>46</v>
      </c>
      <c r="D107" s="101">
        <v>38</v>
      </c>
      <c r="E107" s="60">
        <v>100</v>
      </c>
      <c r="F107" s="125" t="s">
        <v>4</v>
      </c>
      <c r="G107" s="328">
        <f>(H107/100)</f>
        <v>26.031563169230772</v>
      </c>
      <c r="H107" s="111">
        <v>2603.1563169230772</v>
      </c>
    </row>
    <row r="108" spans="1:8" x14ac:dyDescent="0.2">
      <c r="A108" s="104"/>
      <c r="B108" s="145" t="s">
        <v>277</v>
      </c>
      <c r="C108" s="67" t="s">
        <v>46</v>
      </c>
      <c r="D108" s="101">
        <v>40</v>
      </c>
      <c r="E108" s="60">
        <v>100</v>
      </c>
      <c r="F108" s="125" t="s">
        <v>4</v>
      </c>
      <c r="G108" s="328">
        <f>(H108/100)</f>
        <v>28.025470135384612</v>
      </c>
      <c r="H108" s="111">
        <v>2802.5470135384612</v>
      </c>
    </row>
    <row r="109" spans="1:8" x14ac:dyDescent="0.2">
      <c r="A109" s="104"/>
      <c r="B109" s="145" t="s">
        <v>277</v>
      </c>
      <c r="C109" s="67" t="s">
        <v>46</v>
      </c>
      <c r="D109" s="101">
        <v>44</v>
      </c>
      <c r="E109" s="60">
        <v>100</v>
      </c>
      <c r="F109" s="125" t="s">
        <v>4</v>
      </c>
      <c r="G109" s="328">
        <f>(H109/100)</f>
        <v>32.567147113846154</v>
      </c>
      <c r="H109" s="111">
        <v>3256.7147113846154</v>
      </c>
    </row>
    <row r="110" spans="1:8" x14ac:dyDescent="0.2">
      <c r="A110" s="210"/>
      <c r="B110" s="92"/>
      <c r="C110" s="260"/>
      <c r="D110" s="297"/>
      <c r="E110" s="94"/>
      <c r="F110" s="261"/>
      <c r="H110" s="122"/>
    </row>
    <row r="111" spans="1:8" x14ac:dyDescent="0.2">
      <c r="B111" s="286" t="s">
        <v>178</v>
      </c>
      <c r="C111" s="287" t="s">
        <v>262</v>
      </c>
      <c r="D111" s="288"/>
      <c r="E111" s="280"/>
      <c r="F111" s="280"/>
      <c r="G111" s="280"/>
      <c r="H111" s="121"/>
    </row>
    <row r="112" spans="1:8" x14ac:dyDescent="0.2">
      <c r="B112" s="81" t="s">
        <v>178</v>
      </c>
      <c r="C112" s="290" t="s">
        <v>179</v>
      </c>
      <c r="D112" s="285">
        <v>8</v>
      </c>
      <c r="E112" s="128">
        <v>200</v>
      </c>
      <c r="F112" s="289" t="s">
        <v>4</v>
      </c>
      <c r="G112" s="328">
        <f>(H112/100)</f>
        <v>0.51570526315789478</v>
      </c>
      <c r="H112" s="112">
        <v>51.570526315789479</v>
      </c>
    </row>
    <row r="113" spans="1:8" x14ac:dyDescent="0.2">
      <c r="B113" s="145" t="s">
        <v>181</v>
      </c>
      <c r="C113" s="168" t="s">
        <v>75</v>
      </c>
      <c r="D113" s="70">
        <v>10</v>
      </c>
      <c r="E113" s="66">
        <v>200</v>
      </c>
      <c r="F113" s="124" t="s">
        <v>4</v>
      </c>
      <c r="G113" s="328">
        <f t="shared" ref="G113:G114" si="5">(H113/100)</f>
        <v>0.67515789473684196</v>
      </c>
      <c r="H113" s="111">
        <v>67.515789473684194</v>
      </c>
    </row>
    <row r="114" spans="1:8" x14ac:dyDescent="0.2">
      <c r="B114" s="145" t="s">
        <v>178</v>
      </c>
      <c r="C114" s="168" t="s">
        <v>76</v>
      </c>
      <c r="D114" s="70">
        <v>12</v>
      </c>
      <c r="E114" s="66">
        <v>200</v>
      </c>
      <c r="F114" s="124" t="s">
        <v>4</v>
      </c>
      <c r="G114" s="328">
        <f t="shared" si="5"/>
        <v>0.75861052631578962</v>
      </c>
      <c r="H114" s="111">
        <v>75.861052631578957</v>
      </c>
    </row>
    <row r="115" spans="1:8" x14ac:dyDescent="0.2">
      <c r="A115" s="8"/>
      <c r="B115" s="92"/>
      <c r="C115" s="245"/>
      <c r="D115" s="246"/>
      <c r="E115" s="109"/>
      <c r="F115" s="247"/>
      <c r="H115" s="119"/>
    </row>
    <row r="116" spans="1:8" x14ac:dyDescent="0.2">
      <c r="B116" s="145" t="s">
        <v>181</v>
      </c>
      <c r="C116" s="168" t="s">
        <v>180</v>
      </c>
      <c r="D116" s="70">
        <v>8</v>
      </c>
      <c r="E116" s="66">
        <v>200</v>
      </c>
      <c r="F116" s="71" t="s">
        <v>4</v>
      </c>
      <c r="G116" s="328">
        <f>(H116/100)</f>
        <v>0.55781052631578942</v>
      </c>
      <c r="H116" s="111">
        <v>55.781052631578945</v>
      </c>
    </row>
    <row r="117" spans="1:8" x14ac:dyDescent="0.2">
      <c r="B117" s="145" t="s">
        <v>178</v>
      </c>
      <c r="C117" s="168" t="s">
        <v>77</v>
      </c>
      <c r="D117" s="70">
        <v>10</v>
      </c>
      <c r="E117" s="66">
        <v>200</v>
      </c>
      <c r="F117" s="71" t="s">
        <v>4</v>
      </c>
      <c r="G117" s="328">
        <f t="shared" ref="G117:G118" si="6">(H117/100)</f>
        <v>0.75410526315789472</v>
      </c>
      <c r="H117" s="111">
        <v>75.410526315789468</v>
      </c>
    </row>
    <row r="118" spans="1:8" x14ac:dyDescent="0.2">
      <c r="B118" s="145" t="s">
        <v>178</v>
      </c>
      <c r="C118" s="168" t="s">
        <v>78</v>
      </c>
      <c r="D118" s="72">
        <v>12</v>
      </c>
      <c r="E118" s="60">
        <v>200</v>
      </c>
      <c r="F118" s="71" t="s">
        <v>4</v>
      </c>
      <c r="G118" s="328">
        <f t="shared" si="6"/>
        <v>0.87176842105263175</v>
      </c>
      <c r="H118" s="111">
        <v>87.176842105263177</v>
      </c>
    </row>
    <row r="119" spans="1:8" x14ac:dyDescent="0.2">
      <c r="B119" s="32"/>
      <c r="C119" s="32"/>
      <c r="D119" s="32"/>
      <c r="E119" s="35"/>
      <c r="F119" s="32"/>
      <c r="G119" s="32"/>
    </row>
  </sheetData>
  <mergeCells count="1">
    <mergeCell ref="G24:H24"/>
  </mergeCells>
  <phoneticPr fontId="5" type="noConversion"/>
  <pageMargins left="0.74803149606299213" right="0.74803149606299213" top="0.98425196850393704" bottom="0.98425196850393704" header="0" footer="0"/>
  <pageSetup paperSize="9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0:G1721"/>
  <sheetViews>
    <sheetView topLeftCell="A34" workbookViewId="0">
      <selection activeCell="G12" sqref="G12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20.42578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3" spans="2:7" ht="13.5" thickBot="1" x14ac:dyDescent="0.25"/>
    <row r="24" spans="2:7" ht="24.75" customHeight="1" thickTop="1" x14ac:dyDescent="0.2">
      <c r="B24" s="152" t="s">
        <v>148</v>
      </c>
      <c r="C24" s="153"/>
      <c r="D24" s="154"/>
      <c r="E24" s="155"/>
      <c r="F24" s="156"/>
      <c r="G24" s="158" t="s">
        <v>69</v>
      </c>
    </row>
    <row r="25" spans="2:7" x14ac:dyDescent="0.2">
      <c r="C25" s="32"/>
      <c r="D25" s="32"/>
      <c r="E25" s="32"/>
      <c r="F25" s="32"/>
      <c r="G25" s="32"/>
    </row>
    <row r="26" spans="2:7" x14ac:dyDescent="0.2">
      <c r="B26" s="18" t="s">
        <v>0</v>
      </c>
      <c r="C26" s="18"/>
      <c r="D26" s="146" t="s">
        <v>2</v>
      </c>
      <c r="E26" s="20" t="s">
        <v>3</v>
      </c>
      <c r="F26" s="20"/>
      <c r="G26" s="116" t="s">
        <v>316</v>
      </c>
    </row>
    <row r="27" spans="2:7" x14ac:dyDescent="0.2">
      <c r="B27" s="73"/>
      <c r="C27" s="73"/>
      <c r="D27" s="73"/>
      <c r="E27" s="73"/>
      <c r="F27" s="73"/>
      <c r="G27" s="73"/>
    </row>
    <row r="28" spans="2:7" x14ac:dyDescent="0.2">
      <c r="B28" s="303" t="s">
        <v>127</v>
      </c>
      <c r="C28" s="304"/>
      <c r="D28" s="304"/>
      <c r="E28" s="304"/>
      <c r="F28" s="304"/>
      <c r="G28" s="305"/>
    </row>
    <row r="29" spans="2:7" x14ac:dyDescent="0.2">
      <c r="B29" s="102" t="s">
        <v>128</v>
      </c>
      <c r="C29" s="102" t="s">
        <v>133</v>
      </c>
      <c r="D29" s="142" t="s">
        <v>143</v>
      </c>
      <c r="E29" s="142" t="s">
        <v>145</v>
      </c>
      <c r="F29" s="102"/>
      <c r="G29" s="300">
        <v>51.678571428571431</v>
      </c>
    </row>
    <row r="30" spans="2:7" x14ac:dyDescent="0.2">
      <c r="B30" s="102" t="s">
        <v>129</v>
      </c>
      <c r="C30" s="102" t="s">
        <v>133</v>
      </c>
      <c r="D30" s="142" t="s">
        <v>143</v>
      </c>
      <c r="E30" s="142" t="s">
        <v>145</v>
      </c>
      <c r="F30" s="102"/>
      <c r="G30" s="300">
        <v>51.678571428571431</v>
      </c>
    </row>
    <row r="31" spans="2:7" x14ac:dyDescent="0.2">
      <c r="B31" s="102" t="s">
        <v>130</v>
      </c>
      <c r="C31" s="102" t="s">
        <v>133</v>
      </c>
      <c r="D31" s="142"/>
      <c r="E31" s="142" t="s">
        <v>145</v>
      </c>
      <c r="F31" s="102"/>
      <c r="G31" s="300">
        <v>141.67857142857144</v>
      </c>
    </row>
    <row r="32" spans="2:7" x14ac:dyDescent="0.2">
      <c r="B32" s="102" t="s">
        <v>160</v>
      </c>
      <c r="C32" s="102" t="s">
        <v>134</v>
      </c>
      <c r="D32" s="142" t="s">
        <v>143</v>
      </c>
      <c r="E32" s="142" t="s">
        <v>145</v>
      </c>
      <c r="F32" s="102"/>
      <c r="G32" s="301">
        <v>105.38009259259262</v>
      </c>
    </row>
    <row r="33" spans="2:7" x14ac:dyDescent="0.2">
      <c r="B33" s="102" t="s">
        <v>131</v>
      </c>
      <c r="C33" s="102" t="s">
        <v>134</v>
      </c>
      <c r="D33" s="142" t="s">
        <v>144</v>
      </c>
      <c r="E33" s="142" t="s">
        <v>145</v>
      </c>
      <c r="F33" s="102"/>
      <c r="G33" s="301">
        <v>121.79886363636369</v>
      </c>
    </row>
    <row r="34" spans="2:7" x14ac:dyDescent="0.2">
      <c r="B34" s="102" t="s">
        <v>161</v>
      </c>
      <c r="C34" s="102" t="s">
        <v>134</v>
      </c>
      <c r="D34" s="142"/>
      <c r="E34" s="142" t="s">
        <v>145</v>
      </c>
      <c r="F34" s="102"/>
      <c r="G34" s="301">
        <v>282.6281779661017</v>
      </c>
    </row>
    <row r="35" spans="2:7" x14ac:dyDescent="0.2">
      <c r="B35" s="102" t="s">
        <v>132</v>
      </c>
      <c r="C35" s="102" t="s">
        <v>135</v>
      </c>
      <c r="D35" s="142" t="s">
        <v>142</v>
      </c>
      <c r="E35" s="142" t="s">
        <v>146</v>
      </c>
      <c r="F35" s="102"/>
      <c r="G35" s="301">
        <v>25.539038461538464</v>
      </c>
    </row>
    <row r="36" spans="2:7" x14ac:dyDescent="0.2">
      <c r="B36" s="102" t="s">
        <v>136</v>
      </c>
      <c r="C36" s="102" t="s">
        <v>135</v>
      </c>
      <c r="D36" s="142" t="s">
        <v>142</v>
      </c>
      <c r="E36" s="142" t="s">
        <v>146</v>
      </c>
      <c r="F36" s="102"/>
      <c r="G36" s="301">
        <v>34.862261904761901</v>
      </c>
    </row>
    <row r="37" spans="2:7" x14ac:dyDescent="0.2">
      <c r="B37" s="102" t="s">
        <v>137</v>
      </c>
      <c r="C37" s="102" t="s">
        <v>135</v>
      </c>
      <c r="D37" s="142" t="s">
        <v>142</v>
      </c>
      <c r="E37" s="142" t="s">
        <v>146</v>
      </c>
      <c r="F37" s="102"/>
      <c r="G37" s="301">
        <v>70.718855932203397</v>
      </c>
    </row>
    <row r="38" spans="2:7" x14ac:dyDescent="0.2">
      <c r="B38" s="102" t="s">
        <v>138</v>
      </c>
      <c r="C38" s="102" t="s">
        <v>135</v>
      </c>
      <c r="D38" s="142" t="s">
        <v>142</v>
      </c>
      <c r="E38" s="142" t="s">
        <v>147</v>
      </c>
      <c r="F38" s="102"/>
      <c r="G38" s="301">
        <v>95.990833333333356</v>
      </c>
    </row>
    <row r="39" spans="2:7" x14ac:dyDescent="0.2">
      <c r="C39" s="73"/>
      <c r="D39" s="224"/>
      <c r="E39" s="224"/>
      <c r="F39" s="73"/>
      <c r="G39" s="224"/>
    </row>
    <row r="40" spans="2:7" x14ac:dyDescent="0.2">
      <c r="B40" s="303" t="s">
        <v>317</v>
      </c>
      <c r="C40" s="306"/>
      <c r="D40" s="306"/>
      <c r="E40" s="306"/>
      <c r="F40" s="306"/>
      <c r="G40" s="307"/>
    </row>
    <row r="41" spans="2:7" x14ac:dyDescent="0.2">
      <c r="B41" s="102" t="s">
        <v>149</v>
      </c>
      <c r="C41" s="302"/>
      <c r="D41" s="302"/>
      <c r="E41" s="302"/>
      <c r="F41" s="302"/>
      <c r="G41" s="142">
        <v>74.25</v>
      </c>
    </row>
    <row r="42" spans="2:7" x14ac:dyDescent="0.2">
      <c r="B42" s="102" t="s">
        <v>141</v>
      </c>
      <c r="C42" s="302"/>
      <c r="D42" s="302"/>
      <c r="E42" s="302"/>
      <c r="F42" s="302"/>
      <c r="G42" s="302"/>
    </row>
    <row r="43" spans="2:7" x14ac:dyDescent="0.2">
      <c r="B43" s="102" t="s">
        <v>139</v>
      </c>
      <c r="C43" s="302"/>
      <c r="D43" s="302"/>
      <c r="E43" s="302"/>
      <c r="F43" s="302"/>
      <c r="G43" s="142"/>
    </row>
    <row r="44" spans="2:7" x14ac:dyDescent="0.2">
      <c r="B44" s="102" t="s">
        <v>140</v>
      </c>
      <c r="C44" s="302"/>
      <c r="D44" s="302"/>
      <c r="E44" s="302"/>
      <c r="F44" s="302"/>
      <c r="G44" s="142"/>
    </row>
    <row r="46" spans="2:7" x14ac:dyDescent="0.2">
      <c r="B46" s="73"/>
      <c r="C46" s="73"/>
      <c r="D46" s="73"/>
      <c r="E46" s="73"/>
      <c r="F46" s="73"/>
      <c r="G46" s="73"/>
    </row>
    <row r="47" spans="2:7" x14ac:dyDescent="0.2">
      <c r="B47" s="73"/>
      <c r="C47" s="73"/>
      <c r="D47" s="73"/>
      <c r="E47" s="73"/>
      <c r="F47" s="73"/>
      <c r="G47" s="73"/>
    </row>
    <row r="48" spans="2:7" x14ac:dyDescent="0.2">
      <c r="B48" s="73"/>
      <c r="C48" s="73"/>
      <c r="D48" s="73"/>
      <c r="E48" s="73"/>
      <c r="F48" s="73"/>
      <c r="G48" s="73"/>
    </row>
    <row r="49" spans="2:7" x14ac:dyDescent="0.2">
      <c r="B49" s="73"/>
      <c r="C49" s="73"/>
      <c r="D49" s="73"/>
      <c r="E49" s="73"/>
      <c r="F49" s="73"/>
      <c r="G49" s="73"/>
    </row>
    <row r="50" spans="2:7" x14ac:dyDescent="0.2">
      <c r="B50" s="73"/>
      <c r="C50" s="73"/>
      <c r="D50" s="73"/>
      <c r="E50" s="73"/>
      <c r="F50" s="73"/>
      <c r="G50" s="73"/>
    </row>
    <row r="51" spans="2:7" x14ac:dyDescent="0.2">
      <c r="B51" s="73"/>
      <c r="C51" s="73"/>
      <c r="D51" s="73"/>
      <c r="E51" s="73"/>
      <c r="F51" s="73"/>
      <c r="G51" s="73"/>
    </row>
    <row r="52" spans="2:7" x14ac:dyDescent="0.2">
      <c r="B52" s="73"/>
      <c r="C52" s="73"/>
      <c r="D52" s="73"/>
      <c r="E52" s="73"/>
      <c r="F52" s="73"/>
      <c r="G52" s="73"/>
    </row>
    <row r="53" spans="2:7" x14ac:dyDescent="0.2">
      <c r="B53" s="73"/>
      <c r="C53" s="73"/>
      <c r="D53" s="73"/>
      <c r="E53" s="73"/>
      <c r="F53" s="73"/>
      <c r="G53" s="73"/>
    </row>
    <row r="54" spans="2:7" x14ac:dyDescent="0.2">
      <c r="B54" s="73"/>
      <c r="C54" s="73"/>
      <c r="D54" s="73"/>
      <c r="E54" s="73"/>
      <c r="F54" s="73"/>
      <c r="G54" s="73"/>
    </row>
    <row r="55" spans="2:7" x14ac:dyDescent="0.2">
      <c r="B55" s="73"/>
      <c r="C55" s="73"/>
      <c r="D55" s="73"/>
      <c r="E55" s="73"/>
      <c r="F55" s="73"/>
      <c r="G55" s="73"/>
    </row>
    <row r="56" spans="2:7" x14ac:dyDescent="0.2">
      <c r="B56" s="73"/>
      <c r="C56" s="73"/>
      <c r="D56" s="73"/>
      <c r="E56" s="73"/>
      <c r="F56" s="73"/>
      <c r="G56" s="73"/>
    </row>
    <row r="57" spans="2:7" x14ac:dyDescent="0.2">
      <c r="B57" s="73"/>
      <c r="C57" s="73"/>
      <c r="D57" s="73"/>
      <c r="E57" s="73"/>
      <c r="F57" s="73"/>
      <c r="G57" s="73"/>
    </row>
    <row r="58" spans="2:7" x14ac:dyDescent="0.2">
      <c r="B58" s="73"/>
      <c r="C58" s="73"/>
      <c r="D58" s="73"/>
      <c r="E58" s="73"/>
      <c r="F58" s="73"/>
      <c r="G58" s="73"/>
    </row>
    <row r="59" spans="2:7" x14ac:dyDescent="0.2">
      <c r="B59" s="73"/>
      <c r="C59" s="73"/>
      <c r="D59" s="73"/>
      <c r="E59" s="73"/>
      <c r="F59" s="73"/>
      <c r="G59" s="73"/>
    </row>
    <row r="60" spans="2:7" x14ac:dyDescent="0.2">
      <c r="B60" s="73"/>
      <c r="C60" s="73"/>
      <c r="D60" s="73"/>
      <c r="E60" s="73"/>
      <c r="F60" s="73"/>
      <c r="G60" s="73"/>
    </row>
    <row r="61" spans="2:7" x14ac:dyDescent="0.2">
      <c r="B61" s="73"/>
      <c r="C61" s="73"/>
      <c r="D61" s="73"/>
      <c r="E61" s="73"/>
      <c r="F61" s="73"/>
      <c r="G61" s="73"/>
    </row>
    <row r="62" spans="2:7" x14ac:dyDescent="0.2">
      <c r="B62" s="73"/>
      <c r="C62" s="73"/>
      <c r="D62" s="73"/>
      <c r="E62" s="73"/>
      <c r="F62" s="73"/>
      <c r="G62" s="73"/>
    </row>
    <row r="63" spans="2:7" x14ac:dyDescent="0.2">
      <c r="B63" s="73"/>
      <c r="C63" s="73"/>
      <c r="D63" s="73"/>
      <c r="E63" s="73"/>
      <c r="F63" s="73"/>
      <c r="G63" s="73"/>
    </row>
    <row r="64" spans="2:7" x14ac:dyDescent="0.2">
      <c r="B64" s="73"/>
      <c r="C64" s="73"/>
      <c r="D64" s="73"/>
      <c r="E64" s="73"/>
      <c r="F64" s="73"/>
      <c r="G64" s="73"/>
    </row>
    <row r="65" spans="2:7" x14ac:dyDescent="0.2">
      <c r="B65" s="73"/>
      <c r="C65" s="73"/>
      <c r="D65" s="73"/>
      <c r="E65" s="73"/>
      <c r="F65" s="73"/>
      <c r="G65" s="73"/>
    </row>
    <row r="66" spans="2:7" x14ac:dyDescent="0.2">
      <c r="B66" s="73"/>
      <c r="C66" s="73"/>
      <c r="D66" s="73"/>
      <c r="E66" s="73"/>
      <c r="F66" s="73"/>
      <c r="G66" s="73"/>
    </row>
    <row r="67" spans="2:7" x14ac:dyDescent="0.2">
      <c r="B67" s="73"/>
      <c r="C67" s="73"/>
      <c r="D67" s="73"/>
      <c r="E67" s="73"/>
      <c r="F67" s="73"/>
      <c r="G67" s="73"/>
    </row>
    <row r="68" spans="2:7" x14ac:dyDescent="0.2">
      <c r="B68" s="73"/>
      <c r="C68" s="73"/>
      <c r="D68" s="73"/>
      <c r="E68" s="73"/>
      <c r="F68" s="73"/>
      <c r="G68" s="73"/>
    </row>
    <row r="69" spans="2:7" x14ac:dyDescent="0.2">
      <c r="B69" s="73"/>
      <c r="C69" s="73"/>
      <c r="D69" s="73"/>
      <c r="E69" s="73"/>
      <c r="F69" s="73"/>
      <c r="G69" s="73"/>
    </row>
    <row r="70" spans="2:7" x14ac:dyDescent="0.2">
      <c r="B70" s="73"/>
      <c r="C70" s="73"/>
      <c r="D70" s="73"/>
      <c r="E70" s="73"/>
      <c r="F70" s="73"/>
      <c r="G70" s="73"/>
    </row>
    <row r="71" spans="2:7" x14ac:dyDescent="0.2">
      <c r="B71" s="73"/>
      <c r="C71" s="73"/>
      <c r="D71" s="73"/>
      <c r="E71" s="73"/>
      <c r="F71" s="73"/>
      <c r="G71" s="73"/>
    </row>
    <row r="72" spans="2:7" x14ac:dyDescent="0.2">
      <c r="B72" s="73"/>
      <c r="C72" s="73"/>
      <c r="D72" s="73"/>
      <c r="E72" s="73"/>
      <c r="F72" s="73"/>
      <c r="G72" s="73"/>
    </row>
    <row r="73" spans="2:7" x14ac:dyDescent="0.2">
      <c r="B73" s="73"/>
      <c r="C73" s="73"/>
      <c r="D73" s="73"/>
      <c r="E73" s="73"/>
      <c r="F73" s="73"/>
      <c r="G73" s="73"/>
    </row>
    <row r="74" spans="2:7" x14ac:dyDescent="0.2">
      <c r="B74" s="73"/>
      <c r="C74" s="73"/>
      <c r="D74" s="73"/>
      <c r="E74" s="73"/>
      <c r="F74" s="73"/>
      <c r="G74" s="73"/>
    </row>
    <row r="75" spans="2:7" x14ac:dyDescent="0.2">
      <c r="B75" s="73"/>
      <c r="C75" s="73"/>
      <c r="D75" s="73"/>
      <c r="E75" s="73"/>
      <c r="F75" s="73"/>
      <c r="G75" s="73"/>
    </row>
    <row r="76" spans="2:7" x14ac:dyDescent="0.2">
      <c r="B76" s="73"/>
      <c r="C76" s="73"/>
      <c r="D76" s="73"/>
      <c r="E76" s="73"/>
      <c r="F76" s="73"/>
      <c r="G76" s="73"/>
    </row>
    <row r="77" spans="2:7" x14ac:dyDescent="0.2">
      <c r="B77" s="73"/>
      <c r="C77" s="73"/>
      <c r="D77" s="73"/>
      <c r="E77" s="73"/>
      <c r="F77" s="73"/>
      <c r="G77" s="73"/>
    </row>
    <row r="78" spans="2:7" x14ac:dyDescent="0.2">
      <c r="B78" s="73"/>
      <c r="C78" s="73"/>
      <c r="D78" s="73"/>
      <c r="E78" s="73"/>
      <c r="F78" s="73"/>
      <c r="G78" s="73"/>
    </row>
    <row r="79" spans="2:7" x14ac:dyDescent="0.2">
      <c r="B79" s="73"/>
      <c r="C79" s="73"/>
      <c r="D79" s="73"/>
      <c r="E79" s="73"/>
      <c r="F79" s="73"/>
      <c r="G79" s="73"/>
    </row>
    <row r="80" spans="2:7" x14ac:dyDescent="0.2">
      <c r="B80" s="73"/>
      <c r="C80" s="73"/>
      <c r="D80" s="73"/>
      <c r="E80" s="73"/>
      <c r="F80" s="73"/>
      <c r="G80" s="73"/>
    </row>
    <row r="81" spans="2:7" x14ac:dyDescent="0.2">
      <c r="B81" s="73"/>
      <c r="C81" s="73"/>
      <c r="D81" s="73"/>
      <c r="E81" s="73"/>
      <c r="F81" s="73"/>
      <c r="G81" s="73"/>
    </row>
    <row r="82" spans="2:7" x14ac:dyDescent="0.2">
      <c r="B82" s="73"/>
      <c r="C82" s="73"/>
      <c r="D82" s="73"/>
      <c r="E82" s="73"/>
      <c r="F82" s="73"/>
      <c r="G82" s="73"/>
    </row>
    <row r="83" spans="2:7" x14ac:dyDescent="0.2">
      <c r="B83" s="73"/>
      <c r="C83" s="73"/>
      <c r="D83" s="73"/>
      <c r="E83" s="73"/>
      <c r="F83" s="73"/>
      <c r="G83" s="73"/>
    </row>
    <row r="84" spans="2:7" x14ac:dyDescent="0.2">
      <c r="B84" s="73"/>
      <c r="C84" s="73"/>
      <c r="D84" s="73"/>
      <c r="E84" s="73"/>
      <c r="F84" s="73"/>
      <c r="G84" s="73"/>
    </row>
    <row r="85" spans="2:7" x14ac:dyDescent="0.2">
      <c r="B85" s="73"/>
      <c r="C85" s="73"/>
      <c r="D85" s="73"/>
      <c r="E85" s="73"/>
      <c r="F85" s="73"/>
      <c r="G85" s="73"/>
    </row>
    <row r="86" spans="2:7" x14ac:dyDescent="0.2">
      <c r="B86" s="73"/>
      <c r="C86" s="73"/>
      <c r="D86" s="73"/>
      <c r="E86" s="73"/>
      <c r="F86" s="73"/>
      <c r="G86" s="73"/>
    </row>
    <row r="87" spans="2:7" x14ac:dyDescent="0.2">
      <c r="B87" s="73"/>
      <c r="C87" s="73"/>
      <c r="D87" s="73"/>
      <c r="E87" s="73"/>
      <c r="F87" s="73"/>
      <c r="G87" s="73"/>
    </row>
    <row r="88" spans="2:7" x14ac:dyDescent="0.2">
      <c r="B88" s="73"/>
      <c r="C88" s="73"/>
      <c r="D88" s="73"/>
      <c r="E88" s="73"/>
      <c r="F88" s="73"/>
      <c r="G88" s="73"/>
    </row>
    <row r="89" spans="2:7" x14ac:dyDescent="0.2">
      <c r="B89" s="73"/>
      <c r="C89" s="73"/>
      <c r="D89" s="73"/>
      <c r="E89" s="73"/>
      <c r="F89" s="73"/>
      <c r="G89" s="73"/>
    </row>
    <row r="90" spans="2:7" x14ac:dyDescent="0.2">
      <c r="B90" s="73"/>
      <c r="C90" s="73"/>
      <c r="D90" s="73"/>
      <c r="E90" s="73"/>
      <c r="F90" s="73"/>
      <c r="G90" s="73"/>
    </row>
    <row r="91" spans="2:7" x14ac:dyDescent="0.2">
      <c r="B91" s="73"/>
      <c r="C91" s="73"/>
      <c r="D91" s="73"/>
      <c r="E91" s="73"/>
      <c r="F91" s="73"/>
      <c r="G91" s="73"/>
    </row>
    <row r="92" spans="2:7" x14ac:dyDescent="0.2">
      <c r="B92" s="73"/>
      <c r="C92" s="73"/>
      <c r="D92" s="73"/>
      <c r="E92" s="73"/>
      <c r="F92" s="73"/>
      <c r="G92" s="73"/>
    </row>
    <row r="93" spans="2:7" x14ac:dyDescent="0.2">
      <c r="B93" s="73"/>
      <c r="C93" s="73"/>
      <c r="D93" s="73"/>
      <c r="E93" s="73"/>
      <c r="F93" s="73"/>
      <c r="G93" s="73"/>
    </row>
    <row r="94" spans="2:7" x14ac:dyDescent="0.2">
      <c r="B94" s="73"/>
      <c r="C94" s="73"/>
      <c r="D94" s="73"/>
      <c r="E94" s="73"/>
      <c r="F94" s="73"/>
      <c r="G94" s="73"/>
    </row>
    <row r="95" spans="2:7" x14ac:dyDescent="0.2">
      <c r="B95" s="73"/>
      <c r="C95" s="73"/>
      <c r="D95" s="73"/>
      <c r="E95" s="73"/>
      <c r="F95" s="73"/>
      <c r="G95" s="73"/>
    </row>
    <row r="96" spans="2:7" x14ac:dyDescent="0.2">
      <c r="B96" s="73"/>
      <c r="C96" s="73"/>
      <c r="D96" s="73"/>
      <c r="E96" s="73"/>
      <c r="F96" s="73"/>
      <c r="G96" s="73"/>
    </row>
    <row r="97" spans="2:7" x14ac:dyDescent="0.2">
      <c r="B97" s="73"/>
      <c r="C97" s="73"/>
      <c r="D97" s="73"/>
      <c r="E97" s="73"/>
      <c r="F97" s="73"/>
      <c r="G97" s="73"/>
    </row>
    <row r="98" spans="2:7" x14ac:dyDescent="0.2">
      <c r="B98" s="73"/>
      <c r="C98" s="73"/>
      <c r="D98" s="73"/>
      <c r="E98" s="73"/>
      <c r="F98" s="73"/>
      <c r="G98" s="73"/>
    </row>
    <row r="99" spans="2:7" x14ac:dyDescent="0.2">
      <c r="B99" s="73"/>
      <c r="C99" s="73"/>
      <c r="D99" s="73"/>
      <c r="E99" s="73"/>
      <c r="F99" s="73"/>
      <c r="G99" s="73"/>
    </row>
    <row r="100" spans="2:7" x14ac:dyDescent="0.2">
      <c r="B100" s="73"/>
      <c r="C100" s="73"/>
      <c r="D100" s="73"/>
      <c r="E100" s="73"/>
      <c r="F100" s="73"/>
      <c r="G100" s="73"/>
    </row>
    <row r="101" spans="2:7" x14ac:dyDescent="0.2">
      <c r="B101" s="73"/>
      <c r="C101" s="73"/>
      <c r="D101" s="73"/>
      <c r="E101" s="73"/>
      <c r="F101" s="73"/>
      <c r="G101" s="73"/>
    </row>
    <row r="102" spans="2:7" x14ac:dyDescent="0.2">
      <c r="B102" s="73"/>
      <c r="C102" s="73"/>
      <c r="D102" s="73"/>
      <c r="E102" s="73"/>
      <c r="F102" s="73"/>
      <c r="G102" s="73"/>
    </row>
    <row r="103" spans="2:7" x14ac:dyDescent="0.2">
      <c r="B103" s="73"/>
      <c r="C103" s="73"/>
      <c r="D103" s="73"/>
      <c r="E103" s="73"/>
      <c r="F103" s="73"/>
      <c r="G103" s="73"/>
    </row>
    <row r="104" spans="2:7" x14ac:dyDescent="0.2">
      <c r="B104" s="73"/>
      <c r="C104" s="73"/>
      <c r="D104" s="73"/>
      <c r="E104" s="73"/>
      <c r="F104" s="73"/>
      <c r="G104" s="73"/>
    </row>
    <row r="105" spans="2:7" x14ac:dyDescent="0.2">
      <c r="B105" s="73"/>
      <c r="C105" s="73"/>
      <c r="D105" s="73"/>
      <c r="E105" s="73"/>
      <c r="F105" s="73"/>
      <c r="G105" s="73"/>
    </row>
    <row r="106" spans="2:7" x14ac:dyDescent="0.2">
      <c r="B106" s="73"/>
      <c r="C106" s="73"/>
      <c r="D106" s="73"/>
      <c r="E106" s="73"/>
      <c r="F106" s="73"/>
      <c r="G106" s="73"/>
    </row>
    <row r="107" spans="2:7" x14ac:dyDescent="0.2">
      <c r="B107" s="73"/>
      <c r="C107" s="73"/>
      <c r="D107" s="73"/>
      <c r="E107" s="73"/>
      <c r="F107" s="73"/>
      <c r="G107" s="73"/>
    </row>
    <row r="108" spans="2:7" x14ac:dyDescent="0.2">
      <c r="B108" s="73"/>
      <c r="C108" s="73"/>
      <c r="D108" s="73"/>
      <c r="E108" s="73"/>
      <c r="F108" s="73"/>
      <c r="G108" s="73"/>
    </row>
    <row r="109" spans="2:7" x14ac:dyDescent="0.2">
      <c r="B109" s="73"/>
      <c r="C109" s="73"/>
      <c r="D109" s="73"/>
      <c r="E109" s="73"/>
      <c r="F109" s="73"/>
      <c r="G109" s="73"/>
    </row>
    <row r="110" spans="2:7" x14ac:dyDescent="0.2">
      <c r="B110" s="73"/>
      <c r="C110" s="73"/>
      <c r="D110" s="73"/>
      <c r="E110" s="73"/>
      <c r="F110" s="73"/>
      <c r="G110" s="73"/>
    </row>
    <row r="111" spans="2:7" x14ac:dyDescent="0.2">
      <c r="B111" s="73"/>
      <c r="C111" s="73"/>
      <c r="D111" s="73"/>
      <c r="E111" s="73"/>
      <c r="F111" s="73"/>
      <c r="G111" s="73"/>
    </row>
    <row r="112" spans="2:7" x14ac:dyDescent="0.2">
      <c r="B112" s="73"/>
      <c r="C112" s="73"/>
      <c r="D112" s="73"/>
      <c r="E112" s="73"/>
      <c r="F112" s="73"/>
      <c r="G112" s="73"/>
    </row>
    <row r="113" spans="2:7" x14ac:dyDescent="0.2">
      <c r="B113" s="73"/>
      <c r="C113" s="73"/>
      <c r="D113" s="73"/>
      <c r="E113" s="73"/>
      <c r="F113" s="73"/>
      <c r="G113" s="73"/>
    </row>
    <row r="114" spans="2:7" x14ac:dyDescent="0.2">
      <c r="B114" s="73"/>
      <c r="C114" s="73"/>
      <c r="D114" s="73"/>
      <c r="E114" s="73"/>
      <c r="F114" s="73"/>
      <c r="G114" s="73"/>
    </row>
    <row r="115" spans="2:7" x14ac:dyDescent="0.2">
      <c r="B115" s="73"/>
      <c r="C115" s="73"/>
      <c r="D115" s="73"/>
      <c r="E115" s="73"/>
      <c r="F115" s="73"/>
      <c r="G115" s="73"/>
    </row>
    <row r="116" spans="2:7" x14ac:dyDescent="0.2">
      <c r="B116" s="73"/>
      <c r="C116" s="73"/>
      <c r="D116" s="73"/>
      <c r="E116" s="73"/>
      <c r="F116" s="73"/>
      <c r="G116" s="73"/>
    </row>
    <row r="117" spans="2:7" x14ac:dyDescent="0.2">
      <c r="B117" s="73"/>
      <c r="C117" s="73"/>
      <c r="D117" s="73"/>
      <c r="E117" s="73"/>
      <c r="F117" s="73"/>
      <c r="G117" s="73"/>
    </row>
    <row r="118" spans="2:7" x14ac:dyDescent="0.2">
      <c r="B118" s="73"/>
      <c r="C118" s="73"/>
      <c r="D118" s="73"/>
      <c r="E118" s="73"/>
      <c r="F118" s="73"/>
      <c r="G118" s="73"/>
    </row>
    <row r="119" spans="2:7" x14ac:dyDescent="0.2">
      <c r="B119" s="73"/>
      <c r="C119" s="73"/>
      <c r="D119" s="73"/>
      <c r="E119" s="73"/>
      <c r="F119" s="73"/>
      <c r="G119" s="73"/>
    </row>
    <row r="120" spans="2:7" x14ac:dyDescent="0.2">
      <c r="B120" s="73"/>
      <c r="C120" s="73"/>
      <c r="D120" s="73"/>
      <c r="E120" s="73"/>
      <c r="F120" s="73"/>
      <c r="G120" s="73"/>
    </row>
    <row r="121" spans="2:7" x14ac:dyDescent="0.2">
      <c r="B121" s="73"/>
      <c r="C121" s="73"/>
      <c r="D121" s="73"/>
      <c r="E121" s="73"/>
      <c r="F121" s="73"/>
      <c r="G121" s="73"/>
    </row>
    <row r="122" spans="2:7" x14ac:dyDescent="0.2">
      <c r="B122" s="73"/>
      <c r="C122" s="73"/>
      <c r="D122" s="73"/>
      <c r="E122" s="73"/>
      <c r="F122" s="73"/>
      <c r="G122" s="73"/>
    </row>
    <row r="123" spans="2:7" x14ac:dyDescent="0.2">
      <c r="B123" s="73"/>
      <c r="C123" s="73"/>
      <c r="D123" s="73"/>
      <c r="E123" s="73"/>
      <c r="F123" s="73"/>
      <c r="G123" s="73"/>
    </row>
    <row r="124" spans="2:7" x14ac:dyDescent="0.2">
      <c r="B124" s="73"/>
      <c r="C124" s="73"/>
      <c r="D124" s="73"/>
      <c r="E124" s="73"/>
      <c r="F124" s="73"/>
      <c r="G124" s="73"/>
    </row>
    <row r="125" spans="2:7" x14ac:dyDescent="0.2">
      <c r="B125" s="73"/>
      <c r="C125" s="73"/>
      <c r="D125" s="73"/>
      <c r="E125" s="73"/>
      <c r="F125" s="73"/>
      <c r="G125" s="73"/>
    </row>
    <row r="126" spans="2:7" x14ac:dyDescent="0.2">
      <c r="B126" s="73"/>
      <c r="C126" s="73"/>
      <c r="D126" s="73"/>
      <c r="E126" s="73"/>
      <c r="F126" s="73"/>
      <c r="G126" s="73"/>
    </row>
    <row r="127" spans="2:7" x14ac:dyDescent="0.2">
      <c r="B127" s="73"/>
      <c r="C127" s="73"/>
      <c r="D127" s="73"/>
      <c r="E127" s="73"/>
      <c r="F127" s="73"/>
      <c r="G127" s="73"/>
    </row>
    <row r="128" spans="2:7" x14ac:dyDescent="0.2">
      <c r="B128" s="73"/>
      <c r="C128" s="73"/>
      <c r="D128" s="73"/>
      <c r="E128" s="73"/>
      <c r="F128" s="73"/>
      <c r="G128" s="73"/>
    </row>
    <row r="129" spans="2:7" x14ac:dyDescent="0.2">
      <c r="B129" s="73"/>
      <c r="C129" s="73"/>
      <c r="D129" s="73"/>
      <c r="E129" s="73"/>
      <c r="F129" s="73"/>
      <c r="G129" s="73"/>
    </row>
    <row r="130" spans="2:7" x14ac:dyDescent="0.2">
      <c r="B130" s="73"/>
      <c r="C130" s="73"/>
      <c r="D130" s="73"/>
      <c r="E130" s="73"/>
      <c r="F130" s="73"/>
      <c r="G130" s="73"/>
    </row>
    <row r="131" spans="2:7" x14ac:dyDescent="0.2">
      <c r="B131" s="73"/>
      <c r="C131" s="73"/>
      <c r="D131" s="73"/>
      <c r="E131" s="73"/>
      <c r="F131" s="73"/>
      <c r="G131" s="73"/>
    </row>
    <row r="132" spans="2:7" x14ac:dyDescent="0.2">
      <c r="B132" s="73"/>
      <c r="C132" s="73"/>
      <c r="D132" s="73"/>
      <c r="E132" s="73"/>
      <c r="F132" s="73"/>
      <c r="G132" s="73"/>
    </row>
    <row r="133" spans="2:7" x14ac:dyDescent="0.2">
      <c r="B133" s="73"/>
      <c r="C133" s="73"/>
      <c r="D133" s="73"/>
      <c r="E133" s="73"/>
      <c r="F133" s="73"/>
      <c r="G133" s="73"/>
    </row>
    <row r="134" spans="2:7" x14ac:dyDescent="0.2">
      <c r="B134" s="73"/>
      <c r="C134" s="73"/>
      <c r="D134" s="73"/>
      <c r="E134" s="73"/>
      <c r="F134" s="73"/>
      <c r="G134" s="73"/>
    </row>
    <row r="135" spans="2:7" x14ac:dyDescent="0.2">
      <c r="B135" s="73"/>
      <c r="C135" s="73"/>
      <c r="D135" s="73"/>
      <c r="E135" s="73"/>
      <c r="F135" s="73"/>
      <c r="G135" s="73"/>
    </row>
    <row r="136" spans="2:7" x14ac:dyDescent="0.2">
      <c r="B136" s="73"/>
      <c r="C136" s="73"/>
      <c r="D136" s="73"/>
      <c r="E136" s="73"/>
      <c r="F136" s="73"/>
      <c r="G136" s="73"/>
    </row>
    <row r="137" spans="2:7" x14ac:dyDescent="0.2">
      <c r="B137" s="73"/>
      <c r="C137" s="73"/>
      <c r="D137" s="73"/>
      <c r="E137" s="73"/>
      <c r="F137" s="73"/>
      <c r="G137" s="73"/>
    </row>
    <row r="138" spans="2:7" x14ac:dyDescent="0.2">
      <c r="B138" s="73"/>
      <c r="C138" s="73"/>
      <c r="D138" s="73"/>
      <c r="E138" s="73"/>
      <c r="F138" s="73"/>
      <c r="G138" s="73"/>
    </row>
    <row r="139" spans="2:7" x14ac:dyDescent="0.2">
      <c r="B139" s="73"/>
      <c r="C139" s="73"/>
      <c r="D139" s="73"/>
      <c r="E139" s="73"/>
      <c r="F139" s="73"/>
      <c r="G139" s="73"/>
    </row>
    <row r="140" spans="2:7" x14ac:dyDescent="0.2">
      <c r="B140" s="73"/>
      <c r="C140" s="73"/>
      <c r="D140" s="73"/>
      <c r="E140" s="73"/>
      <c r="F140" s="73"/>
      <c r="G140" s="73"/>
    </row>
    <row r="141" spans="2:7" x14ac:dyDescent="0.2">
      <c r="B141" s="73"/>
      <c r="C141" s="73"/>
      <c r="D141" s="73"/>
      <c r="E141" s="73"/>
      <c r="F141" s="73"/>
      <c r="G141" s="73"/>
    </row>
    <row r="142" spans="2:7" x14ac:dyDescent="0.2">
      <c r="B142" s="73"/>
      <c r="C142" s="73"/>
      <c r="D142" s="73"/>
      <c r="E142" s="73"/>
      <c r="F142" s="73"/>
      <c r="G142" s="73"/>
    </row>
    <row r="143" spans="2:7" x14ac:dyDescent="0.2">
      <c r="B143" s="73"/>
      <c r="C143" s="73"/>
      <c r="D143" s="73"/>
      <c r="E143" s="73"/>
      <c r="F143" s="73"/>
      <c r="G143" s="73"/>
    </row>
    <row r="144" spans="2:7" x14ac:dyDescent="0.2">
      <c r="B144" s="73"/>
      <c r="C144" s="73"/>
      <c r="D144" s="73"/>
      <c r="E144" s="73"/>
      <c r="F144" s="73"/>
      <c r="G144" s="73"/>
    </row>
    <row r="145" spans="2:7" x14ac:dyDescent="0.2">
      <c r="B145" s="73"/>
      <c r="C145" s="73"/>
      <c r="D145" s="73"/>
      <c r="E145" s="73"/>
      <c r="F145" s="73"/>
      <c r="G145" s="73"/>
    </row>
    <row r="146" spans="2:7" x14ac:dyDescent="0.2">
      <c r="B146" s="73"/>
      <c r="C146" s="73"/>
      <c r="D146" s="73"/>
      <c r="E146" s="73"/>
      <c r="F146" s="73"/>
      <c r="G146" s="73"/>
    </row>
    <row r="147" spans="2:7" x14ac:dyDescent="0.2">
      <c r="B147" s="73"/>
      <c r="C147" s="73"/>
      <c r="D147" s="73"/>
      <c r="E147" s="73"/>
      <c r="F147" s="73"/>
      <c r="G147" s="73"/>
    </row>
    <row r="148" spans="2:7" x14ac:dyDescent="0.2">
      <c r="B148" s="73"/>
      <c r="C148" s="73"/>
      <c r="D148" s="73"/>
      <c r="E148" s="73"/>
      <c r="F148" s="73"/>
      <c r="G148" s="73"/>
    </row>
    <row r="149" spans="2:7" x14ac:dyDescent="0.2">
      <c r="B149" s="73"/>
      <c r="C149" s="73"/>
      <c r="D149" s="73"/>
      <c r="E149" s="73"/>
      <c r="F149" s="73"/>
      <c r="G149" s="73"/>
    </row>
    <row r="150" spans="2:7" x14ac:dyDescent="0.2">
      <c r="B150" s="73"/>
      <c r="C150" s="73"/>
      <c r="D150" s="73"/>
      <c r="E150" s="73"/>
      <c r="F150" s="73"/>
      <c r="G150" s="73"/>
    </row>
    <row r="151" spans="2:7" x14ac:dyDescent="0.2">
      <c r="B151" s="73"/>
      <c r="C151" s="73"/>
      <c r="D151" s="73"/>
      <c r="E151" s="73"/>
      <c r="F151" s="73"/>
      <c r="G151" s="73"/>
    </row>
    <row r="152" spans="2:7" x14ac:dyDescent="0.2">
      <c r="B152" s="73"/>
      <c r="C152" s="73"/>
      <c r="D152" s="73"/>
      <c r="E152" s="73"/>
      <c r="F152" s="73"/>
      <c r="G152" s="73"/>
    </row>
    <row r="153" spans="2:7" x14ac:dyDescent="0.2">
      <c r="B153" s="73"/>
      <c r="C153" s="73"/>
      <c r="D153" s="73"/>
      <c r="E153" s="73"/>
      <c r="F153" s="73"/>
      <c r="G153" s="73"/>
    </row>
    <row r="154" spans="2:7" x14ac:dyDescent="0.2">
      <c r="B154" s="73"/>
      <c r="C154" s="73"/>
      <c r="D154" s="73"/>
      <c r="E154" s="73"/>
      <c r="F154" s="73"/>
      <c r="G154" s="73"/>
    </row>
    <row r="155" spans="2:7" x14ac:dyDescent="0.2">
      <c r="B155" s="73"/>
      <c r="C155" s="73"/>
      <c r="D155" s="73"/>
      <c r="E155" s="73"/>
      <c r="F155" s="73"/>
      <c r="G155" s="73"/>
    </row>
    <row r="156" spans="2:7" x14ac:dyDescent="0.2">
      <c r="B156" s="73"/>
      <c r="C156" s="73"/>
      <c r="D156" s="73"/>
      <c r="E156" s="73"/>
      <c r="F156" s="73"/>
      <c r="G156" s="73"/>
    </row>
    <row r="157" spans="2:7" x14ac:dyDescent="0.2">
      <c r="B157" s="73"/>
      <c r="C157" s="73"/>
      <c r="D157" s="73"/>
      <c r="E157" s="73"/>
      <c r="F157" s="73"/>
      <c r="G157" s="73"/>
    </row>
    <row r="158" spans="2:7" x14ac:dyDescent="0.2">
      <c r="B158" s="73"/>
      <c r="C158" s="73"/>
      <c r="D158" s="73"/>
      <c r="E158" s="73"/>
      <c r="F158" s="73"/>
      <c r="G158" s="73"/>
    </row>
    <row r="159" spans="2:7" x14ac:dyDescent="0.2">
      <c r="B159" s="73"/>
      <c r="C159" s="73"/>
      <c r="D159" s="73"/>
      <c r="E159" s="73"/>
      <c r="F159" s="73"/>
      <c r="G159" s="73"/>
    </row>
    <row r="160" spans="2:7" x14ac:dyDescent="0.2">
      <c r="B160" s="73"/>
      <c r="C160" s="73"/>
      <c r="D160" s="73"/>
      <c r="E160" s="73"/>
      <c r="F160" s="73"/>
      <c r="G160" s="73"/>
    </row>
    <row r="161" spans="2:7" x14ac:dyDescent="0.2">
      <c r="B161" s="73"/>
      <c r="C161" s="73"/>
      <c r="D161" s="73"/>
      <c r="E161" s="73"/>
      <c r="F161" s="73"/>
      <c r="G161" s="73"/>
    </row>
    <row r="162" spans="2:7" x14ac:dyDescent="0.2">
      <c r="B162" s="73"/>
      <c r="C162" s="73"/>
      <c r="D162" s="73"/>
      <c r="E162" s="73"/>
      <c r="F162" s="73"/>
      <c r="G162" s="73"/>
    </row>
    <row r="163" spans="2:7" x14ac:dyDescent="0.2">
      <c r="B163" s="73"/>
      <c r="C163" s="73"/>
      <c r="D163" s="73"/>
      <c r="E163" s="73"/>
      <c r="F163" s="73"/>
      <c r="G163" s="73"/>
    </row>
    <row r="164" spans="2:7" x14ac:dyDescent="0.2">
      <c r="B164" s="73"/>
      <c r="C164" s="73"/>
      <c r="D164" s="73"/>
      <c r="E164" s="73"/>
      <c r="F164" s="73"/>
      <c r="G164" s="73"/>
    </row>
    <row r="165" spans="2:7" x14ac:dyDescent="0.2">
      <c r="B165" s="73"/>
      <c r="C165" s="73"/>
      <c r="D165" s="73"/>
      <c r="E165" s="73"/>
      <c r="F165" s="73"/>
      <c r="G165" s="73"/>
    </row>
    <row r="166" spans="2:7" x14ac:dyDescent="0.2">
      <c r="B166" s="73"/>
      <c r="C166" s="73"/>
      <c r="D166" s="73"/>
      <c r="E166" s="73"/>
      <c r="F166" s="73"/>
      <c r="G166" s="73"/>
    </row>
    <row r="167" spans="2:7" x14ac:dyDescent="0.2">
      <c r="B167" s="73"/>
      <c r="C167" s="73"/>
      <c r="D167" s="73"/>
      <c r="E167" s="73"/>
      <c r="F167" s="73"/>
      <c r="G167" s="73"/>
    </row>
    <row r="168" spans="2:7" x14ac:dyDescent="0.2">
      <c r="B168" s="73"/>
      <c r="C168" s="73"/>
      <c r="D168" s="73"/>
      <c r="E168" s="73"/>
      <c r="F168" s="73"/>
      <c r="G168" s="73"/>
    </row>
    <row r="169" spans="2:7" x14ac:dyDescent="0.2">
      <c r="B169" s="73"/>
      <c r="C169" s="73"/>
      <c r="D169" s="73"/>
      <c r="E169" s="73"/>
      <c r="F169" s="73"/>
      <c r="G169" s="73"/>
    </row>
    <row r="170" spans="2:7" x14ac:dyDescent="0.2">
      <c r="B170" s="73"/>
      <c r="C170" s="73"/>
      <c r="D170" s="73"/>
      <c r="E170" s="73"/>
      <c r="F170" s="73"/>
      <c r="G170" s="73"/>
    </row>
    <row r="171" spans="2:7" x14ac:dyDescent="0.2">
      <c r="B171" s="73"/>
      <c r="C171" s="73"/>
      <c r="D171" s="73"/>
      <c r="E171" s="73"/>
      <c r="F171" s="73"/>
      <c r="G171" s="73"/>
    </row>
    <row r="172" spans="2:7" x14ac:dyDescent="0.2">
      <c r="B172" s="73"/>
      <c r="C172" s="73"/>
      <c r="D172" s="73"/>
      <c r="E172" s="73"/>
      <c r="F172" s="73"/>
      <c r="G172" s="73"/>
    </row>
    <row r="173" spans="2:7" x14ac:dyDescent="0.2">
      <c r="B173" s="73"/>
      <c r="C173" s="73"/>
      <c r="D173" s="73"/>
      <c r="E173" s="73"/>
      <c r="F173" s="73"/>
      <c r="G173" s="73"/>
    </row>
    <row r="174" spans="2:7" x14ac:dyDescent="0.2">
      <c r="B174" s="73"/>
      <c r="C174" s="73"/>
      <c r="D174" s="73"/>
      <c r="E174" s="73"/>
      <c r="F174" s="73"/>
      <c r="G174" s="73"/>
    </row>
    <row r="175" spans="2:7" x14ac:dyDescent="0.2">
      <c r="B175" s="73"/>
      <c r="C175" s="73"/>
      <c r="D175" s="73"/>
      <c r="E175" s="73"/>
      <c r="F175" s="73"/>
      <c r="G175" s="73"/>
    </row>
    <row r="176" spans="2:7" x14ac:dyDescent="0.2">
      <c r="B176" s="73"/>
      <c r="C176" s="73"/>
      <c r="D176" s="73"/>
      <c r="E176" s="73"/>
      <c r="F176" s="73"/>
      <c r="G176" s="73"/>
    </row>
    <row r="177" spans="2:7" x14ac:dyDescent="0.2">
      <c r="B177" s="73"/>
      <c r="C177" s="73"/>
      <c r="D177" s="73"/>
      <c r="E177" s="73"/>
      <c r="F177" s="73"/>
      <c r="G177" s="73"/>
    </row>
    <row r="178" spans="2:7" x14ac:dyDescent="0.2">
      <c r="B178" s="73"/>
      <c r="C178" s="73"/>
      <c r="D178" s="73"/>
      <c r="E178" s="73"/>
      <c r="F178" s="73"/>
      <c r="G178" s="73"/>
    </row>
    <row r="179" spans="2:7" x14ac:dyDescent="0.2">
      <c r="B179" s="73"/>
      <c r="C179" s="73"/>
      <c r="D179" s="73"/>
      <c r="E179" s="73"/>
      <c r="F179" s="73"/>
      <c r="G179" s="73"/>
    </row>
    <row r="180" spans="2:7" x14ac:dyDescent="0.2">
      <c r="B180" s="73"/>
      <c r="C180" s="73"/>
      <c r="D180" s="73"/>
      <c r="E180" s="73"/>
      <c r="F180" s="73"/>
      <c r="G180" s="73"/>
    </row>
    <row r="181" spans="2:7" x14ac:dyDescent="0.2">
      <c r="B181" s="73"/>
      <c r="C181" s="73"/>
      <c r="D181" s="73"/>
      <c r="E181" s="73"/>
      <c r="F181" s="73"/>
      <c r="G181" s="73"/>
    </row>
    <row r="182" spans="2:7" x14ac:dyDescent="0.2">
      <c r="B182" s="73"/>
      <c r="C182" s="73"/>
      <c r="D182" s="73"/>
      <c r="E182" s="73"/>
      <c r="F182" s="73"/>
      <c r="G182" s="73"/>
    </row>
    <row r="183" spans="2:7" x14ac:dyDescent="0.2">
      <c r="B183" s="73"/>
      <c r="C183" s="73"/>
      <c r="D183" s="73"/>
      <c r="E183" s="73"/>
      <c r="F183" s="73"/>
      <c r="G183" s="73"/>
    </row>
    <row r="184" spans="2:7" x14ac:dyDescent="0.2">
      <c r="B184" s="73"/>
      <c r="C184" s="73"/>
      <c r="D184" s="73"/>
      <c r="E184" s="73"/>
      <c r="F184" s="73"/>
      <c r="G184" s="73"/>
    </row>
    <row r="185" spans="2:7" x14ac:dyDescent="0.2">
      <c r="B185" s="73"/>
      <c r="C185" s="73"/>
      <c r="D185" s="73"/>
      <c r="E185" s="73"/>
      <c r="F185" s="73"/>
      <c r="G185" s="73"/>
    </row>
    <row r="186" spans="2:7" x14ac:dyDescent="0.2">
      <c r="B186" s="73"/>
      <c r="C186" s="73"/>
      <c r="D186" s="73"/>
      <c r="E186" s="73"/>
      <c r="F186" s="73"/>
      <c r="G186" s="73"/>
    </row>
    <row r="187" spans="2:7" x14ac:dyDescent="0.2">
      <c r="B187" s="73"/>
      <c r="C187" s="73"/>
      <c r="D187" s="73"/>
      <c r="E187" s="73"/>
      <c r="F187" s="73"/>
      <c r="G187" s="73"/>
    </row>
    <row r="188" spans="2:7" x14ac:dyDescent="0.2">
      <c r="B188" s="73"/>
      <c r="C188" s="73"/>
      <c r="D188" s="73"/>
      <c r="E188" s="73"/>
      <c r="F188" s="73"/>
      <c r="G188" s="73"/>
    </row>
    <row r="189" spans="2:7" x14ac:dyDescent="0.2">
      <c r="B189" s="73"/>
      <c r="C189" s="73"/>
      <c r="D189" s="73"/>
      <c r="E189" s="73"/>
      <c r="F189" s="73"/>
      <c r="G189" s="73"/>
    </row>
    <row r="190" spans="2:7" x14ac:dyDescent="0.2">
      <c r="B190" s="73"/>
      <c r="C190" s="73"/>
      <c r="D190" s="73"/>
      <c r="E190" s="73"/>
      <c r="F190" s="73"/>
      <c r="G190" s="73"/>
    </row>
    <row r="191" spans="2:7" x14ac:dyDescent="0.2">
      <c r="B191" s="73"/>
      <c r="C191" s="73"/>
      <c r="D191" s="73"/>
      <c r="E191" s="73"/>
      <c r="F191" s="73"/>
      <c r="G191" s="73"/>
    </row>
    <row r="192" spans="2:7" x14ac:dyDescent="0.2">
      <c r="B192" s="73"/>
      <c r="C192" s="73"/>
      <c r="D192" s="73"/>
      <c r="E192" s="73"/>
      <c r="F192" s="73"/>
      <c r="G192" s="73"/>
    </row>
    <row r="193" spans="2:7" x14ac:dyDescent="0.2">
      <c r="B193" s="73"/>
      <c r="C193" s="73"/>
      <c r="D193" s="73"/>
      <c r="E193" s="73"/>
      <c r="F193" s="73"/>
      <c r="G193" s="73"/>
    </row>
    <row r="194" spans="2:7" x14ac:dyDescent="0.2">
      <c r="B194" s="73"/>
      <c r="C194" s="73"/>
      <c r="D194" s="73"/>
      <c r="E194" s="73"/>
      <c r="F194" s="73"/>
      <c r="G194" s="73"/>
    </row>
    <row r="195" spans="2:7" x14ac:dyDescent="0.2">
      <c r="B195" s="73"/>
      <c r="C195" s="73"/>
      <c r="D195" s="73"/>
      <c r="E195" s="73"/>
      <c r="F195" s="73"/>
      <c r="G195" s="73"/>
    </row>
    <row r="196" spans="2:7" x14ac:dyDescent="0.2">
      <c r="B196" s="73"/>
      <c r="C196" s="73"/>
      <c r="D196" s="73"/>
      <c r="E196" s="73"/>
      <c r="F196" s="73"/>
      <c r="G196" s="73"/>
    </row>
    <row r="197" spans="2:7" x14ac:dyDescent="0.2">
      <c r="B197" s="73"/>
      <c r="C197" s="73"/>
      <c r="D197" s="73"/>
      <c r="E197" s="73"/>
      <c r="F197" s="73"/>
      <c r="G197" s="73"/>
    </row>
    <row r="198" spans="2:7" x14ac:dyDescent="0.2">
      <c r="B198" s="73"/>
      <c r="C198" s="73"/>
      <c r="D198" s="73"/>
      <c r="E198" s="73"/>
      <c r="F198" s="73"/>
      <c r="G198" s="73"/>
    </row>
    <row r="199" spans="2:7" x14ac:dyDescent="0.2">
      <c r="B199" s="73"/>
      <c r="C199" s="73"/>
      <c r="D199" s="73"/>
      <c r="E199" s="73"/>
      <c r="F199" s="73"/>
      <c r="G199" s="73"/>
    </row>
    <row r="200" spans="2:7" x14ac:dyDescent="0.2">
      <c r="B200" s="73"/>
      <c r="C200" s="73"/>
      <c r="D200" s="73"/>
      <c r="E200" s="73"/>
      <c r="F200" s="73"/>
      <c r="G200" s="73"/>
    </row>
    <row r="201" spans="2:7" x14ac:dyDescent="0.2">
      <c r="B201" s="73"/>
      <c r="C201" s="73"/>
      <c r="D201" s="73"/>
      <c r="E201" s="73"/>
      <c r="F201" s="73"/>
      <c r="G201" s="73"/>
    </row>
    <row r="202" spans="2:7" x14ac:dyDescent="0.2">
      <c r="B202" s="73"/>
      <c r="C202" s="73"/>
      <c r="D202" s="73"/>
      <c r="E202" s="73"/>
      <c r="F202" s="73"/>
      <c r="G202" s="73"/>
    </row>
    <row r="203" spans="2:7" x14ac:dyDescent="0.2">
      <c r="B203" s="73"/>
      <c r="C203" s="73"/>
      <c r="D203" s="73"/>
      <c r="E203" s="73"/>
      <c r="F203" s="73"/>
      <c r="G203" s="73"/>
    </row>
    <row r="204" spans="2:7" x14ac:dyDescent="0.2">
      <c r="B204" s="73"/>
      <c r="C204" s="73"/>
      <c r="D204" s="73"/>
      <c r="E204" s="73"/>
      <c r="F204" s="73"/>
      <c r="G204" s="73"/>
    </row>
    <row r="205" spans="2:7" x14ac:dyDescent="0.2">
      <c r="B205" s="73"/>
      <c r="C205" s="73"/>
      <c r="D205" s="73"/>
      <c r="E205" s="73"/>
      <c r="F205" s="73"/>
      <c r="G205" s="73"/>
    </row>
    <row r="206" spans="2:7" x14ac:dyDescent="0.2">
      <c r="B206" s="73"/>
      <c r="C206" s="73"/>
      <c r="D206" s="73"/>
      <c r="E206" s="73"/>
      <c r="F206" s="73"/>
      <c r="G206" s="73"/>
    </row>
    <row r="207" spans="2:7" x14ac:dyDescent="0.2">
      <c r="B207" s="73"/>
      <c r="C207" s="73"/>
      <c r="D207" s="73"/>
      <c r="E207" s="73"/>
      <c r="F207" s="73"/>
      <c r="G207" s="73"/>
    </row>
    <row r="208" spans="2:7" x14ac:dyDescent="0.2">
      <c r="B208" s="73"/>
      <c r="C208" s="73"/>
      <c r="D208" s="73"/>
      <c r="E208" s="73"/>
      <c r="F208" s="73"/>
      <c r="G208" s="73"/>
    </row>
    <row r="209" spans="2:7" x14ac:dyDescent="0.2">
      <c r="B209" s="73"/>
      <c r="C209" s="73"/>
      <c r="D209" s="73"/>
      <c r="E209" s="73"/>
      <c r="F209" s="73"/>
      <c r="G209" s="73"/>
    </row>
    <row r="210" spans="2:7" x14ac:dyDescent="0.2">
      <c r="B210" s="73"/>
      <c r="C210" s="73"/>
      <c r="D210" s="73"/>
      <c r="E210" s="73"/>
      <c r="F210" s="73"/>
      <c r="G210" s="73"/>
    </row>
    <row r="211" spans="2:7" x14ac:dyDescent="0.2">
      <c r="B211" s="73"/>
      <c r="C211" s="73"/>
      <c r="D211" s="73"/>
      <c r="E211" s="73"/>
      <c r="F211" s="73"/>
      <c r="G211" s="73"/>
    </row>
    <row r="212" spans="2:7" x14ac:dyDescent="0.2">
      <c r="B212" s="73"/>
      <c r="C212" s="73"/>
      <c r="D212" s="73"/>
      <c r="E212" s="73"/>
      <c r="F212" s="73"/>
      <c r="G212" s="73"/>
    </row>
    <row r="213" spans="2:7" x14ac:dyDescent="0.2">
      <c r="B213" s="73"/>
      <c r="C213" s="73"/>
      <c r="D213" s="73"/>
      <c r="E213" s="73"/>
      <c r="F213" s="73"/>
      <c r="G213" s="73"/>
    </row>
    <row r="214" spans="2:7" x14ac:dyDescent="0.2">
      <c r="B214" s="73"/>
      <c r="C214" s="73"/>
      <c r="D214" s="73"/>
      <c r="E214" s="73"/>
      <c r="F214" s="73"/>
      <c r="G214" s="73"/>
    </row>
    <row r="215" spans="2:7" x14ac:dyDescent="0.2">
      <c r="B215" s="73"/>
      <c r="C215" s="73"/>
      <c r="D215" s="73"/>
      <c r="E215" s="73"/>
      <c r="F215" s="73"/>
      <c r="G215" s="73"/>
    </row>
    <row r="216" spans="2:7" x14ac:dyDescent="0.2">
      <c r="B216" s="73"/>
      <c r="C216" s="73"/>
      <c r="D216" s="73"/>
      <c r="E216" s="73"/>
      <c r="F216" s="73"/>
      <c r="G216" s="73"/>
    </row>
    <row r="217" spans="2:7" x14ac:dyDescent="0.2">
      <c r="B217" s="73"/>
      <c r="C217" s="73"/>
      <c r="D217" s="73"/>
      <c r="E217" s="73"/>
      <c r="F217" s="73"/>
      <c r="G217" s="73"/>
    </row>
    <row r="218" spans="2:7" x14ac:dyDescent="0.2">
      <c r="B218" s="73"/>
      <c r="C218" s="73"/>
      <c r="D218" s="73"/>
      <c r="E218" s="73"/>
      <c r="F218" s="73"/>
      <c r="G218" s="73"/>
    </row>
    <row r="219" spans="2:7" x14ac:dyDescent="0.2">
      <c r="B219" s="73"/>
      <c r="C219" s="73"/>
      <c r="D219" s="73"/>
      <c r="E219" s="73"/>
      <c r="F219" s="73"/>
      <c r="G219" s="73"/>
    </row>
    <row r="220" spans="2:7" x14ac:dyDescent="0.2">
      <c r="B220" s="73"/>
      <c r="C220" s="73"/>
      <c r="D220" s="73"/>
      <c r="E220" s="73"/>
      <c r="F220" s="73"/>
      <c r="G220" s="73"/>
    </row>
    <row r="221" spans="2:7" x14ac:dyDescent="0.2">
      <c r="B221" s="73"/>
      <c r="C221" s="73"/>
      <c r="D221" s="73"/>
      <c r="E221" s="73"/>
      <c r="F221" s="73"/>
      <c r="G221" s="73"/>
    </row>
    <row r="222" spans="2:7" x14ac:dyDescent="0.2">
      <c r="B222" s="73"/>
      <c r="C222" s="73"/>
      <c r="D222" s="73"/>
      <c r="E222" s="73"/>
      <c r="F222" s="73"/>
      <c r="G222" s="73"/>
    </row>
    <row r="223" spans="2:7" x14ac:dyDescent="0.2">
      <c r="B223" s="73"/>
      <c r="C223" s="73"/>
      <c r="D223" s="73"/>
      <c r="E223" s="73"/>
      <c r="F223" s="73"/>
      <c r="G223" s="73"/>
    </row>
    <row r="224" spans="2:7" x14ac:dyDescent="0.2">
      <c r="B224" s="73"/>
      <c r="C224" s="73"/>
      <c r="D224" s="73"/>
      <c r="E224" s="73"/>
      <c r="F224" s="73"/>
      <c r="G224" s="73"/>
    </row>
    <row r="225" spans="2:7" x14ac:dyDescent="0.2">
      <c r="B225" s="73"/>
      <c r="C225" s="73"/>
      <c r="D225" s="73"/>
      <c r="E225" s="73"/>
      <c r="F225" s="73"/>
      <c r="G225" s="73"/>
    </row>
    <row r="226" spans="2:7" x14ac:dyDescent="0.2">
      <c r="B226" s="73"/>
      <c r="C226" s="73"/>
      <c r="D226" s="73"/>
      <c r="E226" s="73"/>
      <c r="F226" s="73"/>
      <c r="G226" s="73"/>
    </row>
    <row r="227" spans="2:7" x14ac:dyDescent="0.2">
      <c r="B227" s="73"/>
      <c r="C227" s="73"/>
      <c r="D227" s="73"/>
      <c r="E227" s="73"/>
      <c r="F227" s="73"/>
      <c r="G227" s="73"/>
    </row>
    <row r="228" spans="2:7" x14ac:dyDescent="0.2">
      <c r="B228" s="73"/>
      <c r="C228" s="73"/>
      <c r="D228" s="73"/>
      <c r="E228" s="73"/>
      <c r="F228" s="73"/>
      <c r="G228" s="73"/>
    </row>
    <row r="229" spans="2:7" x14ac:dyDescent="0.2">
      <c r="B229" s="73"/>
      <c r="C229" s="73"/>
      <c r="D229" s="73"/>
      <c r="E229" s="73"/>
      <c r="F229" s="73"/>
      <c r="G229" s="73"/>
    </row>
    <row r="230" spans="2:7" x14ac:dyDescent="0.2">
      <c r="B230" s="73"/>
      <c r="C230" s="73"/>
      <c r="D230" s="73"/>
      <c r="E230" s="73"/>
      <c r="F230" s="73"/>
      <c r="G230" s="73"/>
    </row>
    <row r="231" spans="2:7" x14ac:dyDescent="0.2">
      <c r="B231" s="73"/>
      <c r="C231" s="73"/>
      <c r="D231" s="73"/>
      <c r="E231" s="73"/>
      <c r="F231" s="73"/>
      <c r="G231" s="73"/>
    </row>
    <row r="232" spans="2:7" x14ac:dyDescent="0.2">
      <c r="B232" s="73"/>
      <c r="C232" s="73"/>
      <c r="D232" s="73"/>
      <c r="E232" s="73"/>
      <c r="F232" s="73"/>
      <c r="G232" s="73"/>
    </row>
    <row r="233" spans="2:7" x14ac:dyDescent="0.2">
      <c r="B233" s="73"/>
      <c r="C233" s="73"/>
      <c r="D233" s="73"/>
      <c r="E233" s="73"/>
      <c r="F233" s="73"/>
      <c r="G233" s="73"/>
    </row>
    <row r="234" spans="2:7" x14ac:dyDescent="0.2">
      <c r="B234" s="73"/>
      <c r="C234" s="73"/>
      <c r="D234" s="73"/>
      <c r="E234" s="73"/>
      <c r="F234" s="73"/>
      <c r="G234" s="73"/>
    </row>
    <row r="235" spans="2:7" x14ac:dyDescent="0.2">
      <c r="B235" s="73"/>
      <c r="C235" s="73"/>
      <c r="D235" s="73"/>
      <c r="E235" s="73"/>
      <c r="F235" s="73"/>
      <c r="G235" s="73"/>
    </row>
    <row r="236" spans="2:7" x14ac:dyDescent="0.2">
      <c r="B236" s="73"/>
      <c r="C236" s="73"/>
      <c r="D236" s="73"/>
      <c r="E236" s="73"/>
      <c r="F236" s="73"/>
      <c r="G236" s="73"/>
    </row>
    <row r="237" spans="2:7" x14ac:dyDescent="0.2">
      <c r="B237" s="73"/>
      <c r="C237" s="73"/>
      <c r="D237" s="73"/>
      <c r="E237" s="73"/>
      <c r="F237" s="73"/>
      <c r="G237" s="73"/>
    </row>
    <row r="238" spans="2:7" x14ac:dyDescent="0.2">
      <c r="B238" s="73"/>
      <c r="C238" s="73"/>
      <c r="D238" s="73"/>
      <c r="E238" s="73"/>
      <c r="F238" s="73"/>
      <c r="G238" s="73"/>
    </row>
    <row r="239" spans="2:7" x14ac:dyDescent="0.2">
      <c r="B239" s="73"/>
      <c r="C239" s="73"/>
      <c r="D239" s="73"/>
      <c r="E239" s="73"/>
      <c r="F239" s="73"/>
      <c r="G239" s="73"/>
    </row>
    <row r="240" spans="2:7" x14ac:dyDescent="0.2">
      <c r="B240" s="73"/>
      <c r="C240" s="73"/>
      <c r="D240" s="73"/>
      <c r="E240" s="73"/>
      <c r="F240" s="73"/>
      <c r="G240" s="73"/>
    </row>
    <row r="241" spans="2:7" x14ac:dyDescent="0.2">
      <c r="B241" s="73"/>
      <c r="C241" s="73"/>
      <c r="D241" s="73"/>
      <c r="E241" s="73"/>
      <c r="F241" s="73"/>
      <c r="G241" s="73"/>
    </row>
    <row r="242" spans="2:7" x14ac:dyDescent="0.2">
      <c r="B242" s="73"/>
      <c r="C242" s="73"/>
      <c r="D242" s="73"/>
      <c r="E242" s="73"/>
      <c r="F242" s="73"/>
      <c r="G242" s="73"/>
    </row>
    <row r="243" spans="2:7" x14ac:dyDescent="0.2">
      <c r="B243" s="73"/>
      <c r="C243" s="73"/>
      <c r="D243" s="73"/>
      <c r="E243" s="73"/>
      <c r="F243" s="73"/>
      <c r="G243" s="73"/>
    </row>
    <row r="244" spans="2:7" x14ac:dyDescent="0.2">
      <c r="B244" s="73"/>
      <c r="C244" s="73"/>
      <c r="D244" s="73"/>
      <c r="E244" s="73"/>
      <c r="F244" s="73"/>
      <c r="G244" s="73"/>
    </row>
    <row r="245" spans="2:7" x14ac:dyDescent="0.2">
      <c r="B245" s="73"/>
      <c r="C245" s="73"/>
      <c r="D245" s="73"/>
      <c r="E245" s="73"/>
      <c r="F245" s="73"/>
      <c r="G245" s="73"/>
    </row>
    <row r="246" spans="2:7" x14ac:dyDescent="0.2">
      <c r="B246" s="73"/>
      <c r="C246" s="73"/>
      <c r="D246" s="73"/>
      <c r="E246" s="73"/>
      <c r="F246" s="73"/>
      <c r="G246" s="73"/>
    </row>
    <row r="247" spans="2:7" x14ac:dyDescent="0.2">
      <c r="B247" s="73"/>
      <c r="C247" s="73"/>
      <c r="D247" s="73"/>
      <c r="E247" s="73"/>
      <c r="F247" s="73"/>
      <c r="G247" s="73"/>
    </row>
    <row r="248" spans="2:7" x14ac:dyDescent="0.2">
      <c r="B248" s="73"/>
      <c r="C248" s="73"/>
      <c r="D248" s="73"/>
      <c r="E248" s="73"/>
      <c r="F248" s="73"/>
      <c r="G248" s="73"/>
    </row>
    <row r="249" spans="2:7" x14ac:dyDescent="0.2">
      <c r="B249" s="73"/>
      <c r="C249" s="73"/>
      <c r="D249" s="73"/>
      <c r="E249" s="73"/>
      <c r="F249" s="73"/>
      <c r="G249" s="73"/>
    </row>
    <row r="250" spans="2:7" x14ac:dyDescent="0.2">
      <c r="B250" s="73"/>
      <c r="C250" s="73"/>
      <c r="D250" s="73"/>
      <c r="E250" s="73"/>
      <c r="F250" s="73"/>
      <c r="G250" s="73"/>
    </row>
    <row r="251" spans="2:7" x14ac:dyDescent="0.2">
      <c r="B251" s="73"/>
      <c r="C251" s="73"/>
      <c r="D251" s="73"/>
      <c r="E251" s="73"/>
      <c r="F251" s="73"/>
      <c r="G251" s="73"/>
    </row>
    <row r="252" spans="2:7" x14ac:dyDescent="0.2">
      <c r="B252" s="73"/>
      <c r="C252" s="73"/>
      <c r="D252" s="73"/>
      <c r="E252" s="73"/>
      <c r="F252" s="73"/>
      <c r="G252" s="73"/>
    </row>
    <row r="253" spans="2:7" x14ac:dyDescent="0.2">
      <c r="B253" s="73"/>
      <c r="C253" s="73"/>
      <c r="D253" s="73"/>
      <c r="E253" s="73"/>
      <c r="F253" s="73"/>
      <c r="G253" s="73"/>
    </row>
    <row r="254" spans="2:7" x14ac:dyDescent="0.2">
      <c r="B254" s="73"/>
      <c r="C254" s="73"/>
      <c r="D254" s="73"/>
      <c r="E254" s="73"/>
      <c r="F254" s="73"/>
      <c r="G254" s="73"/>
    </row>
    <row r="255" spans="2:7" x14ac:dyDescent="0.2">
      <c r="B255" s="73"/>
      <c r="C255" s="73"/>
      <c r="D255" s="73"/>
      <c r="E255" s="73"/>
      <c r="F255" s="73"/>
      <c r="G255" s="73"/>
    </row>
    <row r="256" spans="2:7" x14ac:dyDescent="0.2">
      <c r="B256" s="73"/>
      <c r="C256" s="73"/>
      <c r="D256" s="73"/>
      <c r="E256" s="73"/>
      <c r="F256" s="73"/>
      <c r="G256" s="73"/>
    </row>
    <row r="257" spans="2:7" x14ac:dyDescent="0.2">
      <c r="B257" s="73"/>
      <c r="C257" s="73"/>
      <c r="D257" s="73"/>
      <c r="E257" s="73"/>
      <c r="F257" s="73"/>
      <c r="G257" s="73"/>
    </row>
    <row r="258" spans="2:7" x14ac:dyDescent="0.2">
      <c r="B258" s="73"/>
      <c r="C258" s="73"/>
      <c r="D258" s="73"/>
      <c r="E258" s="73"/>
      <c r="F258" s="73"/>
      <c r="G258" s="73"/>
    </row>
    <row r="259" spans="2:7" x14ac:dyDescent="0.2">
      <c r="B259" s="73"/>
      <c r="C259" s="73"/>
      <c r="D259" s="73"/>
      <c r="E259" s="73"/>
      <c r="F259" s="73"/>
      <c r="G259" s="73"/>
    </row>
    <row r="260" spans="2:7" x14ac:dyDescent="0.2">
      <c r="B260" s="73"/>
      <c r="C260" s="73"/>
      <c r="D260" s="73"/>
      <c r="E260" s="73"/>
      <c r="F260" s="73"/>
      <c r="G260" s="73"/>
    </row>
    <row r="261" spans="2:7" x14ac:dyDescent="0.2">
      <c r="B261" s="73"/>
      <c r="C261" s="73"/>
      <c r="D261" s="73"/>
      <c r="E261" s="73"/>
      <c r="F261" s="73"/>
      <c r="G261" s="73"/>
    </row>
    <row r="262" spans="2:7" x14ac:dyDescent="0.2">
      <c r="B262" s="73"/>
      <c r="C262" s="73"/>
      <c r="D262" s="73"/>
      <c r="E262" s="73"/>
      <c r="F262" s="73"/>
      <c r="G262" s="73"/>
    </row>
    <row r="263" spans="2:7" x14ac:dyDescent="0.2">
      <c r="B263" s="73"/>
      <c r="C263" s="73"/>
      <c r="D263" s="73"/>
      <c r="E263" s="73"/>
      <c r="F263" s="73"/>
      <c r="G263" s="73"/>
    </row>
    <row r="264" spans="2:7" x14ac:dyDescent="0.2">
      <c r="B264" s="73"/>
      <c r="C264" s="73"/>
      <c r="D264" s="73"/>
      <c r="E264" s="73"/>
      <c r="F264" s="73"/>
      <c r="G264" s="73"/>
    </row>
    <row r="265" spans="2:7" x14ac:dyDescent="0.2">
      <c r="B265" s="73"/>
      <c r="C265" s="73"/>
      <c r="D265" s="73"/>
      <c r="E265" s="73"/>
      <c r="F265" s="73"/>
      <c r="G265" s="73"/>
    </row>
    <row r="266" spans="2:7" x14ac:dyDescent="0.2">
      <c r="B266" s="73"/>
      <c r="C266" s="73"/>
      <c r="D266" s="73"/>
      <c r="E266" s="73"/>
      <c r="F266" s="73"/>
      <c r="G266" s="73"/>
    </row>
    <row r="267" spans="2:7" x14ac:dyDescent="0.2">
      <c r="B267" s="73"/>
      <c r="C267" s="73"/>
      <c r="D267" s="73"/>
      <c r="E267" s="73"/>
      <c r="F267" s="73"/>
      <c r="G267" s="73"/>
    </row>
    <row r="268" spans="2:7" x14ac:dyDescent="0.2">
      <c r="B268" s="73"/>
      <c r="C268" s="73"/>
      <c r="D268" s="73"/>
      <c r="E268" s="73"/>
      <c r="F268" s="73"/>
      <c r="G268" s="73"/>
    </row>
    <row r="269" spans="2:7" x14ac:dyDescent="0.2">
      <c r="B269" s="73"/>
      <c r="C269" s="73"/>
      <c r="D269" s="73"/>
      <c r="E269" s="73"/>
      <c r="F269" s="73"/>
      <c r="G269" s="73"/>
    </row>
    <row r="270" spans="2:7" x14ac:dyDescent="0.2">
      <c r="B270" s="73"/>
      <c r="C270" s="73"/>
      <c r="D270" s="73"/>
      <c r="E270" s="73"/>
      <c r="F270" s="73"/>
      <c r="G270" s="73"/>
    </row>
    <row r="271" spans="2:7" x14ac:dyDescent="0.2">
      <c r="B271" s="73"/>
      <c r="C271" s="73"/>
      <c r="D271" s="73"/>
      <c r="E271" s="73"/>
      <c r="F271" s="73"/>
      <c r="G271" s="73"/>
    </row>
    <row r="272" spans="2:7" x14ac:dyDescent="0.2">
      <c r="B272" s="73"/>
      <c r="C272" s="73"/>
      <c r="D272" s="73"/>
      <c r="E272" s="73"/>
      <c r="F272" s="73"/>
      <c r="G272" s="73"/>
    </row>
    <row r="273" spans="2:7" x14ac:dyDescent="0.2">
      <c r="B273" s="73"/>
      <c r="C273" s="73"/>
      <c r="D273" s="73"/>
      <c r="E273" s="73"/>
      <c r="F273" s="73"/>
      <c r="G273" s="73"/>
    </row>
    <row r="274" spans="2:7" x14ac:dyDescent="0.2">
      <c r="B274" s="73"/>
      <c r="C274" s="73"/>
      <c r="D274" s="73"/>
      <c r="E274" s="73"/>
      <c r="F274" s="73"/>
      <c r="G274" s="73"/>
    </row>
    <row r="275" spans="2:7" x14ac:dyDescent="0.2">
      <c r="B275" s="73"/>
      <c r="C275" s="73"/>
      <c r="D275" s="73"/>
      <c r="E275" s="73"/>
      <c r="F275" s="73"/>
      <c r="G275" s="73"/>
    </row>
    <row r="276" spans="2:7" x14ac:dyDescent="0.2">
      <c r="B276" s="73"/>
      <c r="C276" s="73"/>
      <c r="D276" s="73"/>
      <c r="E276" s="73"/>
      <c r="F276" s="73"/>
      <c r="G276" s="73"/>
    </row>
    <row r="277" spans="2:7" x14ac:dyDescent="0.2">
      <c r="B277" s="73"/>
      <c r="C277" s="73"/>
      <c r="D277" s="73"/>
      <c r="E277" s="73"/>
      <c r="F277" s="73"/>
      <c r="G277" s="73"/>
    </row>
    <row r="278" spans="2:7" x14ac:dyDescent="0.2">
      <c r="B278" s="73"/>
      <c r="C278" s="73"/>
      <c r="D278" s="73"/>
      <c r="E278" s="73"/>
      <c r="F278" s="73"/>
      <c r="G278" s="73"/>
    </row>
    <row r="279" spans="2:7" x14ac:dyDescent="0.2">
      <c r="B279" s="73"/>
      <c r="C279" s="73"/>
      <c r="D279" s="73"/>
      <c r="E279" s="73"/>
      <c r="F279" s="73"/>
      <c r="G279" s="73"/>
    </row>
    <row r="280" spans="2:7" x14ac:dyDescent="0.2">
      <c r="B280" s="73"/>
      <c r="C280" s="73"/>
      <c r="D280" s="73"/>
      <c r="E280" s="73"/>
      <c r="F280" s="73"/>
      <c r="G280" s="73"/>
    </row>
    <row r="281" spans="2:7" x14ac:dyDescent="0.2">
      <c r="B281" s="73"/>
      <c r="C281" s="73"/>
      <c r="D281" s="73"/>
      <c r="E281" s="73"/>
      <c r="F281" s="73"/>
      <c r="G281" s="73"/>
    </row>
    <row r="282" spans="2:7" x14ac:dyDescent="0.2">
      <c r="B282" s="73"/>
      <c r="C282" s="73"/>
      <c r="D282" s="73"/>
      <c r="E282" s="73"/>
      <c r="F282" s="73"/>
      <c r="G282" s="73"/>
    </row>
    <row r="283" spans="2:7" x14ac:dyDescent="0.2">
      <c r="B283" s="73"/>
      <c r="C283" s="73"/>
      <c r="D283" s="73"/>
      <c r="E283" s="73"/>
      <c r="F283" s="73"/>
      <c r="G283" s="73"/>
    </row>
    <row r="284" spans="2:7" x14ac:dyDescent="0.2">
      <c r="B284" s="73"/>
      <c r="C284" s="73"/>
      <c r="D284" s="73"/>
      <c r="E284" s="73"/>
      <c r="F284" s="73"/>
      <c r="G284" s="73"/>
    </row>
    <row r="285" spans="2:7" x14ac:dyDescent="0.2">
      <c r="B285" s="73"/>
      <c r="C285" s="73"/>
      <c r="D285" s="73"/>
      <c r="E285" s="73"/>
      <c r="F285" s="73"/>
      <c r="G285" s="73"/>
    </row>
    <row r="286" spans="2:7" x14ac:dyDescent="0.2">
      <c r="B286" s="73"/>
      <c r="C286" s="73"/>
      <c r="D286" s="73"/>
      <c r="E286" s="73"/>
      <c r="F286" s="73"/>
      <c r="G286" s="73"/>
    </row>
    <row r="287" spans="2:7" x14ac:dyDescent="0.2">
      <c r="B287" s="73"/>
      <c r="C287" s="73"/>
      <c r="D287" s="73"/>
      <c r="E287" s="73"/>
      <c r="F287" s="73"/>
      <c r="G287" s="73"/>
    </row>
    <row r="288" spans="2:7" x14ac:dyDescent="0.2">
      <c r="B288" s="73"/>
      <c r="C288" s="73"/>
      <c r="D288" s="73"/>
      <c r="E288" s="73"/>
      <c r="F288" s="73"/>
      <c r="G288" s="73"/>
    </row>
    <row r="289" spans="2:7" x14ac:dyDescent="0.2">
      <c r="B289" s="73"/>
      <c r="C289" s="73"/>
      <c r="D289" s="73"/>
      <c r="E289" s="73"/>
      <c r="F289" s="73"/>
      <c r="G289" s="73"/>
    </row>
    <row r="290" spans="2:7" x14ac:dyDescent="0.2">
      <c r="B290" s="73"/>
      <c r="C290" s="73"/>
      <c r="D290" s="73"/>
      <c r="E290" s="73"/>
      <c r="F290" s="73"/>
      <c r="G290" s="73"/>
    </row>
    <row r="291" spans="2:7" x14ac:dyDescent="0.2">
      <c r="B291" s="73"/>
      <c r="C291" s="73"/>
      <c r="D291" s="73"/>
      <c r="E291" s="73"/>
      <c r="F291" s="73"/>
      <c r="G291" s="73"/>
    </row>
    <row r="292" spans="2:7" x14ac:dyDescent="0.2">
      <c r="B292" s="73"/>
      <c r="C292" s="73"/>
      <c r="D292" s="73"/>
      <c r="E292" s="73"/>
      <c r="F292" s="73"/>
      <c r="G292" s="73"/>
    </row>
    <row r="293" spans="2:7" x14ac:dyDescent="0.2">
      <c r="B293" s="73"/>
      <c r="C293" s="73"/>
      <c r="D293" s="73"/>
      <c r="E293" s="73"/>
      <c r="F293" s="73"/>
      <c r="G293" s="73"/>
    </row>
    <row r="294" spans="2:7" x14ac:dyDescent="0.2">
      <c r="B294" s="73"/>
      <c r="C294" s="73"/>
      <c r="D294" s="73"/>
      <c r="E294" s="73"/>
      <c r="F294" s="73"/>
      <c r="G294" s="73"/>
    </row>
    <row r="295" spans="2:7" x14ac:dyDescent="0.2">
      <c r="B295" s="73"/>
      <c r="C295" s="73"/>
      <c r="D295" s="73"/>
      <c r="E295" s="73"/>
      <c r="F295" s="73"/>
      <c r="G295" s="73"/>
    </row>
    <row r="296" spans="2:7" x14ac:dyDescent="0.2">
      <c r="B296" s="73"/>
      <c r="C296" s="73"/>
      <c r="D296" s="73"/>
      <c r="E296" s="73"/>
      <c r="F296" s="73"/>
      <c r="G296" s="73"/>
    </row>
    <row r="297" spans="2:7" x14ac:dyDescent="0.2">
      <c r="B297" s="73"/>
      <c r="C297" s="73"/>
      <c r="D297" s="73"/>
      <c r="E297" s="73"/>
      <c r="F297" s="73"/>
      <c r="G297" s="73"/>
    </row>
    <row r="298" spans="2:7" x14ac:dyDescent="0.2">
      <c r="B298" s="73"/>
      <c r="C298" s="73"/>
      <c r="D298" s="73"/>
      <c r="E298" s="73"/>
      <c r="F298" s="73"/>
      <c r="G298" s="73"/>
    </row>
    <row r="299" spans="2:7" x14ac:dyDescent="0.2">
      <c r="B299" s="73"/>
      <c r="C299" s="73"/>
      <c r="D299" s="73"/>
      <c r="E299" s="73"/>
      <c r="F299" s="73"/>
      <c r="G299" s="73"/>
    </row>
    <row r="300" spans="2:7" x14ac:dyDescent="0.2">
      <c r="B300" s="73"/>
      <c r="C300" s="73"/>
      <c r="D300" s="73"/>
      <c r="E300" s="73"/>
      <c r="F300" s="73"/>
      <c r="G300" s="73"/>
    </row>
    <row r="301" spans="2:7" x14ac:dyDescent="0.2">
      <c r="B301" s="73"/>
      <c r="C301" s="73"/>
      <c r="D301" s="73"/>
      <c r="E301" s="73"/>
      <c r="F301" s="73"/>
      <c r="G301" s="73"/>
    </row>
    <row r="302" spans="2:7" x14ac:dyDescent="0.2">
      <c r="B302" s="73"/>
      <c r="C302" s="73"/>
      <c r="D302" s="73"/>
      <c r="E302" s="73"/>
      <c r="F302" s="73"/>
      <c r="G302" s="73"/>
    </row>
    <row r="303" spans="2:7" x14ac:dyDescent="0.2">
      <c r="B303" s="73"/>
      <c r="C303" s="73"/>
      <c r="D303" s="73"/>
      <c r="E303" s="73"/>
      <c r="F303" s="73"/>
      <c r="G303" s="73"/>
    </row>
    <row r="304" spans="2:7" x14ac:dyDescent="0.2">
      <c r="B304" s="73"/>
      <c r="C304" s="73"/>
      <c r="D304" s="73"/>
      <c r="E304" s="73"/>
      <c r="F304" s="73"/>
      <c r="G304" s="73"/>
    </row>
    <row r="305" spans="2:7" x14ac:dyDescent="0.2">
      <c r="B305" s="73"/>
      <c r="C305" s="73"/>
      <c r="D305" s="73"/>
      <c r="E305" s="73"/>
      <c r="F305" s="73"/>
      <c r="G305" s="73"/>
    </row>
    <row r="306" spans="2:7" x14ac:dyDescent="0.2">
      <c r="B306" s="73"/>
      <c r="C306" s="73"/>
      <c r="D306" s="73"/>
      <c r="E306" s="73"/>
      <c r="F306" s="73"/>
      <c r="G306" s="73"/>
    </row>
    <row r="307" spans="2:7" x14ac:dyDescent="0.2">
      <c r="B307" s="73"/>
      <c r="C307" s="73"/>
      <c r="D307" s="73"/>
      <c r="E307" s="73"/>
      <c r="F307" s="73"/>
      <c r="G307" s="73"/>
    </row>
    <row r="308" spans="2:7" x14ac:dyDescent="0.2">
      <c r="B308" s="73"/>
      <c r="C308" s="73"/>
      <c r="D308" s="73"/>
      <c r="E308" s="73"/>
      <c r="F308" s="73"/>
      <c r="G308" s="73"/>
    </row>
    <row r="309" spans="2:7" x14ac:dyDescent="0.2">
      <c r="B309" s="73"/>
      <c r="C309" s="73"/>
      <c r="D309" s="73"/>
      <c r="E309" s="73"/>
      <c r="F309" s="73"/>
      <c r="G309" s="73"/>
    </row>
    <row r="310" spans="2:7" x14ac:dyDescent="0.2">
      <c r="B310" s="73"/>
      <c r="C310" s="73"/>
      <c r="D310" s="73"/>
      <c r="E310" s="73"/>
      <c r="F310" s="73"/>
      <c r="G310" s="73"/>
    </row>
    <row r="311" spans="2:7" x14ac:dyDescent="0.2">
      <c r="B311" s="73"/>
      <c r="C311" s="73"/>
      <c r="D311" s="73"/>
      <c r="E311" s="73"/>
      <c r="F311" s="73"/>
      <c r="G311" s="73"/>
    </row>
    <row r="312" spans="2:7" x14ac:dyDescent="0.2">
      <c r="B312" s="73"/>
      <c r="C312" s="73"/>
      <c r="D312" s="73"/>
      <c r="E312" s="73"/>
      <c r="F312" s="73"/>
      <c r="G312" s="73"/>
    </row>
    <row r="313" spans="2:7" x14ac:dyDescent="0.2">
      <c r="B313" s="73"/>
      <c r="C313" s="73"/>
      <c r="D313" s="73"/>
      <c r="E313" s="73"/>
      <c r="F313" s="73"/>
      <c r="G313" s="73"/>
    </row>
    <row r="314" spans="2:7" x14ac:dyDescent="0.2">
      <c r="B314" s="73"/>
      <c r="C314" s="73"/>
      <c r="D314" s="73"/>
      <c r="E314" s="73"/>
      <c r="F314" s="73"/>
      <c r="G314" s="73"/>
    </row>
    <row r="315" spans="2:7" x14ac:dyDescent="0.2">
      <c r="B315" s="73"/>
      <c r="C315" s="73"/>
      <c r="D315" s="73"/>
      <c r="E315" s="73"/>
      <c r="F315" s="73"/>
      <c r="G315" s="73"/>
    </row>
    <row r="316" spans="2:7" x14ac:dyDescent="0.2">
      <c r="B316" s="73"/>
      <c r="C316" s="73"/>
      <c r="D316" s="73"/>
      <c r="E316" s="73"/>
      <c r="F316" s="73"/>
      <c r="G316" s="73"/>
    </row>
    <row r="317" spans="2:7" x14ac:dyDescent="0.2">
      <c r="B317" s="73"/>
      <c r="C317" s="73"/>
      <c r="D317" s="73"/>
      <c r="E317" s="73"/>
      <c r="F317" s="73"/>
      <c r="G317" s="73"/>
    </row>
    <row r="318" spans="2:7" x14ac:dyDescent="0.2">
      <c r="B318" s="73"/>
      <c r="C318" s="73"/>
      <c r="D318" s="73"/>
      <c r="E318" s="73"/>
      <c r="F318" s="73"/>
      <c r="G318" s="73"/>
    </row>
    <row r="319" spans="2:7" x14ac:dyDescent="0.2">
      <c r="B319" s="73"/>
      <c r="C319" s="73"/>
      <c r="D319" s="73"/>
      <c r="E319" s="73"/>
      <c r="F319" s="73"/>
      <c r="G319" s="73"/>
    </row>
    <row r="320" spans="2:7" x14ac:dyDescent="0.2">
      <c r="B320" s="73"/>
      <c r="C320" s="73"/>
      <c r="D320" s="73"/>
      <c r="E320" s="73"/>
      <c r="F320" s="73"/>
      <c r="G320" s="73"/>
    </row>
    <row r="321" spans="2:7" x14ac:dyDescent="0.2">
      <c r="B321" s="73"/>
      <c r="C321" s="73"/>
      <c r="D321" s="73"/>
      <c r="E321" s="73"/>
      <c r="F321" s="73"/>
      <c r="G321" s="73"/>
    </row>
    <row r="322" spans="2:7" x14ac:dyDescent="0.2">
      <c r="B322" s="73"/>
      <c r="C322" s="73"/>
      <c r="D322" s="73"/>
      <c r="E322" s="73"/>
      <c r="F322" s="73"/>
      <c r="G322" s="73"/>
    </row>
    <row r="323" spans="2:7" x14ac:dyDescent="0.2">
      <c r="B323" s="73"/>
      <c r="C323" s="73"/>
      <c r="D323" s="73"/>
      <c r="E323" s="73"/>
      <c r="F323" s="73"/>
      <c r="G323" s="73"/>
    </row>
    <row r="324" spans="2:7" x14ac:dyDescent="0.2">
      <c r="B324" s="73"/>
      <c r="C324" s="73"/>
      <c r="D324" s="73"/>
      <c r="E324" s="73"/>
      <c r="F324" s="73"/>
      <c r="G324" s="73"/>
    </row>
    <row r="325" spans="2:7" x14ac:dyDescent="0.2">
      <c r="B325" s="73"/>
      <c r="C325" s="73"/>
      <c r="D325" s="73"/>
      <c r="E325" s="73"/>
      <c r="F325" s="73"/>
      <c r="G325" s="73"/>
    </row>
    <row r="326" spans="2:7" x14ac:dyDescent="0.2">
      <c r="B326" s="73"/>
      <c r="C326" s="73"/>
      <c r="D326" s="73"/>
      <c r="E326" s="73"/>
      <c r="F326" s="73"/>
      <c r="G326" s="73"/>
    </row>
    <row r="327" spans="2:7" x14ac:dyDescent="0.2">
      <c r="B327" s="73"/>
      <c r="C327" s="73"/>
      <c r="D327" s="73"/>
      <c r="E327" s="73"/>
      <c r="F327" s="73"/>
      <c r="G327" s="73"/>
    </row>
    <row r="328" spans="2:7" x14ac:dyDescent="0.2">
      <c r="B328" s="73"/>
      <c r="C328" s="73"/>
      <c r="D328" s="73"/>
      <c r="E328" s="73"/>
      <c r="F328" s="73"/>
      <c r="G328" s="73"/>
    </row>
    <row r="329" spans="2:7" x14ac:dyDescent="0.2">
      <c r="B329" s="73"/>
      <c r="C329" s="73"/>
      <c r="D329" s="73"/>
      <c r="E329" s="73"/>
      <c r="F329" s="73"/>
      <c r="G329" s="73"/>
    </row>
    <row r="330" spans="2:7" x14ac:dyDescent="0.2">
      <c r="B330" s="73"/>
      <c r="C330" s="73"/>
      <c r="D330" s="73"/>
      <c r="E330" s="73"/>
      <c r="F330" s="73"/>
      <c r="G330" s="73"/>
    </row>
    <row r="331" spans="2:7" x14ac:dyDescent="0.2">
      <c r="B331" s="73"/>
      <c r="C331" s="73"/>
      <c r="D331" s="73"/>
      <c r="E331" s="73"/>
      <c r="F331" s="73"/>
      <c r="G331" s="73"/>
    </row>
    <row r="332" spans="2:7" x14ac:dyDescent="0.2">
      <c r="B332" s="73"/>
      <c r="C332" s="73"/>
      <c r="D332" s="73"/>
      <c r="E332" s="73"/>
      <c r="F332" s="73"/>
      <c r="G332" s="73"/>
    </row>
    <row r="333" spans="2:7" x14ac:dyDescent="0.2">
      <c r="B333" s="73"/>
      <c r="C333" s="73"/>
      <c r="D333" s="73"/>
      <c r="E333" s="73"/>
      <c r="F333" s="73"/>
      <c r="G333" s="73"/>
    </row>
    <row r="334" spans="2:7" x14ac:dyDescent="0.2">
      <c r="B334" s="73"/>
      <c r="C334" s="73"/>
      <c r="D334" s="73"/>
      <c r="E334" s="73"/>
      <c r="F334" s="73"/>
      <c r="G334" s="73"/>
    </row>
    <row r="335" spans="2:7" x14ac:dyDescent="0.2">
      <c r="B335" s="73"/>
      <c r="C335" s="73"/>
      <c r="D335" s="73"/>
      <c r="E335" s="73"/>
      <c r="F335" s="73"/>
      <c r="G335" s="73"/>
    </row>
    <row r="336" spans="2:7" x14ac:dyDescent="0.2">
      <c r="B336" s="73"/>
      <c r="C336" s="73"/>
      <c r="D336" s="73"/>
      <c r="E336" s="73"/>
      <c r="F336" s="73"/>
      <c r="G336" s="73"/>
    </row>
    <row r="337" spans="2:7" x14ac:dyDescent="0.2">
      <c r="B337" s="73"/>
      <c r="C337" s="73"/>
      <c r="D337" s="73"/>
      <c r="E337" s="73"/>
      <c r="F337" s="73"/>
      <c r="G337" s="73"/>
    </row>
    <row r="338" spans="2:7" x14ac:dyDescent="0.2">
      <c r="B338" s="73"/>
      <c r="C338" s="73"/>
      <c r="D338" s="73"/>
      <c r="E338" s="73"/>
      <c r="F338" s="73"/>
      <c r="G338" s="73"/>
    </row>
    <row r="339" spans="2:7" x14ac:dyDescent="0.2">
      <c r="B339" s="73"/>
      <c r="C339" s="73"/>
      <c r="D339" s="73"/>
      <c r="E339" s="73"/>
      <c r="F339" s="73"/>
      <c r="G339" s="73"/>
    </row>
    <row r="340" spans="2:7" x14ac:dyDescent="0.2">
      <c r="B340" s="73"/>
      <c r="C340" s="73"/>
      <c r="D340" s="73"/>
      <c r="E340" s="73"/>
      <c r="F340" s="73"/>
      <c r="G340" s="73"/>
    </row>
    <row r="341" spans="2:7" x14ac:dyDescent="0.2">
      <c r="B341" s="73"/>
      <c r="C341" s="73"/>
      <c r="D341" s="73"/>
      <c r="E341" s="73"/>
      <c r="F341" s="73"/>
      <c r="G341" s="73"/>
    </row>
    <row r="342" spans="2:7" x14ac:dyDescent="0.2">
      <c r="B342" s="73"/>
      <c r="C342" s="73"/>
      <c r="D342" s="73"/>
      <c r="E342" s="73"/>
      <c r="F342" s="73"/>
      <c r="G342" s="73"/>
    </row>
    <row r="343" spans="2:7" x14ac:dyDescent="0.2">
      <c r="B343" s="73"/>
      <c r="C343" s="73"/>
      <c r="D343" s="73"/>
      <c r="E343" s="73"/>
      <c r="F343" s="73"/>
      <c r="G343" s="73"/>
    </row>
    <row r="344" spans="2:7" x14ac:dyDescent="0.2">
      <c r="B344" s="73"/>
      <c r="C344" s="73"/>
      <c r="D344" s="73"/>
      <c r="E344" s="73"/>
      <c r="F344" s="73"/>
      <c r="G344" s="73"/>
    </row>
    <row r="345" spans="2:7" x14ac:dyDescent="0.2">
      <c r="B345" s="73"/>
      <c r="C345" s="73"/>
      <c r="D345" s="73"/>
      <c r="E345" s="73"/>
      <c r="F345" s="73"/>
      <c r="G345" s="73"/>
    </row>
    <row r="346" spans="2:7" x14ac:dyDescent="0.2">
      <c r="B346" s="73"/>
      <c r="C346" s="73"/>
      <c r="D346" s="73"/>
      <c r="E346" s="73"/>
      <c r="F346" s="73"/>
      <c r="G346" s="73"/>
    </row>
    <row r="347" spans="2:7" x14ac:dyDescent="0.2">
      <c r="B347" s="73"/>
      <c r="C347" s="73"/>
      <c r="D347" s="73"/>
      <c r="E347" s="73"/>
      <c r="F347" s="73"/>
      <c r="G347" s="73"/>
    </row>
    <row r="348" spans="2:7" x14ac:dyDescent="0.2">
      <c r="B348" s="73"/>
      <c r="C348" s="73"/>
      <c r="D348" s="73"/>
      <c r="E348" s="73"/>
      <c r="F348" s="73"/>
      <c r="G348" s="73"/>
    </row>
    <row r="349" spans="2:7" x14ac:dyDescent="0.2">
      <c r="B349" s="73"/>
      <c r="C349" s="73"/>
      <c r="D349" s="73"/>
      <c r="E349" s="73"/>
      <c r="F349" s="73"/>
      <c r="G349" s="73"/>
    </row>
    <row r="350" spans="2:7" x14ac:dyDescent="0.2">
      <c r="B350" s="73"/>
      <c r="C350" s="73"/>
      <c r="D350" s="73"/>
      <c r="E350" s="73"/>
      <c r="F350" s="73"/>
      <c r="G350" s="73"/>
    </row>
    <row r="351" spans="2:7" x14ac:dyDescent="0.2">
      <c r="B351" s="73"/>
      <c r="C351" s="73"/>
      <c r="D351" s="73"/>
      <c r="E351" s="73"/>
      <c r="F351" s="73"/>
      <c r="G351" s="73"/>
    </row>
    <row r="352" spans="2:7" x14ac:dyDescent="0.2">
      <c r="B352" s="73"/>
      <c r="C352" s="73"/>
      <c r="D352" s="73"/>
      <c r="E352" s="73"/>
      <c r="F352" s="73"/>
      <c r="G352" s="73"/>
    </row>
    <row r="353" spans="2:7" x14ac:dyDescent="0.2">
      <c r="B353" s="73"/>
      <c r="C353" s="73"/>
      <c r="D353" s="73"/>
      <c r="E353" s="73"/>
      <c r="F353" s="73"/>
      <c r="G353" s="73"/>
    </row>
    <row r="354" spans="2:7" x14ac:dyDescent="0.2">
      <c r="B354" s="73"/>
      <c r="C354" s="73"/>
      <c r="D354" s="73"/>
      <c r="E354" s="73"/>
      <c r="F354" s="73"/>
      <c r="G354" s="73"/>
    </row>
    <row r="355" spans="2:7" x14ac:dyDescent="0.2">
      <c r="B355" s="73"/>
      <c r="C355" s="73"/>
      <c r="D355" s="73"/>
      <c r="E355" s="73"/>
      <c r="F355" s="73"/>
      <c r="G355" s="73"/>
    </row>
    <row r="356" spans="2:7" x14ac:dyDescent="0.2">
      <c r="B356" s="73"/>
      <c r="C356" s="73"/>
      <c r="D356" s="73"/>
      <c r="E356" s="73"/>
      <c r="F356" s="73"/>
      <c r="G356" s="73"/>
    </row>
    <row r="357" spans="2:7" x14ac:dyDescent="0.2">
      <c r="B357" s="73"/>
      <c r="C357" s="73"/>
      <c r="D357" s="73"/>
      <c r="E357" s="73"/>
      <c r="F357" s="73"/>
      <c r="G357" s="73"/>
    </row>
    <row r="358" spans="2:7" x14ac:dyDescent="0.2">
      <c r="B358" s="73"/>
      <c r="C358" s="73"/>
      <c r="D358" s="73"/>
      <c r="E358" s="73"/>
      <c r="F358" s="73"/>
      <c r="G358" s="73"/>
    </row>
    <row r="359" spans="2:7" x14ac:dyDescent="0.2">
      <c r="B359" s="73"/>
      <c r="C359" s="73"/>
      <c r="D359" s="73"/>
      <c r="E359" s="73"/>
      <c r="F359" s="73"/>
      <c r="G359" s="73"/>
    </row>
    <row r="360" spans="2:7" x14ac:dyDescent="0.2">
      <c r="B360" s="73"/>
      <c r="C360" s="73"/>
      <c r="D360" s="73"/>
      <c r="E360" s="73"/>
      <c r="F360" s="73"/>
      <c r="G360" s="73"/>
    </row>
    <row r="361" spans="2:7" x14ac:dyDescent="0.2">
      <c r="B361" s="73"/>
      <c r="C361" s="73"/>
      <c r="D361" s="73"/>
      <c r="E361" s="73"/>
      <c r="F361" s="73"/>
      <c r="G361" s="73"/>
    </row>
    <row r="362" spans="2:7" x14ac:dyDescent="0.2">
      <c r="B362" s="73"/>
      <c r="C362" s="73"/>
      <c r="D362" s="73"/>
      <c r="E362" s="73"/>
      <c r="F362" s="73"/>
      <c r="G362" s="73"/>
    </row>
    <row r="363" spans="2:7" x14ac:dyDescent="0.2">
      <c r="B363" s="73"/>
      <c r="C363" s="73"/>
      <c r="D363" s="73"/>
      <c r="E363" s="73"/>
      <c r="F363" s="73"/>
      <c r="G363" s="73"/>
    </row>
    <row r="364" spans="2:7" x14ac:dyDescent="0.2">
      <c r="B364" s="73"/>
      <c r="C364" s="73"/>
      <c r="D364" s="73"/>
      <c r="E364" s="73"/>
      <c r="F364" s="73"/>
      <c r="G364" s="73"/>
    </row>
    <row r="365" spans="2:7" x14ac:dyDescent="0.2">
      <c r="B365" s="73"/>
      <c r="C365" s="73"/>
      <c r="D365" s="73"/>
      <c r="E365" s="73"/>
      <c r="F365" s="73"/>
      <c r="G365" s="73"/>
    </row>
    <row r="366" spans="2:7" x14ac:dyDescent="0.2">
      <c r="B366" s="73"/>
      <c r="C366" s="73"/>
      <c r="D366" s="73"/>
      <c r="E366" s="73"/>
      <c r="F366" s="73"/>
      <c r="G366" s="73"/>
    </row>
    <row r="367" spans="2:7" x14ac:dyDescent="0.2">
      <c r="B367" s="73"/>
      <c r="C367" s="73"/>
      <c r="D367" s="73"/>
      <c r="E367" s="73"/>
      <c r="F367" s="73"/>
      <c r="G367" s="73"/>
    </row>
    <row r="368" spans="2:7" x14ac:dyDescent="0.2">
      <c r="B368" s="73"/>
      <c r="C368" s="73"/>
      <c r="D368" s="73"/>
      <c r="E368" s="73"/>
      <c r="F368" s="73"/>
      <c r="G368" s="73"/>
    </row>
    <row r="369" spans="2:7" x14ac:dyDescent="0.2">
      <c r="B369" s="73"/>
      <c r="C369" s="73"/>
      <c r="D369" s="73"/>
      <c r="E369" s="73"/>
      <c r="F369" s="73"/>
      <c r="G369" s="73"/>
    </row>
    <row r="370" spans="2:7" x14ac:dyDescent="0.2">
      <c r="B370" s="73"/>
      <c r="C370" s="73"/>
      <c r="D370" s="73"/>
      <c r="E370" s="73"/>
      <c r="F370" s="73"/>
      <c r="G370" s="73"/>
    </row>
    <row r="371" spans="2:7" x14ac:dyDescent="0.2">
      <c r="B371" s="73"/>
      <c r="C371" s="73"/>
      <c r="D371" s="73"/>
      <c r="E371" s="73"/>
      <c r="F371" s="73"/>
      <c r="G371" s="73"/>
    </row>
    <row r="372" spans="2:7" x14ac:dyDescent="0.2">
      <c r="B372" s="73"/>
      <c r="C372" s="73"/>
      <c r="D372" s="73"/>
      <c r="E372" s="73"/>
      <c r="F372" s="73"/>
      <c r="G372" s="73"/>
    </row>
    <row r="373" spans="2:7" x14ac:dyDescent="0.2">
      <c r="B373" s="73"/>
      <c r="C373" s="73"/>
      <c r="D373" s="73"/>
      <c r="E373" s="73"/>
      <c r="F373" s="73"/>
      <c r="G373" s="73"/>
    </row>
    <row r="374" spans="2:7" x14ac:dyDescent="0.2">
      <c r="B374" s="73"/>
      <c r="C374" s="73"/>
      <c r="D374" s="73"/>
      <c r="E374" s="73"/>
      <c r="F374" s="73"/>
      <c r="G374" s="73"/>
    </row>
    <row r="375" spans="2:7" x14ac:dyDescent="0.2">
      <c r="B375" s="73"/>
      <c r="C375" s="73"/>
      <c r="D375" s="73"/>
      <c r="E375" s="73"/>
      <c r="F375" s="73"/>
      <c r="G375" s="73"/>
    </row>
    <row r="376" spans="2:7" x14ac:dyDescent="0.2">
      <c r="B376" s="73"/>
      <c r="C376" s="73"/>
      <c r="D376" s="73"/>
      <c r="E376" s="73"/>
      <c r="F376" s="73"/>
      <c r="G376" s="73"/>
    </row>
    <row r="377" spans="2:7" x14ac:dyDescent="0.2">
      <c r="B377" s="73"/>
      <c r="C377" s="73"/>
      <c r="D377" s="73"/>
      <c r="E377" s="73"/>
      <c r="F377" s="73"/>
      <c r="G377" s="73"/>
    </row>
    <row r="378" spans="2:7" x14ac:dyDescent="0.2">
      <c r="B378" s="73"/>
      <c r="C378" s="73"/>
      <c r="D378" s="73"/>
      <c r="E378" s="73"/>
      <c r="F378" s="73"/>
      <c r="G378" s="73"/>
    </row>
    <row r="379" spans="2:7" x14ac:dyDescent="0.2">
      <c r="B379" s="73"/>
      <c r="C379" s="73"/>
      <c r="D379" s="73"/>
      <c r="E379" s="73"/>
      <c r="F379" s="73"/>
      <c r="G379" s="73"/>
    </row>
    <row r="380" spans="2:7" x14ac:dyDescent="0.2">
      <c r="B380" s="73"/>
      <c r="C380" s="73"/>
      <c r="D380" s="73"/>
      <c r="E380" s="73"/>
      <c r="F380" s="73"/>
      <c r="G380" s="73"/>
    </row>
    <row r="381" spans="2:7" x14ac:dyDescent="0.2">
      <c r="B381" s="73"/>
      <c r="C381" s="73"/>
      <c r="D381" s="73"/>
      <c r="E381" s="73"/>
      <c r="F381" s="73"/>
      <c r="G381" s="73"/>
    </row>
    <row r="382" spans="2:7" x14ac:dyDescent="0.2">
      <c r="B382" s="73"/>
      <c r="C382" s="73"/>
      <c r="D382" s="73"/>
      <c r="E382" s="73"/>
      <c r="F382" s="73"/>
      <c r="G382" s="73"/>
    </row>
    <row r="383" spans="2:7" x14ac:dyDescent="0.2">
      <c r="B383" s="73"/>
      <c r="C383" s="73"/>
      <c r="D383" s="73"/>
      <c r="E383" s="73"/>
      <c r="F383" s="73"/>
      <c r="G383" s="73"/>
    </row>
    <row r="384" spans="2:7" x14ac:dyDescent="0.2">
      <c r="B384" s="73"/>
      <c r="C384" s="73"/>
      <c r="D384" s="73"/>
      <c r="E384" s="73"/>
      <c r="F384" s="73"/>
      <c r="G384" s="73"/>
    </row>
    <row r="385" spans="2:7" x14ac:dyDescent="0.2">
      <c r="B385" s="73"/>
      <c r="C385" s="73"/>
      <c r="D385" s="73"/>
      <c r="E385" s="73"/>
      <c r="F385" s="73"/>
      <c r="G385" s="73"/>
    </row>
    <row r="386" spans="2:7" x14ac:dyDescent="0.2">
      <c r="B386" s="73"/>
      <c r="C386" s="73"/>
      <c r="D386" s="73"/>
      <c r="E386" s="73"/>
      <c r="F386" s="73"/>
      <c r="G386" s="73"/>
    </row>
    <row r="387" spans="2:7" x14ac:dyDescent="0.2">
      <c r="B387" s="73"/>
      <c r="C387" s="73"/>
      <c r="D387" s="73"/>
      <c r="E387" s="73"/>
      <c r="F387" s="73"/>
      <c r="G387" s="73"/>
    </row>
    <row r="388" spans="2:7" x14ac:dyDescent="0.2">
      <c r="B388" s="73"/>
      <c r="C388" s="73"/>
      <c r="D388" s="73"/>
      <c r="E388" s="73"/>
      <c r="F388" s="73"/>
      <c r="G388" s="73"/>
    </row>
    <row r="389" spans="2:7" x14ac:dyDescent="0.2">
      <c r="B389" s="73"/>
      <c r="C389" s="73"/>
      <c r="D389" s="73"/>
      <c r="E389" s="73"/>
      <c r="F389" s="73"/>
      <c r="G389" s="73"/>
    </row>
    <row r="390" spans="2:7" x14ac:dyDescent="0.2">
      <c r="B390" s="73"/>
      <c r="C390" s="73"/>
      <c r="D390" s="73"/>
      <c r="E390" s="73"/>
      <c r="F390" s="73"/>
      <c r="G390" s="73"/>
    </row>
    <row r="391" spans="2:7" x14ac:dyDescent="0.2">
      <c r="B391" s="73"/>
      <c r="C391" s="73"/>
      <c r="D391" s="73"/>
      <c r="E391" s="73"/>
      <c r="F391" s="73"/>
      <c r="G391" s="73"/>
    </row>
    <row r="392" spans="2:7" x14ac:dyDescent="0.2">
      <c r="B392" s="73"/>
      <c r="C392" s="73"/>
      <c r="D392" s="73"/>
      <c r="E392" s="73"/>
      <c r="F392" s="73"/>
      <c r="G392" s="73"/>
    </row>
    <row r="393" spans="2:7" x14ac:dyDescent="0.2">
      <c r="B393" s="73"/>
      <c r="C393" s="73"/>
      <c r="D393" s="73"/>
      <c r="E393" s="73"/>
      <c r="F393" s="73"/>
      <c r="G393" s="73"/>
    </row>
    <row r="394" spans="2:7" x14ac:dyDescent="0.2">
      <c r="B394" s="73"/>
      <c r="C394" s="73"/>
      <c r="D394" s="73"/>
      <c r="E394" s="73"/>
      <c r="F394" s="73"/>
      <c r="G394" s="73"/>
    </row>
    <row r="395" spans="2:7" x14ac:dyDescent="0.2">
      <c r="B395" s="73"/>
      <c r="C395" s="73"/>
      <c r="D395" s="73"/>
      <c r="E395" s="73"/>
      <c r="F395" s="73"/>
      <c r="G395" s="73"/>
    </row>
    <row r="396" spans="2:7" x14ac:dyDescent="0.2">
      <c r="B396" s="73"/>
      <c r="C396" s="73"/>
      <c r="D396" s="73"/>
      <c r="E396" s="73"/>
      <c r="F396" s="73"/>
      <c r="G396" s="73"/>
    </row>
    <row r="397" spans="2:7" x14ac:dyDescent="0.2">
      <c r="B397" s="73"/>
      <c r="C397" s="73"/>
      <c r="D397" s="73"/>
      <c r="E397" s="73"/>
      <c r="F397" s="73"/>
      <c r="G397" s="73"/>
    </row>
    <row r="398" spans="2:7" x14ac:dyDescent="0.2">
      <c r="B398" s="73"/>
      <c r="C398" s="73"/>
      <c r="D398" s="73"/>
      <c r="E398" s="73"/>
      <c r="F398" s="73"/>
      <c r="G398" s="73"/>
    </row>
    <row r="399" spans="2:7" x14ac:dyDescent="0.2">
      <c r="B399" s="73"/>
      <c r="C399" s="73"/>
      <c r="D399" s="73"/>
      <c r="E399" s="73"/>
      <c r="F399" s="73"/>
      <c r="G399" s="73"/>
    </row>
    <row r="400" spans="2:7" x14ac:dyDescent="0.2">
      <c r="B400" s="73"/>
      <c r="C400" s="73"/>
      <c r="D400" s="73"/>
      <c r="E400" s="73"/>
      <c r="F400" s="73"/>
      <c r="G400" s="73"/>
    </row>
    <row r="401" spans="2:7" x14ac:dyDescent="0.2">
      <c r="B401" s="73"/>
      <c r="C401" s="73"/>
      <c r="D401" s="73"/>
      <c r="E401" s="73"/>
      <c r="F401" s="73"/>
      <c r="G401" s="73"/>
    </row>
    <row r="402" spans="2:7" x14ac:dyDescent="0.2">
      <c r="B402" s="73"/>
      <c r="C402" s="73"/>
      <c r="D402" s="73"/>
      <c r="E402" s="73"/>
      <c r="F402" s="73"/>
      <c r="G402" s="73"/>
    </row>
    <row r="403" spans="2:7" x14ac:dyDescent="0.2">
      <c r="B403" s="73"/>
      <c r="C403" s="73"/>
      <c r="D403" s="73"/>
      <c r="E403" s="73"/>
      <c r="F403" s="73"/>
      <c r="G403" s="73"/>
    </row>
    <row r="404" spans="2:7" x14ac:dyDescent="0.2">
      <c r="B404" s="73"/>
      <c r="C404" s="73"/>
      <c r="D404" s="73"/>
      <c r="E404" s="73"/>
      <c r="F404" s="73"/>
      <c r="G404" s="73"/>
    </row>
    <row r="405" spans="2:7" x14ac:dyDescent="0.2">
      <c r="B405" s="73"/>
      <c r="C405" s="73"/>
      <c r="D405" s="73"/>
      <c r="E405" s="73"/>
      <c r="F405" s="73"/>
      <c r="G405" s="73"/>
    </row>
    <row r="406" spans="2:7" x14ac:dyDescent="0.2">
      <c r="B406" s="73"/>
      <c r="C406" s="73"/>
      <c r="D406" s="73"/>
      <c r="E406" s="73"/>
      <c r="F406" s="73"/>
      <c r="G406" s="73"/>
    </row>
    <row r="407" spans="2:7" x14ac:dyDescent="0.2">
      <c r="B407" s="73"/>
      <c r="C407" s="73"/>
      <c r="D407" s="73"/>
      <c r="E407" s="73"/>
      <c r="F407" s="73"/>
      <c r="G407" s="73"/>
    </row>
    <row r="408" spans="2:7" x14ac:dyDescent="0.2">
      <c r="B408" s="73"/>
      <c r="C408" s="73"/>
      <c r="D408" s="73"/>
      <c r="E408" s="73"/>
      <c r="F408" s="73"/>
      <c r="G408" s="73"/>
    </row>
    <row r="409" spans="2:7" x14ac:dyDescent="0.2">
      <c r="B409" s="73"/>
      <c r="C409" s="73"/>
      <c r="D409" s="73"/>
      <c r="E409" s="73"/>
      <c r="F409" s="73"/>
      <c r="G409" s="73"/>
    </row>
    <row r="410" spans="2:7" x14ac:dyDescent="0.2">
      <c r="B410" s="73"/>
      <c r="C410" s="73"/>
      <c r="D410" s="73"/>
      <c r="E410" s="73"/>
      <c r="F410" s="73"/>
      <c r="G410" s="73"/>
    </row>
    <row r="411" spans="2:7" x14ac:dyDescent="0.2">
      <c r="B411" s="73"/>
      <c r="C411" s="73"/>
      <c r="D411" s="73"/>
      <c r="E411" s="73"/>
      <c r="F411" s="73"/>
      <c r="G411" s="73"/>
    </row>
    <row r="412" spans="2:7" x14ac:dyDescent="0.2">
      <c r="B412" s="73"/>
      <c r="C412" s="73"/>
      <c r="D412" s="73"/>
      <c r="E412" s="73"/>
      <c r="F412" s="73"/>
      <c r="G412" s="73"/>
    </row>
    <row r="413" spans="2:7" x14ac:dyDescent="0.2">
      <c r="B413" s="73"/>
      <c r="C413" s="73"/>
      <c r="D413" s="73"/>
      <c r="E413" s="73"/>
      <c r="F413" s="73"/>
      <c r="G413" s="73"/>
    </row>
    <row r="414" spans="2:7" x14ac:dyDescent="0.2">
      <c r="B414" s="73"/>
      <c r="C414" s="73"/>
      <c r="D414" s="73"/>
      <c r="E414" s="73"/>
      <c r="F414" s="73"/>
      <c r="G414" s="73"/>
    </row>
    <row r="415" spans="2:7" x14ac:dyDescent="0.2">
      <c r="B415" s="73"/>
      <c r="C415" s="73"/>
      <c r="D415" s="73"/>
      <c r="E415" s="73"/>
      <c r="F415" s="73"/>
      <c r="G415" s="73"/>
    </row>
    <row r="416" spans="2:7" x14ac:dyDescent="0.2">
      <c r="B416" s="73"/>
      <c r="C416" s="73"/>
      <c r="D416" s="73"/>
      <c r="E416" s="73"/>
      <c r="F416" s="73"/>
      <c r="G416" s="73"/>
    </row>
    <row r="417" spans="2:7" x14ac:dyDescent="0.2">
      <c r="B417" s="73"/>
      <c r="C417" s="73"/>
      <c r="D417" s="73"/>
      <c r="E417" s="73"/>
      <c r="F417" s="73"/>
      <c r="G417" s="73"/>
    </row>
    <row r="418" spans="2:7" x14ac:dyDescent="0.2">
      <c r="B418" s="73"/>
      <c r="C418" s="73"/>
      <c r="D418" s="73"/>
      <c r="E418" s="73"/>
      <c r="F418" s="73"/>
      <c r="G418" s="73"/>
    </row>
    <row r="419" spans="2:7" x14ac:dyDescent="0.2">
      <c r="B419" s="73"/>
      <c r="C419" s="73"/>
      <c r="D419" s="73"/>
      <c r="E419" s="73"/>
      <c r="F419" s="73"/>
      <c r="G419" s="73"/>
    </row>
    <row r="420" spans="2:7" x14ac:dyDescent="0.2">
      <c r="B420" s="73"/>
      <c r="C420" s="73"/>
      <c r="D420" s="73"/>
      <c r="E420" s="73"/>
      <c r="F420" s="73"/>
      <c r="G420" s="73"/>
    </row>
    <row r="421" spans="2:7" x14ac:dyDescent="0.2">
      <c r="B421" s="73"/>
      <c r="C421" s="73"/>
      <c r="D421" s="73"/>
      <c r="E421" s="73"/>
      <c r="F421" s="73"/>
      <c r="G421" s="73"/>
    </row>
    <row r="422" spans="2:7" x14ac:dyDescent="0.2">
      <c r="B422" s="73"/>
      <c r="C422" s="73"/>
      <c r="D422" s="73"/>
      <c r="E422" s="73"/>
      <c r="F422" s="73"/>
      <c r="G422" s="73"/>
    </row>
    <row r="423" spans="2:7" x14ac:dyDescent="0.2">
      <c r="B423" s="73"/>
      <c r="C423" s="73"/>
      <c r="D423" s="73"/>
      <c r="E423" s="73"/>
      <c r="F423" s="73"/>
      <c r="G423" s="73"/>
    </row>
    <row r="424" spans="2:7" x14ac:dyDescent="0.2">
      <c r="B424" s="73"/>
      <c r="C424" s="73"/>
      <c r="D424" s="73"/>
      <c r="E424" s="73"/>
      <c r="F424" s="73"/>
      <c r="G424" s="73"/>
    </row>
    <row r="425" spans="2:7" x14ac:dyDescent="0.2">
      <c r="B425" s="73"/>
      <c r="C425" s="73"/>
      <c r="D425" s="73"/>
      <c r="E425" s="73"/>
      <c r="F425" s="73"/>
      <c r="G425" s="73"/>
    </row>
    <row r="426" spans="2:7" x14ac:dyDescent="0.2">
      <c r="B426" s="73"/>
      <c r="C426" s="73"/>
      <c r="D426" s="73"/>
      <c r="E426" s="73"/>
      <c r="F426" s="73"/>
      <c r="G426" s="73"/>
    </row>
    <row r="427" spans="2:7" x14ac:dyDescent="0.2">
      <c r="B427" s="73"/>
      <c r="C427" s="73"/>
      <c r="D427" s="73"/>
      <c r="E427" s="73"/>
      <c r="F427" s="73"/>
      <c r="G427" s="73"/>
    </row>
    <row r="428" spans="2:7" x14ac:dyDescent="0.2">
      <c r="B428" s="73"/>
      <c r="C428" s="73"/>
      <c r="D428" s="73"/>
      <c r="E428" s="73"/>
      <c r="F428" s="73"/>
      <c r="G428" s="73"/>
    </row>
    <row r="429" spans="2:7" x14ac:dyDescent="0.2">
      <c r="B429" s="73"/>
      <c r="C429" s="73"/>
      <c r="D429" s="73"/>
      <c r="E429" s="73"/>
      <c r="F429" s="73"/>
      <c r="G429" s="73"/>
    </row>
    <row r="430" spans="2:7" x14ac:dyDescent="0.2">
      <c r="B430" s="73"/>
      <c r="C430" s="73"/>
      <c r="D430" s="73"/>
      <c r="E430" s="73"/>
      <c r="F430" s="73"/>
      <c r="G430" s="73"/>
    </row>
    <row r="431" spans="2:7" x14ac:dyDescent="0.2">
      <c r="B431" s="73"/>
      <c r="C431" s="73"/>
      <c r="D431" s="73"/>
      <c r="E431" s="73"/>
      <c r="F431" s="73"/>
      <c r="G431" s="73"/>
    </row>
    <row r="432" spans="2:7" x14ac:dyDescent="0.2">
      <c r="B432" s="73"/>
      <c r="C432" s="73"/>
      <c r="D432" s="73"/>
      <c r="E432" s="73"/>
      <c r="F432" s="73"/>
      <c r="G432" s="73"/>
    </row>
    <row r="433" spans="2:7" x14ac:dyDescent="0.2">
      <c r="B433" s="73"/>
      <c r="C433" s="73"/>
      <c r="D433" s="73"/>
      <c r="E433" s="73"/>
      <c r="F433" s="73"/>
      <c r="G433" s="73"/>
    </row>
    <row r="434" spans="2:7" x14ac:dyDescent="0.2">
      <c r="B434" s="73"/>
      <c r="C434" s="73"/>
      <c r="D434" s="73"/>
      <c r="E434" s="73"/>
      <c r="F434" s="73"/>
      <c r="G434" s="73"/>
    </row>
    <row r="435" spans="2:7" x14ac:dyDescent="0.2">
      <c r="B435" s="73"/>
      <c r="C435" s="73"/>
      <c r="D435" s="73"/>
      <c r="E435" s="73"/>
      <c r="F435" s="73"/>
      <c r="G435" s="73"/>
    </row>
    <row r="436" spans="2:7" x14ac:dyDescent="0.2">
      <c r="B436" s="73"/>
      <c r="C436" s="73"/>
      <c r="D436" s="73"/>
      <c r="E436" s="73"/>
      <c r="F436" s="73"/>
      <c r="G436" s="73"/>
    </row>
    <row r="437" spans="2:7" x14ac:dyDescent="0.2">
      <c r="B437" s="73"/>
      <c r="C437" s="73"/>
      <c r="D437" s="73"/>
      <c r="E437" s="73"/>
      <c r="F437" s="73"/>
      <c r="G437" s="73"/>
    </row>
    <row r="438" spans="2:7" x14ac:dyDescent="0.2">
      <c r="B438" s="73"/>
      <c r="C438" s="73"/>
      <c r="D438" s="73"/>
      <c r="E438" s="73"/>
      <c r="F438" s="73"/>
      <c r="G438" s="73"/>
    </row>
    <row r="439" spans="2:7" x14ac:dyDescent="0.2">
      <c r="B439" s="73"/>
      <c r="C439" s="73"/>
      <c r="D439" s="73"/>
      <c r="E439" s="73"/>
      <c r="F439" s="73"/>
      <c r="G439" s="73"/>
    </row>
    <row r="440" spans="2:7" x14ac:dyDescent="0.2">
      <c r="B440" s="73"/>
      <c r="C440" s="73"/>
      <c r="D440" s="73"/>
      <c r="E440" s="73"/>
      <c r="F440" s="73"/>
      <c r="G440" s="73"/>
    </row>
    <row r="441" spans="2:7" x14ac:dyDescent="0.2">
      <c r="B441" s="73"/>
      <c r="C441" s="73"/>
      <c r="D441" s="73"/>
      <c r="E441" s="73"/>
      <c r="F441" s="73"/>
      <c r="G441" s="73"/>
    </row>
    <row r="442" spans="2:7" x14ac:dyDescent="0.2">
      <c r="B442" s="73"/>
      <c r="C442" s="73"/>
      <c r="D442" s="73"/>
      <c r="E442" s="73"/>
      <c r="F442" s="73"/>
      <c r="G442" s="73"/>
    </row>
    <row r="443" spans="2:7" x14ac:dyDescent="0.2">
      <c r="B443" s="73"/>
      <c r="C443" s="73"/>
      <c r="D443" s="73"/>
      <c r="E443" s="73"/>
      <c r="F443" s="73"/>
      <c r="G443" s="73"/>
    </row>
    <row r="444" spans="2:7" x14ac:dyDescent="0.2">
      <c r="B444" s="73"/>
      <c r="C444" s="73"/>
      <c r="D444" s="73"/>
      <c r="E444" s="73"/>
      <c r="F444" s="73"/>
      <c r="G444" s="73"/>
    </row>
    <row r="445" spans="2:7" x14ac:dyDescent="0.2">
      <c r="B445" s="73"/>
      <c r="C445" s="73"/>
      <c r="D445" s="73"/>
      <c r="E445" s="73"/>
      <c r="F445" s="73"/>
      <c r="G445" s="73"/>
    </row>
    <row r="446" spans="2:7" x14ac:dyDescent="0.2">
      <c r="B446" s="73"/>
      <c r="C446" s="73"/>
      <c r="D446" s="73"/>
      <c r="E446" s="73"/>
      <c r="F446" s="73"/>
      <c r="G446" s="73"/>
    </row>
    <row r="447" spans="2:7" x14ac:dyDescent="0.2">
      <c r="B447" s="73"/>
      <c r="C447" s="73"/>
      <c r="D447" s="73"/>
      <c r="E447" s="73"/>
      <c r="F447" s="73"/>
      <c r="G447" s="73"/>
    </row>
    <row r="448" spans="2:7" x14ac:dyDescent="0.2">
      <c r="B448" s="73"/>
      <c r="C448" s="73"/>
      <c r="D448" s="73"/>
      <c r="E448" s="73"/>
      <c r="F448" s="73"/>
      <c r="G448" s="73"/>
    </row>
    <row r="449" spans="2:7" x14ac:dyDescent="0.2">
      <c r="B449" s="73"/>
      <c r="C449" s="73"/>
      <c r="D449" s="73"/>
      <c r="E449" s="73"/>
      <c r="F449" s="73"/>
      <c r="G449" s="73"/>
    </row>
    <row r="450" spans="2:7" x14ac:dyDescent="0.2">
      <c r="B450" s="73"/>
      <c r="C450" s="73"/>
      <c r="D450" s="73"/>
      <c r="E450" s="73"/>
      <c r="F450" s="73"/>
      <c r="G450" s="73"/>
    </row>
    <row r="451" spans="2:7" x14ac:dyDescent="0.2">
      <c r="B451" s="73"/>
      <c r="C451" s="73"/>
      <c r="D451" s="73"/>
      <c r="E451" s="73"/>
      <c r="F451" s="73"/>
      <c r="G451" s="73"/>
    </row>
    <row r="452" spans="2:7" x14ac:dyDescent="0.2">
      <c r="B452" s="73"/>
      <c r="C452" s="73"/>
      <c r="D452" s="73"/>
      <c r="E452" s="73"/>
      <c r="F452" s="73"/>
      <c r="G452" s="73"/>
    </row>
    <row r="453" spans="2:7" x14ac:dyDescent="0.2">
      <c r="B453" s="73"/>
      <c r="C453" s="73"/>
      <c r="D453" s="73"/>
      <c r="E453" s="73"/>
      <c r="F453" s="73"/>
      <c r="G453" s="73"/>
    </row>
    <row r="454" spans="2:7" x14ac:dyDescent="0.2">
      <c r="B454" s="73"/>
      <c r="C454" s="73"/>
      <c r="D454" s="73"/>
      <c r="E454" s="73"/>
      <c r="F454" s="73"/>
      <c r="G454" s="73"/>
    </row>
    <row r="455" spans="2:7" x14ac:dyDescent="0.2">
      <c r="B455" s="73"/>
      <c r="C455" s="73"/>
      <c r="D455" s="73"/>
      <c r="E455" s="73"/>
      <c r="F455" s="73"/>
      <c r="G455" s="73"/>
    </row>
    <row r="456" spans="2:7" x14ac:dyDescent="0.2">
      <c r="B456" s="73"/>
      <c r="C456" s="73"/>
      <c r="D456" s="73"/>
      <c r="E456" s="73"/>
      <c r="F456" s="73"/>
      <c r="G456" s="73"/>
    </row>
    <row r="457" spans="2:7" x14ac:dyDescent="0.2">
      <c r="B457" s="73"/>
      <c r="C457" s="73"/>
      <c r="D457" s="73"/>
      <c r="E457" s="73"/>
      <c r="F457" s="73"/>
      <c r="G457" s="73"/>
    </row>
    <row r="458" spans="2:7" x14ac:dyDescent="0.2">
      <c r="B458" s="73"/>
      <c r="C458" s="73"/>
      <c r="D458" s="73"/>
      <c r="E458" s="73"/>
      <c r="F458" s="73"/>
      <c r="G458" s="73"/>
    </row>
    <row r="459" spans="2:7" x14ac:dyDescent="0.2">
      <c r="B459" s="73"/>
      <c r="C459" s="73"/>
      <c r="D459" s="73"/>
      <c r="E459" s="73"/>
      <c r="F459" s="73"/>
      <c r="G459" s="73"/>
    </row>
    <row r="460" spans="2:7" x14ac:dyDescent="0.2">
      <c r="B460" s="73"/>
      <c r="C460" s="73"/>
      <c r="D460" s="73"/>
      <c r="E460" s="73"/>
      <c r="F460" s="73"/>
      <c r="G460" s="73"/>
    </row>
    <row r="461" spans="2:7" x14ac:dyDescent="0.2">
      <c r="B461" s="73"/>
      <c r="C461" s="73"/>
      <c r="D461" s="73"/>
      <c r="E461" s="73"/>
      <c r="F461" s="73"/>
      <c r="G461" s="73"/>
    </row>
    <row r="462" spans="2:7" x14ac:dyDescent="0.2">
      <c r="B462" s="73"/>
      <c r="C462" s="73"/>
      <c r="D462" s="73"/>
      <c r="E462" s="73"/>
      <c r="F462" s="73"/>
      <c r="G462" s="73"/>
    </row>
    <row r="463" spans="2:7" x14ac:dyDescent="0.2">
      <c r="B463" s="73"/>
      <c r="C463" s="73"/>
      <c r="D463" s="73"/>
      <c r="E463" s="73"/>
      <c r="F463" s="73"/>
      <c r="G463" s="73"/>
    </row>
    <row r="464" spans="2:7" x14ac:dyDescent="0.2">
      <c r="B464" s="73"/>
      <c r="C464" s="73"/>
      <c r="D464" s="73"/>
      <c r="E464" s="73"/>
      <c r="F464" s="73"/>
      <c r="G464" s="73"/>
    </row>
    <row r="465" spans="2:7" x14ac:dyDescent="0.2">
      <c r="B465" s="73"/>
      <c r="C465" s="73"/>
      <c r="D465" s="73"/>
      <c r="E465" s="73"/>
      <c r="F465" s="73"/>
      <c r="G465" s="73"/>
    </row>
    <row r="466" spans="2:7" x14ac:dyDescent="0.2">
      <c r="B466" s="73"/>
      <c r="C466" s="73"/>
      <c r="D466" s="73"/>
      <c r="E466" s="73"/>
      <c r="F466" s="73"/>
      <c r="G466" s="73"/>
    </row>
    <row r="467" spans="2:7" x14ac:dyDescent="0.2">
      <c r="B467" s="73"/>
      <c r="C467" s="73"/>
      <c r="D467" s="73"/>
      <c r="E467" s="73"/>
      <c r="F467" s="73"/>
      <c r="G467" s="73"/>
    </row>
    <row r="468" spans="2:7" x14ac:dyDescent="0.2">
      <c r="B468" s="73"/>
      <c r="C468" s="73"/>
      <c r="D468" s="73"/>
      <c r="E468" s="73"/>
      <c r="F468" s="73"/>
      <c r="G468" s="73"/>
    </row>
    <row r="469" spans="2:7" x14ac:dyDescent="0.2">
      <c r="B469" s="73"/>
      <c r="C469" s="73"/>
      <c r="D469" s="73"/>
      <c r="E469" s="73"/>
      <c r="F469" s="73"/>
      <c r="G469" s="73"/>
    </row>
    <row r="470" spans="2:7" x14ac:dyDescent="0.2">
      <c r="B470" s="73"/>
      <c r="C470" s="73"/>
      <c r="D470" s="73"/>
      <c r="E470" s="73"/>
      <c r="F470" s="73"/>
      <c r="G470" s="73"/>
    </row>
    <row r="471" spans="2:7" x14ac:dyDescent="0.2">
      <c r="B471" s="73"/>
      <c r="C471" s="73"/>
      <c r="D471" s="73"/>
      <c r="E471" s="73"/>
      <c r="F471" s="73"/>
      <c r="G471" s="73"/>
    </row>
    <row r="472" spans="2:7" x14ac:dyDescent="0.2">
      <c r="B472" s="73"/>
      <c r="C472" s="73"/>
      <c r="D472" s="73"/>
      <c r="E472" s="73"/>
      <c r="F472" s="73"/>
      <c r="G472" s="73"/>
    </row>
    <row r="473" spans="2:7" x14ac:dyDescent="0.2">
      <c r="B473" s="73"/>
      <c r="C473" s="73"/>
      <c r="D473" s="73"/>
      <c r="E473" s="73"/>
      <c r="F473" s="73"/>
      <c r="G473" s="73"/>
    </row>
    <row r="474" spans="2:7" x14ac:dyDescent="0.2">
      <c r="B474" s="73"/>
      <c r="C474" s="73"/>
      <c r="D474" s="73"/>
      <c r="E474" s="73"/>
      <c r="F474" s="73"/>
      <c r="G474" s="73"/>
    </row>
    <row r="475" spans="2:7" x14ac:dyDescent="0.2">
      <c r="B475" s="73"/>
      <c r="C475" s="73"/>
      <c r="D475" s="73"/>
      <c r="E475" s="73"/>
      <c r="F475" s="73"/>
      <c r="G475" s="73"/>
    </row>
    <row r="476" spans="2:7" x14ac:dyDescent="0.2">
      <c r="B476" s="73"/>
      <c r="C476" s="73"/>
      <c r="D476" s="73"/>
      <c r="E476" s="73"/>
      <c r="F476" s="73"/>
      <c r="G476" s="73"/>
    </row>
    <row r="477" spans="2:7" x14ac:dyDescent="0.2">
      <c r="B477" s="73"/>
      <c r="C477" s="73"/>
      <c r="D477" s="73"/>
      <c r="E477" s="73"/>
      <c r="F477" s="73"/>
      <c r="G477" s="73"/>
    </row>
    <row r="478" spans="2:7" x14ac:dyDescent="0.2">
      <c r="B478" s="73"/>
      <c r="C478" s="73"/>
      <c r="D478" s="73"/>
      <c r="E478" s="73"/>
      <c r="F478" s="73"/>
      <c r="G478" s="73"/>
    </row>
    <row r="479" spans="2:7" x14ac:dyDescent="0.2">
      <c r="B479" s="73"/>
      <c r="C479" s="73"/>
      <c r="D479" s="73"/>
      <c r="E479" s="73"/>
      <c r="F479" s="73"/>
      <c r="G479" s="73"/>
    </row>
    <row r="480" spans="2:7" x14ac:dyDescent="0.2">
      <c r="B480" s="73"/>
      <c r="C480" s="73"/>
      <c r="D480" s="73"/>
      <c r="E480" s="73"/>
      <c r="F480" s="73"/>
      <c r="G480" s="73"/>
    </row>
    <row r="481" spans="2:7" x14ac:dyDescent="0.2">
      <c r="B481" s="73"/>
      <c r="C481" s="73"/>
      <c r="D481" s="73"/>
      <c r="E481" s="73"/>
      <c r="F481" s="73"/>
      <c r="G481" s="73"/>
    </row>
    <row r="482" spans="2:7" x14ac:dyDescent="0.2">
      <c r="B482" s="73"/>
      <c r="C482" s="73"/>
      <c r="D482" s="73"/>
      <c r="E482" s="73"/>
      <c r="F482" s="73"/>
      <c r="G482" s="73"/>
    </row>
    <row r="483" spans="2:7" x14ac:dyDescent="0.2">
      <c r="B483" s="73"/>
      <c r="C483" s="73"/>
      <c r="D483" s="73"/>
      <c r="E483" s="73"/>
      <c r="F483" s="73"/>
      <c r="G483" s="73"/>
    </row>
    <row r="484" spans="2:7" x14ac:dyDescent="0.2">
      <c r="B484" s="73"/>
      <c r="C484" s="73"/>
      <c r="D484" s="73"/>
      <c r="E484" s="73"/>
      <c r="F484" s="73"/>
      <c r="G484" s="73"/>
    </row>
    <row r="485" spans="2:7" x14ac:dyDescent="0.2">
      <c r="B485" s="73"/>
      <c r="C485" s="73"/>
      <c r="D485" s="73"/>
      <c r="E485" s="73"/>
      <c r="F485" s="73"/>
      <c r="G485" s="73"/>
    </row>
    <row r="486" spans="2:7" x14ac:dyDescent="0.2">
      <c r="B486" s="73"/>
      <c r="C486" s="73"/>
      <c r="D486" s="73"/>
      <c r="E486" s="73"/>
      <c r="F486" s="73"/>
      <c r="G486" s="73"/>
    </row>
    <row r="487" spans="2:7" x14ac:dyDescent="0.2">
      <c r="B487" s="73"/>
      <c r="C487" s="73"/>
      <c r="D487" s="73"/>
      <c r="E487" s="73"/>
      <c r="F487" s="73"/>
      <c r="G487" s="73"/>
    </row>
    <row r="488" spans="2:7" x14ac:dyDescent="0.2">
      <c r="B488" s="73"/>
      <c r="C488" s="73"/>
      <c r="D488" s="73"/>
      <c r="E488" s="73"/>
      <c r="F488" s="73"/>
      <c r="G488" s="73"/>
    </row>
    <row r="489" spans="2:7" x14ac:dyDescent="0.2">
      <c r="B489" s="73"/>
      <c r="C489" s="73"/>
      <c r="D489" s="73"/>
      <c r="E489" s="73"/>
      <c r="F489" s="73"/>
      <c r="G489" s="73"/>
    </row>
    <row r="490" spans="2:7" x14ac:dyDescent="0.2">
      <c r="B490" s="73"/>
      <c r="C490" s="73"/>
      <c r="D490" s="73"/>
      <c r="E490" s="73"/>
      <c r="F490" s="73"/>
      <c r="G490" s="73"/>
    </row>
    <row r="491" spans="2:7" x14ac:dyDescent="0.2">
      <c r="B491" s="73"/>
      <c r="C491" s="73"/>
      <c r="D491" s="73"/>
      <c r="E491" s="73"/>
      <c r="F491" s="73"/>
      <c r="G491" s="73"/>
    </row>
    <row r="492" spans="2:7" x14ac:dyDescent="0.2">
      <c r="B492" s="73"/>
      <c r="C492" s="73"/>
      <c r="D492" s="73"/>
      <c r="E492" s="73"/>
      <c r="F492" s="73"/>
      <c r="G492" s="73"/>
    </row>
    <row r="493" spans="2:7" x14ac:dyDescent="0.2">
      <c r="B493" s="73"/>
      <c r="C493" s="73"/>
      <c r="D493" s="73"/>
      <c r="E493" s="73"/>
      <c r="F493" s="73"/>
      <c r="G493" s="73"/>
    </row>
    <row r="494" spans="2:7" x14ac:dyDescent="0.2">
      <c r="B494" s="73"/>
      <c r="C494" s="73"/>
      <c r="D494" s="73"/>
      <c r="E494" s="73"/>
      <c r="F494" s="73"/>
      <c r="G494" s="73"/>
    </row>
    <row r="495" spans="2:7" x14ac:dyDescent="0.2">
      <c r="B495" s="73"/>
      <c r="C495" s="73"/>
      <c r="D495" s="73"/>
      <c r="E495" s="73"/>
      <c r="F495" s="73"/>
      <c r="G495" s="73"/>
    </row>
    <row r="496" spans="2:7" x14ac:dyDescent="0.2">
      <c r="B496" s="73"/>
      <c r="C496" s="73"/>
      <c r="D496" s="73"/>
      <c r="E496" s="73"/>
      <c r="F496" s="73"/>
      <c r="G496" s="73"/>
    </row>
    <row r="497" spans="2:7" x14ac:dyDescent="0.2">
      <c r="B497" s="73"/>
      <c r="C497" s="73"/>
      <c r="D497" s="73"/>
      <c r="E497" s="73"/>
      <c r="F497" s="73"/>
      <c r="G497" s="73"/>
    </row>
    <row r="498" spans="2:7" x14ac:dyDescent="0.2">
      <c r="B498" s="73"/>
      <c r="C498" s="73"/>
      <c r="D498" s="73"/>
      <c r="E498" s="73"/>
      <c r="F498" s="73"/>
      <c r="G498" s="73"/>
    </row>
    <row r="499" spans="2:7" x14ac:dyDescent="0.2">
      <c r="B499" s="73"/>
      <c r="C499" s="73"/>
      <c r="D499" s="73"/>
      <c r="E499" s="73"/>
      <c r="F499" s="73"/>
      <c r="G499" s="73"/>
    </row>
    <row r="500" spans="2:7" x14ac:dyDescent="0.2">
      <c r="B500" s="73"/>
      <c r="C500" s="73"/>
      <c r="D500" s="73"/>
      <c r="E500" s="73"/>
      <c r="F500" s="73"/>
      <c r="G500" s="73"/>
    </row>
    <row r="501" spans="2:7" x14ac:dyDescent="0.2">
      <c r="B501" s="73"/>
      <c r="C501" s="73"/>
      <c r="D501" s="73"/>
      <c r="E501" s="73"/>
      <c r="F501" s="73"/>
      <c r="G501" s="73"/>
    </row>
    <row r="502" spans="2:7" x14ac:dyDescent="0.2">
      <c r="B502" s="73"/>
      <c r="C502" s="73"/>
      <c r="D502" s="73"/>
      <c r="E502" s="73"/>
      <c r="F502" s="73"/>
      <c r="G502" s="73"/>
    </row>
    <row r="503" spans="2:7" x14ac:dyDescent="0.2">
      <c r="B503" s="73"/>
      <c r="C503" s="73"/>
      <c r="D503" s="73"/>
      <c r="E503" s="73"/>
      <c r="F503" s="73"/>
      <c r="G503" s="73"/>
    </row>
    <row r="504" spans="2:7" x14ac:dyDescent="0.2">
      <c r="B504" s="73"/>
      <c r="C504" s="73"/>
      <c r="D504" s="73"/>
      <c r="E504" s="73"/>
      <c r="F504" s="73"/>
      <c r="G504" s="73"/>
    </row>
    <row r="505" spans="2:7" x14ac:dyDescent="0.2">
      <c r="B505" s="73"/>
      <c r="C505" s="73"/>
      <c r="D505" s="73"/>
      <c r="E505" s="73"/>
      <c r="F505" s="73"/>
      <c r="G505" s="73"/>
    </row>
    <row r="506" spans="2:7" x14ac:dyDescent="0.2">
      <c r="B506" s="73"/>
      <c r="C506" s="73"/>
      <c r="D506" s="73"/>
      <c r="E506" s="73"/>
      <c r="F506" s="73"/>
      <c r="G506" s="73"/>
    </row>
    <row r="507" spans="2:7" x14ac:dyDescent="0.2">
      <c r="B507" s="73"/>
      <c r="C507" s="73"/>
      <c r="D507" s="73"/>
      <c r="E507" s="73"/>
      <c r="F507" s="73"/>
      <c r="G507" s="73"/>
    </row>
    <row r="508" spans="2:7" x14ac:dyDescent="0.2">
      <c r="B508" s="73"/>
      <c r="C508" s="73"/>
      <c r="D508" s="73"/>
      <c r="E508" s="73"/>
      <c r="F508" s="73"/>
      <c r="G508" s="73"/>
    </row>
    <row r="509" spans="2:7" x14ac:dyDescent="0.2">
      <c r="B509" s="73"/>
      <c r="C509" s="73"/>
      <c r="D509" s="73"/>
      <c r="E509" s="73"/>
      <c r="F509" s="73"/>
      <c r="G509" s="73"/>
    </row>
    <row r="510" spans="2:7" x14ac:dyDescent="0.2">
      <c r="B510" s="73"/>
      <c r="C510" s="73"/>
      <c r="D510" s="73"/>
      <c r="E510" s="73"/>
      <c r="F510" s="73"/>
      <c r="G510" s="73"/>
    </row>
    <row r="511" spans="2:7" x14ac:dyDescent="0.2">
      <c r="B511" s="73"/>
      <c r="C511" s="73"/>
      <c r="D511" s="73"/>
      <c r="E511" s="73"/>
      <c r="F511" s="73"/>
      <c r="G511" s="73"/>
    </row>
    <row r="512" spans="2:7" x14ac:dyDescent="0.2">
      <c r="B512" s="73"/>
      <c r="C512" s="73"/>
      <c r="D512" s="73"/>
      <c r="E512" s="73"/>
      <c r="F512" s="73"/>
      <c r="G512" s="73"/>
    </row>
    <row r="513" spans="2:7" x14ac:dyDescent="0.2">
      <c r="B513" s="73"/>
      <c r="C513" s="73"/>
      <c r="D513" s="73"/>
      <c r="E513" s="73"/>
      <c r="F513" s="73"/>
      <c r="G513" s="73"/>
    </row>
    <row r="514" spans="2:7" x14ac:dyDescent="0.2">
      <c r="B514" s="73"/>
      <c r="C514" s="73"/>
      <c r="D514" s="73"/>
      <c r="E514" s="73"/>
      <c r="F514" s="73"/>
      <c r="G514" s="73"/>
    </row>
    <row r="515" spans="2:7" x14ac:dyDescent="0.2">
      <c r="B515" s="73"/>
      <c r="C515" s="73"/>
      <c r="D515" s="73"/>
      <c r="E515" s="73"/>
      <c r="F515" s="73"/>
      <c r="G515" s="73"/>
    </row>
    <row r="516" spans="2:7" x14ac:dyDescent="0.2">
      <c r="B516" s="73"/>
      <c r="C516" s="73"/>
      <c r="D516" s="73"/>
      <c r="E516" s="73"/>
      <c r="F516" s="73"/>
      <c r="G516" s="73"/>
    </row>
    <row r="517" spans="2:7" x14ac:dyDescent="0.2">
      <c r="B517" s="73"/>
      <c r="C517" s="73"/>
      <c r="D517" s="73"/>
      <c r="E517" s="73"/>
      <c r="F517" s="73"/>
      <c r="G517" s="73"/>
    </row>
    <row r="518" spans="2:7" x14ac:dyDescent="0.2">
      <c r="B518" s="73"/>
      <c r="C518" s="73"/>
      <c r="D518" s="73"/>
      <c r="E518" s="73"/>
      <c r="F518" s="73"/>
      <c r="G518" s="73"/>
    </row>
    <row r="519" spans="2:7" x14ac:dyDescent="0.2">
      <c r="B519" s="73"/>
      <c r="C519" s="73"/>
      <c r="D519" s="73"/>
      <c r="E519" s="73"/>
      <c r="F519" s="73"/>
      <c r="G519" s="73"/>
    </row>
    <row r="520" spans="2:7" x14ac:dyDescent="0.2">
      <c r="B520" s="73"/>
      <c r="C520" s="73"/>
      <c r="D520" s="73"/>
      <c r="E520" s="73"/>
      <c r="F520" s="73"/>
      <c r="G520" s="73"/>
    </row>
    <row r="521" spans="2:7" x14ac:dyDescent="0.2">
      <c r="B521" s="73"/>
      <c r="C521" s="73"/>
      <c r="D521" s="73"/>
      <c r="E521" s="73"/>
      <c r="F521" s="73"/>
      <c r="G521" s="73"/>
    </row>
    <row r="522" spans="2:7" x14ac:dyDescent="0.2">
      <c r="B522" s="73"/>
      <c r="C522" s="73"/>
      <c r="D522" s="73"/>
      <c r="E522" s="73"/>
      <c r="F522" s="73"/>
      <c r="G522" s="73"/>
    </row>
    <row r="523" spans="2:7" x14ac:dyDescent="0.2">
      <c r="B523" s="73"/>
      <c r="C523" s="73"/>
      <c r="D523" s="73"/>
      <c r="E523" s="73"/>
      <c r="F523" s="73"/>
      <c r="G523" s="73"/>
    </row>
    <row r="524" spans="2:7" x14ac:dyDescent="0.2">
      <c r="B524" s="73"/>
      <c r="C524" s="73"/>
      <c r="D524" s="73"/>
      <c r="E524" s="73"/>
      <c r="F524" s="73"/>
      <c r="G524" s="73"/>
    </row>
    <row r="525" spans="2:7" x14ac:dyDescent="0.2">
      <c r="B525" s="73"/>
      <c r="C525" s="73"/>
      <c r="D525" s="73"/>
      <c r="E525" s="73"/>
      <c r="F525" s="73"/>
      <c r="G525" s="73"/>
    </row>
    <row r="526" spans="2:7" x14ac:dyDescent="0.2">
      <c r="B526" s="73"/>
      <c r="C526" s="73"/>
      <c r="D526" s="73"/>
      <c r="E526" s="73"/>
      <c r="F526" s="73"/>
      <c r="G526" s="73"/>
    </row>
    <row r="527" spans="2:7" x14ac:dyDescent="0.2">
      <c r="B527" s="73"/>
      <c r="C527" s="73"/>
      <c r="D527" s="73"/>
      <c r="E527" s="73"/>
      <c r="F527" s="73"/>
      <c r="G527" s="73"/>
    </row>
    <row r="528" spans="2:7" x14ac:dyDescent="0.2">
      <c r="B528" s="73"/>
      <c r="C528" s="73"/>
      <c r="D528" s="73"/>
      <c r="E528" s="73"/>
      <c r="F528" s="73"/>
      <c r="G528" s="73"/>
    </row>
    <row r="529" spans="2:7" x14ac:dyDescent="0.2">
      <c r="B529" s="73"/>
      <c r="C529" s="73"/>
      <c r="D529" s="73"/>
      <c r="E529" s="73"/>
      <c r="F529" s="73"/>
      <c r="G529" s="73"/>
    </row>
    <row r="530" spans="2:7" x14ac:dyDescent="0.2">
      <c r="B530" s="73"/>
      <c r="C530" s="73"/>
      <c r="D530" s="73"/>
      <c r="E530" s="73"/>
      <c r="F530" s="73"/>
      <c r="G530" s="73"/>
    </row>
    <row r="531" spans="2:7" x14ac:dyDescent="0.2">
      <c r="B531" s="73"/>
      <c r="C531" s="73"/>
      <c r="D531" s="73"/>
      <c r="E531" s="73"/>
      <c r="F531" s="73"/>
      <c r="G531" s="73"/>
    </row>
    <row r="532" spans="2:7" x14ac:dyDescent="0.2">
      <c r="B532" s="73"/>
      <c r="C532" s="73"/>
      <c r="D532" s="73"/>
      <c r="E532" s="73"/>
      <c r="F532" s="73"/>
      <c r="G532" s="73"/>
    </row>
    <row r="533" spans="2:7" x14ac:dyDescent="0.2">
      <c r="B533" s="73"/>
      <c r="C533" s="73"/>
      <c r="D533" s="73"/>
      <c r="E533" s="73"/>
      <c r="F533" s="73"/>
      <c r="G533" s="73"/>
    </row>
    <row r="534" spans="2:7" x14ac:dyDescent="0.2">
      <c r="B534" s="73"/>
      <c r="C534" s="73"/>
      <c r="D534" s="73"/>
      <c r="E534" s="73"/>
      <c r="F534" s="73"/>
      <c r="G534" s="73"/>
    </row>
    <row r="535" spans="2:7" x14ac:dyDescent="0.2">
      <c r="B535" s="73"/>
      <c r="C535" s="73"/>
      <c r="D535" s="73"/>
      <c r="E535" s="73"/>
      <c r="F535" s="73"/>
      <c r="G535" s="73"/>
    </row>
    <row r="536" spans="2:7" x14ac:dyDescent="0.2">
      <c r="B536" s="73"/>
      <c r="C536" s="73"/>
      <c r="D536" s="73"/>
      <c r="E536" s="73"/>
      <c r="F536" s="73"/>
      <c r="G536" s="73"/>
    </row>
    <row r="537" spans="2:7" x14ac:dyDescent="0.2">
      <c r="B537" s="73"/>
      <c r="C537" s="73"/>
      <c r="D537" s="73"/>
      <c r="E537" s="73"/>
      <c r="F537" s="73"/>
      <c r="G537" s="73"/>
    </row>
    <row r="538" spans="2:7" x14ac:dyDescent="0.2">
      <c r="B538" s="73"/>
      <c r="C538" s="73"/>
      <c r="D538" s="73"/>
      <c r="E538" s="73"/>
      <c r="F538" s="73"/>
      <c r="G538" s="73"/>
    </row>
    <row r="539" spans="2:7" x14ac:dyDescent="0.2">
      <c r="B539" s="73"/>
      <c r="C539" s="73"/>
      <c r="D539" s="73"/>
      <c r="E539" s="73"/>
      <c r="F539" s="73"/>
      <c r="G539" s="73"/>
    </row>
    <row r="540" spans="2:7" x14ac:dyDescent="0.2">
      <c r="B540" s="73"/>
      <c r="C540" s="73"/>
      <c r="D540" s="73"/>
      <c r="E540" s="73"/>
      <c r="F540" s="73"/>
      <c r="G540" s="73"/>
    </row>
    <row r="541" spans="2:7" x14ac:dyDescent="0.2">
      <c r="B541" s="73"/>
      <c r="C541" s="73"/>
      <c r="D541" s="73"/>
      <c r="E541" s="73"/>
      <c r="F541" s="73"/>
      <c r="G541" s="73"/>
    </row>
    <row r="542" spans="2:7" x14ac:dyDescent="0.2">
      <c r="B542" s="73"/>
      <c r="C542" s="73"/>
      <c r="D542" s="73"/>
      <c r="E542" s="73"/>
      <c r="F542" s="73"/>
      <c r="G542" s="73"/>
    </row>
    <row r="543" spans="2:7" x14ac:dyDescent="0.2">
      <c r="B543" s="73"/>
      <c r="C543" s="73"/>
      <c r="D543" s="73"/>
      <c r="E543" s="73"/>
      <c r="F543" s="73"/>
      <c r="G543" s="73"/>
    </row>
    <row r="544" spans="2:7" x14ac:dyDescent="0.2">
      <c r="B544" s="73"/>
      <c r="C544" s="73"/>
      <c r="D544" s="73"/>
      <c r="E544" s="73"/>
      <c r="F544" s="73"/>
      <c r="G544" s="73"/>
    </row>
    <row r="545" spans="2:7" x14ac:dyDescent="0.2">
      <c r="B545" s="73"/>
      <c r="C545" s="73"/>
      <c r="D545" s="73"/>
      <c r="E545" s="73"/>
      <c r="F545" s="73"/>
      <c r="G545" s="73"/>
    </row>
    <row r="546" spans="2:7" x14ac:dyDescent="0.2">
      <c r="B546" s="73"/>
      <c r="C546" s="73"/>
      <c r="D546" s="73"/>
      <c r="E546" s="73"/>
      <c r="F546" s="73"/>
      <c r="G546" s="73"/>
    </row>
    <row r="547" spans="2:7" x14ac:dyDescent="0.2">
      <c r="B547" s="73"/>
      <c r="C547" s="73"/>
      <c r="D547" s="73"/>
      <c r="E547" s="73"/>
      <c r="F547" s="73"/>
      <c r="G547" s="73"/>
    </row>
    <row r="548" spans="2:7" x14ac:dyDescent="0.2">
      <c r="B548" s="73"/>
      <c r="C548" s="73"/>
      <c r="D548" s="73"/>
      <c r="E548" s="73"/>
      <c r="F548" s="73"/>
      <c r="G548" s="73"/>
    </row>
    <row r="549" spans="2:7" x14ac:dyDescent="0.2">
      <c r="B549" s="73"/>
      <c r="C549" s="73"/>
      <c r="D549" s="73"/>
      <c r="E549" s="73"/>
      <c r="F549" s="73"/>
      <c r="G549" s="73"/>
    </row>
    <row r="550" spans="2:7" x14ac:dyDescent="0.2">
      <c r="B550" s="73"/>
      <c r="C550" s="73"/>
      <c r="D550" s="73"/>
      <c r="E550" s="73"/>
      <c r="F550" s="73"/>
      <c r="G550" s="73"/>
    </row>
    <row r="551" spans="2:7" x14ac:dyDescent="0.2">
      <c r="B551" s="73"/>
      <c r="C551" s="73"/>
      <c r="D551" s="73"/>
      <c r="E551" s="73"/>
      <c r="F551" s="73"/>
      <c r="G551" s="73"/>
    </row>
    <row r="552" spans="2:7" x14ac:dyDescent="0.2">
      <c r="B552" s="73"/>
      <c r="C552" s="73"/>
      <c r="D552" s="73"/>
      <c r="E552" s="73"/>
      <c r="F552" s="73"/>
      <c r="G552" s="73"/>
    </row>
    <row r="553" spans="2:7" x14ac:dyDescent="0.2">
      <c r="B553" s="73"/>
      <c r="C553" s="73"/>
      <c r="D553" s="73"/>
      <c r="E553" s="73"/>
      <c r="F553" s="73"/>
      <c r="G553" s="73"/>
    </row>
    <row r="554" spans="2:7" x14ac:dyDescent="0.2">
      <c r="B554" s="73"/>
      <c r="C554" s="73"/>
      <c r="D554" s="73"/>
      <c r="E554" s="73"/>
      <c r="F554" s="73"/>
      <c r="G554" s="73"/>
    </row>
    <row r="555" spans="2:7" x14ac:dyDescent="0.2">
      <c r="B555" s="73"/>
      <c r="C555" s="73"/>
      <c r="D555" s="73"/>
      <c r="E555" s="73"/>
      <c r="F555" s="73"/>
      <c r="G555" s="73"/>
    </row>
    <row r="556" spans="2:7" x14ac:dyDescent="0.2">
      <c r="B556" s="73"/>
      <c r="C556" s="73"/>
      <c r="D556" s="73"/>
      <c r="E556" s="73"/>
      <c r="F556" s="73"/>
      <c r="G556" s="73"/>
    </row>
    <row r="557" spans="2:7" x14ac:dyDescent="0.2">
      <c r="B557" s="73"/>
      <c r="C557" s="73"/>
      <c r="D557" s="73"/>
      <c r="E557" s="73"/>
      <c r="F557" s="73"/>
      <c r="G557" s="73"/>
    </row>
    <row r="558" spans="2:7" x14ac:dyDescent="0.2">
      <c r="B558" s="73"/>
      <c r="C558" s="73"/>
      <c r="D558" s="73"/>
      <c r="E558" s="73"/>
      <c r="F558" s="73"/>
      <c r="G558" s="73"/>
    </row>
    <row r="559" spans="2:7" x14ac:dyDescent="0.2">
      <c r="B559" s="73"/>
      <c r="C559" s="73"/>
      <c r="D559" s="73"/>
      <c r="E559" s="73"/>
      <c r="F559" s="73"/>
      <c r="G559" s="73"/>
    </row>
    <row r="560" spans="2:7" x14ac:dyDescent="0.2">
      <c r="B560" s="73"/>
      <c r="C560" s="73"/>
      <c r="D560" s="73"/>
      <c r="E560" s="73"/>
      <c r="F560" s="73"/>
      <c r="G560" s="73"/>
    </row>
    <row r="561" spans="2:7" x14ac:dyDescent="0.2">
      <c r="B561" s="73"/>
      <c r="C561" s="73"/>
      <c r="D561" s="73"/>
      <c r="E561" s="73"/>
      <c r="F561" s="73"/>
      <c r="G561" s="73"/>
    </row>
    <row r="562" spans="2:7" x14ac:dyDescent="0.2">
      <c r="B562" s="73"/>
      <c r="C562" s="73"/>
      <c r="D562" s="73"/>
      <c r="E562" s="73"/>
      <c r="F562" s="73"/>
      <c r="G562" s="73"/>
    </row>
    <row r="563" spans="2:7" x14ac:dyDescent="0.2">
      <c r="B563" s="73"/>
      <c r="C563" s="73"/>
      <c r="D563" s="73"/>
      <c r="E563" s="73"/>
      <c r="F563" s="73"/>
      <c r="G563" s="73"/>
    </row>
    <row r="564" spans="2:7" x14ac:dyDescent="0.2">
      <c r="B564" s="73"/>
      <c r="C564" s="73"/>
      <c r="D564" s="73"/>
      <c r="E564" s="73"/>
      <c r="F564" s="73"/>
      <c r="G564" s="73"/>
    </row>
    <row r="565" spans="2:7" x14ac:dyDescent="0.2">
      <c r="B565" s="73"/>
      <c r="C565" s="73"/>
      <c r="D565" s="73"/>
      <c r="E565" s="73"/>
      <c r="F565" s="73"/>
      <c r="G565" s="73"/>
    </row>
    <row r="566" spans="2:7" x14ac:dyDescent="0.2">
      <c r="B566" s="73"/>
      <c r="C566" s="73"/>
      <c r="D566" s="73"/>
      <c r="E566" s="73"/>
      <c r="F566" s="73"/>
      <c r="G566" s="73"/>
    </row>
    <row r="567" spans="2:7" x14ac:dyDescent="0.2">
      <c r="B567" s="73"/>
      <c r="C567" s="73"/>
      <c r="D567" s="73"/>
      <c r="E567" s="73"/>
      <c r="F567" s="73"/>
      <c r="G567" s="73"/>
    </row>
    <row r="568" spans="2:7" x14ac:dyDescent="0.2">
      <c r="B568" s="73"/>
      <c r="C568" s="73"/>
      <c r="D568" s="73"/>
      <c r="E568" s="73"/>
      <c r="F568" s="73"/>
      <c r="G568" s="73"/>
    </row>
    <row r="569" spans="2:7" x14ac:dyDescent="0.2">
      <c r="B569" s="73"/>
      <c r="C569" s="73"/>
      <c r="D569" s="73"/>
      <c r="E569" s="73"/>
      <c r="F569" s="73"/>
      <c r="G569" s="73"/>
    </row>
    <row r="570" spans="2:7" x14ac:dyDescent="0.2">
      <c r="B570" s="73"/>
      <c r="C570" s="73"/>
      <c r="D570" s="73"/>
      <c r="E570" s="73"/>
      <c r="F570" s="73"/>
      <c r="G570" s="73"/>
    </row>
    <row r="571" spans="2:7" x14ac:dyDescent="0.2">
      <c r="B571" s="73"/>
      <c r="C571" s="73"/>
      <c r="D571" s="73"/>
      <c r="E571" s="73"/>
      <c r="F571" s="73"/>
      <c r="G571" s="73"/>
    </row>
    <row r="572" spans="2:7" x14ac:dyDescent="0.2">
      <c r="B572" s="73"/>
      <c r="C572" s="73"/>
      <c r="D572" s="73"/>
      <c r="E572" s="73"/>
      <c r="F572" s="73"/>
      <c r="G572" s="73"/>
    </row>
    <row r="573" spans="2:7" x14ac:dyDescent="0.2">
      <c r="B573" s="73"/>
      <c r="C573" s="73"/>
      <c r="D573" s="73"/>
      <c r="E573" s="73"/>
      <c r="F573" s="73"/>
      <c r="G573" s="73"/>
    </row>
    <row r="574" spans="2:7" x14ac:dyDescent="0.2">
      <c r="B574" s="73"/>
      <c r="C574" s="73"/>
      <c r="D574" s="73"/>
      <c r="E574" s="73"/>
      <c r="F574" s="73"/>
      <c r="G574" s="73"/>
    </row>
    <row r="575" spans="2:7" x14ac:dyDescent="0.2">
      <c r="B575" s="73"/>
      <c r="C575" s="73"/>
      <c r="D575" s="73"/>
      <c r="E575" s="73"/>
      <c r="F575" s="73"/>
      <c r="G575" s="73"/>
    </row>
    <row r="576" spans="2:7" x14ac:dyDescent="0.2">
      <c r="B576" s="73"/>
      <c r="C576" s="73"/>
      <c r="D576" s="73"/>
      <c r="E576" s="73"/>
      <c r="F576" s="73"/>
      <c r="G576" s="73"/>
    </row>
    <row r="577" spans="2:7" x14ac:dyDescent="0.2">
      <c r="B577" s="73"/>
      <c r="C577" s="73"/>
      <c r="D577" s="73"/>
      <c r="E577" s="73"/>
      <c r="F577" s="73"/>
      <c r="G577" s="73"/>
    </row>
    <row r="578" spans="2:7" x14ac:dyDescent="0.2">
      <c r="B578" s="73"/>
      <c r="C578" s="73"/>
      <c r="D578" s="73"/>
      <c r="E578" s="73"/>
      <c r="F578" s="73"/>
      <c r="G578" s="73"/>
    </row>
    <row r="579" spans="2:7" x14ac:dyDescent="0.2">
      <c r="B579" s="73"/>
      <c r="C579" s="73"/>
      <c r="D579" s="73"/>
      <c r="E579" s="73"/>
      <c r="F579" s="73"/>
      <c r="G579" s="73"/>
    </row>
    <row r="580" spans="2:7" x14ac:dyDescent="0.2">
      <c r="B580" s="73"/>
      <c r="C580" s="73"/>
      <c r="D580" s="73"/>
      <c r="E580" s="73"/>
      <c r="F580" s="73"/>
      <c r="G580" s="73"/>
    </row>
    <row r="581" spans="2:7" x14ac:dyDescent="0.2">
      <c r="B581" s="73"/>
      <c r="C581" s="73"/>
      <c r="D581" s="73"/>
      <c r="E581" s="73"/>
      <c r="F581" s="73"/>
      <c r="G581" s="73"/>
    </row>
    <row r="582" spans="2:7" x14ac:dyDescent="0.2">
      <c r="B582" s="73"/>
      <c r="C582" s="73"/>
      <c r="D582" s="73"/>
      <c r="E582" s="73"/>
      <c r="F582" s="73"/>
      <c r="G582" s="73"/>
    </row>
    <row r="583" spans="2:7" x14ac:dyDescent="0.2">
      <c r="B583" s="73"/>
      <c r="C583" s="73"/>
      <c r="D583" s="73"/>
      <c r="E583" s="73"/>
      <c r="F583" s="73"/>
      <c r="G583" s="73"/>
    </row>
    <row r="584" spans="2:7" x14ac:dyDescent="0.2">
      <c r="B584" s="73"/>
      <c r="C584" s="73"/>
      <c r="D584" s="73"/>
      <c r="E584" s="73"/>
      <c r="F584" s="73"/>
      <c r="G584" s="73"/>
    </row>
    <row r="585" spans="2:7" x14ac:dyDescent="0.2">
      <c r="B585" s="73"/>
      <c r="C585" s="73"/>
      <c r="D585" s="73"/>
      <c r="E585" s="73"/>
      <c r="F585" s="73"/>
      <c r="G585" s="73"/>
    </row>
    <row r="586" spans="2:7" x14ac:dyDescent="0.2">
      <c r="B586" s="73"/>
      <c r="C586" s="73"/>
      <c r="D586" s="73"/>
      <c r="E586" s="73"/>
      <c r="F586" s="73"/>
      <c r="G586" s="73"/>
    </row>
    <row r="587" spans="2:7" x14ac:dyDescent="0.2">
      <c r="B587" s="73"/>
      <c r="C587" s="73"/>
      <c r="D587" s="73"/>
      <c r="E587" s="73"/>
      <c r="F587" s="73"/>
      <c r="G587" s="73"/>
    </row>
    <row r="588" spans="2:7" x14ac:dyDescent="0.2">
      <c r="B588" s="73"/>
      <c r="C588" s="73"/>
      <c r="D588" s="73"/>
      <c r="E588" s="73"/>
      <c r="F588" s="73"/>
      <c r="G588" s="73"/>
    </row>
    <row r="589" spans="2:7" x14ac:dyDescent="0.2">
      <c r="B589" s="73"/>
      <c r="C589" s="73"/>
      <c r="D589" s="73"/>
      <c r="E589" s="73"/>
      <c r="F589" s="73"/>
      <c r="G589" s="73"/>
    </row>
    <row r="590" spans="2:7" x14ac:dyDescent="0.2">
      <c r="B590" s="73"/>
      <c r="C590" s="73"/>
      <c r="D590" s="73"/>
      <c r="E590" s="73"/>
      <c r="F590" s="73"/>
      <c r="G590" s="73"/>
    </row>
    <row r="591" spans="2:7" x14ac:dyDescent="0.2">
      <c r="B591" s="73"/>
      <c r="C591" s="73"/>
      <c r="D591" s="73"/>
      <c r="E591" s="73"/>
      <c r="F591" s="73"/>
      <c r="G591" s="73"/>
    </row>
    <row r="592" spans="2:7" x14ac:dyDescent="0.2">
      <c r="B592" s="73"/>
      <c r="C592" s="73"/>
      <c r="D592" s="73"/>
      <c r="E592" s="73"/>
      <c r="F592" s="73"/>
      <c r="G592" s="73"/>
    </row>
    <row r="593" spans="2:7" x14ac:dyDescent="0.2">
      <c r="B593" s="73"/>
      <c r="C593" s="73"/>
      <c r="D593" s="73"/>
      <c r="E593" s="73"/>
      <c r="F593" s="73"/>
      <c r="G593" s="73"/>
    </row>
    <row r="594" spans="2:7" x14ac:dyDescent="0.2">
      <c r="B594" s="73"/>
      <c r="C594" s="73"/>
      <c r="D594" s="73"/>
      <c r="E594" s="73"/>
      <c r="F594" s="73"/>
      <c r="G594" s="73"/>
    </row>
    <row r="595" spans="2:7" x14ac:dyDescent="0.2">
      <c r="B595" s="73"/>
      <c r="C595" s="73"/>
      <c r="D595" s="73"/>
      <c r="E595" s="73"/>
      <c r="F595" s="73"/>
      <c r="G595" s="73"/>
    </row>
    <row r="596" spans="2:7" x14ac:dyDescent="0.2">
      <c r="B596" s="73"/>
      <c r="C596" s="73"/>
      <c r="D596" s="73"/>
      <c r="E596" s="73"/>
      <c r="F596" s="73"/>
      <c r="G596" s="73"/>
    </row>
    <row r="597" spans="2:7" x14ac:dyDescent="0.2">
      <c r="B597" s="73"/>
      <c r="C597" s="73"/>
      <c r="D597" s="73"/>
      <c r="E597" s="73"/>
      <c r="F597" s="73"/>
      <c r="G597" s="73"/>
    </row>
    <row r="598" spans="2:7" x14ac:dyDescent="0.2">
      <c r="B598" s="73"/>
      <c r="C598" s="73"/>
      <c r="D598" s="73"/>
      <c r="E598" s="73"/>
      <c r="F598" s="73"/>
      <c r="G598" s="73"/>
    </row>
    <row r="599" spans="2:7" x14ac:dyDescent="0.2">
      <c r="B599" s="73"/>
      <c r="C599" s="73"/>
      <c r="D599" s="73"/>
      <c r="E599" s="73"/>
      <c r="F599" s="73"/>
      <c r="G599" s="73"/>
    </row>
    <row r="600" spans="2:7" x14ac:dyDescent="0.2">
      <c r="B600" s="73"/>
      <c r="C600" s="73"/>
      <c r="D600" s="73"/>
      <c r="E600" s="73"/>
      <c r="F600" s="73"/>
      <c r="G600" s="73"/>
    </row>
    <row r="601" spans="2:7" x14ac:dyDescent="0.2">
      <c r="B601" s="73"/>
      <c r="C601" s="73"/>
      <c r="D601" s="73"/>
      <c r="E601" s="73"/>
      <c r="F601" s="73"/>
      <c r="G601" s="73"/>
    </row>
    <row r="602" spans="2:7" x14ac:dyDescent="0.2">
      <c r="B602" s="73"/>
      <c r="C602" s="73"/>
      <c r="D602" s="73"/>
      <c r="E602" s="73"/>
      <c r="F602" s="73"/>
      <c r="G602" s="73"/>
    </row>
    <row r="603" spans="2:7" x14ac:dyDescent="0.2">
      <c r="B603" s="73"/>
      <c r="C603" s="73"/>
      <c r="D603" s="73"/>
      <c r="E603" s="73"/>
      <c r="F603" s="73"/>
      <c r="G603" s="73"/>
    </row>
    <row r="604" spans="2:7" x14ac:dyDescent="0.2">
      <c r="B604" s="73"/>
      <c r="C604" s="73"/>
      <c r="D604" s="73"/>
      <c r="E604" s="73"/>
      <c r="F604" s="73"/>
      <c r="G604" s="73"/>
    </row>
    <row r="605" spans="2:7" x14ac:dyDescent="0.2">
      <c r="B605" s="73"/>
      <c r="C605" s="73"/>
      <c r="D605" s="73"/>
      <c r="E605" s="73"/>
      <c r="F605" s="73"/>
      <c r="G605" s="73"/>
    </row>
    <row r="606" spans="2:7" x14ac:dyDescent="0.2">
      <c r="B606" s="73"/>
      <c r="C606" s="73"/>
      <c r="D606" s="73"/>
      <c r="E606" s="73"/>
      <c r="F606" s="73"/>
      <c r="G606" s="73"/>
    </row>
    <row r="607" spans="2:7" x14ac:dyDescent="0.2">
      <c r="B607" s="73"/>
      <c r="C607" s="73"/>
      <c r="D607" s="73"/>
      <c r="E607" s="73"/>
      <c r="F607" s="73"/>
      <c r="G607" s="73"/>
    </row>
    <row r="608" spans="2:7" x14ac:dyDescent="0.2">
      <c r="B608" s="73"/>
      <c r="C608" s="73"/>
      <c r="D608" s="73"/>
      <c r="E608" s="73"/>
      <c r="F608" s="73"/>
      <c r="G608" s="73"/>
    </row>
    <row r="609" spans="2:7" x14ac:dyDescent="0.2">
      <c r="B609" s="73"/>
      <c r="C609" s="73"/>
      <c r="D609" s="73"/>
      <c r="E609" s="73"/>
      <c r="F609" s="73"/>
      <c r="G609" s="73"/>
    </row>
    <row r="610" spans="2:7" x14ac:dyDescent="0.2">
      <c r="B610" s="73"/>
      <c r="C610" s="73"/>
      <c r="D610" s="73"/>
      <c r="E610" s="73"/>
      <c r="F610" s="73"/>
      <c r="G610" s="73"/>
    </row>
    <row r="611" spans="2:7" x14ac:dyDescent="0.2">
      <c r="B611" s="73"/>
      <c r="C611" s="73"/>
      <c r="D611" s="73"/>
      <c r="E611" s="73"/>
      <c r="F611" s="73"/>
      <c r="G611" s="73"/>
    </row>
    <row r="612" spans="2:7" x14ac:dyDescent="0.2">
      <c r="B612" s="73"/>
      <c r="C612" s="73"/>
      <c r="D612" s="73"/>
      <c r="E612" s="73"/>
      <c r="F612" s="73"/>
      <c r="G612" s="73"/>
    </row>
    <row r="613" spans="2:7" x14ac:dyDescent="0.2">
      <c r="B613" s="73"/>
      <c r="C613" s="73"/>
      <c r="D613" s="73"/>
      <c r="E613" s="73"/>
      <c r="F613" s="73"/>
      <c r="G613" s="73"/>
    </row>
    <row r="614" spans="2:7" x14ac:dyDescent="0.2">
      <c r="B614" s="73"/>
      <c r="C614" s="73"/>
      <c r="D614" s="73"/>
      <c r="E614" s="73"/>
      <c r="F614" s="73"/>
      <c r="G614" s="73"/>
    </row>
    <row r="615" spans="2:7" x14ac:dyDescent="0.2">
      <c r="B615" s="73"/>
      <c r="C615" s="73"/>
      <c r="D615" s="73"/>
      <c r="E615" s="73"/>
      <c r="F615" s="73"/>
      <c r="G615" s="73"/>
    </row>
    <row r="616" spans="2:7" x14ac:dyDescent="0.2">
      <c r="B616" s="73"/>
      <c r="C616" s="73"/>
      <c r="D616" s="73"/>
      <c r="E616" s="73"/>
      <c r="F616" s="73"/>
      <c r="G616" s="73"/>
    </row>
    <row r="617" spans="2:7" x14ac:dyDescent="0.2">
      <c r="B617" s="73"/>
      <c r="C617" s="73"/>
      <c r="D617" s="73"/>
      <c r="E617" s="73"/>
      <c r="F617" s="73"/>
      <c r="G617" s="73"/>
    </row>
    <row r="618" spans="2:7" x14ac:dyDescent="0.2">
      <c r="B618" s="73"/>
      <c r="C618" s="73"/>
      <c r="D618" s="73"/>
      <c r="E618" s="73"/>
      <c r="F618" s="73"/>
      <c r="G618" s="73"/>
    </row>
    <row r="619" spans="2:7" x14ac:dyDescent="0.2">
      <c r="B619" s="73"/>
      <c r="C619" s="73"/>
      <c r="D619" s="73"/>
      <c r="E619" s="73"/>
      <c r="F619" s="73"/>
      <c r="G619" s="73"/>
    </row>
    <row r="620" spans="2:7" x14ac:dyDescent="0.2">
      <c r="B620" s="73"/>
      <c r="C620" s="73"/>
      <c r="D620" s="73"/>
      <c r="E620" s="73"/>
      <c r="F620" s="73"/>
      <c r="G620" s="73"/>
    </row>
    <row r="621" spans="2:7" x14ac:dyDescent="0.2">
      <c r="B621" s="73"/>
      <c r="C621" s="73"/>
      <c r="D621" s="73"/>
      <c r="E621" s="73"/>
      <c r="F621" s="73"/>
      <c r="G621" s="73"/>
    </row>
    <row r="622" spans="2:7" x14ac:dyDescent="0.2">
      <c r="B622" s="73"/>
      <c r="C622" s="73"/>
      <c r="D622" s="73"/>
      <c r="E622" s="73"/>
      <c r="F622" s="73"/>
      <c r="G622" s="73"/>
    </row>
    <row r="623" spans="2:7" x14ac:dyDescent="0.2">
      <c r="B623" s="73"/>
      <c r="C623" s="73"/>
      <c r="D623" s="73"/>
      <c r="E623" s="73"/>
      <c r="F623" s="73"/>
      <c r="G623" s="73"/>
    </row>
    <row r="624" spans="2:7" x14ac:dyDescent="0.2">
      <c r="B624" s="73"/>
      <c r="C624" s="73"/>
      <c r="D624" s="73"/>
      <c r="E624" s="73"/>
      <c r="F624" s="73"/>
      <c r="G624" s="73"/>
    </row>
    <row r="625" spans="2:7" x14ac:dyDescent="0.2">
      <c r="B625" s="73"/>
      <c r="C625" s="73"/>
      <c r="D625" s="73"/>
      <c r="E625" s="73"/>
      <c r="F625" s="73"/>
      <c r="G625" s="73"/>
    </row>
    <row r="626" spans="2:7" x14ac:dyDescent="0.2">
      <c r="B626" s="73"/>
      <c r="C626" s="73"/>
      <c r="D626" s="73"/>
      <c r="E626" s="73"/>
      <c r="F626" s="73"/>
      <c r="G626" s="73"/>
    </row>
    <row r="627" spans="2:7" x14ac:dyDescent="0.2">
      <c r="B627" s="73"/>
      <c r="C627" s="73"/>
      <c r="D627" s="73"/>
      <c r="E627" s="73"/>
      <c r="F627" s="73"/>
      <c r="G627" s="73"/>
    </row>
    <row r="628" spans="2:7" x14ac:dyDescent="0.2">
      <c r="B628" s="73"/>
      <c r="C628" s="73"/>
      <c r="D628" s="73"/>
      <c r="E628" s="73"/>
      <c r="F628" s="73"/>
      <c r="G628" s="73"/>
    </row>
    <row r="629" spans="2:7" x14ac:dyDescent="0.2">
      <c r="B629" s="73"/>
      <c r="C629" s="73"/>
      <c r="D629" s="73"/>
      <c r="E629" s="73"/>
      <c r="F629" s="73"/>
      <c r="G629" s="73"/>
    </row>
    <row r="630" spans="2:7" x14ac:dyDescent="0.2">
      <c r="B630" s="73"/>
      <c r="C630" s="73"/>
      <c r="D630" s="73"/>
      <c r="E630" s="73"/>
      <c r="F630" s="73"/>
      <c r="G630" s="73"/>
    </row>
    <row r="631" spans="2:7" x14ac:dyDescent="0.2">
      <c r="B631" s="73"/>
      <c r="C631" s="73"/>
      <c r="D631" s="73"/>
      <c r="E631" s="73"/>
      <c r="F631" s="73"/>
      <c r="G631" s="73"/>
    </row>
    <row r="632" spans="2:7" x14ac:dyDescent="0.2">
      <c r="B632" s="73"/>
      <c r="C632" s="73"/>
      <c r="D632" s="73"/>
      <c r="E632" s="73"/>
      <c r="F632" s="73"/>
      <c r="G632" s="73"/>
    </row>
    <row r="633" spans="2:7" x14ac:dyDescent="0.2">
      <c r="B633" s="73"/>
      <c r="C633" s="73"/>
      <c r="D633" s="73"/>
      <c r="E633" s="73"/>
      <c r="F633" s="73"/>
      <c r="G633" s="73"/>
    </row>
    <row r="634" spans="2:7" x14ac:dyDescent="0.2">
      <c r="B634" s="73"/>
      <c r="C634" s="73"/>
      <c r="D634" s="73"/>
      <c r="E634" s="73"/>
      <c r="F634" s="73"/>
      <c r="G634" s="73"/>
    </row>
    <row r="635" spans="2:7" x14ac:dyDescent="0.2">
      <c r="B635" s="73"/>
      <c r="C635" s="73"/>
      <c r="D635" s="73"/>
      <c r="E635" s="73"/>
      <c r="F635" s="73"/>
      <c r="G635" s="73"/>
    </row>
    <row r="636" spans="2:7" x14ac:dyDescent="0.2">
      <c r="B636" s="73"/>
      <c r="C636" s="73"/>
      <c r="D636" s="73"/>
      <c r="E636" s="73"/>
      <c r="F636" s="73"/>
      <c r="G636" s="73"/>
    </row>
    <row r="637" spans="2:7" x14ac:dyDescent="0.2">
      <c r="B637" s="73"/>
      <c r="C637" s="73"/>
      <c r="D637" s="73"/>
      <c r="E637" s="73"/>
      <c r="F637" s="73"/>
      <c r="G637" s="73"/>
    </row>
    <row r="638" spans="2:7" x14ac:dyDescent="0.2">
      <c r="B638" s="73"/>
      <c r="C638" s="73"/>
      <c r="D638" s="73"/>
      <c r="E638" s="73"/>
      <c r="F638" s="73"/>
      <c r="G638" s="73"/>
    </row>
    <row r="639" spans="2:7" x14ac:dyDescent="0.2">
      <c r="B639" s="73"/>
      <c r="C639" s="73"/>
      <c r="D639" s="73"/>
      <c r="E639" s="73"/>
      <c r="F639" s="73"/>
      <c r="G639" s="73"/>
    </row>
    <row r="640" spans="2:7" x14ac:dyDescent="0.2">
      <c r="B640" s="73"/>
      <c r="C640" s="73"/>
      <c r="D640" s="73"/>
      <c r="E640" s="73"/>
      <c r="F640" s="73"/>
      <c r="G640" s="73"/>
    </row>
    <row r="641" spans="2:7" x14ac:dyDescent="0.2">
      <c r="B641" s="73"/>
      <c r="C641" s="73"/>
      <c r="D641" s="73"/>
      <c r="E641" s="73"/>
      <c r="F641" s="73"/>
      <c r="G641" s="73"/>
    </row>
    <row r="642" spans="2:7" x14ac:dyDescent="0.2">
      <c r="B642" s="73"/>
      <c r="C642" s="73"/>
      <c r="D642" s="73"/>
      <c r="E642" s="73"/>
      <c r="F642" s="73"/>
      <c r="G642" s="73"/>
    </row>
    <row r="643" spans="2:7" x14ac:dyDescent="0.2">
      <c r="B643" s="73"/>
      <c r="C643" s="73"/>
      <c r="D643" s="73"/>
      <c r="E643" s="73"/>
      <c r="F643" s="73"/>
      <c r="G643" s="73"/>
    </row>
    <row r="644" spans="2:7" x14ac:dyDescent="0.2">
      <c r="B644" s="73"/>
      <c r="C644" s="73"/>
      <c r="D644" s="73"/>
      <c r="E644" s="73"/>
      <c r="F644" s="73"/>
      <c r="G644" s="73"/>
    </row>
    <row r="645" spans="2:7" x14ac:dyDescent="0.2">
      <c r="B645" s="73"/>
      <c r="C645" s="73"/>
      <c r="D645" s="73"/>
      <c r="E645" s="73"/>
      <c r="F645" s="73"/>
      <c r="G645" s="73"/>
    </row>
    <row r="646" spans="2:7" x14ac:dyDescent="0.2">
      <c r="B646" s="73"/>
      <c r="C646" s="73"/>
      <c r="D646" s="73"/>
      <c r="E646" s="73"/>
      <c r="F646" s="73"/>
      <c r="G646" s="73"/>
    </row>
    <row r="647" spans="2:7" x14ac:dyDescent="0.2">
      <c r="B647" s="73"/>
      <c r="C647" s="73"/>
      <c r="D647" s="73"/>
      <c r="E647" s="73"/>
      <c r="F647" s="73"/>
      <c r="G647" s="73"/>
    </row>
    <row r="648" spans="2:7" x14ac:dyDescent="0.2">
      <c r="B648" s="73"/>
      <c r="C648" s="73"/>
      <c r="D648" s="73"/>
      <c r="E648" s="73"/>
      <c r="F648" s="73"/>
      <c r="G648" s="73"/>
    </row>
    <row r="649" spans="2:7" x14ac:dyDescent="0.2">
      <c r="B649" s="73"/>
      <c r="C649" s="73"/>
      <c r="D649" s="73"/>
      <c r="E649" s="73"/>
      <c r="F649" s="73"/>
      <c r="G649" s="73"/>
    </row>
    <row r="650" spans="2:7" x14ac:dyDescent="0.2">
      <c r="B650" s="73"/>
      <c r="C650" s="73"/>
      <c r="D650" s="73"/>
      <c r="E650" s="73"/>
      <c r="F650" s="73"/>
      <c r="G650" s="73"/>
    </row>
    <row r="651" spans="2:7" x14ac:dyDescent="0.2">
      <c r="B651" s="73"/>
      <c r="C651" s="73"/>
      <c r="D651" s="73"/>
      <c r="E651" s="73"/>
      <c r="F651" s="73"/>
      <c r="G651" s="73"/>
    </row>
    <row r="652" spans="2:7" x14ac:dyDescent="0.2">
      <c r="B652" s="73"/>
      <c r="C652" s="73"/>
      <c r="D652" s="73"/>
      <c r="E652" s="73"/>
      <c r="F652" s="73"/>
      <c r="G652" s="73"/>
    </row>
    <row r="653" spans="2:7" x14ac:dyDescent="0.2">
      <c r="B653" s="73"/>
      <c r="C653" s="73"/>
      <c r="D653" s="73"/>
      <c r="E653" s="73"/>
      <c r="F653" s="73"/>
      <c r="G653" s="73"/>
    </row>
    <row r="654" spans="2:7" x14ac:dyDescent="0.2">
      <c r="B654" s="73"/>
      <c r="C654" s="73"/>
      <c r="D654" s="73"/>
      <c r="E654" s="73"/>
      <c r="F654" s="73"/>
      <c r="G654" s="73"/>
    </row>
    <row r="655" spans="2:7" x14ac:dyDescent="0.2">
      <c r="B655" s="73"/>
      <c r="C655" s="73"/>
      <c r="D655" s="73"/>
      <c r="E655" s="73"/>
      <c r="F655" s="73"/>
      <c r="G655" s="73"/>
    </row>
    <row r="656" spans="2:7" x14ac:dyDescent="0.2">
      <c r="B656" s="73"/>
      <c r="C656" s="73"/>
      <c r="D656" s="73"/>
      <c r="E656" s="73"/>
      <c r="F656" s="73"/>
      <c r="G656" s="73"/>
    </row>
    <row r="657" spans="2:7" x14ac:dyDescent="0.2">
      <c r="B657" s="73"/>
      <c r="C657" s="73"/>
      <c r="D657" s="73"/>
      <c r="E657" s="73"/>
      <c r="F657" s="73"/>
      <c r="G657" s="73"/>
    </row>
    <row r="658" spans="2:7" x14ac:dyDescent="0.2">
      <c r="B658" s="73"/>
      <c r="C658" s="73"/>
      <c r="D658" s="73"/>
      <c r="E658" s="73"/>
      <c r="F658" s="73"/>
      <c r="G658" s="73"/>
    </row>
    <row r="659" spans="2:7" x14ac:dyDescent="0.2">
      <c r="B659" s="73"/>
      <c r="C659" s="73"/>
      <c r="D659" s="73"/>
      <c r="E659" s="73"/>
      <c r="F659" s="73"/>
      <c r="G659" s="73"/>
    </row>
    <row r="660" spans="2:7" x14ac:dyDescent="0.2">
      <c r="B660" s="73"/>
      <c r="C660" s="73"/>
      <c r="D660" s="73"/>
      <c r="E660" s="73"/>
      <c r="F660" s="73"/>
      <c r="G660" s="73"/>
    </row>
    <row r="661" spans="2:7" x14ac:dyDescent="0.2">
      <c r="B661" s="73"/>
      <c r="C661" s="73"/>
      <c r="D661" s="73"/>
      <c r="E661" s="73"/>
      <c r="F661" s="73"/>
      <c r="G661" s="73"/>
    </row>
    <row r="662" spans="2:7" x14ac:dyDescent="0.2">
      <c r="B662" s="73"/>
      <c r="C662" s="73"/>
      <c r="D662" s="73"/>
      <c r="E662" s="73"/>
      <c r="F662" s="73"/>
      <c r="G662" s="73"/>
    </row>
    <row r="663" spans="2:7" x14ac:dyDescent="0.2">
      <c r="B663" s="73"/>
      <c r="C663" s="73"/>
      <c r="D663" s="73"/>
      <c r="E663" s="73"/>
      <c r="F663" s="73"/>
      <c r="G663" s="73"/>
    </row>
    <row r="664" spans="2:7" x14ac:dyDescent="0.2">
      <c r="B664" s="73"/>
      <c r="C664" s="73"/>
      <c r="D664" s="73"/>
      <c r="E664" s="73"/>
      <c r="F664" s="73"/>
      <c r="G664" s="73"/>
    </row>
    <row r="665" spans="2:7" x14ac:dyDescent="0.2">
      <c r="B665" s="73"/>
      <c r="C665" s="73"/>
      <c r="D665" s="73"/>
      <c r="E665" s="73"/>
      <c r="F665" s="73"/>
      <c r="G665" s="73"/>
    </row>
    <row r="666" spans="2:7" x14ac:dyDescent="0.2">
      <c r="B666" s="73"/>
      <c r="C666" s="73"/>
      <c r="D666" s="73"/>
      <c r="E666" s="73"/>
      <c r="F666" s="73"/>
      <c r="G666" s="73"/>
    </row>
    <row r="667" spans="2:7" x14ac:dyDescent="0.2">
      <c r="B667" s="73"/>
      <c r="C667" s="73"/>
      <c r="D667" s="73"/>
      <c r="E667" s="73"/>
      <c r="F667" s="73"/>
      <c r="G667" s="73"/>
    </row>
    <row r="668" spans="2:7" x14ac:dyDescent="0.2">
      <c r="B668" s="73"/>
      <c r="C668" s="73"/>
      <c r="D668" s="73"/>
      <c r="E668" s="73"/>
      <c r="F668" s="73"/>
      <c r="G668" s="73"/>
    </row>
    <row r="669" spans="2:7" x14ac:dyDescent="0.2">
      <c r="B669" s="73"/>
      <c r="C669" s="73"/>
      <c r="D669" s="73"/>
      <c r="E669" s="73"/>
      <c r="F669" s="73"/>
      <c r="G669" s="73"/>
    </row>
    <row r="670" spans="2:7" x14ac:dyDescent="0.2">
      <c r="B670" s="73"/>
      <c r="C670" s="73"/>
      <c r="D670" s="73"/>
      <c r="E670" s="73"/>
      <c r="F670" s="73"/>
      <c r="G670" s="73"/>
    </row>
    <row r="671" spans="2:7" x14ac:dyDescent="0.2">
      <c r="B671" s="73"/>
      <c r="C671" s="73"/>
      <c r="D671" s="73"/>
      <c r="E671" s="73"/>
      <c r="F671" s="73"/>
      <c r="G671" s="73"/>
    </row>
    <row r="672" spans="2:7" x14ac:dyDescent="0.2">
      <c r="B672" s="73"/>
      <c r="C672" s="73"/>
      <c r="D672" s="73"/>
      <c r="E672" s="73"/>
      <c r="F672" s="73"/>
      <c r="G672" s="73"/>
    </row>
    <row r="673" spans="2:7" x14ac:dyDescent="0.2">
      <c r="B673" s="73"/>
      <c r="C673" s="73"/>
      <c r="D673" s="73"/>
      <c r="E673" s="73"/>
      <c r="F673" s="73"/>
      <c r="G673" s="73"/>
    </row>
    <row r="674" spans="2:7" x14ac:dyDescent="0.2">
      <c r="B674" s="73"/>
      <c r="C674" s="73"/>
      <c r="D674" s="73"/>
      <c r="E674" s="73"/>
      <c r="F674" s="73"/>
      <c r="G674" s="73"/>
    </row>
    <row r="675" spans="2:7" x14ac:dyDescent="0.2">
      <c r="B675" s="73"/>
      <c r="C675" s="73"/>
      <c r="D675" s="73"/>
      <c r="E675" s="73"/>
      <c r="F675" s="73"/>
      <c r="G675" s="73"/>
    </row>
    <row r="676" spans="2:7" x14ac:dyDescent="0.2">
      <c r="B676" s="73"/>
      <c r="C676" s="73"/>
      <c r="D676" s="73"/>
      <c r="E676" s="73"/>
      <c r="F676" s="73"/>
      <c r="G676" s="73"/>
    </row>
    <row r="677" spans="2:7" x14ac:dyDescent="0.2">
      <c r="B677" s="73"/>
      <c r="C677" s="73"/>
      <c r="D677" s="73"/>
      <c r="E677" s="73"/>
      <c r="F677" s="73"/>
      <c r="G677" s="73"/>
    </row>
    <row r="678" spans="2:7" x14ac:dyDescent="0.2">
      <c r="B678" s="73"/>
      <c r="C678" s="73"/>
      <c r="D678" s="73"/>
      <c r="E678" s="73"/>
      <c r="F678" s="73"/>
      <c r="G678" s="73"/>
    </row>
    <row r="679" spans="2:7" x14ac:dyDescent="0.2">
      <c r="B679" s="73"/>
      <c r="C679" s="73"/>
      <c r="D679" s="73"/>
      <c r="E679" s="73"/>
      <c r="F679" s="73"/>
      <c r="G679" s="73"/>
    </row>
    <row r="680" spans="2:7" x14ac:dyDescent="0.2">
      <c r="B680" s="73"/>
      <c r="C680" s="73"/>
      <c r="D680" s="73"/>
      <c r="E680" s="73"/>
      <c r="F680" s="73"/>
      <c r="G680" s="73"/>
    </row>
    <row r="681" spans="2:7" x14ac:dyDescent="0.2">
      <c r="B681" s="73"/>
      <c r="C681" s="73"/>
      <c r="D681" s="73"/>
      <c r="E681" s="73"/>
      <c r="F681" s="73"/>
      <c r="G681" s="73"/>
    </row>
    <row r="682" spans="2:7" x14ac:dyDescent="0.2">
      <c r="B682" s="73"/>
      <c r="C682" s="73"/>
      <c r="D682" s="73"/>
      <c r="E682" s="73"/>
      <c r="F682" s="73"/>
      <c r="G682" s="73"/>
    </row>
    <row r="683" spans="2:7" x14ac:dyDescent="0.2">
      <c r="B683" s="73"/>
      <c r="C683" s="73"/>
      <c r="D683" s="73"/>
      <c r="E683" s="73"/>
      <c r="F683" s="73"/>
      <c r="G683" s="73"/>
    </row>
    <row r="684" spans="2:7" x14ac:dyDescent="0.2">
      <c r="B684" s="73"/>
      <c r="C684" s="73"/>
      <c r="D684" s="73"/>
      <c r="E684" s="73"/>
      <c r="F684" s="73"/>
      <c r="G684" s="73"/>
    </row>
    <row r="685" spans="2:7" x14ac:dyDescent="0.2">
      <c r="B685" s="73"/>
      <c r="C685" s="73"/>
      <c r="D685" s="73"/>
      <c r="E685" s="73"/>
      <c r="F685" s="73"/>
      <c r="G685" s="73"/>
    </row>
    <row r="686" spans="2:7" x14ac:dyDescent="0.2">
      <c r="B686" s="73"/>
      <c r="C686" s="73"/>
      <c r="D686" s="73"/>
      <c r="E686" s="73"/>
      <c r="F686" s="73"/>
      <c r="G686" s="73"/>
    </row>
    <row r="687" spans="2:7" x14ac:dyDescent="0.2">
      <c r="B687" s="73"/>
      <c r="C687" s="73"/>
      <c r="D687" s="73"/>
      <c r="E687" s="73"/>
      <c r="F687" s="73"/>
      <c r="G687" s="73"/>
    </row>
    <row r="688" spans="2:7" x14ac:dyDescent="0.2">
      <c r="B688" s="73"/>
      <c r="C688" s="73"/>
      <c r="D688" s="73"/>
      <c r="E688" s="73"/>
      <c r="F688" s="73"/>
      <c r="G688" s="73"/>
    </row>
    <row r="689" spans="2:7" x14ac:dyDescent="0.2">
      <c r="B689" s="73"/>
      <c r="C689" s="73"/>
      <c r="D689" s="73"/>
      <c r="E689" s="73"/>
      <c r="F689" s="73"/>
      <c r="G689" s="73"/>
    </row>
    <row r="690" spans="2:7" x14ac:dyDescent="0.2">
      <c r="B690" s="73"/>
      <c r="C690" s="73"/>
      <c r="D690" s="73"/>
      <c r="E690" s="73"/>
      <c r="F690" s="73"/>
      <c r="G690" s="73"/>
    </row>
    <row r="691" spans="2:7" x14ac:dyDescent="0.2">
      <c r="B691" s="73"/>
      <c r="C691" s="73"/>
      <c r="D691" s="73"/>
      <c r="E691" s="73"/>
      <c r="F691" s="73"/>
      <c r="G691" s="73"/>
    </row>
    <row r="692" spans="2:7" x14ac:dyDescent="0.2">
      <c r="B692" s="73"/>
      <c r="C692" s="73"/>
      <c r="D692" s="73"/>
      <c r="E692" s="73"/>
      <c r="F692" s="73"/>
      <c r="G692" s="73"/>
    </row>
    <row r="693" spans="2:7" x14ac:dyDescent="0.2">
      <c r="B693" s="73"/>
      <c r="C693" s="73"/>
      <c r="D693" s="73"/>
      <c r="E693" s="73"/>
      <c r="F693" s="73"/>
      <c r="G693" s="73"/>
    </row>
    <row r="694" spans="2:7" x14ac:dyDescent="0.2">
      <c r="B694" s="73"/>
      <c r="C694" s="73"/>
      <c r="D694" s="73"/>
      <c r="E694" s="73"/>
      <c r="F694" s="73"/>
      <c r="G694" s="73"/>
    </row>
    <row r="695" spans="2:7" x14ac:dyDescent="0.2">
      <c r="B695" s="73"/>
      <c r="C695" s="73"/>
      <c r="D695" s="73"/>
      <c r="E695" s="73"/>
      <c r="F695" s="73"/>
      <c r="G695" s="73"/>
    </row>
    <row r="696" spans="2:7" x14ac:dyDescent="0.2">
      <c r="B696" s="73"/>
      <c r="C696" s="73"/>
      <c r="D696" s="73"/>
      <c r="E696" s="73"/>
      <c r="F696" s="73"/>
      <c r="G696" s="73"/>
    </row>
    <row r="697" spans="2:7" x14ac:dyDescent="0.2">
      <c r="B697" s="73"/>
      <c r="C697" s="73"/>
      <c r="D697" s="73"/>
      <c r="E697" s="73"/>
      <c r="F697" s="73"/>
      <c r="G697" s="73"/>
    </row>
    <row r="698" spans="2:7" x14ac:dyDescent="0.2">
      <c r="B698" s="73"/>
      <c r="C698" s="73"/>
      <c r="D698" s="73"/>
      <c r="E698" s="73"/>
      <c r="F698" s="73"/>
      <c r="G698" s="73"/>
    </row>
    <row r="699" spans="2:7" x14ac:dyDescent="0.2">
      <c r="B699" s="73"/>
      <c r="C699" s="73"/>
      <c r="D699" s="73"/>
      <c r="E699" s="73"/>
      <c r="F699" s="73"/>
      <c r="G699" s="73"/>
    </row>
    <row r="700" spans="2:7" x14ac:dyDescent="0.2">
      <c r="B700" s="73"/>
      <c r="C700" s="73"/>
      <c r="D700" s="73"/>
      <c r="E700" s="73"/>
      <c r="F700" s="73"/>
      <c r="G700" s="73"/>
    </row>
    <row r="701" spans="2:7" x14ac:dyDescent="0.2">
      <c r="B701" s="73"/>
      <c r="C701" s="73"/>
      <c r="D701" s="73"/>
      <c r="E701" s="73"/>
      <c r="F701" s="73"/>
      <c r="G701" s="73"/>
    </row>
    <row r="702" spans="2:7" x14ac:dyDescent="0.2">
      <c r="B702" s="73"/>
      <c r="C702" s="73"/>
      <c r="D702" s="73"/>
      <c r="E702" s="73"/>
      <c r="F702" s="73"/>
      <c r="G702" s="73"/>
    </row>
    <row r="703" spans="2:7" x14ac:dyDescent="0.2">
      <c r="B703" s="73"/>
      <c r="C703" s="73"/>
      <c r="D703" s="73"/>
      <c r="E703" s="73"/>
      <c r="F703" s="73"/>
      <c r="G703" s="73"/>
    </row>
    <row r="704" spans="2:7" x14ac:dyDescent="0.2">
      <c r="B704" s="73"/>
      <c r="C704" s="73"/>
      <c r="D704" s="73"/>
      <c r="E704" s="73"/>
      <c r="F704" s="73"/>
      <c r="G704" s="73"/>
    </row>
    <row r="705" spans="2:7" x14ac:dyDescent="0.2">
      <c r="B705" s="73"/>
      <c r="C705" s="73"/>
      <c r="D705" s="73"/>
      <c r="E705" s="73"/>
      <c r="F705" s="73"/>
      <c r="G705" s="73"/>
    </row>
    <row r="706" spans="2:7" x14ac:dyDescent="0.2">
      <c r="B706" s="73"/>
      <c r="C706" s="73"/>
      <c r="D706" s="73"/>
      <c r="E706" s="73"/>
      <c r="F706" s="73"/>
      <c r="G706" s="73"/>
    </row>
    <row r="707" spans="2:7" x14ac:dyDescent="0.2">
      <c r="B707" s="73"/>
      <c r="C707" s="73"/>
      <c r="D707" s="73"/>
      <c r="E707" s="73"/>
      <c r="F707" s="73"/>
      <c r="G707" s="73"/>
    </row>
    <row r="708" spans="2:7" x14ac:dyDescent="0.2">
      <c r="B708" s="73"/>
      <c r="C708" s="73"/>
      <c r="D708" s="73"/>
      <c r="E708" s="73"/>
      <c r="F708" s="73"/>
      <c r="G708" s="73"/>
    </row>
    <row r="709" spans="2:7" x14ac:dyDescent="0.2">
      <c r="B709" s="73"/>
      <c r="C709" s="73"/>
      <c r="D709" s="73"/>
      <c r="E709" s="73"/>
      <c r="F709" s="73"/>
      <c r="G709" s="73"/>
    </row>
    <row r="710" spans="2:7" x14ac:dyDescent="0.2">
      <c r="B710" s="73"/>
      <c r="C710" s="73"/>
      <c r="D710" s="73"/>
      <c r="E710" s="73"/>
      <c r="F710" s="73"/>
      <c r="G710" s="73"/>
    </row>
    <row r="711" spans="2:7" x14ac:dyDescent="0.2">
      <c r="B711" s="73"/>
      <c r="C711" s="73"/>
      <c r="D711" s="73"/>
      <c r="E711" s="73"/>
      <c r="F711" s="73"/>
      <c r="G711" s="73"/>
    </row>
    <row r="712" spans="2:7" x14ac:dyDescent="0.2">
      <c r="B712" s="73"/>
      <c r="C712" s="73"/>
      <c r="D712" s="73"/>
      <c r="E712" s="73"/>
      <c r="F712" s="73"/>
      <c r="G712" s="73"/>
    </row>
    <row r="713" spans="2:7" x14ac:dyDescent="0.2">
      <c r="B713" s="73"/>
      <c r="C713" s="73"/>
      <c r="D713" s="73"/>
      <c r="E713" s="73"/>
      <c r="F713" s="73"/>
      <c r="G713" s="73"/>
    </row>
    <row r="714" spans="2:7" x14ac:dyDescent="0.2">
      <c r="B714" s="73"/>
      <c r="C714" s="73"/>
      <c r="D714" s="73"/>
      <c r="E714" s="73"/>
      <c r="F714" s="73"/>
      <c r="G714" s="73"/>
    </row>
    <row r="715" spans="2:7" x14ac:dyDescent="0.2">
      <c r="B715" s="73"/>
      <c r="C715" s="73"/>
      <c r="D715" s="73"/>
      <c r="E715" s="73"/>
      <c r="F715" s="73"/>
      <c r="G715" s="73"/>
    </row>
    <row r="716" spans="2:7" x14ac:dyDescent="0.2">
      <c r="B716" s="73"/>
      <c r="C716" s="73"/>
      <c r="D716" s="73"/>
      <c r="E716" s="73"/>
      <c r="F716" s="73"/>
      <c r="G716" s="73"/>
    </row>
    <row r="717" spans="2:7" x14ac:dyDescent="0.2">
      <c r="B717" s="73"/>
      <c r="C717" s="73"/>
      <c r="D717" s="73"/>
      <c r="E717" s="73"/>
      <c r="F717" s="73"/>
      <c r="G717" s="73"/>
    </row>
    <row r="718" spans="2:7" x14ac:dyDescent="0.2">
      <c r="B718" s="73"/>
      <c r="C718" s="73"/>
      <c r="D718" s="73"/>
      <c r="E718" s="73"/>
      <c r="F718" s="73"/>
      <c r="G718" s="73"/>
    </row>
    <row r="719" spans="2:7" x14ac:dyDescent="0.2">
      <c r="B719" s="73"/>
      <c r="C719" s="73"/>
      <c r="D719" s="73"/>
      <c r="E719" s="73"/>
      <c r="F719" s="73"/>
      <c r="G719" s="73"/>
    </row>
    <row r="720" spans="2:7" x14ac:dyDescent="0.2">
      <c r="B720" s="73"/>
      <c r="C720" s="73"/>
      <c r="D720" s="73"/>
      <c r="E720" s="73"/>
      <c r="F720" s="73"/>
      <c r="G720" s="73"/>
    </row>
    <row r="721" spans="2:7" x14ac:dyDescent="0.2">
      <c r="B721" s="73"/>
      <c r="C721" s="73"/>
      <c r="D721" s="73"/>
      <c r="E721" s="73"/>
      <c r="F721" s="73"/>
      <c r="G721" s="73"/>
    </row>
    <row r="722" spans="2:7" x14ac:dyDescent="0.2">
      <c r="B722" s="73"/>
      <c r="C722" s="73"/>
      <c r="D722" s="73"/>
      <c r="E722" s="73"/>
      <c r="F722" s="73"/>
      <c r="G722" s="73"/>
    </row>
    <row r="723" spans="2:7" x14ac:dyDescent="0.2">
      <c r="B723" s="73"/>
      <c r="C723" s="73"/>
      <c r="D723" s="73"/>
      <c r="E723" s="73"/>
      <c r="F723" s="73"/>
      <c r="G723" s="73"/>
    </row>
    <row r="724" spans="2:7" x14ac:dyDescent="0.2">
      <c r="B724" s="73"/>
      <c r="C724" s="73"/>
      <c r="D724" s="73"/>
      <c r="E724" s="73"/>
      <c r="F724" s="73"/>
      <c r="G724" s="73"/>
    </row>
    <row r="725" spans="2:7" x14ac:dyDescent="0.2">
      <c r="B725" s="73"/>
      <c r="C725" s="73"/>
      <c r="D725" s="73"/>
      <c r="E725" s="73"/>
      <c r="F725" s="73"/>
      <c r="G725" s="73"/>
    </row>
    <row r="726" spans="2:7" x14ac:dyDescent="0.2">
      <c r="B726" s="73"/>
      <c r="C726" s="73"/>
      <c r="D726" s="73"/>
      <c r="E726" s="73"/>
      <c r="F726" s="73"/>
      <c r="G726" s="73"/>
    </row>
    <row r="727" spans="2:7" x14ac:dyDescent="0.2">
      <c r="B727" s="73"/>
      <c r="C727" s="73"/>
      <c r="D727" s="73"/>
      <c r="E727" s="73"/>
      <c r="F727" s="73"/>
      <c r="G727" s="73"/>
    </row>
    <row r="728" spans="2:7" x14ac:dyDescent="0.2">
      <c r="B728" s="73"/>
      <c r="C728" s="73"/>
      <c r="D728" s="73"/>
      <c r="E728" s="73"/>
      <c r="F728" s="73"/>
      <c r="G728" s="73"/>
    </row>
    <row r="729" spans="2:7" x14ac:dyDescent="0.2">
      <c r="B729" s="73"/>
      <c r="C729" s="73"/>
      <c r="D729" s="73"/>
      <c r="E729" s="73"/>
      <c r="F729" s="73"/>
      <c r="G729" s="73"/>
    </row>
    <row r="730" spans="2:7" x14ac:dyDescent="0.2">
      <c r="B730" s="73"/>
      <c r="C730" s="73"/>
      <c r="D730" s="73"/>
      <c r="E730" s="73"/>
      <c r="F730" s="73"/>
      <c r="G730" s="73"/>
    </row>
    <row r="731" spans="2:7" x14ac:dyDescent="0.2">
      <c r="B731" s="73"/>
      <c r="C731" s="73"/>
      <c r="D731" s="73"/>
      <c r="E731" s="73"/>
      <c r="F731" s="73"/>
      <c r="G731" s="73"/>
    </row>
    <row r="732" spans="2:7" x14ac:dyDescent="0.2">
      <c r="B732" s="73"/>
      <c r="C732" s="73"/>
      <c r="D732" s="73"/>
      <c r="E732" s="73"/>
      <c r="F732" s="73"/>
      <c r="G732" s="73"/>
    </row>
    <row r="733" spans="2:7" x14ac:dyDescent="0.2">
      <c r="B733" s="73"/>
      <c r="C733" s="73"/>
      <c r="D733" s="73"/>
      <c r="E733" s="73"/>
      <c r="F733" s="73"/>
      <c r="G733" s="73"/>
    </row>
    <row r="734" spans="2:7" x14ac:dyDescent="0.2">
      <c r="B734" s="73"/>
      <c r="C734" s="73"/>
      <c r="D734" s="73"/>
      <c r="E734" s="73"/>
      <c r="F734" s="73"/>
      <c r="G734" s="73"/>
    </row>
    <row r="735" spans="2:7" x14ac:dyDescent="0.2">
      <c r="B735" s="73"/>
      <c r="C735" s="73"/>
      <c r="D735" s="73"/>
      <c r="E735" s="73"/>
      <c r="F735" s="73"/>
      <c r="G735" s="73"/>
    </row>
    <row r="736" spans="2:7" x14ac:dyDescent="0.2">
      <c r="B736" s="73"/>
      <c r="C736" s="73"/>
      <c r="D736" s="73"/>
      <c r="E736" s="73"/>
      <c r="F736" s="73"/>
      <c r="G736" s="73"/>
    </row>
    <row r="737" spans="2:7" x14ac:dyDescent="0.2">
      <c r="B737" s="73"/>
      <c r="C737" s="73"/>
      <c r="D737" s="73"/>
      <c r="E737" s="73"/>
      <c r="F737" s="73"/>
      <c r="G737" s="73"/>
    </row>
    <row r="738" spans="2:7" x14ac:dyDescent="0.2">
      <c r="B738" s="73"/>
      <c r="C738" s="73"/>
      <c r="D738" s="73"/>
      <c r="E738" s="73"/>
      <c r="F738" s="73"/>
      <c r="G738" s="73"/>
    </row>
    <row r="739" spans="2:7" x14ac:dyDescent="0.2">
      <c r="B739" s="73"/>
      <c r="C739" s="73"/>
      <c r="D739" s="73"/>
      <c r="E739" s="73"/>
      <c r="F739" s="73"/>
      <c r="G739" s="73"/>
    </row>
    <row r="740" spans="2:7" x14ac:dyDescent="0.2">
      <c r="B740" s="73"/>
      <c r="C740" s="73"/>
      <c r="D740" s="73"/>
      <c r="E740" s="73"/>
      <c r="F740" s="73"/>
      <c r="G740" s="73"/>
    </row>
    <row r="741" spans="2:7" x14ac:dyDescent="0.2">
      <c r="B741" s="73"/>
      <c r="C741" s="73"/>
      <c r="D741" s="73"/>
      <c r="E741" s="73"/>
      <c r="F741" s="73"/>
      <c r="G741" s="73"/>
    </row>
    <row r="742" spans="2:7" x14ac:dyDescent="0.2">
      <c r="B742" s="73"/>
      <c r="C742" s="73"/>
      <c r="D742" s="73"/>
      <c r="E742" s="73"/>
      <c r="F742" s="73"/>
      <c r="G742" s="73"/>
    </row>
    <row r="743" spans="2:7" x14ac:dyDescent="0.2">
      <c r="B743" s="73"/>
      <c r="C743" s="73"/>
      <c r="D743" s="73"/>
      <c r="E743" s="73"/>
      <c r="F743" s="73"/>
      <c r="G743" s="73"/>
    </row>
    <row r="744" spans="2:7" x14ac:dyDescent="0.2">
      <c r="B744" s="73"/>
      <c r="C744" s="73"/>
      <c r="D744" s="73"/>
      <c r="E744" s="73"/>
      <c r="F744" s="73"/>
      <c r="G744" s="73"/>
    </row>
    <row r="745" spans="2:7" x14ac:dyDescent="0.2">
      <c r="B745" s="73"/>
      <c r="C745" s="73"/>
      <c r="D745" s="73"/>
      <c r="E745" s="73"/>
      <c r="F745" s="73"/>
      <c r="G745" s="73"/>
    </row>
    <row r="746" spans="2:7" x14ac:dyDescent="0.2">
      <c r="B746" s="73"/>
      <c r="C746" s="73"/>
      <c r="D746" s="73"/>
      <c r="E746" s="73"/>
      <c r="F746" s="73"/>
      <c r="G746" s="73"/>
    </row>
    <row r="747" spans="2:7" x14ac:dyDescent="0.2">
      <c r="B747" s="73"/>
      <c r="C747" s="73"/>
      <c r="D747" s="73"/>
      <c r="E747" s="73"/>
      <c r="F747" s="73"/>
      <c r="G747" s="73"/>
    </row>
    <row r="748" spans="2:7" x14ac:dyDescent="0.2">
      <c r="B748" s="73"/>
      <c r="C748" s="73"/>
      <c r="D748" s="73"/>
      <c r="E748" s="73"/>
      <c r="F748" s="73"/>
      <c r="G748" s="73"/>
    </row>
    <row r="749" spans="2:7" x14ac:dyDescent="0.2">
      <c r="B749" s="73"/>
      <c r="C749" s="73"/>
      <c r="D749" s="73"/>
      <c r="E749" s="73"/>
      <c r="F749" s="73"/>
      <c r="G749" s="73"/>
    </row>
    <row r="750" spans="2:7" x14ac:dyDescent="0.2">
      <c r="B750" s="73"/>
      <c r="C750" s="73"/>
      <c r="D750" s="73"/>
      <c r="E750" s="73"/>
      <c r="F750" s="73"/>
      <c r="G750" s="73"/>
    </row>
    <row r="751" spans="2:7" x14ac:dyDescent="0.2">
      <c r="B751" s="73"/>
      <c r="C751" s="73"/>
      <c r="D751" s="73"/>
      <c r="E751" s="73"/>
      <c r="F751" s="73"/>
      <c r="G751" s="73"/>
    </row>
    <row r="752" spans="2:7" x14ac:dyDescent="0.2">
      <c r="B752" s="73"/>
      <c r="C752" s="73"/>
      <c r="D752" s="73"/>
      <c r="E752" s="73"/>
      <c r="F752" s="73"/>
      <c r="G752" s="73"/>
    </row>
    <row r="753" spans="2:7" x14ac:dyDescent="0.2">
      <c r="B753" s="73"/>
      <c r="C753" s="73"/>
      <c r="D753" s="73"/>
      <c r="E753" s="73"/>
      <c r="F753" s="73"/>
      <c r="G753" s="73"/>
    </row>
    <row r="754" spans="2:7" x14ac:dyDescent="0.2">
      <c r="B754" s="73"/>
      <c r="C754" s="73"/>
      <c r="D754" s="73"/>
      <c r="E754" s="73"/>
      <c r="F754" s="73"/>
      <c r="G754" s="73"/>
    </row>
    <row r="755" spans="2:7" x14ac:dyDescent="0.2">
      <c r="B755" s="73"/>
      <c r="C755" s="73"/>
      <c r="D755" s="73"/>
      <c r="E755" s="73"/>
      <c r="F755" s="73"/>
      <c r="G755" s="73"/>
    </row>
    <row r="756" spans="2:7" x14ac:dyDescent="0.2">
      <c r="B756" s="73"/>
      <c r="C756" s="73"/>
      <c r="D756" s="73"/>
      <c r="E756" s="73"/>
      <c r="F756" s="73"/>
      <c r="G756" s="73"/>
    </row>
    <row r="757" spans="2:7" x14ac:dyDescent="0.2">
      <c r="B757" s="73"/>
      <c r="C757" s="73"/>
      <c r="D757" s="73"/>
      <c r="E757" s="73"/>
      <c r="F757" s="73"/>
      <c r="G757" s="73"/>
    </row>
    <row r="758" spans="2:7" x14ac:dyDescent="0.2">
      <c r="B758" s="73"/>
      <c r="C758" s="73"/>
      <c r="D758" s="73"/>
      <c r="E758" s="73"/>
      <c r="F758" s="73"/>
      <c r="G758" s="73"/>
    </row>
    <row r="759" spans="2:7" x14ac:dyDescent="0.2">
      <c r="B759" s="73"/>
      <c r="C759" s="73"/>
      <c r="D759" s="73"/>
      <c r="E759" s="73"/>
      <c r="F759" s="73"/>
      <c r="G759" s="73"/>
    </row>
    <row r="760" spans="2:7" x14ac:dyDescent="0.2">
      <c r="B760" s="73"/>
      <c r="C760" s="73"/>
      <c r="D760" s="73"/>
      <c r="E760" s="73"/>
      <c r="F760" s="73"/>
      <c r="G760" s="73"/>
    </row>
    <row r="761" spans="2:7" x14ac:dyDescent="0.2">
      <c r="B761" s="73"/>
      <c r="C761" s="73"/>
      <c r="D761" s="73"/>
      <c r="E761" s="73"/>
      <c r="F761" s="73"/>
      <c r="G761" s="73"/>
    </row>
    <row r="762" spans="2:7" x14ac:dyDescent="0.2">
      <c r="B762" s="73"/>
      <c r="C762" s="73"/>
      <c r="D762" s="73"/>
      <c r="E762" s="73"/>
      <c r="F762" s="73"/>
      <c r="G762" s="73"/>
    </row>
    <row r="763" spans="2:7" x14ac:dyDescent="0.2">
      <c r="B763" s="73"/>
      <c r="C763" s="73"/>
      <c r="D763" s="73"/>
      <c r="E763" s="73"/>
      <c r="F763" s="73"/>
      <c r="G763" s="73"/>
    </row>
    <row r="764" spans="2:7" x14ac:dyDescent="0.2">
      <c r="B764" s="73"/>
      <c r="C764" s="73"/>
      <c r="D764" s="73"/>
      <c r="E764" s="73"/>
      <c r="F764" s="73"/>
      <c r="G764" s="73"/>
    </row>
    <row r="765" spans="2:7" x14ac:dyDescent="0.2">
      <c r="B765" s="73"/>
      <c r="C765" s="73"/>
      <c r="D765" s="73"/>
      <c r="E765" s="73"/>
      <c r="F765" s="73"/>
      <c r="G765" s="73"/>
    </row>
    <row r="766" spans="2:7" x14ac:dyDescent="0.2">
      <c r="B766" s="73"/>
      <c r="C766" s="73"/>
      <c r="D766" s="73"/>
      <c r="E766" s="73"/>
      <c r="F766" s="73"/>
      <c r="G766" s="73"/>
    </row>
    <row r="767" spans="2:7" x14ac:dyDescent="0.2">
      <c r="B767" s="73"/>
      <c r="C767" s="73"/>
      <c r="D767" s="73"/>
      <c r="E767" s="73"/>
      <c r="F767" s="73"/>
      <c r="G767" s="73"/>
    </row>
    <row r="768" spans="2:7" x14ac:dyDescent="0.2">
      <c r="B768" s="73"/>
      <c r="C768" s="73"/>
      <c r="D768" s="73"/>
      <c r="E768" s="73"/>
      <c r="F768" s="73"/>
      <c r="G768" s="73"/>
    </row>
    <row r="769" spans="2:7" x14ac:dyDescent="0.2">
      <c r="B769" s="73"/>
      <c r="C769" s="73"/>
      <c r="D769" s="73"/>
      <c r="E769" s="73"/>
      <c r="F769" s="73"/>
      <c r="G769" s="73"/>
    </row>
    <row r="770" spans="2:7" x14ac:dyDescent="0.2">
      <c r="B770" s="73"/>
      <c r="C770" s="73"/>
      <c r="D770" s="73"/>
      <c r="E770" s="73"/>
      <c r="F770" s="73"/>
      <c r="G770" s="73"/>
    </row>
    <row r="771" spans="2:7" x14ac:dyDescent="0.2">
      <c r="B771" s="73"/>
      <c r="C771" s="73"/>
      <c r="D771" s="73"/>
      <c r="E771" s="73"/>
      <c r="F771" s="73"/>
      <c r="G771" s="73"/>
    </row>
    <row r="772" spans="2:7" x14ac:dyDescent="0.2">
      <c r="B772" s="73"/>
      <c r="C772" s="73"/>
      <c r="D772" s="73"/>
      <c r="E772" s="73"/>
      <c r="F772" s="73"/>
      <c r="G772" s="73"/>
    </row>
    <row r="773" spans="2:7" x14ac:dyDescent="0.2">
      <c r="B773" s="73"/>
      <c r="C773" s="73"/>
      <c r="D773" s="73"/>
      <c r="E773" s="73"/>
      <c r="F773" s="73"/>
      <c r="G773" s="73"/>
    </row>
    <row r="774" spans="2:7" x14ac:dyDescent="0.2">
      <c r="B774" s="73"/>
      <c r="C774" s="73"/>
      <c r="D774" s="73"/>
      <c r="E774" s="73"/>
      <c r="F774" s="73"/>
      <c r="G774" s="73"/>
    </row>
    <row r="775" spans="2:7" x14ac:dyDescent="0.2">
      <c r="B775" s="73"/>
      <c r="C775" s="73"/>
      <c r="D775" s="73"/>
      <c r="E775" s="73"/>
      <c r="F775" s="73"/>
      <c r="G775" s="73"/>
    </row>
    <row r="776" spans="2:7" x14ac:dyDescent="0.2">
      <c r="B776" s="73"/>
      <c r="C776" s="73"/>
      <c r="D776" s="73"/>
      <c r="E776" s="73"/>
      <c r="F776" s="73"/>
      <c r="G776" s="73"/>
    </row>
    <row r="777" spans="2:7" x14ac:dyDescent="0.2">
      <c r="B777" s="73"/>
      <c r="C777" s="73"/>
      <c r="D777" s="73"/>
      <c r="E777" s="73"/>
      <c r="F777" s="73"/>
      <c r="G777" s="73"/>
    </row>
    <row r="778" spans="2:7" x14ac:dyDescent="0.2">
      <c r="B778" s="73"/>
      <c r="C778" s="73"/>
      <c r="D778" s="73"/>
      <c r="E778" s="73"/>
      <c r="F778" s="73"/>
      <c r="G778" s="73"/>
    </row>
    <row r="779" spans="2:7" x14ac:dyDescent="0.2">
      <c r="B779" s="73"/>
      <c r="C779" s="73"/>
      <c r="D779" s="73"/>
      <c r="E779" s="73"/>
      <c r="F779" s="73"/>
      <c r="G779" s="73"/>
    </row>
    <row r="780" spans="2:7" x14ac:dyDescent="0.2">
      <c r="B780" s="73"/>
      <c r="C780" s="73"/>
      <c r="D780" s="73"/>
      <c r="E780" s="73"/>
      <c r="F780" s="73"/>
      <c r="G780" s="73"/>
    </row>
    <row r="781" spans="2:7" x14ac:dyDescent="0.2">
      <c r="B781" s="73"/>
      <c r="C781" s="73"/>
      <c r="D781" s="73"/>
      <c r="E781" s="73"/>
      <c r="F781" s="73"/>
      <c r="G781" s="73"/>
    </row>
    <row r="782" spans="2:7" x14ac:dyDescent="0.2">
      <c r="B782" s="73"/>
      <c r="C782" s="73"/>
      <c r="D782" s="73"/>
      <c r="E782" s="73"/>
      <c r="F782" s="73"/>
      <c r="G782" s="73"/>
    </row>
    <row r="783" spans="2:7" x14ac:dyDescent="0.2">
      <c r="B783" s="73"/>
      <c r="C783" s="73"/>
      <c r="D783" s="73"/>
      <c r="E783" s="73"/>
      <c r="F783" s="73"/>
      <c r="G783" s="73"/>
    </row>
    <row r="784" spans="2:7" x14ac:dyDescent="0.2">
      <c r="B784" s="73"/>
      <c r="C784" s="73"/>
      <c r="D784" s="73"/>
      <c r="E784" s="73"/>
      <c r="F784" s="73"/>
      <c r="G784" s="73"/>
    </row>
    <row r="785" spans="2:7" x14ac:dyDescent="0.2">
      <c r="B785" s="73"/>
      <c r="C785" s="73"/>
      <c r="D785" s="73"/>
      <c r="E785" s="73"/>
      <c r="F785" s="73"/>
      <c r="G785" s="73"/>
    </row>
    <row r="786" spans="2:7" x14ac:dyDescent="0.2">
      <c r="B786" s="73"/>
      <c r="C786" s="73"/>
      <c r="D786" s="73"/>
      <c r="E786" s="73"/>
      <c r="F786" s="73"/>
      <c r="G786" s="73"/>
    </row>
    <row r="787" spans="2:7" x14ac:dyDescent="0.2">
      <c r="B787" s="73"/>
      <c r="C787" s="73"/>
      <c r="D787" s="73"/>
      <c r="E787" s="73"/>
      <c r="F787" s="73"/>
      <c r="G787" s="73"/>
    </row>
    <row r="788" spans="2:7" x14ac:dyDescent="0.2">
      <c r="B788" s="73"/>
      <c r="C788" s="73"/>
      <c r="D788" s="73"/>
      <c r="E788" s="73"/>
      <c r="F788" s="73"/>
      <c r="G788" s="73"/>
    </row>
    <row r="789" spans="2:7" x14ac:dyDescent="0.2">
      <c r="B789" s="73"/>
      <c r="C789" s="73"/>
      <c r="D789" s="73"/>
      <c r="E789" s="73"/>
      <c r="F789" s="73"/>
      <c r="G789" s="73"/>
    </row>
    <row r="790" spans="2:7" x14ac:dyDescent="0.2">
      <c r="B790" s="73"/>
      <c r="C790" s="73"/>
      <c r="D790" s="73"/>
      <c r="E790" s="73"/>
      <c r="F790" s="73"/>
      <c r="G790" s="73"/>
    </row>
    <row r="791" spans="2:7" x14ac:dyDescent="0.2">
      <c r="B791" s="73"/>
      <c r="C791" s="73"/>
      <c r="D791" s="73"/>
      <c r="E791" s="73"/>
      <c r="F791" s="73"/>
      <c r="G791" s="73"/>
    </row>
    <row r="792" spans="2:7" x14ac:dyDescent="0.2">
      <c r="B792" s="73"/>
      <c r="C792" s="73"/>
      <c r="D792" s="73"/>
      <c r="E792" s="73"/>
      <c r="F792" s="73"/>
      <c r="G792" s="73"/>
    </row>
    <row r="793" spans="2:7" x14ac:dyDescent="0.2">
      <c r="B793" s="73"/>
      <c r="C793" s="73"/>
      <c r="D793" s="73"/>
      <c r="E793" s="73"/>
      <c r="F793" s="73"/>
      <c r="G793" s="73"/>
    </row>
    <row r="794" spans="2:7" x14ac:dyDescent="0.2">
      <c r="B794" s="73"/>
      <c r="C794" s="73"/>
      <c r="D794" s="73"/>
      <c r="E794" s="73"/>
      <c r="F794" s="73"/>
      <c r="G794" s="73"/>
    </row>
    <row r="795" spans="2:7" x14ac:dyDescent="0.2">
      <c r="B795" s="73"/>
      <c r="C795" s="73"/>
      <c r="D795" s="73"/>
      <c r="E795" s="73"/>
      <c r="F795" s="73"/>
      <c r="G795" s="73"/>
    </row>
    <row r="796" spans="2:7" x14ac:dyDescent="0.2">
      <c r="B796" s="73"/>
      <c r="C796" s="73"/>
      <c r="D796" s="73"/>
      <c r="E796" s="73"/>
      <c r="F796" s="73"/>
      <c r="G796" s="73"/>
    </row>
    <row r="797" spans="2:7" x14ac:dyDescent="0.2">
      <c r="B797" s="73"/>
      <c r="C797" s="73"/>
      <c r="D797" s="73"/>
      <c r="E797" s="73"/>
      <c r="F797" s="73"/>
      <c r="G797" s="73"/>
    </row>
    <row r="798" spans="2:7" x14ac:dyDescent="0.2">
      <c r="B798" s="73"/>
      <c r="C798" s="73"/>
      <c r="D798" s="73"/>
      <c r="E798" s="73"/>
      <c r="F798" s="73"/>
      <c r="G798" s="73"/>
    </row>
    <row r="799" spans="2:7" x14ac:dyDescent="0.2">
      <c r="B799" s="73"/>
      <c r="C799" s="73"/>
      <c r="D799" s="73"/>
      <c r="E799" s="73"/>
      <c r="F799" s="73"/>
      <c r="G799" s="73"/>
    </row>
    <row r="800" spans="2:7" x14ac:dyDescent="0.2">
      <c r="B800" s="73"/>
      <c r="C800" s="73"/>
      <c r="D800" s="73"/>
      <c r="E800" s="73"/>
      <c r="F800" s="73"/>
      <c r="G800" s="73"/>
    </row>
    <row r="801" spans="2:7" x14ac:dyDescent="0.2">
      <c r="B801" s="73"/>
      <c r="C801" s="73"/>
      <c r="D801" s="73"/>
      <c r="E801" s="73"/>
      <c r="F801" s="73"/>
      <c r="G801" s="73"/>
    </row>
    <row r="802" spans="2:7" x14ac:dyDescent="0.2">
      <c r="B802" s="73"/>
      <c r="C802" s="73"/>
      <c r="D802" s="73"/>
      <c r="E802" s="73"/>
      <c r="F802" s="73"/>
      <c r="G802" s="73"/>
    </row>
    <row r="803" spans="2:7" x14ac:dyDescent="0.2">
      <c r="B803" s="73"/>
      <c r="C803" s="73"/>
      <c r="D803" s="73"/>
      <c r="E803" s="73"/>
      <c r="F803" s="73"/>
      <c r="G803" s="73"/>
    </row>
    <row r="804" spans="2:7" x14ac:dyDescent="0.2">
      <c r="B804" s="73"/>
      <c r="C804" s="73"/>
      <c r="D804" s="73"/>
      <c r="E804" s="73"/>
      <c r="F804" s="73"/>
      <c r="G804" s="73"/>
    </row>
    <row r="805" spans="2:7" x14ac:dyDescent="0.2">
      <c r="B805" s="73"/>
      <c r="C805" s="73"/>
      <c r="D805" s="73"/>
      <c r="E805" s="73"/>
      <c r="F805" s="73"/>
      <c r="G805" s="73"/>
    </row>
    <row r="806" spans="2:7" x14ac:dyDescent="0.2">
      <c r="B806" s="73"/>
      <c r="C806" s="73"/>
      <c r="D806" s="73"/>
      <c r="E806" s="73"/>
      <c r="F806" s="73"/>
      <c r="G806" s="73"/>
    </row>
    <row r="807" spans="2:7" x14ac:dyDescent="0.2">
      <c r="B807" s="73"/>
      <c r="C807" s="73"/>
      <c r="D807" s="73"/>
      <c r="E807" s="73"/>
      <c r="F807" s="73"/>
      <c r="G807" s="73"/>
    </row>
    <row r="808" spans="2:7" x14ac:dyDescent="0.2">
      <c r="B808" s="73"/>
      <c r="C808" s="73"/>
      <c r="D808" s="73"/>
      <c r="E808" s="73"/>
      <c r="F808" s="73"/>
      <c r="G808" s="73"/>
    </row>
    <row r="809" spans="2:7" x14ac:dyDescent="0.2">
      <c r="B809" s="73"/>
      <c r="C809" s="73"/>
      <c r="D809" s="73"/>
      <c r="E809" s="73"/>
      <c r="F809" s="73"/>
      <c r="G809" s="73"/>
    </row>
    <row r="810" spans="2:7" x14ac:dyDescent="0.2">
      <c r="B810" s="73"/>
      <c r="C810" s="73"/>
      <c r="D810" s="73"/>
      <c r="E810" s="73"/>
      <c r="F810" s="73"/>
      <c r="G810" s="73"/>
    </row>
    <row r="811" spans="2:7" x14ac:dyDescent="0.2">
      <c r="B811" s="73"/>
      <c r="C811" s="73"/>
      <c r="D811" s="73"/>
      <c r="E811" s="73"/>
      <c r="F811" s="73"/>
      <c r="G811" s="73"/>
    </row>
    <row r="812" spans="2:7" x14ac:dyDescent="0.2">
      <c r="B812" s="73"/>
      <c r="C812" s="73"/>
      <c r="D812" s="73"/>
      <c r="E812" s="73"/>
      <c r="F812" s="73"/>
      <c r="G812" s="73"/>
    </row>
    <row r="813" spans="2:7" x14ac:dyDescent="0.2">
      <c r="B813" s="73"/>
      <c r="C813" s="73"/>
      <c r="D813" s="73"/>
      <c r="E813" s="73"/>
      <c r="F813" s="73"/>
      <c r="G813" s="73"/>
    </row>
    <row r="814" spans="2:7" x14ac:dyDescent="0.2">
      <c r="B814" s="73"/>
      <c r="C814" s="73"/>
      <c r="D814" s="73"/>
      <c r="E814" s="73"/>
      <c r="F814" s="73"/>
      <c r="G814" s="73"/>
    </row>
    <row r="815" spans="2:7" x14ac:dyDescent="0.2">
      <c r="B815" s="73"/>
      <c r="C815" s="73"/>
      <c r="D815" s="73"/>
      <c r="E815" s="73"/>
      <c r="F815" s="73"/>
      <c r="G815" s="73"/>
    </row>
    <row r="816" spans="2:7" x14ac:dyDescent="0.2">
      <c r="B816" s="73"/>
      <c r="C816" s="73"/>
      <c r="D816" s="73"/>
      <c r="E816" s="73"/>
      <c r="F816" s="73"/>
      <c r="G816" s="73"/>
    </row>
    <row r="817" spans="2:7" x14ac:dyDescent="0.2">
      <c r="B817" s="73"/>
      <c r="C817" s="73"/>
      <c r="D817" s="73"/>
      <c r="E817" s="73"/>
      <c r="F817" s="73"/>
      <c r="G817" s="73"/>
    </row>
    <row r="818" spans="2:7" x14ac:dyDescent="0.2">
      <c r="B818" s="73"/>
      <c r="C818" s="73"/>
      <c r="D818" s="73"/>
      <c r="E818" s="73"/>
      <c r="F818" s="73"/>
      <c r="G818" s="73"/>
    </row>
    <row r="819" spans="2:7" x14ac:dyDescent="0.2">
      <c r="B819" s="73"/>
      <c r="C819" s="73"/>
      <c r="D819" s="73"/>
      <c r="E819" s="73"/>
      <c r="F819" s="73"/>
      <c r="G819" s="73"/>
    </row>
    <row r="820" spans="2:7" x14ac:dyDescent="0.2">
      <c r="B820" s="73"/>
      <c r="C820" s="73"/>
      <c r="D820" s="73"/>
      <c r="E820" s="73"/>
      <c r="F820" s="73"/>
      <c r="G820" s="73"/>
    </row>
    <row r="821" spans="2:7" x14ac:dyDescent="0.2">
      <c r="B821" s="73"/>
      <c r="C821" s="73"/>
      <c r="D821" s="73"/>
      <c r="E821" s="73"/>
      <c r="F821" s="73"/>
      <c r="G821" s="73"/>
    </row>
    <row r="822" spans="2:7" x14ac:dyDescent="0.2">
      <c r="B822" s="73"/>
      <c r="C822" s="73"/>
      <c r="D822" s="73"/>
      <c r="E822" s="73"/>
      <c r="F822" s="73"/>
      <c r="G822" s="73"/>
    </row>
    <row r="823" spans="2:7" x14ac:dyDescent="0.2">
      <c r="B823" s="73"/>
      <c r="C823" s="73"/>
      <c r="D823" s="73"/>
      <c r="E823" s="73"/>
      <c r="F823" s="73"/>
      <c r="G823" s="73"/>
    </row>
    <row r="824" spans="2:7" x14ac:dyDescent="0.2">
      <c r="B824" s="73"/>
      <c r="C824" s="73"/>
      <c r="D824" s="73"/>
      <c r="E824" s="73"/>
      <c r="F824" s="73"/>
      <c r="G824" s="73"/>
    </row>
    <row r="825" spans="2:7" x14ac:dyDescent="0.2">
      <c r="B825" s="73"/>
      <c r="C825" s="73"/>
      <c r="D825" s="73"/>
      <c r="E825" s="73"/>
      <c r="F825" s="73"/>
      <c r="G825" s="73"/>
    </row>
    <row r="826" spans="2:7" x14ac:dyDescent="0.2">
      <c r="B826" s="73"/>
      <c r="C826" s="73"/>
      <c r="D826" s="73"/>
      <c r="E826" s="73"/>
      <c r="F826" s="73"/>
      <c r="G826" s="73"/>
    </row>
    <row r="827" spans="2:7" x14ac:dyDescent="0.2">
      <c r="B827" s="73"/>
      <c r="C827" s="73"/>
      <c r="D827" s="73"/>
      <c r="E827" s="73"/>
      <c r="F827" s="73"/>
      <c r="G827" s="73"/>
    </row>
    <row r="828" spans="2:7" x14ac:dyDescent="0.2">
      <c r="B828" s="73"/>
      <c r="C828" s="73"/>
      <c r="D828" s="73"/>
      <c r="E828" s="73"/>
      <c r="F828" s="73"/>
      <c r="G828" s="73"/>
    </row>
    <row r="829" spans="2:7" x14ac:dyDescent="0.2">
      <c r="B829" s="73"/>
      <c r="C829" s="73"/>
      <c r="D829" s="73"/>
      <c r="E829" s="73"/>
      <c r="F829" s="73"/>
      <c r="G829" s="73"/>
    </row>
    <row r="830" spans="2:7" x14ac:dyDescent="0.2">
      <c r="B830" s="73"/>
      <c r="C830" s="73"/>
      <c r="D830" s="73"/>
      <c r="E830" s="73"/>
      <c r="F830" s="73"/>
      <c r="G830" s="73"/>
    </row>
    <row r="831" spans="2:7" x14ac:dyDescent="0.2">
      <c r="B831" s="73"/>
      <c r="C831" s="73"/>
      <c r="D831" s="73"/>
      <c r="E831" s="73"/>
      <c r="F831" s="73"/>
      <c r="G831" s="73"/>
    </row>
    <row r="832" spans="2:7" x14ac:dyDescent="0.2">
      <c r="B832" s="73"/>
      <c r="C832" s="73"/>
      <c r="D832" s="73"/>
      <c r="E832" s="73"/>
      <c r="F832" s="73"/>
      <c r="G832" s="73"/>
    </row>
    <row r="833" spans="2:7" x14ac:dyDescent="0.2">
      <c r="B833" s="73"/>
      <c r="C833" s="73"/>
      <c r="D833" s="73"/>
      <c r="E833" s="73"/>
      <c r="F833" s="73"/>
      <c r="G833" s="73"/>
    </row>
    <row r="834" spans="2:7" x14ac:dyDescent="0.2">
      <c r="B834" s="73"/>
      <c r="C834" s="73"/>
      <c r="D834" s="73"/>
      <c r="E834" s="73"/>
      <c r="F834" s="73"/>
      <c r="G834" s="73"/>
    </row>
    <row r="835" spans="2:7" x14ac:dyDescent="0.2">
      <c r="B835" s="73"/>
      <c r="C835" s="73"/>
      <c r="D835" s="73"/>
      <c r="E835" s="73"/>
      <c r="F835" s="73"/>
      <c r="G835" s="73"/>
    </row>
    <row r="836" spans="2:7" x14ac:dyDescent="0.2">
      <c r="B836" s="73"/>
      <c r="C836" s="73"/>
      <c r="D836" s="73"/>
      <c r="E836" s="73"/>
      <c r="F836" s="73"/>
      <c r="G836" s="73"/>
    </row>
    <row r="837" spans="2:7" x14ac:dyDescent="0.2">
      <c r="B837" s="73"/>
      <c r="C837" s="73"/>
      <c r="D837" s="73"/>
      <c r="E837" s="73"/>
      <c r="F837" s="73"/>
      <c r="G837" s="73"/>
    </row>
    <row r="838" spans="2:7" x14ac:dyDescent="0.2">
      <c r="B838" s="73"/>
      <c r="C838" s="73"/>
      <c r="D838" s="73"/>
      <c r="E838" s="73"/>
      <c r="F838" s="73"/>
      <c r="G838" s="73"/>
    </row>
    <row r="839" spans="2:7" x14ac:dyDescent="0.2">
      <c r="B839" s="73"/>
      <c r="C839" s="73"/>
      <c r="D839" s="73"/>
      <c r="E839" s="73"/>
      <c r="F839" s="73"/>
      <c r="G839" s="73"/>
    </row>
    <row r="840" spans="2:7" x14ac:dyDescent="0.2">
      <c r="B840" s="73"/>
      <c r="C840" s="73"/>
      <c r="D840" s="73"/>
      <c r="E840" s="73"/>
      <c r="F840" s="73"/>
      <c r="G840" s="73"/>
    </row>
    <row r="841" spans="2:7" x14ac:dyDescent="0.2">
      <c r="B841" s="73"/>
      <c r="C841" s="73"/>
      <c r="D841" s="73"/>
      <c r="E841" s="73"/>
      <c r="F841" s="73"/>
      <c r="G841" s="73"/>
    </row>
    <row r="842" spans="2:7" x14ac:dyDescent="0.2">
      <c r="B842" s="73"/>
      <c r="C842" s="73"/>
      <c r="D842" s="73"/>
      <c r="E842" s="73"/>
      <c r="F842" s="73"/>
      <c r="G842" s="73"/>
    </row>
    <row r="843" spans="2:7" x14ac:dyDescent="0.2">
      <c r="B843" s="73"/>
      <c r="C843" s="73"/>
      <c r="D843" s="73"/>
      <c r="E843" s="73"/>
      <c r="F843" s="73"/>
      <c r="G843" s="73"/>
    </row>
    <row r="844" spans="2:7" x14ac:dyDescent="0.2">
      <c r="B844" s="73"/>
      <c r="C844" s="73"/>
      <c r="D844" s="73"/>
      <c r="E844" s="73"/>
      <c r="F844" s="73"/>
      <c r="G844" s="73"/>
    </row>
    <row r="845" spans="2:7" x14ac:dyDescent="0.2">
      <c r="B845" s="73"/>
      <c r="C845" s="73"/>
      <c r="D845" s="73"/>
      <c r="E845" s="73"/>
      <c r="F845" s="73"/>
      <c r="G845" s="73"/>
    </row>
    <row r="846" spans="2:7" x14ac:dyDescent="0.2">
      <c r="B846" s="73"/>
      <c r="C846" s="73"/>
      <c r="D846" s="73"/>
      <c r="E846" s="73"/>
      <c r="F846" s="73"/>
      <c r="G846" s="73"/>
    </row>
    <row r="847" spans="2:7" x14ac:dyDescent="0.2">
      <c r="B847" s="73"/>
      <c r="C847" s="73"/>
      <c r="D847" s="73"/>
      <c r="E847" s="73"/>
      <c r="F847" s="73"/>
      <c r="G847" s="73"/>
    </row>
    <row r="848" spans="2:7" x14ac:dyDescent="0.2">
      <c r="B848" s="73"/>
      <c r="C848" s="73"/>
      <c r="D848" s="73"/>
      <c r="E848" s="73"/>
      <c r="F848" s="73"/>
      <c r="G848" s="73"/>
    </row>
    <row r="849" spans="2:7" x14ac:dyDescent="0.2">
      <c r="B849" s="73"/>
      <c r="C849" s="73"/>
      <c r="D849" s="73"/>
      <c r="E849" s="73"/>
      <c r="F849" s="73"/>
      <c r="G849" s="73"/>
    </row>
    <row r="850" spans="2:7" x14ac:dyDescent="0.2">
      <c r="B850" s="73"/>
      <c r="C850" s="73"/>
      <c r="D850" s="73"/>
      <c r="E850" s="73"/>
      <c r="F850" s="73"/>
      <c r="G850" s="73"/>
    </row>
    <row r="851" spans="2:7" x14ac:dyDescent="0.2">
      <c r="B851" s="73"/>
      <c r="C851" s="73"/>
      <c r="D851" s="73"/>
      <c r="E851" s="73"/>
      <c r="F851" s="73"/>
      <c r="G851" s="73"/>
    </row>
    <row r="852" spans="2:7" x14ac:dyDescent="0.2">
      <c r="B852" s="73"/>
      <c r="C852" s="73"/>
      <c r="D852" s="73"/>
      <c r="E852" s="73"/>
      <c r="F852" s="73"/>
      <c r="G852" s="73"/>
    </row>
    <row r="853" spans="2:7" x14ac:dyDescent="0.2">
      <c r="B853" s="73"/>
      <c r="C853" s="73"/>
      <c r="D853" s="73"/>
      <c r="E853" s="73"/>
      <c r="F853" s="73"/>
      <c r="G853" s="73"/>
    </row>
    <row r="854" spans="2:7" x14ac:dyDescent="0.2">
      <c r="B854" s="73"/>
      <c r="C854" s="73"/>
      <c r="D854" s="73"/>
      <c r="E854" s="73"/>
      <c r="F854" s="73"/>
      <c r="G854" s="73"/>
    </row>
    <row r="855" spans="2:7" x14ac:dyDescent="0.2">
      <c r="B855" s="73"/>
      <c r="C855" s="73"/>
      <c r="D855" s="73"/>
      <c r="E855" s="73"/>
      <c r="F855" s="73"/>
      <c r="G855" s="73"/>
    </row>
    <row r="856" spans="2:7" x14ac:dyDescent="0.2">
      <c r="B856" s="73"/>
      <c r="C856" s="73"/>
      <c r="D856" s="73"/>
      <c r="E856" s="73"/>
      <c r="F856" s="73"/>
      <c r="G856" s="73"/>
    </row>
    <row r="857" spans="2:7" x14ac:dyDescent="0.2">
      <c r="B857" s="73"/>
      <c r="C857" s="73"/>
      <c r="D857" s="73"/>
      <c r="E857" s="73"/>
      <c r="F857" s="73"/>
      <c r="G857" s="73"/>
    </row>
    <row r="858" spans="2:7" x14ac:dyDescent="0.2">
      <c r="B858" s="73"/>
      <c r="C858" s="73"/>
      <c r="D858" s="73"/>
      <c r="E858" s="73"/>
      <c r="F858" s="73"/>
      <c r="G858" s="73"/>
    </row>
    <row r="859" spans="2:7" x14ac:dyDescent="0.2">
      <c r="B859" s="73"/>
      <c r="C859" s="73"/>
      <c r="D859" s="73"/>
      <c r="E859" s="73"/>
      <c r="F859" s="73"/>
      <c r="G859" s="73"/>
    </row>
    <row r="860" spans="2:7" x14ac:dyDescent="0.2">
      <c r="B860" s="73"/>
      <c r="C860" s="73"/>
      <c r="D860" s="73"/>
      <c r="E860" s="73"/>
      <c r="F860" s="73"/>
      <c r="G860" s="73"/>
    </row>
    <row r="861" spans="2:7" x14ac:dyDescent="0.2">
      <c r="B861" s="73"/>
      <c r="C861" s="73"/>
      <c r="D861" s="73"/>
      <c r="E861" s="73"/>
      <c r="F861" s="73"/>
      <c r="G861" s="73"/>
    </row>
    <row r="862" spans="2:7" x14ac:dyDescent="0.2">
      <c r="B862" s="73"/>
      <c r="C862" s="73"/>
      <c r="D862" s="73"/>
      <c r="E862" s="73"/>
      <c r="F862" s="73"/>
      <c r="G862" s="73"/>
    </row>
    <row r="863" spans="2:7" x14ac:dyDescent="0.2">
      <c r="B863" s="73"/>
      <c r="C863" s="73"/>
      <c r="D863" s="73"/>
      <c r="E863" s="73"/>
      <c r="F863" s="73"/>
      <c r="G863" s="73"/>
    </row>
    <row r="864" spans="2:7" x14ac:dyDescent="0.2">
      <c r="B864" s="73"/>
      <c r="C864" s="73"/>
      <c r="D864" s="73"/>
      <c r="E864" s="73"/>
      <c r="F864" s="73"/>
      <c r="G864" s="73"/>
    </row>
    <row r="865" spans="2:7" x14ac:dyDescent="0.2">
      <c r="B865" s="73"/>
      <c r="C865" s="73"/>
      <c r="D865" s="73"/>
      <c r="E865" s="73"/>
      <c r="F865" s="73"/>
      <c r="G865" s="73"/>
    </row>
    <row r="866" spans="2:7" x14ac:dyDescent="0.2">
      <c r="B866" s="73"/>
      <c r="C866" s="73"/>
      <c r="D866" s="73"/>
      <c r="E866" s="73"/>
      <c r="F866" s="73"/>
      <c r="G866" s="73"/>
    </row>
    <row r="867" spans="2:7" x14ac:dyDescent="0.2">
      <c r="B867" s="73"/>
      <c r="C867" s="73"/>
      <c r="D867" s="73"/>
      <c r="E867" s="73"/>
      <c r="F867" s="73"/>
      <c r="G867" s="73"/>
    </row>
    <row r="868" spans="2:7" x14ac:dyDescent="0.2">
      <c r="B868" s="73"/>
      <c r="C868" s="73"/>
      <c r="D868" s="73"/>
      <c r="E868" s="73"/>
      <c r="F868" s="73"/>
      <c r="G868" s="73"/>
    </row>
    <row r="869" spans="2:7" x14ac:dyDescent="0.2">
      <c r="B869" s="73"/>
      <c r="C869" s="73"/>
      <c r="D869" s="73"/>
      <c r="E869" s="73"/>
      <c r="F869" s="73"/>
      <c r="G869" s="73"/>
    </row>
    <row r="870" spans="2:7" x14ac:dyDescent="0.2">
      <c r="B870" s="73"/>
      <c r="C870" s="73"/>
      <c r="D870" s="73"/>
      <c r="E870" s="73"/>
      <c r="F870" s="73"/>
      <c r="G870" s="73"/>
    </row>
    <row r="871" spans="2:7" x14ac:dyDescent="0.2">
      <c r="B871" s="73"/>
      <c r="C871" s="73"/>
      <c r="D871" s="73"/>
      <c r="E871" s="73"/>
      <c r="F871" s="73"/>
      <c r="G871" s="73"/>
    </row>
    <row r="872" spans="2:7" x14ac:dyDescent="0.2">
      <c r="B872" s="73"/>
      <c r="C872" s="73"/>
      <c r="D872" s="73"/>
      <c r="E872" s="73"/>
      <c r="F872" s="73"/>
      <c r="G872" s="73"/>
    </row>
    <row r="873" spans="2:7" x14ac:dyDescent="0.2">
      <c r="B873" s="73"/>
      <c r="C873" s="73"/>
      <c r="D873" s="73"/>
      <c r="E873" s="73"/>
      <c r="F873" s="73"/>
      <c r="G873" s="73"/>
    </row>
    <row r="874" spans="2:7" x14ac:dyDescent="0.2">
      <c r="B874" s="73"/>
      <c r="C874" s="73"/>
      <c r="D874" s="73"/>
      <c r="E874" s="73"/>
      <c r="F874" s="73"/>
      <c r="G874" s="73"/>
    </row>
    <row r="875" spans="2:7" x14ac:dyDescent="0.2">
      <c r="B875" s="73"/>
      <c r="C875" s="73"/>
      <c r="D875" s="73"/>
      <c r="E875" s="73"/>
      <c r="F875" s="73"/>
      <c r="G875" s="73"/>
    </row>
    <row r="876" spans="2:7" x14ac:dyDescent="0.2">
      <c r="B876" s="73"/>
      <c r="C876" s="73"/>
      <c r="D876" s="73"/>
      <c r="E876" s="73"/>
      <c r="F876" s="73"/>
      <c r="G876" s="73"/>
    </row>
    <row r="877" spans="2:7" x14ac:dyDescent="0.2">
      <c r="B877" s="73"/>
      <c r="C877" s="73"/>
      <c r="D877" s="73"/>
      <c r="E877" s="73"/>
      <c r="F877" s="73"/>
      <c r="G877" s="73"/>
    </row>
    <row r="878" spans="2:7" x14ac:dyDescent="0.2">
      <c r="B878" s="73"/>
      <c r="C878" s="73"/>
      <c r="D878" s="73"/>
      <c r="E878" s="73"/>
      <c r="F878" s="73"/>
      <c r="G878" s="73"/>
    </row>
    <row r="879" spans="2:7" x14ac:dyDescent="0.2">
      <c r="B879" s="73"/>
      <c r="C879" s="73"/>
      <c r="D879" s="73"/>
      <c r="E879" s="73"/>
      <c r="F879" s="73"/>
      <c r="G879" s="73"/>
    </row>
    <row r="880" spans="2:7" x14ac:dyDescent="0.2">
      <c r="B880" s="73"/>
      <c r="C880" s="73"/>
      <c r="D880" s="73"/>
      <c r="E880" s="73"/>
      <c r="F880" s="73"/>
      <c r="G880" s="73"/>
    </row>
    <row r="881" spans="2:7" x14ac:dyDescent="0.2">
      <c r="B881" s="73"/>
      <c r="C881" s="73"/>
      <c r="D881" s="73"/>
      <c r="E881" s="73"/>
      <c r="F881" s="73"/>
      <c r="G881" s="73"/>
    </row>
    <row r="882" spans="2:7" x14ac:dyDescent="0.2">
      <c r="B882" s="73"/>
      <c r="C882" s="73"/>
      <c r="D882" s="73"/>
      <c r="E882" s="73"/>
      <c r="F882" s="73"/>
      <c r="G882" s="73"/>
    </row>
    <row r="883" spans="2:7" x14ac:dyDescent="0.2">
      <c r="B883" s="73"/>
      <c r="C883" s="73"/>
      <c r="D883" s="73"/>
      <c r="E883" s="73"/>
      <c r="F883" s="73"/>
      <c r="G883" s="73"/>
    </row>
    <row r="884" spans="2:7" x14ac:dyDescent="0.2">
      <c r="B884" s="73"/>
      <c r="C884" s="73"/>
      <c r="D884" s="73"/>
      <c r="E884" s="73"/>
      <c r="F884" s="73"/>
      <c r="G884" s="73"/>
    </row>
    <row r="885" spans="2:7" x14ac:dyDescent="0.2">
      <c r="B885" s="73"/>
      <c r="C885" s="73"/>
      <c r="D885" s="73"/>
      <c r="E885" s="73"/>
      <c r="F885" s="73"/>
      <c r="G885" s="73"/>
    </row>
    <row r="886" spans="2:7" x14ac:dyDescent="0.2">
      <c r="B886" s="73"/>
      <c r="C886" s="73"/>
      <c r="D886" s="73"/>
      <c r="E886" s="73"/>
      <c r="F886" s="73"/>
      <c r="G886" s="73"/>
    </row>
    <row r="887" spans="2:7" x14ac:dyDescent="0.2">
      <c r="B887" s="73"/>
      <c r="C887" s="73"/>
      <c r="D887" s="73"/>
      <c r="E887" s="73"/>
      <c r="F887" s="73"/>
      <c r="G887" s="73"/>
    </row>
    <row r="888" spans="2:7" x14ac:dyDescent="0.2">
      <c r="B888" s="73"/>
      <c r="C888" s="73"/>
      <c r="D888" s="73"/>
      <c r="E888" s="73"/>
      <c r="F888" s="73"/>
      <c r="G888" s="73"/>
    </row>
    <row r="889" spans="2:7" x14ac:dyDescent="0.2">
      <c r="B889" s="73"/>
      <c r="C889" s="73"/>
      <c r="D889" s="73"/>
      <c r="E889" s="73"/>
      <c r="F889" s="73"/>
      <c r="G889" s="73"/>
    </row>
    <row r="890" spans="2:7" x14ac:dyDescent="0.2">
      <c r="B890" s="73"/>
      <c r="C890" s="73"/>
      <c r="D890" s="73"/>
      <c r="E890" s="73"/>
      <c r="F890" s="73"/>
      <c r="G890" s="73"/>
    </row>
    <row r="891" spans="2:7" x14ac:dyDescent="0.2">
      <c r="B891" s="73"/>
      <c r="C891" s="73"/>
      <c r="D891" s="73"/>
      <c r="E891" s="73"/>
      <c r="F891" s="73"/>
      <c r="G891" s="73"/>
    </row>
    <row r="892" spans="2:7" x14ac:dyDescent="0.2">
      <c r="B892" s="73"/>
      <c r="C892" s="73"/>
      <c r="D892" s="73"/>
      <c r="E892" s="73"/>
      <c r="F892" s="73"/>
      <c r="G892" s="73"/>
    </row>
    <row r="893" spans="2:7" x14ac:dyDescent="0.2">
      <c r="B893" s="73"/>
      <c r="C893" s="73"/>
      <c r="D893" s="73"/>
      <c r="E893" s="73"/>
      <c r="F893" s="73"/>
      <c r="G893" s="73"/>
    </row>
    <row r="894" spans="2:7" x14ac:dyDescent="0.2">
      <c r="B894" s="73"/>
      <c r="C894" s="73"/>
      <c r="D894" s="73"/>
      <c r="E894" s="73"/>
      <c r="F894" s="73"/>
      <c r="G894" s="73"/>
    </row>
    <row r="895" spans="2:7" x14ac:dyDescent="0.2">
      <c r="B895" s="73"/>
      <c r="C895" s="73"/>
      <c r="D895" s="73"/>
      <c r="E895" s="73"/>
      <c r="F895" s="73"/>
      <c r="G895" s="73"/>
    </row>
    <row r="896" spans="2:7" x14ac:dyDescent="0.2">
      <c r="B896" s="73"/>
      <c r="C896" s="73"/>
      <c r="D896" s="73"/>
      <c r="E896" s="73"/>
      <c r="F896" s="73"/>
      <c r="G896" s="73"/>
    </row>
    <row r="897" spans="2:7" x14ac:dyDescent="0.2">
      <c r="B897" s="73"/>
      <c r="C897" s="73"/>
      <c r="D897" s="73"/>
      <c r="E897" s="73"/>
      <c r="F897" s="73"/>
      <c r="G897" s="73"/>
    </row>
    <row r="898" spans="2:7" x14ac:dyDescent="0.2">
      <c r="B898" s="73"/>
      <c r="C898" s="73"/>
      <c r="D898" s="73"/>
      <c r="E898" s="73"/>
      <c r="F898" s="73"/>
      <c r="G898" s="73"/>
    </row>
    <row r="899" spans="2:7" x14ac:dyDescent="0.2">
      <c r="B899" s="73"/>
      <c r="C899" s="73"/>
      <c r="D899" s="73"/>
      <c r="E899" s="73"/>
      <c r="F899" s="73"/>
      <c r="G899" s="73"/>
    </row>
    <row r="900" spans="2:7" x14ac:dyDescent="0.2">
      <c r="B900" s="73"/>
      <c r="C900" s="73"/>
      <c r="D900" s="73"/>
      <c r="E900" s="73"/>
      <c r="F900" s="73"/>
      <c r="G900" s="73"/>
    </row>
    <row r="901" spans="2:7" x14ac:dyDescent="0.2">
      <c r="B901" s="73"/>
      <c r="C901" s="73"/>
      <c r="D901" s="73"/>
      <c r="E901" s="73"/>
      <c r="F901" s="73"/>
      <c r="G901" s="73"/>
    </row>
    <row r="902" spans="2:7" x14ac:dyDescent="0.2">
      <c r="B902" s="73"/>
      <c r="C902" s="73"/>
      <c r="D902" s="73"/>
      <c r="E902" s="73"/>
      <c r="F902" s="73"/>
      <c r="G902" s="73"/>
    </row>
    <row r="903" spans="2:7" x14ac:dyDescent="0.2">
      <c r="B903" s="73"/>
      <c r="C903" s="73"/>
      <c r="D903" s="73"/>
      <c r="E903" s="73"/>
      <c r="F903" s="73"/>
      <c r="G903" s="73"/>
    </row>
    <row r="904" spans="2:7" x14ac:dyDescent="0.2">
      <c r="B904" s="73"/>
      <c r="C904" s="73"/>
      <c r="D904" s="73"/>
      <c r="E904" s="73"/>
      <c r="F904" s="73"/>
      <c r="G904" s="73"/>
    </row>
    <row r="905" spans="2:7" x14ac:dyDescent="0.2">
      <c r="B905" s="73"/>
      <c r="C905" s="73"/>
      <c r="D905" s="73"/>
      <c r="E905" s="73"/>
      <c r="F905" s="73"/>
      <c r="G905" s="73"/>
    </row>
    <row r="906" spans="2:7" x14ac:dyDescent="0.2">
      <c r="B906" s="73"/>
      <c r="C906" s="73"/>
      <c r="D906" s="73"/>
      <c r="E906" s="73"/>
      <c r="F906" s="73"/>
      <c r="G906" s="73"/>
    </row>
    <row r="907" spans="2:7" x14ac:dyDescent="0.2">
      <c r="B907" s="73"/>
      <c r="C907" s="73"/>
      <c r="D907" s="73"/>
      <c r="E907" s="73"/>
      <c r="F907" s="73"/>
      <c r="G907" s="73"/>
    </row>
    <row r="908" spans="2:7" x14ac:dyDescent="0.2">
      <c r="B908" s="73"/>
      <c r="C908" s="73"/>
      <c r="D908" s="73"/>
      <c r="E908" s="73"/>
      <c r="F908" s="73"/>
      <c r="G908" s="73"/>
    </row>
    <row r="909" spans="2:7" x14ac:dyDescent="0.2">
      <c r="B909" s="73"/>
      <c r="C909" s="73"/>
      <c r="D909" s="73"/>
      <c r="E909" s="73"/>
      <c r="F909" s="73"/>
      <c r="G909" s="73"/>
    </row>
    <row r="910" spans="2:7" x14ac:dyDescent="0.2">
      <c r="B910" s="73"/>
      <c r="C910" s="73"/>
      <c r="D910" s="73"/>
      <c r="E910" s="73"/>
      <c r="F910" s="73"/>
      <c r="G910" s="73"/>
    </row>
    <row r="911" spans="2:7" x14ac:dyDescent="0.2">
      <c r="B911" s="73"/>
      <c r="C911" s="73"/>
      <c r="D911" s="73"/>
      <c r="E911" s="73"/>
      <c r="F911" s="73"/>
      <c r="G911" s="73"/>
    </row>
    <row r="912" spans="2:7" x14ac:dyDescent="0.2">
      <c r="B912" s="73"/>
      <c r="C912" s="73"/>
      <c r="D912" s="73"/>
      <c r="E912" s="73"/>
      <c r="F912" s="73"/>
      <c r="G912" s="73"/>
    </row>
    <row r="913" spans="2:7" x14ac:dyDescent="0.2">
      <c r="B913" s="73"/>
      <c r="C913" s="73"/>
      <c r="D913" s="73"/>
      <c r="E913" s="73"/>
      <c r="F913" s="73"/>
      <c r="G913" s="73"/>
    </row>
    <row r="914" spans="2:7" x14ac:dyDescent="0.2">
      <c r="B914" s="73"/>
      <c r="C914" s="73"/>
      <c r="D914" s="73"/>
      <c r="E914" s="73"/>
      <c r="F914" s="73"/>
      <c r="G914" s="73"/>
    </row>
    <row r="915" spans="2:7" x14ac:dyDescent="0.2">
      <c r="B915" s="73"/>
      <c r="C915" s="73"/>
      <c r="D915" s="73"/>
      <c r="E915" s="73"/>
      <c r="F915" s="73"/>
      <c r="G915" s="73"/>
    </row>
    <row r="916" spans="2:7" x14ac:dyDescent="0.2">
      <c r="B916" s="73"/>
      <c r="C916" s="73"/>
      <c r="D916" s="73"/>
      <c r="E916" s="73"/>
      <c r="F916" s="73"/>
      <c r="G916" s="73"/>
    </row>
    <row r="917" spans="2:7" x14ac:dyDescent="0.2">
      <c r="B917" s="73"/>
      <c r="C917" s="73"/>
      <c r="D917" s="73"/>
      <c r="E917" s="73"/>
      <c r="F917" s="73"/>
      <c r="G917" s="73"/>
    </row>
    <row r="918" spans="2:7" x14ac:dyDescent="0.2">
      <c r="B918" s="73"/>
      <c r="C918" s="73"/>
      <c r="D918" s="73"/>
      <c r="E918" s="73"/>
      <c r="F918" s="73"/>
      <c r="G918" s="73"/>
    </row>
    <row r="919" spans="2:7" x14ac:dyDescent="0.2">
      <c r="B919" s="73"/>
      <c r="C919" s="73"/>
      <c r="D919" s="73"/>
      <c r="E919" s="73"/>
      <c r="F919" s="73"/>
      <c r="G919" s="73"/>
    </row>
    <row r="920" spans="2:7" x14ac:dyDescent="0.2">
      <c r="B920" s="73"/>
      <c r="C920" s="73"/>
      <c r="D920" s="73"/>
      <c r="E920" s="73"/>
      <c r="F920" s="73"/>
      <c r="G920" s="73"/>
    </row>
    <row r="921" spans="2:7" x14ac:dyDescent="0.2">
      <c r="B921" s="73"/>
      <c r="C921" s="73"/>
      <c r="D921" s="73"/>
      <c r="E921" s="73"/>
      <c r="F921" s="73"/>
      <c r="G921" s="73"/>
    </row>
    <row r="922" spans="2:7" x14ac:dyDescent="0.2">
      <c r="B922" s="73"/>
      <c r="C922" s="73"/>
      <c r="D922" s="73"/>
      <c r="E922" s="73"/>
      <c r="F922" s="73"/>
      <c r="G922" s="73"/>
    </row>
    <row r="923" spans="2:7" x14ac:dyDescent="0.2">
      <c r="B923" s="73"/>
      <c r="C923" s="73"/>
      <c r="D923" s="73"/>
      <c r="E923" s="73"/>
      <c r="F923" s="73"/>
      <c r="G923" s="73"/>
    </row>
    <row r="924" spans="2:7" x14ac:dyDescent="0.2">
      <c r="B924" s="73"/>
      <c r="C924" s="73"/>
      <c r="D924" s="73"/>
      <c r="E924" s="73"/>
      <c r="F924" s="73"/>
      <c r="G924" s="73"/>
    </row>
    <row r="925" spans="2:7" x14ac:dyDescent="0.2">
      <c r="B925" s="73"/>
      <c r="C925" s="73"/>
      <c r="D925" s="73"/>
      <c r="E925" s="73"/>
      <c r="F925" s="73"/>
      <c r="G925" s="73"/>
    </row>
    <row r="926" spans="2:7" x14ac:dyDescent="0.2">
      <c r="B926" s="73"/>
      <c r="C926" s="73"/>
      <c r="D926" s="73"/>
      <c r="E926" s="73"/>
      <c r="F926" s="73"/>
      <c r="G926" s="73"/>
    </row>
    <row r="927" spans="2:7" x14ac:dyDescent="0.2">
      <c r="B927" s="73"/>
      <c r="C927" s="73"/>
      <c r="D927" s="73"/>
      <c r="E927" s="73"/>
      <c r="F927" s="73"/>
      <c r="G927" s="73"/>
    </row>
    <row r="928" spans="2:7" x14ac:dyDescent="0.2">
      <c r="B928" s="73"/>
      <c r="C928" s="73"/>
      <c r="D928" s="73"/>
      <c r="E928" s="73"/>
      <c r="F928" s="73"/>
      <c r="G928" s="73"/>
    </row>
    <row r="929" spans="2:7" x14ac:dyDescent="0.2">
      <c r="B929" s="73"/>
      <c r="C929" s="73"/>
      <c r="D929" s="73"/>
      <c r="E929" s="73"/>
      <c r="F929" s="73"/>
      <c r="G929" s="73"/>
    </row>
    <row r="930" spans="2:7" x14ac:dyDescent="0.2">
      <c r="B930" s="73"/>
      <c r="C930" s="73"/>
      <c r="D930" s="73"/>
      <c r="E930" s="73"/>
      <c r="F930" s="73"/>
      <c r="G930" s="73"/>
    </row>
    <row r="931" spans="2:7" x14ac:dyDescent="0.2">
      <c r="B931" s="73"/>
      <c r="C931" s="73"/>
      <c r="D931" s="73"/>
      <c r="E931" s="73"/>
      <c r="F931" s="73"/>
      <c r="G931" s="73"/>
    </row>
    <row r="932" spans="2:7" x14ac:dyDescent="0.2">
      <c r="B932" s="73"/>
      <c r="C932" s="73"/>
      <c r="D932" s="73"/>
      <c r="E932" s="73"/>
      <c r="F932" s="73"/>
      <c r="G932" s="73"/>
    </row>
    <row r="933" spans="2:7" x14ac:dyDescent="0.2">
      <c r="B933" s="73"/>
      <c r="C933" s="73"/>
      <c r="D933" s="73"/>
      <c r="E933" s="73"/>
      <c r="F933" s="73"/>
      <c r="G933" s="73"/>
    </row>
    <row r="934" spans="2:7" x14ac:dyDescent="0.2">
      <c r="B934" s="73"/>
      <c r="C934" s="73"/>
      <c r="D934" s="73"/>
      <c r="E934" s="73"/>
      <c r="F934" s="73"/>
      <c r="G934" s="73"/>
    </row>
    <row r="935" spans="2:7" x14ac:dyDescent="0.2">
      <c r="B935" s="73"/>
      <c r="C935" s="73"/>
      <c r="D935" s="73"/>
      <c r="E935" s="73"/>
      <c r="F935" s="73"/>
      <c r="G935" s="73"/>
    </row>
    <row r="936" spans="2:7" x14ac:dyDescent="0.2">
      <c r="B936" s="73"/>
      <c r="C936" s="73"/>
      <c r="D936" s="73"/>
      <c r="E936" s="73"/>
      <c r="F936" s="73"/>
      <c r="G936" s="73"/>
    </row>
    <row r="937" spans="2:7" x14ac:dyDescent="0.2">
      <c r="B937" s="73"/>
      <c r="C937" s="73"/>
      <c r="D937" s="73"/>
      <c r="E937" s="73"/>
      <c r="F937" s="73"/>
      <c r="G937" s="73"/>
    </row>
    <row r="938" spans="2:7" x14ac:dyDescent="0.2">
      <c r="B938" s="73"/>
      <c r="C938" s="73"/>
      <c r="D938" s="73"/>
      <c r="E938" s="73"/>
      <c r="F938" s="73"/>
      <c r="G938" s="73"/>
    </row>
    <row r="939" spans="2:7" x14ac:dyDescent="0.2">
      <c r="B939" s="73"/>
      <c r="C939" s="73"/>
      <c r="D939" s="73"/>
      <c r="E939" s="73"/>
      <c r="F939" s="73"/>
      <c r="G939" s="73"/>
    </row>
    <row r="940" spans="2:7" x14ac:dyDescent="0.2">
      <c r="B940" s="73"/>
      <c r="C940" s="73"/>
      <c r="D940" s="73"/>
      <c r="E940" s="73"/>
      <c r="F940" s="73"/>
      <c r="G940" s="73"/>
    </row>
    <row r="941" spans="2:7" x14ac:dyDescent="0.2">
      <c r="B941" s="73"/>
      <c r="C941" s="73"/>
      <c r="D941" s="73"/>
      <c r="E941" s="73"/>
      <c r="F941" s="73"/>
      <c r="G941" s="73"/>
    </row>
    <row r="942" spans="2:7" x14ac:dyDescent="0.2">
      <c r="B942" s="73"/>
      <c r="C942" s="73"/>
      <c r="D942" s="73"/>
      <c r="E942" s="73"/>
      <c r="F942" s="73"/>
      <c r="G942" s="73"/>
    </row>
    <row r="943" spans="2:7" x14ac:dyDescent="0.2">
      <c r="B943" s="73"/>
      <c r="C943" s="73"/>
      <c r="D943" s="73"/>
      <c r="E943" s="73"/>
      <c r="F943" s="73"/>
      <c r="G943" s="73"/>
    </row>
    <row r="944" spans="2:7" x14ac:dyDescent="0.2">
      <c r="B944" s="73"/>
      <c r="C944" s="73"/>
      <c r="D944" s="73"/>
      <c r="E944" s="73"/>
      <c r="F944" s="73"/>
      <c r="G944" s="73"/>
    </row>
    <row r="945" spans="2:7" x14ac:dyDescent="0.2">
      <c r="B945" s="73"/>
      <c r="C945" s="73"/>
      <c r="D945" s="73"/>
      <c r="E945" s="73"/>
      <c r="F945" s="73"/>
      <c r="G945" s="73"/>
    </row>
    <row r="946" spans="2:7" x14ac:dyDescent="0.2">
      <c r="B946" s="73"/>
      <c r="C946" s="73"/>
      <c r="D946" s="73"/>
      <c r="E946" s="73"/>
      <c r="F946" s="73"/>
      <c r="G946" s="73"/>
    </row>
    <row r="947" spans="2:7" x14ac:dyDescent="0.2">
      <c r="B947" s="73"/>
      <c r="C947" s="73"/>
      <c r="D947" s="73"/>
      <c r="E947" s="73"/>
      <c r="F947" s="73"/>
      <c r="G947" s="73"/>
    </row>
    <row r="948" spans="2:7" x14ac:dyDescent="0.2">
      <c r="B948" s="73"/>
      <c r="C948" s="73"/>
      <c r="D948" s="73"/>
      <c r="E948" s="73"/>
      <c r="F948" s="73"/>
      <c r="G948" s="73"/>
    </row>
    <row r="949" spans="2:7" x14ac:dyDescent="0.2">
      <c r="B949" s="73"/>
      <c r="C949" s="73"/>
      <c r="D949" s="73"/>
      <c r="E949" s="73"/>
      <c r="F949" s="73"/>
      <c r="G949" s="73"/>
    </row>
    <row r="950" spans="2:7" x14ac:dyDescent="0.2">
      <c r="B950" s="73"/>
      <c r="C950" s="73"/>
      <c r="D950" s="73"/>
      <c r="E950" s="73"/>
      <c r="F950" s="73"/>
      <c r="G950" s="73"/>
    </row>
    <row r="951" spans="2:7" x14ac:dyDescent="0.2">
      <c r="B951" s="73"/>
      <c r="C951" s="73"/>
      <c r="D951" s="73"/>
      <c r="E951" s="73"/>
      <c r="F951" s="73"/>
      <c r="G951" s="73"/>
    </row>
    <row r="952" spans="2:7" x14ac:dyDescent="0.2">
      <c r="B952" s="73"/>
      <c r="C952" s="73"/>
      <c r="D952" s="73"/>
      <c r="E952" s="73"/>
      <c r="F952" s="73"/>
      <c r="G952" s="73"/>
    </row>
    <row r="953" spans="2:7" x14ac:dyDescent="0.2">
      <c r="B953" s="73"/>
      <c r="C953" s="73"/>
      <c r="D953" s="73"/>
      <c r="E953" s="73"/>
      <c r="F953" s="73"/>
      <c r="G953" s="73"/>
    </row>
    <row r="954" spans="2:7" x14ac:dyDescent="0.2">
      <c r="B954" s="73"/>
      <c r="C954" s="73"/>
      <c r="D954" s="73"/>
      <c r="E954" s="73"/>
      <c r="F954" s="73"/>
      <c r="G954" s="73"/>
    </row>
    <row r="955" spans="2:7" x14ac:dyDescent="0.2">
      <c r="B955" s="73"/>
      <c r="C955" s="73"/>
      <c r="D955" s="73"/>
      <c r="E955" s="73"/>
      <c r="F955" s="73"/>
      <c r="G955" s="73"/>
    </row>
    <row r="956" spans="2:7" x14ac:dyDescent="0.2">
      <c r="B956" s="73"/>
      <c r="C956" s="73"/>
      <c r="D956" s="73"/>
      <c r="E956" s="73"/>
      <c r="F956" s="73"/>
      <c r="G956" s="73"/>
    </row>
    <row r="957" spans="2:7" x14ac:dyDescent="0.2">
      <c r="B957" s="73"/>
      <c r="C957" s="73"/>
      <c r="D957" s="73"/>
      <c r="E957" s="73"/>
      <c r="F957" s="73"/>
      <c r="G957" s="73"/>
    </row>
    <row r="958" spans="2:7" x14ac:dyDescent="0.2">
      <c r="B958" s="73"/>
      <c r="C958" s="73"/>
      <c r="D958" s="73"/>
      <c r="E958" s="73"/>
      <c r="F958" s="73"/>
      <c r="G958" s="73"/>
    </row>
    <row r="959" spans="2:7" x14ac:dyDescent="0.2">
      <c r="B959" s="73"/>
      <c r="C959" s="73"/>
      <c r="D959" s="73"/>
      <c r="E959" s="73"/>
      <c r="F959" s="73"/>
      <c r="G959" s="73"/>
    </row>
    <row r="960" spans="2:7" x14ac:dyDescent="0.2">
      <c r="B960" s="73"/>
      <c r="C960" s="73"/>
      <c r="D960" s="73"/>
      <c r="E960" s="73"/>
      <c r="F960" s="73"/>
      <c r="G960" s="73"/>
    </row>
    <row r="961" spans="2:7" x14ac:dyDescent="0.2">
      <c r="B961" s="73"/>
      <c r="C961" s="73"/>
      <c r="D961" s="73"/>
      <c r="E961" s="73"/>
      <c r="F961" s="73"/>
      <c r="G961" s="73"/>
    </row>
    <row r="962" spans="2:7" x14ac:dyDescent="0.2">
      <c r="B962" s="73"/>
      <c r="C962" s="73"/>
      <c r="D962" s="73"/>
      <c r="E962" s="73"/>
      <c r="F962" s="73"/>
      <c r="G962" s="73"/>
    </row>
    <row r="963" spans="2:7" x14ac:dyDescent="0.2">
      <c r="B963" s="73"/>
      <c r="C963" s="73"/>
      <c r="D963" s="73"/>
      <c r="E963" s="73"/>
      <c r="F963" s="73"/>
      <c r="G963" s="73"/>
    </row>
    <row r="964" spans="2:7" x14ac:dyDescent="0.2">
      <c r="B964" s="73"/>
      <c r="C964" s="73"/>
      <c r="D964" s="73"/>
      <c r="E964" s="73"/>
      <c r="F964" s="73"/>
      <c r="G964" s="73"/>
    </row>
    <row r="965" spans="2:7" x14ac:dyDescent="0.2">
      <c r="B965" s="73"/>
      <c r="C965" s="73"/>
      <c r="D965" s="73"/>
      <c r="E965" s="73"/>
      <c r="F965" s="73"/>
      <c r="G965" s="73"/>
    </row>
    <row r="966" spans="2:7" x14ac:dyDescent="0.2">
      <c r="B966" s="73"/>
      <c r="C966" s="73"/>
      <c r="D966" s="73"/>
      <c r="E966" s="73"/>
      <c r="F966" s="73"/>
      <c r="G966" s="73"/>
    </row>
    <row r="967" spans="2:7" x14ac:dyDescent="0.2">
      <c r="B967" s="73"/>
      <c r="C967" s="73"/>
      <c r="D967" s="73"/>
      <c r="E967" s="73"/>
      <c r="F967" s="73"/>
      <c r="G967" s="73"/>
    </row>
    <row r="968" spans="2:7" x14ac:dyDescent="0.2">
      <c r="B968" s="73"/>
      <c r="C968" s="73"/>
      <c r="D968" s="73"/>
      <c r="E968" s="73"/>
      <c r="F968" s="73"/>
      <c r="G968" s="73"/>
    </row>
    <row r="969" spans="2:7" x14ac:dyDescent="0.2">
      <c r="B969" s="73"/>
      <c r="C969" s="73"/>
      <c r="D969" s="73"/>
      <c r="E969" s="73"/>
      <c r="F969" s="73"/>
      <c r="G969" s="73"/>
    </row>
    <row r="970" spans="2:7" x14ac:dyDescent="0.2">
      <c r="B970" s="73"/>
      <c r="C970" s="73"/>
      <c r="D970" s="73"/>
      <c r="E970" s="73"/>
      <c r="F970" s="73"/>
      <c r="G970" s="73"/>
    </row>
    <row r="971" spans="2:7" x14ac:dyDescent="0.2">
      <c r="B971" s="73"/>
      <c r="C971" s="73"/>
      <c r="D971" s="73"/>
      <c r="E971" s="73"/>
      <c r="F971" s="73"/>
      <c r="G971" s="73"/>
    </row>
    <row r="972" spans="2:7" x14ac:dyDescent="0.2">
      <c r="B972" s="73"/>
      <c r="C972" s="73"/>
      <c r="D972" s="73"/>
      <c r="E972" s="73"/>
      <c r="F972" s="73"/>
      <c r="G972" s="73"/>
    </row>
    <row r="973" spans="2:7" x14ac:dyDescent="0.2">
      <c r="B973" s="73"/>
      <c r="C973" s="73"/>
      <c r="D973" s="73"/>
      <c r="E973" s="73"/>
      <c r="F973" s="73"/>
      <c r="G973" s="73"/>
    </row>
    <row r="974" spans="2:7" x14ac:dyDescent="0.2">
      <c r="B974" s="73"/>
      <c r="C974" s="73"/>
      <c r="D974" s="73"/>
      <c r="E974" s="73"/>
      <c r="F974" s="73"/>
      <c r="G974" s="73"/>
    </row>
    <row r="975" spans="2:7" x14ac:dyDescent="0.2">
      <c r="B975" s="73"/>
      <c r="C975" s="73"/>
      <c r="D975" s="73"/>
      <c r="E975" s="73"/>
      <c r="F975" s="73"/>
      <c r="G975" s="73"/>
    </row>
    <row r="976" spans="2:7" x14ac:dyDescent="0.2">
      <c r="B976" s="73"/>
      <c r="C976" s="73"/>
      <c r="D976" s="73"/>
      <c r="E976" s="73"/>
      <c r="F976" s="73"/>
      <c r="G976" s="73"/>
    </row>
    <row r="977" spans="2:7" x14ac:dyDescent="0.2">
      <c r="B977" s="73"/>
      <c r="C977" s="73"/>
      <c r="D977" s="73"/>
      <c r="E977" s="73"/>
      <c r="F977" s="73"/>
      <c r="G977" s="73"/>
    </row>
    <row r="978" spans="2:7" x14ac:dyDescent="0.2">
      <c r="B978" s="73"/>
      <c r="C978" s="73"/>
      <c r="D978" s="73"/>
      <c r="E978" s="73"/>
      <c r="F978" s="73"/>
      <c r="G978" s="73"/>
    </row>
    <row r="979" spans="2:7" x14ac:dyDescent="0.2">
      <c r="B979" s="73"/>
      <c r="C979" s="73"/>
      <c r="D979" s="73"/>
      <c r="E979" s="73"/>
      <c r="F979" s="73"/>
      <c r="G979" s="73"/>
    </row>
    <row r="980" spans="2:7" x14ac:dyDescent="0.2">
      <c r="B980" s="73"/>
      <c r="C980" s="73"/>
      <c r="D980" s="73"/>
      <c r="E980" s="73"/>
      <c r="F980" s="73"/>
      <c r="G980" s="73"/>
    </row>
    <row r="981" spans="2:7" x14ac:dyDescent="0.2">
      <c r="B981" s="73"/>
      <c r="C981" s="73"/>
      <c r="D981" s="73"/>
      <c r="E981" s="73"/>
      <c r="F981" s="73"/>
      <c r="G981" s="73"/>
    </row>
    <row r="982" spans="2:7" x14ac:dyDescent="0.2">
      <c r="B982" s="73"/>
      <c r="C982" s="73"/>
      <c r="D982" s="73"/>
      <c r="E982" s="73"/>
      <c r="F982" s="73"/>
      <c r="G982" s="73"/>
    </row>
    <row r="983" spans="2:7" x14ac:dyDescent="0.2">
      <c r="B983" s="73"/>
      <c r="C983" s="73"/>
      <c r="D983" s="73"/>
      <c r="E983" s="73"/>
      <c r="F983" s="73"/>
      <c r="G983" s="73"/>
    </row>
    <row r="984" spans="2:7" x14ac:dyDescent="0.2">
      <c r="B984" s="73"/>
      <c r="C984" s="73"/>
      <c r="D984" s="73"/>
      <c r="E984" s="73"/>
      <c r="F984" s="73"/>
      <c r="G984" s="73"/>
    </row>
    <row r="985" spans="2:7" x14ac:dyDescent="0.2">
      <c r="B985" s="73"/>
      <c r="C985" s="73"/>
      <c r="D985" s="73"/>
      <c r="E985" s="73"/>
      <c r="F985" s="73"/>
      <c r="G985" s="73"/>
    </row>
    <row r="986" spans="2:7" x14ac:dyDescent="0.2">
      <c r="B986" s="73"/>
      <c r="C986" s="73"/>
      <c r="D986" s="73"/>
      <c r="E986" s="73"/>
      <c r="F986" s="73"/>
      <c r="G986" s="73"/>
    </row>
    <row r="987" spans="2:7" x14ac:dyDescent="0.2">
      <c r="B987" s="73"/>
      <c r="C987" s="73"/>
      <c r="D987" s="73"/>
      <c r="E987" s="73"/>
      <c r="F987" s="73"/>
      <c r="G987" s="73"/>
    </row>
    <row r="988" spans="2:7" x14ac:dyDescent="0.2">
      <c r="B988" s="73"/>
      <c r="C988" s="73"/>
      <c r="D988" s="73"/>
      <c r="E988" s="73"/>
      <c r="F988" s="73"/>
      <c r="G988" s="73"/>
    </row>
    <row r="989" spans="2:7" x14ac:dyDescent="0.2">
      <c r="B989" s="73"/>
      <c r="C989" s="73"/>
      <c r="D989" s="73"/>
      <c r="E989" s="73"/>
      <c r="F989" s="73"/>
      <c r="G989" s="73"/>
    </row>
    <row r="990" spans="2:7" x14ac:dyDescent="0.2">
      <c r="B990" s="73"/>
      <c r="C990" s="73"/>
      <c r="D990" s="73"/>
      <c r="E990" s="73"/>
      <c r="F990" s="73"/>
      <c r="G990" s="73"/>
    </row>
    <row r="991" spans="2:7" x14ac:dyDescent="0.2">
      <c r="B991" s="73"/>
      <c r="C991" s="73"/>
      <c r="D991" s="73"/>
      <c r="E991" s="73"/>
      <c r="F991" s="73"/>
      <c r="G991" s="73"/>
    </row>
    <row r="992" spans="2:7" x14ac:dyDescent="0.2">
      <c r="B992" s="73"/>
      <c r="C992" s="73"/>
      <c r="D992" s="73"/>
      <c r="E992" s="73"/>
      <c r="F992" s="73"/>
      <c r="G992" s="73"/>
    </row>
    <row r="993" spans="2:7" x14ac:dyDescent="0.2">
      <c r="B993" s="73"/>
      <c r="C993" s="73"/>
      <c r="D993" s="73"/>
      <c r="E993" s="73"/>
      <c r="F993" s="73"/>
      <c r="G993" s="73"/>
    </row>
    <row r="994" spans="2:7" x14ac:dyDescent="0.2">
      <c r="B994" s="73"/>
      <c r="C994" s="73"/>
      <c r="D994" s="73"/>
      <c r="E994" s="73"/>
      <c r="F994" s="73"/>
      <c r="G994" s="73"/>
    </row>
    <row r="995" spans="2:7" x14ac:dyDescent="0.2">
      <c r="B995" s="73"/>
      <c r="C995" s="73"/>
      <c r="D995" s="73"/>
      <c r="E995" s="73"/>
      <c r="F995" s="73"/>
      <c r="G995" s="73"/>
    </row>
    <row r="996" spans="2:7" x14ac:dyDescent="0.2">
      <c r="B996" s="73"/>
      <c r="C996" s="73"/>
      <c r="D996" s="73"/>
      <c r="E996" s="73"/>
      <c r="F996" s="73"/>
      <c r="G996" s="73"/>
    </row>
    <row r="997" spans="2:7" x14ac:dyDescent="0.2">
      <c r="B997" s="73"/>
      <c r="C997" s="73"/>
      <c r="D997" s="73"/>
      <c r="E997" s="73"/>
      <c r="F997" s="73"/>
      <c r="G997" s="73"/>
    </row>
    <row r="998" spans="2:7" x14ac:dyDescent="0.2">
      <c r="B998" s="73"/>
      <c r="C998" s="73"/>
      <c r="D998" s="73"/>
      <c r="E998" s="73"/>
      <c r="F998" s="73"/>
      <c r="G998" s="73"/>
    </row>
    <row r="999" spans="2:7" x14ac:dyDescent="0.2">
      <c r="B999" s="73"/>
      <c r="C999" s="73"/>
      <c r="D999" s="73"/>
      <c r="E999" s="73"/>
      <c r="F999" s="73"/>
      <c r="G999" s="73"/>
    </row>
    <row r="1000" spans="2:7" x14ac:dyDescent="0.2">
      <c r="B1000" s="73"/>
      <c r="C1000" s="73"/>
      <c r="D1000" s="73"/>
      <c r="E1000" s="73"/>
      <c r="F1000" s="73"/>
      <c r="G1000" s="73"/>
    </row>
    <row r="1001" spans="2:7" x14ac:dyDescent="0.2">
      <c r="B1001" s="73"/>
      <c r="C1001" s="73"/>
      <c r="D1001" s="73"/>
      <c r="E1001" s="73"/>
      <c r="F1001" s="73"/>
      <c r="G1001" s="73"/>
    </row>
    <row r="1002" spans="2:7" x14ac:dyDescent="0.2">
      <c r="B1002" s="73"/>
      <c r="C1002" s="73"/>
      <c r="D1002" s="73"/>
      <c r="E1002" s="73"/>
      <c r="F1002" s="73"/>
      <c r="G1002" s="73"/>
    </row>
    <row r="1003" spans="2:7" x14ac:dyDescent="0.2">
      <c r="B1003" s="73"/>
      <c r="C1003" s="73"/>
      <c r="D1003" s="73"/>
      <c r="E1003" s="73"/>
      <c r="F1003" s="73"/>
      <c r="G1003" s="73"/>
    </row>
    <row r="1004" spans="2:7" x14ac:dyDescent="0.2">
      <c r="B1004" s="73"/>
      <c r="C1004" s="73"/>
      <c r="D1004" s="73"/>
      <c r="E1004" s="73"/>
      <c r="F1004" s="73"/>
      <c r="G1004" s="73"/>
    </row>
    <row r="1005" spans="2:7" x14ac:dyDescent="0.2">
      <c r="B1005" s="73"/>
      <c r="C1005" s="73"/>
      <c r="D1005" s="73"/>
      <c r="E1005" s="73"/>
      <c r="F1005" s="73"/>
      <c r="G1005" s="73"/>
    </row>
    <row r="1006" spans="2:7" x14ac:dyDescent="0.2">
      <c r="B1006" s="73"/>
      <c r="C1006" s="73"/>
      <c r="D1006" s="73"/>
      <c r="E1006" s="73"/>
      <c r="F1006" s="73"/>
      <c r="G1006" s="73"/>
    </row>
    <row r="1007" spans="2:7" x14ac:dyDescent="0.2">
      <c r="B1007" s="73"/>
      <c r="C1007" s="73"/>
      <c r="D1007" s="73"/>
      <c r="E1007" s="73"/>
      <c r="F1007" s="73"/>
      <c r="G1007" s="73"/>
    </row>
    <row r="1008" spans="2:7" x14ac:dyDescent="0.2">
      <c r="B1008" s="73"/>
      <c r="C1008" s="73"/>
      <c r="D1008" s="73"/>
      <c r="E1008" s="73"/>
      <c r="F1008" s="73"/>
      <c r="G1008" s="73"/>
    </row>
    <row r="1009" spans="2:7" x14ac:dyDescent="0.2">
      <c r="B1009" s="73"/>
      <c r="C1009" s="73"/>
      <c r="D1009" s="73"/>
      <c r="E1009" s="73"/>
      <c r="F1009" s="73"/>
      <c r="G1009" s="73"/>
    </row>
    <row r="1010" spans="2:7" x14ac:dyDescent="0.2">
      <c r="B1010" s="73"/>
      <c r="C1010" s="73"/>
      <c r="D1010" s="73"/>
      <c r="E1010" s="73"/>
      <c r="F1010" s="73"/>
      <c r="G1010" s="73"/>
    </row>
    <row r="1011" spans="2:7" x14ac:dyDescent="0.2">
      <c r="B1011" s="73"/>
      <c r="C1011" s="73"/>
      <c r="D1011" s="73"/>
      <c r="E1011" s="73"/>
      <c r="F1011" s="73"/>
      <c r="G1011" s="73"/>
    </row>
    <row r="1012" spans="2:7" x14ac:dyDescent="0.2">
      <c r="B1012" s="73"/>
      <c r="C1012" s="73"/>
      <c r="D1012" s="73"/>
      <c r="E1012" s="73"/>
      <c r="F1012" s="73"/>
      <c r="G1012" s="73"/>
    </row>
    <row r="1013" spans="2:7" x14ac:dyDescent="0.2">
      <c r="B1013" s="73"/>
      <c r="C1013" s="73"/>
      <c r="D1013" s="73"/>
      <c r="E1013" s="73"/>
      <c r="F1013" s="73"/>
      <c r="G1013" s="73"/>
    </row>
    <row r="1014" spans="2:7" x14ac:dyDescent="0.2">
      <c r="B1014" s="73"/>
      <c r="C1014" s="73"/>
      <c r="D1014" s="73"/>
      <c r="E1014" s="73"/>
      <c r="F1014" s="73"/>
      <c r="G1014" s="73"/>
    </row>
    <row r="1015" spans="2:7" x14ac:dyDescent="0.2">
      <c r="B1015" s="73"/>
      <c r="C1015" s="73"/>
      <c r="D1015" s="73"/>
      <c r="E1015" s="73"/>
      <c r="F1015" s="73"/>
      <c r="G1015" s="73"/>
    </row>
    <row r="1016" spans="2:7" x14ac:dyDescent="0.2">
      <c r="B1016" s="73"/>
      <c r="C1016" s="73"/>
      <c r="D1016" s="73"/>
      <c r="E1016" s="73"/>
      <c r="F1016" s="73"/>
      <c r="G1016" s="73"/>
    </row>
    <row r="1017" spans="2:7" x14ac:dyDescent="0.2">
      <c r="B1017" s="73"/>
      <c r="C1017" s="73"/>
      <c r="D1017" s="73"/>
      <c r="E1017" s="73"/>
      <c r="F1017" s="73"/>
      <c r="G1017" s="73"/>
    </row>
    <row r="1018" spans="2:7" x14ac:dyDescent="0.2">
      <c r="B1018" s="73"/>
      <c r="C1018" s="73"/>
      <c r="D1018" s="73"/>
      <c r="E1018" s="73"/>
      <c r="F1018" s="73"/>
      <c r="G1018" s="73"/>
    </row>
    <row r="1019" spans="2:7" x14ac:dyDescent="0.2">
      <c r="B1019" s="73"/>
      <c r="C1019" s="73"/>
      <c r="D1019" s="73"/>
      <c r="E1019" s="73"/>
      <c r="F1019" s="73"/>
      <c r="G1019" s="73"/>
    </row>
    <row r="1020" spans="2:7" x14ac:dyDescent="0.2">
      <c r="B1020" s="73"/>
      <c r="C1020" s="73"/>
      <c r="D1020" s="73"/>
      <c r="E1020" s="73"/>
      <c r="F1020" s="73"/>
      <c r="G1020" s="73"/>
    </row>
    <row r="1021" spans="2:7" x14ac:dyDescent="0.2">
      <c r="B1021" s="73"/>
      <c r="C1021" s="73"/>
      <c r="D1021" s="73"/>
      <c r="E1021" s="73"/>
      <c r="F1021" s="73"/>
      <c r="G1021" s="73"/>
    </row>
    <row r="1022" spans="2:7" x14ac:dyDescent="0.2">
      <c r="B1022" s="73"/>
      <c r="C1022" s="73"/>
      <c r="D1022" s="73"/>
      <c r="E1022" s="73"/>
      <c r="F1022" s="73"/>
      <c r="G1022" s="73"/>
    </row>
    <row r="1023" spans="2:7" x14ac:dyDescent="0.2">
      <c r="B1023" s="73"/>
      <c r="C1023" s="73"/>
      <c r="D1023" s="73"/>
      <c r="E1023" s="73"/>
      <c r="F1023" s="73"/>
      <c r="G1023" s="73"/>
    </row>
    <row r="1024" spans="2:7" x14ac:dyDescent="0.2">
      <c r="B1024" s="73"/>
      <c r="C1024" s="73"/>
      <c r="D1024" s="73"/>
      <c r="E1024" s="73"/>
      <c r="F1024" s="73"/>
      <c r="G1024" s="73"/>
    </row>
    <row r="1025" spans="2:7" x14ac:dyDescent="0.2">
      <c r="B1025" s="73"/>
      <c r="C1025" s="73"/>
      <c r="D1025" s="73"/>
      <c r="E1025" s="73"/>
      <c r="F1025" s="73"/>
      <c r="G1025" s="73"/>
    </row>
    <row r="1026" spans="2:7" x14ac:dyDescent="0.2">
      <c r="B1026" s="73"/>
      <c r="C1026" s="73"/>
      <c r="D1026" s="73"/>
      <c r="E1026" s="73"/>
      <c r="F1026" s="73"/>
      <c r="G1026" s="73"/>
    </row>
    <row r="1027" spans="2:7" x14ac:dyDescent="0.2">
      <c r="B1027" s="73"/>
      <c r="C1027" s="73"/>
      <c r="D1027" s="73"/>
      <c r="E1027" s="73"/>
      <c r="F1027" s="73"/>
      <c r="G1027" s="73"/>
    </row>
    <row r="1028" spans="2:7" x14ac:dyDescent="0.2">
      <c r="B1028" s="73"/>
      <c r="C1028" s="73"/>
      <c r="D1028" s="73"/>
      <c r="E1028" s="73"/>
      <c r="F1028" s="73"/>
      <c r="G1028" s="73"/>
    </row>
    <row r="1029" spans="2:7" x14ac:dyDescent="0.2">
      <c r="B1029" s="73"/>
      <c r="C1029" s="73"/>
      <c r="D1029" s="73"/>
      <c r="E1029" s="73"/>
      <c r="F1029" s="73"/>
      <c r="G1029" s="73"/>
    </row>
    <row r="1030" spans="2:7" x14ac:dyDescent="0.2">
      <c r="B1030" s="73"/>
      <c r="C1030" s="73"/>
      <c r="D1030" s="73"/>
      <c r="E1030" s="73"/>
      <c r="F1030" s="73"/>
      <c r="G1030" s="73"/>
    </row>
    <row r="1031" spans="2:7" x14ac:dyDescent="0.2">
      <c r="B1031" s="73"/>
      <c r="C1031" s="73"/>
      <c r="D1031" s="73"/>
      <c r="E1031" s="73"/>
      <c r="F1031" s="73"/>
      <c r="G1031" s="73"/>
    </row>
    <row r="1032" spans="2:7" x14ac:dyDescent="0.2">
      <c r="B1032" s="73"/>
      <c r="C1032" s="73"/>
      <c r="D1032" s="73"/>
      <c r="E1032" s="73"/>
      <c r="F1032" s="73"/>
      <c r="G1032" s="73"/>
    </row>
    <row r="1033" spans="2:7" x14ac:dyDescent="0.2">
      <c r="B1033" s="73"/>
      <c r="C1033" s="73"/>
      <c r="D1033" s="73"/>
      <c r="E1033" s="73"/>
      <c r="F1033" s="73"/>
      <c r="G1033" s="73"/>
    </row>
    <row r="1034" spans="2:7" x14ac:dyDescent="0.2">
      <c r="B1034" s="73"/>
      <c r="C1034" s="73"/>
      <c r="D1034" s="73"/>
      <c r="E1034" s="73"/>
      <c r="F1034" s="73"/>
      <c r="G1034" s="73"/>
    </row>
    <row r="1035" spans="2:7" x14ac:dyDescent="0.2">
      <c r="B1035" s="73"/>
      <c r="C1035" s="73"/>
      <c r="D1035" s="73"/>
      <c r="E1035" s="73"/>
      <c r="F1035" s="73"/>
      <c r="G1035" s="73"/>
    </row>
    <row r="1036" spans="2:7" x14ac:dyDescent="0.2">
      <c r="B1036" s="73"/>
      <c r="C1036" s="73"/>
      <c r="D1036" s="73"/>
      <c r="E1036" s="73"/>
      <c r="F1036" s="73"/>
      <c r="G1036" s="73"/>
    </row>
    <row r="1037" spans="2:7" x14ac:dyDescent="0.2">
      <c r="B1037" s="73"/>
      <c r="C1037" s="73"/>
      <c r="D1037" s="73"/>
      <c r="E1037" s="73"/>
      <c r="F1037" s="73"/>
      <c r="G1037" s="73"/>
    </row>
    <row r="1038" spans="2:7" x14ac:dyDescent="0.2">
      <c r="B1038" s="73"/>
      <c r="C1038" s="73"/>
      <c r="D1038" s="73"/>
      <c r="E1038" s="73"/>
      <c r="F1038" s="73"/>
      <c r="G1038" s="73"/>
    </row>
    <row r="1039" spans="2:7" x14ac:dyDescent="0.2">
      <c r="B1039" s="73"/>
      <c r="C1039" s="73"/>
      <c r="D1039" s="73"/>
      <c r="E1039" s="73"/>
      <c r="F1039" s="73"/>
      <c r="G1039" s="73"/>
    </row>
    <row r="1040" spans="2:7" x14ac:dyDescent="0.2">
      <c r="B1040" s="73"/>
      <c r="C1040" s="73"/>
      <c r="D1040" s="73"/>
      <c r="E1040" s="73"/>
      <c r="F1040" s="73"/>
      <c r="G1040" s="73"/>
    </row>
    <row r="1041" spans="2:7" x14ac:dyDescent="0.2">
      <c r="B1041" s="73"/>
      <c r="C1041" s="73"/>
      <c r="D1041" s="73"/>
      <c r="E1041" s="73"/>
      <c r="F1041" s="73"/>
      <c r="G1041" s="73"/>
    </row>
    <row r="1042" spans="2:7" x14ac:dyDescent="0.2">
      <c r="B1042" s="73"/>
      <c r="C1042" s="73"/>
      <c r="D1042" s="73"/>
      <c r="E1042" s="73"/>
      <c r="F1042" s="73"/>
      <c r="G1042" s="73"/>
    </row>
    <row r="1043" spans="2:7" x14ac:dyDescent="0.2">
      <c r="B1043" s="73"/>
      <c r="C1043" s="73"/>
      <c r="D1043" s="73"/>
      <c r="E1043" s="73"/>
      <c r="F1043" s="73"/>
      <c r="G1043" s="73"/>
    </row>
    <row r="1044" spans="2:7" x14ac:dyDescent="0.2">
      <c r="B1044" s="73"/>
      <c r="C1044" s="73"/>
      <c r="D1044" s="73"/>
      <c r="E1044" s="73"/>
      <c r="F1044" s="73"/>
      <c r="G1044" s="73"/>
    </row>
    <row r="1045" spans="2:7" x14ac:dyDescent="0.2">
      <c r="B1045" s="73"/>
      <c r="C1045" s="73"/>
      <c r="D1045" s="73"/>
      <c r="E1045" s="73"/>
      <c r="F1045" s="73"/>
      <c r="G1045" s="73"/>
    </row>
    <row r="1046" spans="2:7" x14ac:dyDescent="0.2">
      <c r="B1046" s="73"/>
      <c r="C1046" s="73"/>
      <c r="D1046" s="73"/>
      <c r="E1046" s="73"/>
      <c r="F1046" s="73"/>
      <c r="G1046" s="73"/>
    </row>
    <row r="1047" spans="2:7" x14ac:dyDescent="0.2">
      <c r="B1047" s="73"/>
      <c r="C1047" s="73"/>
      <c r="D1047" s="73"/>
      <c r="E1047" s="73"/>
      <c r="F1047" s="73"/>
      <c r="G1047" s="73"/>
    </row>
    <row r="1048" spans="2:7" x14ac:dyDescent="0.2">
      <c r="B1048" s="73"/>
      <c r="C1048" s="73"/>
      <c r="D1048" s="73"/>
      <c r="E1048" s="73"/>
      <c r="F1048" s="73"/>
      <c r="G1048" s="73"/>
    </row>
    <row r="1049" spans="2:7" x14ac:dyDescent="0.2">
      <c r="B1049" s="73"/>
      <c r="C1049" s="73"/>
      <c r="D1049" s="73"/>
      <c r="E1049" s="73"/>
      <c r="F1049" s="73"/>
      <c r="G1049" s="73"/>
    </row>
    <row r="1050" spans="2:7" x14ac:dyDescent="0.2">
      <c r="B1050" s="73"/>
      <c r="C1050" s="73"/>
      <c r="D1050" s="73"/>
      <c r="E1050" s="73"/>
      <c r="F1050" s="73"/>
      <c r="G1050" s="73"/>
    </row>
    <row r="1051" spans="2:7" x14ac:dyDescent="0.2">
      <c r="B1051" s="73"/>
      <c r="C1051" s="73"/>
      <c r="D1051" s="73"/>
      <c r="E1051" s="73"/>
      <c r="F1051" s="73"/>
      <c r="G1051" s="73"/>
    </row>
    <row r="1052" spans="2:7" x14ac:dyDescent="0.2">
      <c r="B1052" s="73"/>
      <c r="C1052" s="73"/>
      <c r="D1052" s="73"/>
      <c r="E1052" s="73"/>
      <c r="F1052" s="73"/>
      <c r="G1052" s="73"/>
    </row>
    <row r="1053" spans="2:7" x14ac:dyDescent="0.2">
      <c r="B1053" s="73"/>
      <c r="C1053" s="73"/>
      <c r="D1053" s="73"/>
      <c r="E1053" s="73"/>
      <c r="F1053" s="73"/>
      <c r="G1053" s="73"/>
    </row>
    <row r="1054" spans="2:7" x14ac:dyDescent="0.2">
      <c r="B1054" s="73"/>
      <c r="C1054" s="73"/>
      <c r="D1054" s="73"/>
      <c r="E1054" s="73"/>
      <c r="F1054" s="73"/>
      <c r="G1054" s="73"/>
    </row>
    <row r="1055" spans="2:7" x14ac:dyDescent="0.2">
      <c r="B1055" s="73"/>
      <c r="C1055" s="73"/>
      <c r="D1055" s="73"/>
      <c r="E1055" s="73"/>
      <c r="F1055" s="73"/>
      <c r="G1055" s="73"/>
    </row>
    <row r="1056" spans="2:7" x14ac:dyDescent="0.2">
      <c r="B1056" s="73"/>
      <c r="C1056" s="73"/>
      <c r="D1056" s="73"/>
      <c r="E1056" s="73"/>
      <c r="F1056" s="73"/>
      <c r="G1056" s="73"/>
    </row>
    <row r="1057" spans="2:7" x14ac:dyDescent="0.2">
      <c r="B1057" s="73"/>
      <c r="C1057" s="73"/>
      <c r="D1057" s="73"/>
      <c r="E1057" s="73"/>
      <c r="F1057" s="73"/>
      <c r="G1057" s="73"/>
    </row>
    <row r="1058" spans="2:7" x14ac:dyDescent="0.2">
      <c r="B1058" s="73"/>
      <c r="C1058" s="73"/>
      <c r="D1058" s="73"/>
      <c r="E1058" s="73"/>
      <c r="F1058" s="73"/>
      <c r="G1058" s="73"/>
    </row>
    <row r="1059" spans="2:7" x14ac:dyDescent="0.2">
      <c r="B1059" s="73"/>
      <c r="C1059" s="73"/>
      <c r="D1059" s="73"/>
      <c r="E1059" s="73"/>
      <c r="F1059" s="73"/>
      <c r="G1059" s="73"/>
    </row>
    <row r="1060" spans="2:7" x14ac:dyDescent="0.2">
      <c r="B1060" s="73"/>
      <c r="C1060" s="73"/>
      <c r="D1060" s="73"/>
      <c r="E1060" s="73"/>
      <c r="F1060" s="73"/>
      <c r="G1060" s="73"/>
    </row>
    <row r="1061" spans="2:7" x14ac:dyDescent="0.2">
      <c r="B1061" s="73"/>
      <c r="C1061" s="73"/>
      <c r="D1061" s="73"/>
      <c r="E1061" s="73"/>
      <c r="F1061" s="73"/>
      <c r="G1061" s="73"/>
    </row>
    <row r="1062" spans="2:7" x14ac:dyDescent="0.2">
      <c r="B1062" s="73"/>
      <c r="C1062" s="73"/>
      <c r="D1062" s="73"/>
      <c r="E1062" s="73"/>
      <c r="F1062" s="73"/>
      <c r="G1062" s="73"/>
    </row>
    <row r="1063" spans="2:7" x14ac:dyDescent="0.2">
      <c r="B1063" s="73"/>
      <c r="C1063" s="73"/>
      <c r="D1063" s="73"/>
      <c r="E1063" s="73"/>
      <c r="F1063" s="73"/>
      <c r="G1063" s="73"/>
    </row>
    <row r="1064" spans="2:7" x14ac:dyDescent="0.2">
      <c r="B1064" s="73"/>
      <c r="C1064" s="73"/>
      <c r="D1064" s="73"/>
      <c r="E1064" s="73"/>
      <c r="F1064" s="73"/>
      <c r="G1064" s="73"/>
    </row>
    <row r="1065" spans="2:7" x14ac:dyDescent="0.2">
      <c r="B1065" s="73"/>
      <c r="C1065" s="73"/>
      <c r="D1065" s="73"/>
      <c r="E1065" s="73"/>
      <c r="F1065" s="73"/>
      <c r="G1065" s="73"/>
    </row>
    <row r="1066" spans="2:7" x14ac:dyDescent="0.2">
      <c r="B1066" s="73"/>
      <c r="C1066" s="73"/>
      <c r="D1066" s="73"/>
      <c r="E1066" s="73"/>
      <c r="F1066" s="73"/>
      <c r="G1066" s="73"/>
    </row>
    <row r="1067" spans="2:7" x14ac:dyDescent="0.2">
      <c r="B1067" s="73"/>
      <c r="C1067" s="73"/>
      <c r="D1067" s="73"/>
      <c r="E1067" s="73"/>
      <c r="F1067" s="73"/>
      <c r="G1067" s="73"/>
    </row>
    <row r="1068" spans="2:7" x14ac:dyDescent="0.2">
      <c r="B1068" s="73"/>
      <c r="C1068" s="73"/>
      <c r="D1068" s="73"/>
      <c r="E1068" s="73"/>
      <c r="F1068" s="73"/>
      <c r="G1068" s="73"/>
    </row>
    <row r="1069" spans="2:7" x14ac:dyDescent="0.2">
      <c r="B1069" s="73"/>
      <c r="C1069" s="73"/>
      <c r="D1069" s="73"/>
      <c r="E1069" s="73"/>
      <c r="F1069" s="73"/>
      <c r="G1069" s="73"/>
    </row>
    <row r="1070" spans="2:7" x14ac:dyDescent="0.2">
      <c r="B1070" s="73"/>
      <c r="C1070" s="73"/>
      <c r="D1070" s="73"/>
      <c r="E1070" s="73"/>
      <c r="F1070" s="73"/>
      <c r="G1070" s="73"/>
    </row>
    <row r="1071" spans="2:7" x14ac:dyDescent="0.2">
      <c r="B1071" s="73"/>
      <c r="C1071" s="73"/>
      <c r="D1071" s="73"/>
      <c r="E1071" s="73"/>
      <c r="F1071" s="73"/>
      <c r="G1071" s="73"/>
    </row>
    <row r="1072" spans="2:7" x14ac:dyDescent="0.2">
      <c r="B1072" s="73"/>
      <c r="C1072" s="73"/>
      <c r="D1072" s="73"/>
      <c r="E1072" s="73"/>
      <c r="F1072" s="73"/>
      <c r="G1072" s="73"/>
    </row>
    <row r="1073" spans="2:7" x14ac:dyDescent="0.2">
      <c r="B1073" s="73"/>
      <c r="C1073" s="73"/>
      <c r="D1073" s="73"/>
      <c r="E1073" s="73"/>
      <c r="F1073" s="73"/>
      <c r="G1073" s="73"/>
    </row>
    <row r="1074" spans="2:7" x14ac:dyDescent="0.2">
      <c r="B1074" s="73"/>
      <c r="C1074" s="73"/>
      <c r="D1074" s="73"/>
      <c r="E1074" s="73"/>
      <c r="F1074" s="73"/>
      <c r="G1074" s="73"/>
    </row>
    <row r="1075" spans="2:7" x14ac:dyDescent="0.2">
      <c r="B1075" s="73"/>
      <c r="C1075" s="73"/>
      <c r="D1075" s="73"/>
      <c r="E1075" s="73"/>
      <c r="F1075" s="73"/>
      <c r="G1075" s="73"/>
    </row>
    <row r="1076" spans="2:7" x14ac:dyDescent="0.2">
      <c r="B1076" s="73"/>
      <c r="C1076" s="73"/>
      <c r="D1076" s="73"/>
      <c r="E1076" s="73"/>
      <c r="F1076" s="73"/>
      <c r="G1076" s="73"/>
    </row>
    <row r="1077" spans="2:7" x14ac:dyDescent="0.2">
      <c r="B1077" s="73"/>
      <c r="C1077" s="73"/>
      <c r="D1077" s="73"/>
      <c r="E1077" s="73"/>
      <c r="F1077" s="73"/>
      <c r="G1077" s="73"/>
    </row>
    <row r="1078" spans="2:7" x14ac:dyDescent="0.2">
      <c r="B1078" s="73"/>
      <c r="C1078" s="73"/>
      <c r="D1078" s="73"/>
      <c r="E1078" s="73"/>
      <c r="F1078" s="73"/>
      <c r="G1078" s="73"/>
    </row>
    <row r="1079" spans="2:7" x14ac:dyDescent="0.2">
      <c r="B1079" s="73"/>
      <c r="C1079" s="73"/>
      <c r="D1079" s="73"/>
      <c r="E1079" s="73"/>
      <c r="F1079" s="73"/>
      <c r="G1079" s="73"/>
    </row>
    <row r="1080" spans="2:7" x14ac:dyDescent="0.2">
      <c r="B1080" s="73"/>
      <c r="C1080" s="73"/>
      <c r="D1080" s="73"/>
      <c r="E1080" s="73"/>
      <c r="F1080" s="73"/>
      <c r="G1080" s="73"/>
    </row>
    <row r="1081" spans="2:7" x14ac:dyDescent="0.2">
      <c r="B1081" s="73"/>
      <c r="C1081" s="73"/>
      <c r="D1081" s="73"/>
      <c r="E1081" s="73"/>
      <c r="F1081" s="73"/>
      <c r="G1081" s="73"/>
    </row>
    <row r="1082" spans="2:7" x14ac:dyDescent="0.2">
      <c r="B1082" s="73"/>
      <c r="C1082" s="73"/>
      <c r="D1082" s="73"/>
      <c r="E1082" s="73"/>
      <c r="F1082" s="73"/>
      <c r="G1082" s="73"/>
    </row>
    <row r="1083" spans="2:7" x14ac:dyDescent="0.2">
      <c r="B1083" s="73"/>
      <c r="C1083" s="73"/>
      <c r="D1083" s="73"/>
      <c r="E1083" s="73"/>
      <c r="F1083" s="73"/>
      <c r="G1083" s="73"/>
    </row>
    <row r="1084" spans="2:7" x14ac:dyDescent="0.2">
      <c r="B1084" s="73"/>
      <c r="C1084" s="73"/>
      <c r="D1084" s="73"/>
      <c r="E1084" s="73"/>
      <c r="F1084" s="73"/>
      <c r="G1084" s="73"/>
    </row>
    <row r="1085" spans="2:7" x14ac:dyDescent="0.2">
      <c r="B1085" s="73"/>
      <c r="C1085" s="73"/>
      <c r="D1085" s="73"/>
      <c r="E1085" s="73"/>
      <c r="F1085" s="73"/>
      <c r="G1085" s="73"/>
    </row>
    <row r="1086" spans="2:7" x14ac:dyDescent="0.2">
      <c r="B1086" s="73"/>
      <c r="C1086" s="73"/>
      <c r="D1086" s="73"/>
      <c r="E1086" s="73"/>
      <c r="F1086" s="73"/>
      <c r="G1086" s="73"/>
    </row>
    <row r="1087" spans="2:7" x14ac:dyDescent="0.2">
      <c r="B1087" s="73"/>
      <c r="C1087" s="73"/>
      <c r="D1087" s="73"/>
      <c r="E1087" s="73"/>
      <c r="F1087" s="73"/>
      <c r="G1087" s="73"/>
    </row>
    <row r="1088" spans="2:7" x14ac:dyDescent="0.2">
      <c r="B1088" s="73"/>
      <c r="C1088" s="73"/>
      <c r="D1088" s="73"/>
      <c r="E1088" s="73"/>
      <c r="F1088" s="73"/>
      <c r="G1088" s="73"/>
    </row>
    <row r="1089" spans="2:7" x14ac:dyDescent="0.2">
      <c r="B1089" s="73"/>
      <c r="C1089" s="73"/>
      <c r="D1089" s="73"/>
      <c r="E1089" s="73"/>
      <c r="F1089" s="73"/>
      <c r="G1089" s="73"/>
    </row>
    <row r="1090" spans="2:7" x14ac:dyDescent="0.2">
      <c r="B1090" s="73"/>
      <c r="C1090" s="73"/>
      <c r="D1090" s="73"/>
      <c r="E1090" s="73"/>
      <c r="F1090" s="73"/>
      <c r="G1090" s="73"/>
    </row>
    <row r="1091" spans="2:7" x14ac:dyDescent="0.2">
      <c r="B1091" s="73"/>
      <c r="C1091" s="73"/>
      <c r="D1091" s="73"/>
      <c r="E1091" s="73"/>
      <c r="F1091" s="73"/>
      <c r="G1091" s="73"/>
    </row>
    <row r="1092" spans="2:7" x14ac:dyDescent="0.2">
      <c r="B1092" s="73"/>
      <c r="C1092" s="73"/>
      <c r="D1092" s="73"/>
      <c r="E1092" s="73"/>
      <c r="F1092" s="73"/>
      <c r="G1092" s="73"/>
    </row>
    <row r="1093" spans="2:7" x14ac:dyDescent="0.2">
      <c r="B1093" s="73"/>
      <c r="C1093" s="73"/>
      <c r="D1093" s="73"/>
      <c r="E1093" s="73"/>
      <c r="F1093" s="73"/>
      <c r="G1093" s="73"/>
    </row>
    <row r="1094" spans="2:7" x14ac:dyDescent="0.2">
      <c r="B1094" s="73"/>
      <c r="C1094" s="73"/>
      <c r="D1094" s="73"/>
      <c r="E1094" s="73"/>
      <c r="F1094" s="73"/>
      <c r="G1094" s="73"/>
    </row>
    <row r="1095" spans="2:7" x14ac:dyDescent="0.2">
      <c r="B1095" s="73"/>
      <c r="C1095" s="73"/>
      <c r="D1095" s="73"/>
      <c r="E1095" s="73"/>
      <c r="F1095" s="73"/>
      <c r="G1095" s="73"/>
    </row>
    <row r="1096" spans="2:7" x14ac:dyDescent="0.2">
      <c r="B1096" s="73"/>
      <c r="C1096" s="73"/>
      <c r="D1096" s="73"/>
      <c r="E1096" s="73"/>
      <c r="F1096" s="73"/>
      <c r="G1096" s="73"/>
    </row>
    <row r="1097" spans="2:7" x14ac:dyDescent="0.2">
      <c r="B1097" s="73"/>
      <c r="C1097" s="73"/>
      <c r="D1097" s="73"/>
      <c r="E1097" s="73"/>
      <c r="F1097" s="73"/>
      <c r="G1097" s="73"/>
    </row>
    <row r="1098" spans="2:7" x14ac:dyDescent="0.2">
      <c r="B1098" s="73"/>
      <c r="C1098" s="73"/>
      <c r="D1098" s="73"/>
      <c r="E1098" s="73"/>
      <c r="F1098" s="73"/>
      <c r="G1098" s="73"/>
    </row>
    <row r="1099" spans="2:7" x14ac:dyDescent="0.2">
      <c r="B1099" s="73"/>
      <c r="C1099" s="73"/>
      <c r="D1099" s="73"/>
      <c r="E1099" s="73"/>
      <c r="F1099" s="73"/>
      <c r="G1099" s="73"/>
    </row>
    <row r="1100" spans="2:7" x14ac:dyDescent="0.2">
      <c r="B1100" s="73"/>
      <c r="C1100" s="73"/>
      <c r="D1100" s="73"/>
      <c r="E1100" s="73"/>
      <c r="F1100" s="73"/>
      <c r="G1100" s="73"/>
    </row>
    <row r="1101" spans="2:7" x14ac:dyDescent="0.2">
      <c r="B1101" s="73"/>
      <c r="C1101" s="73"/>
      <c r="D1101" s="73"/>
      <c r="E1101" s="73"/>
      <c r="F1101" s="73"/>
      <c r="G1101" s="73"/>
    </row>
    <row r="1102" spans="2:7" x14ac:dyDescent="0.2">
      <c r="B1102" s="73"/>
      <c r="C1102" s="73"/>
      <c r="D1102" s="73"/>
      <c r="E1102" s="73"/>
      <c r="F1102" s="73"/>
      <c r="G1102" s="73"/>
    </row>
    <row r="1103" spans="2:7" x14ac:dyDescent="0.2">
      <c r="B1103" s="73"/>
      <c r="C1103" s="73"/>
      <c r="D1103" s="73"/>
      <c r="E1103" s="73"/>
      <c r="F1103" s="73"/>
      <c r="G1103" s="73"/>
    </row>
    <row r="1104" spans="2:7" x14ac:dyDescent="0.2">
      <c r="B1104" s="73"/>
      <c r="C1104" s="73"/>
      <c r="D1104" s="73"/>
      <c r="E1104" s="73"/>
      <c r="F1104" s="73"/>
      <c r="G1104" s="73"/>
    </row>
    <row r="1105" spans="2:7" x14ac:dyDescent="0.2">
      <c r="B1105" s="73"/>
      <c r="C1105" s="73"/>
      <c r="D1105" s="73"/>
      <c r="E1105" s="73"/>
      <c r="F1105" s="73"/>
      <c r="G1105" s="73"/>
    </row>
    <row r="1106" spans="2:7" x14ac:dyDescent="0.2">
      <c r="B1106" s="73"/>
      <c r="C1106" s="73"/>
      <c r="D1106" s="73"/>
      <c r="E1106" s="73"/>
      <c r="F1106" s="73"/>
      <c r="G1106" s="73"/>
    </row>
    <row r="1107" spans="2:7" x14ac:dyDescent="0.2">
      <c r="B1107" s="73"/>
      <c r="C1107" s="73"/>
      <c r="D1107" s="73"/>
      <c r="E1107" s="73"/>
      <c r="F1107" s="73"/>
      <c r="G1107" s="73"/>
    </row>
    <row r="1108" spans="2:7" x14ac:dyDescent="0.2">
      <c r="B1108" s="73"/>
      <c r="C1108" s="73"/>
      <c r="D1108" s="73"/>
      <c r="E1108" s="73"/>
      <c r="F1108" s="73"/>
      <c r="G1108" s="73"/>
    </row>
    <row r="1109" spans="2:7" x14ac:dyDescent="0.2">
      <c r="B1109" s="73"/>
      <c r="C1109" s="73"/>
      <c r="D1109" s="73"/>
      <c r="E1109" s="73"/>
      <c r="F1109" s="73"/>
      <c r="G1109" s="73"/>
    </row>
    <row r="1110" spans="2:7" x14ac:dyDescent="0.2">
      <c r="B1110" s="73"/>
      <c r="C1110" s="73"/>
      <c r="D1110" s="73"/>
      <c r="E1110" s="73"/>
      <c r="F1110" s="73"/>
      <c r="G1110" s="73"/>
    </row>
    <row r="1111" spans="2:7" x14ac:dyDescent="0.2">
      <c r="B1111" s="73"/>
      <c r="C1111" s="73"/>
      <c r="D1111" s="73"/>
      <c r="E1111" s="73"/>
      <c r="F1111" s="73"/>
      <c r="G1111" s="73"/>
    </row>
    <row r="1112" spans="2:7" x14ac:dyDescent="0.2">
      <c r="B1112" s="73"/>
      <c r="C1112" s="73"/>
      <c r="D1112" s="73"/>
      <c r="E1112" s="73"/>
      <c r="F1112" s="73"/>
      <c r="G1112" s="73"/>
    </row>
    <row r="1113" spans="2:7" x14ac:dyDescent="0.2">
      <c r="B1113" s="73"/>
      <c r="C1113" s="73"/>
      <c r="D1113" s="73"/>
      <c r="E1113" s="73"/>
      <c r="F1113" s="73"/>
      <c r="G1113" s="73"/>
    </row>
    <row r="1114" spans="2:7" x14ac:dyDescent="0.2">
      <c r="B1114" s="73"/>
      <c r="C1114" s="73"/>
      <c r="D1114" s="73"/>
      <c r="E1114" s="73"/>
      <c r="F1114" s="73"/>
      <c r="G1114" s="73"/>
    </row>
    <row r="1115" spans="2:7" x14ac:dyDescent="0.2">
      <c r="B1115" s="73"/>
      <c r="C1115" s="73"/>
      <c r="D1115" s="73"/>
      <c r="E1115" s="73"/>
      <c r="F1115" s="73"/>
      <c r="G1115" s="73"/>
    </row>
    <row r="1116" spans="2:7" x14ac:dyDescent="0.2">
      <c r="B1116" s="73"/>
      <c r="C1116" s="73"/>
      <c r="D1116" s="73"/>
      <c r="E1116" s="73"/>
      <c r="F1116" s="73"/>
      <c r="G1116" s="73"/>
    </row>
    <row r="1117" spans="2:7" x14ac:dyDescent="0.2">
      <c r="B1117" s="73"/>
      <c r="C1117" s="73"/>
      <c r="D1117" s="73"/>
      <c r="E1117" s="73"/>
      <c r="F1117" s="73"/>
      <c r="G1117" s="73"/>
    </row>
    <row r="1118" spans="2:7" x14ac:dyDescent="0.2">
      <c r="B1118" s="73"/>
      <c r="C1118" s="73"/>
      <c r="D1118" s="73"/>
      <c r="E1118" s="73"/>
      <c r="F1118" s="73"/>
      <c r="G1118" s="73"/>
    </row>
    <row r="1119" spans="2:7" x14ac:dyDescent="0.2">
      <c r="B1119" s="73"/>
      <c r="C1119" s="73"/>
      <c r="D1119" s="73"/>
      <c r="E1119" s="73"/>
      <c r="F1119" s="73"/>
      <c r="G1119" s="73"/>
    </row>
    <row r="1120" spans="2:7" x14ac:dyDescent="0.2">
      <c r="B1120" s="73"/>
      <c r="C1120" s="73"/>
      <c r="D1120" s="73"/>
      <c r="E1120" s="73"/>
      <c r="F1120" s="73"/>
      <c r="G1120" s="73"/>
    </row>
    <row r="1121" spans="2:7" x14ac:dyDescent="0.2">
      <c r="B1121" s="73"/>
      <c r="C1121" s="73"/>
      <c r="D1121" s="73"/>
      <c r="E1121" s="73"/>
      <c r="F1121" s="73"/>
      <c r="G1121" s="73"/>
    </row>
    <row r="1122" spans="2:7" x14ac:dyDescent="0.2">
      <c r="B1122" s="73"/>
      <c r="C1122" s="73"/>
      <c r="D1122" s="73"/>
      <c r="E1122" s="73"/>
      <c r="F1122" s="73"/>
      <c r="G1122" s="73"/>
    </row>
    <row r="1123" spans="2:7" x14ac:dyDescent="0.2">
      <c r="B1123" s="73"/>
      <c r="C1123" s="73"/>
      <c r="D1123" s="73"/>
      <c r="E1123" s="73"/>
      <c r="F1123" s="73"/>
      <c r="G1123" s="73"/>
    </row>
    <row r="1124" spans="2:7" x14ac:dyDescent="0.2">
      <c r="B1124" s="73"/>
      <c r="C1124" s="73"/>
      <c r="D1124" s="73"/>
      <c r="E1124" s="73"/>
      <c r="F1124" s="73"/>
      <c r="G1124" s="73"/>
    </row>
    <row r="1125" spans="2:7" x14ac:dyDescent="0.2">
      <c r="B1125" s="73"/>
      <c r="C1125" s="73"/>
      <c r="D1125" s="73"/>
      <c r="E1125" s="73"/>
      <c r="F1125" s="73"/>
      <c r="G1125" s="73"/>
    </row>
    <row r="1126" spans="2:7" x14ac:dyDescent="0.2">
      <c r="B1126" s="73"/>
      <c r="C1126" s="73"/>
      <c r="D1126" s="73"/>
      <c r="E1126" s="73"/>
      <c r="F1126" s="73"/>
      <c r="G1126" s="73"/>
    </row>
    <row r="1127" spans="2:7" x14ac:dyDescent="0.2">
      <c r="B1127" s="73"/>
      <c r="C1127" s="73"/>
      <c r="D1127" s="73"/>
      <c r="E1127" s="73"/>
      <c r="F1127" s="73"/>
      <c r="G1127" s="73"/>
    </row>
    <row r="1128" spans="2:7" x14ac:dyDescent="0.2">
      <c r="B1128" s="73"/>
      <c r="C1128" s="73"/>
      <c r="D1128" s="73"/>
      <c r="E1128" s="73"/>
      <c r="F1128" s="73"/>
      <c r="G1128" s="73"/>
    </row>
    <row r="1129" spans="2:7" x14ac:dyDescent="0.2">
      <c r="B1129" s="73"/>
      <c r="C1129" s="73"/>
      <c r="D1129" s="73"/>
      <c r="E1129" s="73"/>
      <c r="F1129" s="73"/>
      <c r="G1129" s="73"/>
    </row>
    <row r="1130" spans="2:7" x14ac:dyDescent="0.2">
      <c r="B1130" s="73"/>
      <c r="C1130" s="73"/>
      <c r="D1130" s="73"/>
      <c r="E1130" s="73"/>
      <c r="F1130" s="73"/>
      <c r="G1130" s="73"/>
    </row>
    <row r="1131" spans="2:7" x14ac:dyDescent="0.2">
      <c r="B1131" s="73"/>
      <c r="C1131" s="73"/>
      <c r="D1131" s="73"/>
      <c r="E1131" s="73"/>
      <c r="F1131" s="73"/>
      <c r="G1131" s="73"/>
    </row>
    <row r="1132" spans="2:7" x14ac:dyDescent="0.2">
      <c r="B1132" s="73"/>
      <c r="C1132" s="73"/>
      <c r="D1132" s="73"/>
      <c r="E1132" s="73"/>
      <c r="F1132" s="73"/>
      <c r="G1132" s="73"/>
    </row>
    <row r="1133" spans="2:7" x14ac:dyDescent="0.2">
      <c r="B1133" s="73"/>
      <c r="C1133" s="73"/>
      <c r="D1133" s="73"/>
      <c r="E1133" s="73"/>
      <c r="F1133" s="73"/>
      <c r="G1133" s="73"/>
    </row>
    <row r="1134" spans="2:7" x14ac:dyDescent="0.2">
      <c r="B1134" s="73"/>
      <c r="C1134" s="73"/>
      <c r="D1134" s="73"/>
      <c r="E1134" s="73"/>
      <c r="F1134" s="73"/>
      <c r="G1134" s="73"/>
    </row>
    <row r="1135" spans="2:7" x14ac:dyDescent="0.2">
      <c r="B1135" s="73"/>
      <c r="C1135" s="73"/>
      <c r="D1135" s="73"/>
      <c r="E1135" s="73"/>
      <c r="F1135" s="73"/>
      <c r="G1135" s="73"/>
    </row>
    <row r="1136" spans="2:7" x14ac:dyDescent="0.2">
      <c r="B1136" s="73"/>
      <c r="C1136" s="73"/>
      <c r="D1136" s="73"/>
      <c r="E1136" s="73"/>
      <c r="F1136" s="73"/>
      <c r="G1136" s="73"/>
    </row>
    <row r="1137" spans="2:7" x14ac:dyDescent="0.2">
      <c r="B1137" s="73"/>
      <c r="C1137" s="73"/>
      <c r="D1137" s="73"/>
      <c r="E1137" s="73"/>
      <c r="F1137" s="73"/>
      <c r="G1137" s="73"/>
    </row>
    <row r="1138" spans="2:7" x14ac:dyDescent="0.2">
      <c r="B1138" s="73"/>
      <c r="C1138" s="73"/>
      <c r="D1138" s="73"/>
      <c r="E1138" s="73"/>
      <c r="F1138" s="73"/>
      <c r="G1138" s="73"/>
    </row>
    <row r="1139" spans="2:7" x14ac:dyDescent="0.2">
      <c r="B1139" s="73"/>
      <c r="C1139" s="73"/>
      <c r="D1139" s="73"/>
      <c r="E1139" s="73"/>
      <c r="F1139" s="73"/>
      <c r="G1139" s="73"/>
    </row>
    <row r="1140" spans="2:7" x14ac:dyDescent="0.2">
      <c r="B1140" s="73"/>
      <c r="C1140" s="73"/>
      <c r="D1140" s="73"/>
      <c r="E1140" s="73"/>
      <c r="F1140" s="73"/>
      <c r="G1140" s="73"/>
    </row>
    <row r="1141" spans="2:7" x14ac:dyDescent="0.2">
      <c r="B1141" s="73"/>
      <c r="C1141" s="73"/>
      <c r="D1141" s="73"/>
      <c r="E1141" s="73"/>
      <c r="F1141" s="73"/>
      <c r="G1141" s="73"/>
    </row>
    <row r="1142" spans="2:7" x14ac:dyDescent="0.2">
      <c r="B1142" s="73"/>
      <c r="C1142" s="73"/>
      <c r="D1142" s="73"/>
      <c r="E1142" s="73"/>
      <c r="F1142" s="73"/>
      <c r="G1142" s="73"/>
    </row>
    <row r="1143" spans="2:7" x14ac:dyDescent="0.2">
      <c r="B1143" s="73"/>
      <c r="C1143" s="73"/>
      <c r="D1143" s="73"/>
      <c r="E1143" s="73"/>
      <c r="F1143" s="73"/>
      <c r="G1143" s="73"/>
    </row>
    <row r="1144" spans="2:7" x14ac:dyDescent="0.2">
      <c r="B1144" s="73"/>
      <c r="C1144" s="73"/>
      <c r="D1144" s="73"/>
      <c r="E1144" s="73"/>
      <c r="F1144" s="73"/>
      <c r="G1144" s="73"/>
    </row>
    <row r="1145" spans="2:7" x14ac:dyDescent="0.2">
      <c r="B1145" s="73"/>
      <c r="C1145" s="73"/>
      <c r="D1145" s="73"/>
      <c r="E1145" s="73"/>
      <c r="F1145" s="73"/>
      <c r="G1145" s="73"/>
    </row>
    <row r="1146" spans="2:7" x14ac:dyDescent="0.2">
      <c r="B1146" s="73"/>
      <c r="C1146" s="73"/>
      <c r="D1146" s="73"/>
      <c r="E1146" s="73"/>
      <c r="F1146" s="73"/>
      <c r="G1146" s="73"/>
    </row>
    <row r="1147" spans="2:7" x14ac:dyDescent="0.2">
      <c r="B1147" s="73"/>
      <c r="C1147" s="73"/>
      <c r="D1147" s="73"/>
      <c r="E1147" s="73"/>
      <c r="F1147" s="73"/>
      <c r="G1147" s="73"/>
    </row>
    <row r="1148" spans="2:7" x14ac:dyDescent="0.2">
      <c r="B1148" s="73"/>
      <c r="C1148" s="73"/>
      <c r="D1148" s="73"/>
      <c r="E1148" s="73"/>
      <c r="F1148" s="73"/>
      <c r="G1148" s="73"/>
    </row>
    <row r="1149" spans="2:7" x14ac:dyDescent="0.2">
      <c r="B1149" s="73"/>
      <c r="C1149" s="73"/>
      <c r="D1149" s="73"/>
      <c r="E1149" s="73"/>
      <c r="F1149" s="73"/>
      <c r="G1149" s="73"/>
    </row>
    <row r="1150" spans="2:7" x14ac:dyDescent="0.2">
      <c r="B1150" s="73"/>
      <c r="C1150" s="73"/>
      <c r="D1150" s="73"/>
      <c r="E1150" s="73"/>
      <c r="F1150" s="73"/>
      <c r="G1150" s="73"/>
    </row>
    <row r="1151" spans="2:7" x14ac:dyDescent="0.2">
      <c r="B1151" s="73"/>
      <c r="C1151" s="73"/>
      <c r="D1151" s="73"/>
      <c r="E1151" s="73"/>
      <c r="F1151" s="73"/>
      <c r="G1151" s="73"/>
    </row>
    <row r="1152" spans="2:7" x14ac:dyDescent="0.2">
      <c r="B1152" s="73"/>
      <c r="C1152" s="73"/>
      <c r="D1152" s="73"/>
      <c r="E1152" s="73"/>
      <c r="F1152" s="73"/>
      <c r="G1152" s="73"/>
    </row>
    <row r="1153" spans="2:7" x14ac:dyDescent="0.2">
      <c r="B1153" s="73"/>
      <c r="C1153" s="73"/>
      <c r="D1153" s="73"/>
      <c r="E1153" s="73"/>
      <c r="F1153" s="73"/>
      <c r="G1153" s="73"/>
    </row>
    <row r="1154" spans="2:7" x14ac:dyDescent="0.2">
      <c r="B1154" s="73"/>
      <c r="C1154" s="73"/>
      <c r="D1154" s="73"/>
      <c r="E1154" s="73"/>
      <c r="F1154" s="73"/>
      <c r="G1154" s="73"/>
    </row>
    <row r="1155" spans="2:7" x14ac:dyDescent="0.2">
      <c r="B1155" s="73"/>
      <c r="C1155" s="73"/>
      <c r="D1155" s="73"/>
      <c r="E1155" s="73"/>
      <c r="F1155" s="73"/>
      <c r="G1155" s="73"/>
    </row>
    <row r="1156" spans="2:7" x14ac:dyDescent="0.2">
      <c r="B1156" s="73"/>
      <c r="C1156" s="73"/>
      <c r="D1156" s="73"/>
      <c r="E1156" s="73"/>
      <c r="F1156" s="73"/>
      <c r="G1156" s="73"/>
    </row>
    <row r="1157" spans="2:7" x14ac:dyDescent="0.2">
      <c r="B1157" s="73"/>
      <c r="C1157" s="73"/>
      <c r="D1157" s="73"/>
      <c r="E1157" s="73"/>
      <c r="F1157" s="73"/>
      <c r="G1157" s="73"/>
    </row>
    <row r="1158" spans="2:7" x14ac:dyDescent="0.2">
      <c r="B1158" s="73"/>
      <c r="C1158" s="73"/>
      <c r="D1158" s="73"/>
      <c r="E1158" s="73"/>
      <c r="F1158" s="73"/>
      <c r="G1158" s="73"/>
    </row>
    <row r="1159" spans="2:7" x14ac:dyDescent="0.2">
      <c r="B1159" s="73"/>
      <c r="C1159" s="73"/>
      <c r="D1159" s="73"/>
      <c r="E1159" s="73"/>
      <c r="F1159" s="73"/>
      <c r="G1159" s="73"/>
    </row>
    <row r="1160" spans="2:7" x14ac:dyDescent="0.2">
      <c r="B1160" s="73"/>
      <c r="C1160" s="73"/>
      <c r="D1160" s="73"/>
      <c r="E1160" s="73"/>
      <c r="F1160" s="73"/>
      <c r="G1160" s="73"/>
    </row>
    <row r="1161" spans="2:7" x14ac:dyDescent="0.2">
      <c r="B1161" s="73"/>
      <c r="C1161" s="73"/>
      <c r="D1161" s="73"/>
      <c r="E1161" s="73"/>
      <c r="F1161" s="73"/>
      <c r="G1161" s="73"/>
    </row>
    <row r="1162" spans="2:7" x14ac:dyDescent="0.2">
      <c r="B1162" s="73"/>
      <c r="C1162" s="73"/>
      <c r="D1162" s="73"/>
      <c r="E1162" s="73"/>
      <c r="F1162" s="73"/>
      <c r="G1162" s="73"/>
    </row>
    <row r="1163" spans="2:7" x14ac:dyDescent="0.2">
      <c r="B1163" s="73"/>
      <c r="C1163" s="73"/>
      <c r="D1163" s="73"/>
      <c r="E1163" s="73"/>
      <c r="F1163" s="73"/>
      <c r="G1163" s="73"/>
    </row>
    <row r="1164" spans="2:7" x14ac:dyDescent="0.2">
      <c r="B1164" s="73"/>
      <c r="C1164" s="73"/>
      <c r="D1164" s="73"/>
      <c r="E1164" s="73"/>
      <c r="F1164" s="73"/>
      <c r="G1164" s="73"/>
    </row>
    <row r="1165" spans="2:7" x14ac:dyDescent="0.2">
      <c r="B1165" s="73"/>
      <c r="C1165" s="73"/>
      <c r="D1165" s="73"/>
      <c r="E1165" s="73"/>
      <c r="F1165" s="73"/>
      <c r="G1165" s="73"/>
    </row>
    <row r="1166" spans="2:7" x14ac:dyDescent="0.2">
      <c r="B1166" s="73"/>
      <c r="C1166" s="73"/>
      <c r="D1166" s="73"/>
      <c r="E1166" s="73"/>
      <c r="F1166" s="73"/>
      <c r="G1166" s="73"/>
    </row>
    <row r="1167" spans="2:7" x14ac:dyDescent="0.2">
      <c r="B1167" s="73"/>
      <c r="C1167" s="73"/>
      <c r="D1167" s="73"/>
      <c r="E1167" s="73"/>
      <c r="F1167" s="73"/>
      <c r="G1167" s="73"/>
    </row>
    <row r="1168" spans="2:7" x14ac:dyDescent="0.2">
      <c r="B1168" s="73"/>
      <c r="C1168" s="73"/>
      <c r="D1168" s="73"/>
      <c r="E1168" s="73"/>
      <c r="F1168" s="73"/>
      <c r="G1168" s="73"/>
    </row>
    <row r="1169" spans="2:7" x14ac:dyDescent="0.2">
      <c r="B1169" s="73"/>
      <c r="C1169" s="73"/>
      <c r="D1169" s="73"/>
      <c r="E1169" s="73"/>
      <c r="F1169" s="73"/>
      <c r="G1169" s="73"/>
    </row>
    <row r="1170" spans="2:7" x14ac:dyDescent="0.2">
      <c r="B1170" s="73"/>
      <c r="C1170" s="73"/>
      <c r="D1170" s="73"/>
      <c r="E1170" s="73"/>
      <c r="F1170" s="73"/>
      <c r="G1170" s="73"/>
    </row>
    <row r="1171" spans="2:7" x14ac:dyDescent="0.2">
      <c r="B1171" s="73"/>
      <c r="C1171" s="73"/>
      <c r="D1171" s="73"/>
      <c r="E1171" s="73"/>
      <c r="F1171" s="73"/>
      <c r="G1171" s="73"/>
    </row>
    <row r="1172" spans="2:7" x14ac:dyDescent="0.2">
      <c r="B1172" s="73"/>
      <c r="C1172" s="73"/>
      <c r="D1172" s="73"/>
      <c r="E1172" s="73"/>
      <c r="F1172" s="73"/>
      <c r="G1172" s="73"/>
    </row>
    <row r="1173" spans="2:7" x14ac:dyDescent="0.2">
      <c r="B1173" s="73"/>
      <c r="C1173" s="73"/>
      <c r="D1173" s="73"/>
      <c r="E1173" s="73"/>
      <c r="F1173" s="73"/>
      <c r="G1173" s="73"/>
    </row>
    <row r="1174" spans="2:7" x14ac:dyDescent="0.2">
      <c r="B1174" s="73"/>
      <c r="C1174" s="73"/>
      <c r="D1174" s="73"/>
      <c r="E1174" s="73"/>
      <c r="F1174" s="73"/>
      <c r="G1174" s="73"/>
    </row>
    <row r="1175" spans="2:7" x14ac:dyDescent="0.2">
      <c r="B1175" s="73"/>
      <c r="C1175" s="73"/>
      <c r="D1175" s="73"/>
      <c r="E1175" s="73"/>
      <c r="F1175" s="73"/>
      <c r="G1175" s="73"/>
    </row>
    <row r="1176" spans="2:7" x14ac:dyDescent="0.2">
      <c r="B1176" s="73"/>
      <c r="C1176" s="73"/>
      <c r="D1176" s="73"/>
      <c r="E1176" s="73"/>
      <c r="F1176" s="73"/>
      <c r="G1176" s="73"/>
    </row>
    <row r="1177" spans="2:7" x14ac:dyDescent="0.2">
      <c r="B1177" s="73"/>
      <c r="C1177" s="73"/>
      <c r="D1177" s="73"/>
      <c r="E1177" s="73"/>
      <c r="F1177" s="73"/>
      <c r="G1177" s="73"/>
    </row>
    <row r="1178" spans="2:7" x14ac:dyDescent="0.2">
      <c r="B1178" s="73"/>
      <c r="C1178" s="73"/>
      <c r="D1178" s="73"/>
      <c r="E1178" s="73"/>
      <c r="F1178" s="73"/>
      <c r="G1178" s="73"/>
    </row>
    <row r="1179" spans="2:7" x14ac:dyDescent="0.2">
      <c r="B1179" s="73"/>
      <c r="C1179" s="73"/>
      <c r="D1179" s="73"/>
      <c r="E1179" s="73"/>
      <c r="F1179" s="73"/>
      <c r="G1179" s="73"/>
    </row>
    <row r="1180" spans="2:7" x14ac:dyDescent="0.2">
      <c r="B1180" s="73"/>
      <c r="C1180" s="73"/>
      <c r="D1180" s="73"/>
      <c r="E1180" s="73"/>
      <c r="F1180" s="73"/>
      <c r="G1180" s="73"/>
    </row>
    <row r="1181" spans="2:7" x14ac:dyDescent="0.2">
      <c r="B1181" s="73"/>
      <c r="C1181" s="73"/>
      <c r="D1181" s="73"/>
      <c r="E1181" s="73"/>
      <c r="F1181" s="73"/>
      <c r="G1181" s="73"/>
    </row>
    <row r="1182" spans="2:7" x14ac:dyDescent="0.2">
      <c r="B1182" s="73"/>
      <c r="C1182" s="73"/>
      <c r="D1182" s="73"/>
      <c r="E1182" s="73"/>
      <c r="F1182" s="73"/>
      <c r="G1182" s="73"/>
    </row>
    <row r="1183" spans="2:7" x14ac:dyDescent="0.2">
      <c r="B1183" s="73"/>
      <c r="C1183" s="73"/>
      <c r="D1183" s="73"/>
      <c r="E1183" s="73"/>
      <c r="F1183" s="73"/>
      <c r="G1183" s="73"/>
    </row>
    <row r="1184" spans="2:7" x14ac:dyDescent="0.2">
      <c r="B1184" s="73"/>
      <c r="C1184" s="73"/>
      <c r="D1184" s="73"/>
      <c r="E1184" s="73"/>
      <c r="F1184" s="73"/>
      <c r="G1184" s="73"/>
    </row>
    <row r="1185" spans="2:7" x14ac:dyDescent="0.2">
      <c r="B1185" s="73"/>
      <c r="C1185" s="73"/>
      <c r="D1185" s="73"/>
      <c r="E1185" s="73"/>
      <c r="F1185" s="73"/>
      <c r="G1185" s="73"/>
    </row>
    <row r="1186" spans="2:7" x14ac:dyDescent="0.2">
      <c r="B1186" s="73"/>
      <c r="C1186" s="73"/>
      <c r="D1186" s="73"/>
      <c r="E1186" s="73"/>
      <c r="F1186" s="73"/>
      <c r="G1186" s="73"/>
    </row>
    <row r="1187" spans="2:7" x14ac:dyDescent="0.2">
      <c r="B1187" s="73"/>
      <c r="C1187" s="73"/>
      <c r="D1187" s="73"/>
      <c r="E1187" s="73"/>
      <c r="F1187" s="73"/>
      <c r="G1187" s="73"/>
    </row>
    <row r="1188" spans="2:7" x14ac:dyDescent="0.2">
      <c r="B1188" s="73"/>
      <c r="C1188" s="73"/>
      <c r="D1188" s="73"/>
      <c r="E1188" s="73"/>
      <c r="F1188" s="73"/>
      <c r="G1188" s="73"/>
    </row>
    <row r="1189" spans="2:7" x14ac:dyDescent="0.2">
      <c r="B1189" s="73"/>
      <c r="C1189" s="73"/>
      <c r="D1189" s="73"/>
      <c r="E1189" s="73"/>
      <c r="F1189" s="73"/>
      <c r="G1189" s="73"/>
    </row>
    <row r="1190" spans="2:7" x14ac:dyDescent="0.2">
      <c r="B1190" s="73"/>
      <c r="C1190" s="73"/>
      <c r="D1190" s="73"/>
      <c r="E1190" s="73"/>
      <c r="F1190" s="73"/>
      <c r="G1190" s="73"/>
    </row>
    <row r="1191" spans="2:7" x14ac:dyDescent="0.2">
      <c r="B1191" s="73"/>
      <c r="C1191" s="73"/>
      <c r="D1191" s="73"/>
      <c r="E1191" s="73"/>
      <c r="F1191" s="73"/>
      <c r="G1191" s="73"/>
    </row>
    <row r="1192" spans="2:7" x14ac:dyDescent="0.2">
      <c r="B1192" s="73"/>
      <c r="C1192" s="73"/>
      <c r="D1192" s="73"/>
      <c r="E1192" s="73"/>
      <c r="F1192" s="73"/>
      <c r="G1192" s="73"/>
    </row>
    <row r="1193" spans="2:7" x14ac:dyDescent="0.2">
      <c r="B1193" s="73"/>
      <c r="C1193" s="73"/>
      <c r="D1193" s="73"/>
      <c r="E1193" s="73"/>
      <c r="F1193" s="73"/>
      <c r="G1193" s="73"/>
    </row>
    <row r="1194" spans="2:7" x14ac:dyDescent="0.2">
      <c r="B1194" s="73"/>
      <c r="C1194" s="73"/>
      <c r="D1194" s="73"/>
      <c r="E1194" s="73"/>
      <c r="F1194" s="73"/>
      <c r="G1194" s="73"/>
    </row>
    <row r="1195" spans="2:7" x14ac:dyDescent="0.2">
      <c r="B1195" s="73"/>
      <c r="C1195" s="73"/>
      <c r="D1195" s="73"/>
      <c r="E1195" s="73"/>
      <c r="F1195" s="73"/>
      <c r="G1195" s="73"/>
    </row>
    <row r="1196" spans="2:7" x14ac:dyDescent="0.2">
      <c r="B1196" s="73"/>
      <c r="C1196" s="73"/>
      <c r="D1196" s="73"/>
      <c r="E1196" s="73"/>
      <c r="F1196" s="73"/>
      <c r="G1196" s="73"/>
    </row>
    <row r="1197" spans="2:7" x14ac:dyDescent="0.2">
      <c r="B1197" s="73"/>
      <c r="C1197" s="73"/>
      <c r="D1197" s="73"/>
      <c r="E1197" s="73"/>
      <c r="F1197" s="73"/>
      <c r="G1197" s="73"/>
    </row>
    <row r="1198" spans="2:7" x14ac:dyDescent="0.2">
      <c r="B1198" s="73"/>
      <c r="C1198" s="73"/>
      <c r="D1198" s="73"/>
      <c r="E1198" s="73"/>
      <c r="F1198" s="73"/>
      <c r="G1198" s="73"/>
    </row>
    <row r="1199" spans="2:7" x14ac:dyDescent="0.2">
      <c r="B1199" s="73"/>
      <c r="C1199" s="73"/>
      <c r="D1199" s="73"/>
      <c r="E1199" s="73"/>
      <c r="F1199" s="73"/>
      <c r="G1199" s="73"/>
    </row>
    <row r="1200" spans="2:7" x14ac:dyDescent="0.2">
      <c r="B1200" s="73"/>
      <c r="C1200" s="73"/>
      <c r="D1200" s="73"/>
      <c r="E1200" s="73"/>
      <c r="F1200" s="73"/>
      <c r="G1200" s="73"/>
    </row>
    <row r="1201" spans="2:7" x14ac:dyDescent="0.2">
      <c r="B1201" s="73"/>
      <c r="C1201" s="73"/>
      <c r="D1201" s="73"/>
      <c r="E1201" s="73"/>
      <c r="F1201" s="73"/>
      <c r="G1201" s="73"/>
    </row>
    <row r="1202" spans="2:7" x14ac:dyDescent="0.2">
      <c r="B1202" s="73"/>
      <c r="C1202" s="73"/>
      <c r="D1202" s="73"/>
      <c r="E1202" s="73"/>
      <c r="F1202" s="73"/>
      <c r="G1202" s="73"/>
    </row>
    <row r="1203" spans="2:7" x14ac:dyDescent="0.2">
      <c r="B1203" s="73"/>
      <c r="C1203" s="73"/>
      <c r="D1203" s="73"/>
      <c r="E1203" s="73"/>
      <c r="F1203" s="73"/>
      <c r="G1203" s="73"/>
    </row>
    <row r="1204" spans="2:7" x14ac:dyDescent="0.2">
      <c r="B1204" s="73"/>
      <c r="C1204" s="73"/>
      <c r="D1204" s="73"/>
      <c r="E1204" s="73"/>
      <c r="F1204" s="73"/>
      <c r="G1204" s="73"/>
    </row>
    <row r="1205" spans="2:7" x14ac:dyDescent="0.2">
      <c r="B1205" s="73"/>
      <c r="C1205" s="73"/>
      <c r="D1205" s="73"/>
      <c r="E1205" s="73"/>
      <c r="F1205" s="73"/>
      <c r="G1205" s="73"/>
    </row>
    <row r="1206" spans="2:7" x14ac:dyDescent="0.2">
      <c r="B1206" s="73"/>
      <c r="C1206" s="73"/>
      <c r="D1206" s="73"/>
      <c r="E1206" s="73"/>
      <c r="F1206" s="73"/>
      <c r="G1206" s="73"/>
    </row>
    <row r="1207" spans="2:7" x14ac:dyDescent="0.2">
      <c r="B1207" s="73"/>
      <c r="C1207" s="73"/>
      <c r="D1207" s="73"/>
      <c r="E1207" s="73"/>
      <c r="F1207" s="73"/>
      <c r="G1207" s="73"/>
    </row>
    <row r="1208" spans="2:7" x14ac:dyDescent="0.2">
      <c r="B1208" s="73"/>
      <c r="C1208" s="73"/>
      <c r="D1208" s="73"/>
      <c r="E1208" s="73"/>
      <c r="F1208" s="73"/>
      <c r="G1208" s="73"/>
    </row>
    <row r="1209" spans="2:7" x14ac:dyDescent="0.2">
      <c r="B1209" s="73"/>
      <c r="C1209" s="73"/>
      <c r="D1209" s="73"/>
      <c r="E1209" s="73"/>
      <c r="F1209" s="73"/>
      <c r="G1209" s="73"/>
    </row>
    <row r="1210" spans="2:7" x14ac:dyDescent="0.2">
      <c r="B1210" s="73"/>
      <c r="C1210" s="73"/>
      <c r="D1210" s="73"/>
      <c r="E1210" s="73"/>
      <c r="F1210" s="73"/>
      <c r="G1210" s="73"/>
    </row>
    <row r="1211" spans="2:7" x14ac:dyDescent="0.2">
      <c r="B1211" s="73"/>
      <c r="C1211" s="73"/>
      <c r="D1211" s="73"/>
      <c r="E1211" s="73"/>
      <c r="F1211" s="73"/>
      <c r="G1211" s="73"/>
    </row>
    <row r="1212" spans="2:7" x14ac:dyDescent="0.2">
      <c r="B1212" s="73"/>
      <c r="C1212" s="73"/>
      <c r="D1212" s="73"/>
      <c r="E1212" s="73"/>
      <c r="F1212" s="73"/>
      <c r="G1212" s="73"/>
    </row>
    <row r="1213" spans="2:7" x14ac:dyDescent="0.2">
      <c r="B1213" s="73"/>
      <c r="C1213" s="73"/>
      <c r="D1213" s="73"/>
      <c r="E1213" s="73"/>
      <c r="F1213" s="73"/>
      <c r="G1213" s="73"/>
    </row>
    <row r="1214" spans="2:7" x14ac:dyDescent="0.2">
      <c r="B1214" s="73"/>
      <c r="C1214" s="73"/>
      <c r="D1214" s="73"/>
      <c r="E1214" s="73"/>
      <c r="F1214" s="73"/>
      <c r="G1214" s="73"/>
    </row>
    <row r="1215" spans="2:7" x14ac:dyDescent="0.2">
      <c r="B1215" s="73"/>
      <c r="C1215" s="73"/>
      <c r="D1215" s="73"/>
      <c r="E1215" s="73"/>
      <c r="F1215" s="73"/>
      <c r="G1215" s="73"/>
    </row>
    <row r="1216" spans="2:7" x14ac:dyDescent="0.2">
      <c r="B1216" s="73"/>
      <c r="C1216" s="73"/>
      <c r="D1216" s="73"/>
      <c r="E1216" s="73"/>
      <c r="F1216" s="73"/>
      <c r="G1216" s="73"/>
    </row>
    <row r="1217" spans="2:7" x14ac:dyDescent="0.2">
      <c r="B1217" s="73"/>
      <c r="C1217" s="73"/>
      <c r="D1217" s="73"/>
      <c r="E1217" s="73"/>
      <c r="F1217" s="73"/>
      <c r="G1217" s="73"/>
    </row>
    <row r="1218" spans="2:7" x14ac:dyDescent="0.2">
      <c r="B1218" s="73"/>
      <c r="C1218" s="73"/>
      <c r="D1218" s="73"/>
      <c r="E1218" s="73"/>
      <c r="F1218" s="73"/>
      <c r="G1218" s="73"/>
    </row>
    <row r="1219" spans="2:7" x14ac:dyDescent="0.2">
      <c r="B1219" s="73"/>
      <c r="C1219" s="73"/>
      <c r="D1219" s="73"/>
      <c r="E1219" s="73"/>
      <c r="F1219" s="73"/>
      <c r="G1219" s="73"/>
    </row>
    <row r="1220" spans="2:7" x14ac:dyDescent="0.2">
      <c r="B1220" s="73"/>
      <c r="C1220" s="73"/>
      <c r="D1220" s="73"/>
      <c r="E1220" s="73"/>
      <c r="F1220" s="73"/>
      <c r="G1220" s="73"/>
    </row>
    <row r="1221" spans="2:7" x14ac:dyDescent="0.2">
      <c r="B1221" s="73"/>
      <c r="C1221" s="73"/>
      <c r="D1221" s="73"/>
      <c r="E1221" s="73"/>
      <c r="F1221" s="73"/>
      <c r="G1221" s="73"/>
    </row>
    <row r="1222" spans="2:7" x14ac:dyDescent="0.2">
      <c r="B1222" s="73"/>
      <c r="C1222" s="73"/>
      <c r="D1222" s="73"/>
      <c r="E1222" s="73"/>
      <c r="F1222" s="73"/>
      <c r="G1222" s="73"/>
    </row>
    <row r="1223" spans="2:7" x14ac:dyDescent="0.2">
      <c r="B1223" s="73"/>
      <c r="C1223" s="73"/>
      <c r="D1223" s="73"/>
      <c r="E1223" s="73"/>
      <c r="F1223" s="73"/>
      <c r="G1223" s="73"/>
    </row>
    <row r="1224" spans="2:7" x14ac:dyDescent="0.2">
      <c r="B1224" s="73"/>
      <c r="C1224" s="73"/>
      <c r="D1224" s="73"/>
      <c r="E1224" s="73"/>
      <c r="F1224" s="73"/>
      <c r="G1224" s="73"/>
    </row>
    <row r="1225" spans="2:7" x14ac:dyDescent="0.2">
      <c r="B1225" s="73"/>
      <c r="C1225" s="73"/>
      <c r="D1225" s="73"/>
      <c r="E1225" s="73"/>
      <c r="F1225" s="73"/>
      <c r="G1225" s="73"/>
    </row>
    <row r="1226" spans="2:7" x14ac:dyDescent="0.2">
      <c r="B1226" s="73"/>
      <c r="C1226" s="73"/>
      <c r="D1226" s="73"/>
      <c r="E1226" s="73"/>
      <c r="F1226" s="73"/>
      <c r="G1226" s="73"/>
    </row>
    <row r="1227" spans="2:7" x14ac:dyDescent="0.2">
      <c r="B1227" s="73"/>
      <c r="C1227" s="73"/>
      <c r="D1227" s="73"/>
      <c r="E1227" s="73"/>
      <c r="F1227" s="73"/>
      <c r="G1227" s="73"/>
    </row>
    <row r="1228" spans="2:7" x14ac:dyDescent="0.2">
      <c r="B1228" s="73"/>
      <c r="C1228" s="73"/>
      <c r="D1228" s="73"/>
      <c r="E1228" s="73"/>
      <c r="F1228" s="73"/>
      <c r="G1228" s="73"/>
    </row>
    <row r="1229" spans="2:7" x14ac:dyDescent="0.2">
      <c r="B1229" s="73"/>
      <c r="C1229" s="73"/>
      <c r="D1229" s="73"/>
      <c r="E1229" s="73"/>
      <c r="F1229" s="73"/>
      <c r="G1229" s="73"/>
    </row>
    <row r="1230" spans="2:7" x14ac:dyDescent="0.2">
      <c r="B1230" s="73"/>
      <c r="C1230" s="73"/>
      <c r="D1230" s="73"/>
      <c r="E1230" s="73"/>
      <c r="F1230" s="73"/>
      <c r="G1230" s="73"/>
    </row>
    <row r="1231" spans="2:7" x14ac:dyDescent="0.2">
      <c r="B1231" s="73"/>
      <c r="C1231" s="73"/>
      <c r="D1231" s="73"/>
      <c r="E1231" s="73"/>
      <c r="F1231" s="73"/>
      <c r="G1231" s="73"/>
    </row>
    <row r="1232" spans="2:7" x14ac:dyDescent="0.2">
      <c r="B1232" s="73"/>
      <c r="C1232" s="73"/>
      <c r="D1232" s="73"/>
      <c r="E1232" s="73"/>
      <c r="F1232" s="73"/>
      <c r="G1232" s="73"/>
    </row>
    <row r="1233" spans="2:7" x14ac:dyDescent="0.2">
      <c r="B1233" s="73"/>
      <c r="C1233" s="73"/>
      <c r="D1233" s="73"/>
      <c r="E1233" s="73"/>
      <c r="F1233" s="73"/>
      <c r="G1233" s="73"/>
    </row>
    <row r="1234" spans="2:7" x14ac:dyDescent="0.2">
      <c r="B1234" s="73"/>
      <c r="C1234" s="73"/>
      <c r="D1234" s="73"/>
      <c r="E1234" s="73"/>
      <c r="F1234" s="73"/>
      <c r="G1234" s="73"/>
    </row>
    <row r="1235" spans="2:7" x14ac:dyDescent="0.2">
      <c r="B1235" s="73"/>
      <c r="C1235" s="73"/>
      <c r="D1235" s="73"/>
      <c r="E1235" s="73"/>
      <c r="F1235" s="73"/>
      <c r="G1235" s="73"/>
    </row>
    <row r="1236" spans="2:7" x14ac:dyDescent="0.2">
      <c r="B1236" s="73"/>
      <c r="C1236" s="73"/>
      <c r="D1236" s="73"/>
      <c r="E1236" s="73"/>
      <c r="F1236" s="73"/>
      <c r="G1236" s="73"/>
    </row>
    <row r="1237" spans="2:7" x14ac:dyDescent="0.2">
      <c r="B1237" s="73"/>
      <c r="C1237" s="73"/>
      <c r="D1237" s="73"/>
      <c r="E1237" s="73"/>
      <c r="F1237" s="73"/>
      <c r="G1237" s="73"/>
    </row>
    <row r="1238" spans="2:7" x14ac:dyDescent="0.2">
      <c r="B1238" s="73"/>
      <c r="C1238" s="73"/>
      <c r="D1238" s="73"/>
      <c r="E1238" s="73"/>
      <c r="F1238" s="73"/>
      <c r="G1238" s="73"/>
    </row>
    <row r="1239" spans="2:7" x14ac:dyDescent="0.2">
      <c r="B1239" s="73"/>
      <c r="C1239" s="73"/>
      <c r="D1239" s="73"/>
      <c r="E1239" s="73"/>
      <c r="F1239" s="73"/>
      <c r="G1239" s="73"/>
    </row>
    <row r="1240" spans="2:7" x14ac:dyDescent="0.2">
      <c r="B1240" s="73"/>
      <c r="C1240" s="73"/>
      <c r="D1240" s="73"/>
      <c r="E1240" s="73"/>
      <c r="F1240" s="73"/>
      <c r="G1240" s="73"/>
    </row>
    <row r="1241" spans="2:7" x14ac:dyDescent="0.2">
      <c r="B1241" s="73"/>
      <c r="C1241" s="73"/>
      <c r="D1241" s="73"/>
      <c r="E1241" s="73"/>
      <c r="F1241" s="73"/>
      <c r="G1241" s="73"/>
    </row>
    <row r="1242" spans="2:7" x14ac:dyDescent="0.2">
      <c r="B1242" s="73"/>
      <c r="C1242" s="73"/>
      <c r="D1242" s="73"/>
      <c r="E1242" s="73"/>
      <c r="F1242" s="73"/>
      <c r="G1242" s="73"/>
    </row>
    <row r="1243" spans="2:7" x14ac:dyDescent="0.2">
      <c r="B1243" s="73"/>
      <c r="C1243" s="73"/>
      <c r="D1243" s="73"/>
      <c r="E1243" s="73"/>
      <c r="F1243" s="73"/>
      <c r="G1243" s="73"/>
    </row>
    <row r="1244" spans="2:7" x14ac:dyDescent="0.2">
      <c r="B1244" s="73"/>
      <c r="C1244" s="73"/>
      <c r="D1244" s="73"/>
      <c r="E1244" s="73"/>
      <c r="F1244" s="73"/>
      <c r="G1244" s="73"/>
    </row>
    <row r="1245" spans="2:7" x14ac:dyDescent="0.2">
      <c r="B1245" s="73"/>
      <c r="C1245" s="73"/>
      <c r="D1245" s="73"/>
      <c r="E1245" s="73"/>
      <c r="F1245" s="73"/>
      <c r="G1245" s="73"/>
    </row>
    <row r="1246" spans="2:7" x14ac:dyDescent="0.2">
      <c r="B1246" s="73"/>
      <c r="C1246" s="73"/>
      <c r="D1246" s="73"/>
      <c r="E1246" s="73"/>
      <c r="F1246" s="73"/>
      <c r="G1246" s="73"/>
    </row>
    <row r="1247" spans="2:7" x14ac:dyDescent="0.2">
      <c r="B1247" s="73"/>
      <c r="C1247" s="73"/>
      <c r="D1247" s="73"/>
      <c r="E1247" s="73"/>
      <c r="F1247" s="73"/>
      <c r="G1247" s="73"/>
    </row>
    <row r="1248" spans="2:7" x14ac:dyDescent="0.2">
      <c r="B1248" s="73"/>
      <c r="C1248" s="73"/>
      <c r="D1248" s="73"/>
      <c r="E1248" s="73"/>
      <c r="F1248" s="73"/>
      <c r="G1248" s="73"/>
    </row>
    <row r="1249" spans="2:7" x14ac:dyDescent="0.2">
      <c r="B1249" s="73"/>
      <c r="C1249" s="73"/>
      <c r="D1249" s="73"/>
      <c r="E1249" s="73"/>
      <c r="F1249" s="73"/>
      <c r="G1249" s="73"/>
    </row>
    <row r="1250" spans="2:7" x14ac:dyDescent="0.2">
      <c r="B1250" s="73"/>
      <c r="C1250" s="73"/>
      <c r="D1250" s="73"/>
      <c r="E1250" s="73"/>
      <c r="F1250" s="73"/>
      <c r="G1250" s="73"/>
    </row>
    <row r="1251" spans="2:7" x14ac:dyDescent="0.2">
      <c r="B1251" s="73"/>
      <c r="C1251" s="73"/>
      <c r="D1251" s="73"/>
      <c r="E1251" s="73"/>
      <c r="F1251" s="73"/>
      <c r="G1251" s="73"/>
    </row>
    <row r="1252" spans="2:7" x14ac:dyDescent="0.2">
      <c r="B1252" s="73"/>
      <c r="C1252" s="73"/>
      <c r="D1252" s="73"/>
      <c r="E1252" s="73"/>
      <c r="F1252" s="73"/>
      <c r="G1252" s="73"/>
    </row>
    <row r="1253" spans="2:7" x14ac:dyDescent="0.2">
      <c r="B1253" s="73"/>
      <c r="C1253" s="73"/>
      <c r="D1253" s="73"/>
      <c r="E1253" s="73"/>
      <c r="F1253" s="73"/>
      <c r="G1253" s="73"/>
    </row>
    <row r="1254" spans="2:7" x14ac:dyDescent="0.2">
      <c r="B1254" s="73"/>
      <c r="C1254" s="73"/>
      <c r="D1254" s="73"/>
      <c r="E1254" s="73"/>
      <c r="F1254" s="73"/>
      <c r="G1254" s="73"/>
    </row>
    <row r="1255" spans="2:7" x14ac:dyDescent="0.2">
      <c r="B1255" s="73"/>
      <c r="C1255" s="73"/>
      <c r="D1255" s="73"/>
      <c r="E1255" s="73"/>
      <c r="F1255" s="73"/>
      <c r="G1255" s="73"/>
    </row>
    <row r="1256" spans="2:7" x14ac:dyDescent="0.2">
      <c r="B1256" s="73"/>
      <c r="C1256" s="73"/>
      <c r="D1256" s="73"/>
      <c r="E1256" s="73"/>
      <c r="F1256" s="73"/>
      <c r="G1256" s="73"/>
    </row>
    <row r="1257" spans="2:7" x14ac:dyDescent="0.2">
      <c r="B1257" s="73"/>
      <c r="C1257" s="73"/>
      <c r="D1257" s="73"/>
      <c r="E1257" s="73"/>
      <c r="F1257" s="73"/>
      <c r="G1257" s="73"/>
    </row>
    <row r="1258" spans="2:7" x14ac:dyDescent="0.2">
      <c r="B1258" s="73"/>
      <c r="C1258" s="73"/>
      <c r="D1258" s="73"/>
      <c r="E1258" s="73"/>
      <c r="F1258" s="73"/>
      <c r="G1258" s="73"/>
    </row>
    <row r="1259" spans="2:7" x14ac:dyDescent="0.2">
      <c r="B1259" s="73"/>
      <c r="C1259" s="73"/>
      <c r="D1259" s="73"/>
      <c r="E1259" s="73"/>
      <c r="F1259" s="73"/>
      <c r="G1259" s="73"/>
    </row>
    <row r="1260" spans="2:7" x14ac:dyDescent="0.2">
      <c r="B1260" s="73"/>
      <c r="C1260" s="73"/>
      <c r="D1260" s="73"/>
      <c r="E1260" s="73"/>
      <c r="F1260" s="73"/>
      <c r="G1260" s="73"/>
    </row>
    <row r="1261" spans="2:7" x14ac:dyDescent="0.2">
      <c r="B1261" s="73"/>
      <c r="C1261" s="73"/>
      <c r="D1261" s="73"/>
      <c r="E1261" s="73"/>
      <c r="F1261" s="73"/>
      <c r="G1261" s="73"/>
    </row>
    <row r="1262" spans="2:7" x14ac:dyDescent="0.2">
      <c r="B1262" s="73"/>
      <c r="C1262" s="73"/>
      <c r="D1262" s="73"/>
      <c r="E1262" s="73"/>
      <c r="F1262" s="73"/>
      <c r="G1262" s="73"/>
    </row>
    <row r="1263" spans="2:7" x14ac:dyDescent="0.2">
      <c r="B1263" s="73"/>
      <c r="C1263" s="73"/>
      <c r="D1263" s="73"/>
      <c r="E1263" s="73"/>
      <c r="F1263" s="73"/>
      <c r="G1263" s="73"/>
    </row>
    <row r="1264" spans="2:7" x14ac:dyDescent="0.2">
      <c r="B1264" s="73"/>
      <c r="C1264" s="73"/>
      <c r="D1264" s="73"/>
      <c r="E1264" s="73"/>
      <c r="F1264" s="73"/>
      <c r="G1264" s="73"/>
    </row>
    <row r="1265" spans="2:7" x14ac:dyDescent="0.2">
      <c r="B1265" s="73"/>
      <c r="C1265" s="73"/>
      <c r="D1265" s="73"/>
      <c r="E1265" s="73"/>
      <c r="F1265" s="73"/>
      <c r="G1265" s="73"/>
    </row>
    <row r="1266" spans="2:7" x14ac:dyDescent="0.2">
      <c r="B1266" s="73"/>
      <c r="C1266" s="73"/>
      <c r="D1266" s="73"/>
      <c r="E1266" s="73"/>
      <c r="F1266" s="73"/>
      <c r="G1266" s="73"/>
    </row>
    <row r="1267" spans="2:7" x14ac:dyDescent="0.2">
      <c r="B1267" s="73"/>
      <c r="C1267" s="73"/>
      <c r="D1267" s="73"/>
      <c r="E1267" s="73"/>
      <c r="F1267" s="73"/>
      <c r="G1267" s="73"/>
    </row>
    <row r="1268" spans="2:7" x14ac:dyDescent="0.2">
      <c r="B1268" s="73"/>
      <c r="C1268" s="73"/>
      <c r="D1268" s="73"/>
      <c r="E1268" s="73"/>
      <c r="F1268" s="73"/>
      <c r="G1268" s="73"/>
    </row>
    <row r="1269" spans="2:7" x14ac:dyDescent="0.2">
      <c r="B1269" s="73"/>
      <c r="C1269" s="73"/>
      <c r="D1269" s="73"/>
      <c r="E1269" s="73"/>
      <c r="F1269" s="73"/>
      <c r="G1269" s="73"/>
    </row>
    <row r="1270" spans="2:7" x14ac:dyDescent="0.2">
      <c r="B1270" s="73"/>
      <c r="C1270" s="73"/>
      <c r="D1270" s="73"/>
      <c r="E1270" s="73"/>
      <c r="F1270" s="73"/>
      <c r="G1270" s="73"/>
    </row>
    <row r="1271" spans="2:7" x14ac:dyDescent="0.2">
      <c r="B1271" s="73"/>
      <c r="C1271" s="73"/>
      <c r="D1271" s="73"/>
      <c r="E1271" s="73"/>
      <c r="F1271" s="73"/>
      <c r="G1271" s="73"/>
    </row>
    <row r="1272" spans="2:7" x14ac:dyDescent="0.2">
      <c r="B1272" s="73"/>
      <c r="C1272" s="73"/>
      <c r="D1272" s="73"/>
      <c r="E1272" s="73"/>
      <c r="F1272" s="73"/>
      <c r="G1272" s="73"/>
    </row>
    <row r="1273" spans="2:7" x14ac:dyDescent="0.2">
      <c r="B1273" s="73"/>
      <c r="C1273" s="73"/>
      <c r="D1273" s="73"/>
      <c r="E1273" s="73"/>
      <c r="F1273" s="73"/>
      <c r="G1273" s="73"/>
    </row>
    <row r="1274" spans="2:7" x14ac:dyDescent="0.2">
      <c r="B1274" s="73"/>
      <c r="C1274" s="73"/>
      <c r="D1274" s="73"/>
      <c r="E1274" s="73"/>
      <c r="F1274" s="73"/>
      <c r="G1274" s="73"/>
    </row>
    <row r="1275" spans="2:7" x14ac:dyDescent="0.2">
      <c r="B1275" s="73"/>
      <c r="C1275" s="73"/>
      <c r="D1275" s="73"/>
      <c r="E1275" s="73"/>
      <c r="F1275" s="73"/>
      <c r="G1275" s="73"/>
    </row>
    <row r="1276" spans="2:7" x14ac:dyDescent="0.2">
      <c r="B1276" s="73"/>
      <c r="C1276" s="73"/>
      <c r="D1276" s="73"/>
      <c r="E1276" s="73"/>
      <c r="F1276" s="73"/>
      <c r="G1276" s="73"/>
    </row>
    <row r="1277" spans="2:7" x14ac:dyDescent="0.2">
      <c r="B1277" s="73"/>
      <c r="C1277" s="73"/>
      <c r="D1277" s="73"/>
      <c r="E1277" s="73"/>
      <c r="F1277" s="73"/>
      <c r="G1277" s="73"/>
    </row>
    <row r="1278" spans="2:7" x14ac:dyDescent="0.2">
      <c r="B1278" s="73"/>
      <c r="C1278" s="73"/>
      <c r="D1278" s="73"/>
      <c r="E1278" s="73"/>
      <c r="F1278" s="73"/>
      <c r="G1278" s="73"/>
    </row>
    <row r="1279" spans="2:7" x14ac:dyDescent="0.2">
      <c r="B1279" s="73"/>
      <c r="C1279" s="73"/>
      <c r="D1279" s="73"/>
      <c r="E1279" s="73"/>
      <c r="F1279" s="73"/>
      <c r="G1279" s="73"/>
    </row>
    <row r="1280" spans="2:7" x14ac:dyDescent="0.2">
      <c r="B1280" s="73"/>
      <c r="C1280" s="73"/>
      <c r="D1280" s="73"/>
      <c r="E1280" s="73"/>
      <c r="F1280" s="73"/>
      <c r="G1280" s="73"/>
    </row>
    <row r="1281" spans="2:7" x14ac:dyDescent="0.2">
      <c r="B1281" s="73"/>
      <c r="C1281" s="73"/>
      <c r="D1281" s="73"/>
      <c r="E1281" s="73"/>
      <c r="F1281" s="73"/>
      <c r="G1281" s="73"/>
    </row>
    <row r="1282" spans="2:7" x14ac:dyDescent="0.2">
      <c r="B1282" s="73"/>
      <c r="C1282" s="73"/>
      <c r="D1282" s="73"/>
      <c r="E1282" s="73"/>
      <c r="F1282" s="73"/>
      <c r="G1282" s="73"/>
    </row>
    <row r="1283" spans="2:7" x14ac:dyDescent="0.2">
      <c r="B1283" s="73"/>
      <c r="C1283" s="73"/>
      <c r="D1283" s="73"/>
      <c r="E1283" s="73"/>
      <c r="F1283" s="73"/>
      <c r="G1283" s="73"/>
    </row>
    <row r="1284" spans="2:7" x14ac:dyDescent="0.2">
      <c r="B1284" s="73"/>
      <c r="C1284" s="73"/>
      <c r="D1284" s="73"/>
      <c r="E1284" s="73"/>
      <c r="F1284" s="73"/>
      <c r="G1284" s="73"/>
    </row>
    <row r="1285" spans="2:7" x14ac:dyDescent="0.2">
      <c r="B1285" s="73"/>
      <c r="C1285" s="73"/>
      <c r="D1285" s="73"/>
      <c r="E1285" s="73"/>
      <c r="F1285" s="73"/>
      <c r="G1285" s="73"/>
    </row>
    <row r="1286" spans="2:7" x14ac:dyDescent="0.2">
      <c r="B1286" s="73"/>
      <c r="C1286" s="73"/>
      <c r="D1286" s="73"/>
      <c r="E1286" s="73"/>
      <c r="F1286" s="73"/>
      <c r="G1286" s="73"/>
    </row>
    <row r="1287" spans="2:7" x14ac:dyDescent="0.2">
      <c r="B1287" s="73"/>
      <c r="C1287" s="73"/>
      <c r="D1287" s="73"/>
      <c r="E1287" s="73"/>
      <c r="F1287" s="73"/>
      <c r="G1287" s="73"/>
    </row>
    <row r="1288" spans="2:7" x14ac:dyDescent="0.2">
      <c r="B1288" s="73"/>
      <c r="C1288" s="73"/>
      <c r="D1288" s="73"/>
      <c r="E1288" s="73"/>
      <c r="F1288" s="73"/>
      <c r="G1288" s="73"/>
    </row>
    <row r="1289" spans="2:7" x14ac:dyDescent="0.2">
      <c r="B1289" s="73"/>
      <c r="C1289" s="73"/>
      <c r="D1289" s="73"/>
      <c r="E1289" s="73"/>
      <c r="F1289" s="73"/>
      <c r="G1289" s="73"/>
    </row>
    <row r="1290" spans="2:7" x14ac:dyDescent="0.2">
      <c r="B1290" s="73"/>
      <c r="C1290" s="73"/>
      <c r="D1290" s="73"/>
      <c r="E1290" s="73"/>
      <c r="F1290" s="73"/>
      <c r="G1290" s="73"/>
    </row>
    <row r="1291" spans="2:7" x14ac:dyDescent="0.2">
      <c r="B1291" s="73"/>
      <c r="C1291" s="73"/>
      <c r="D1291" s="73"/>
      <c r="E1291" s="73"/>
      <c r="F1291" s="73"/>
      <c r="G1291" s="73"/>
    </row>
    <row r="1292" spans="2:7" x14ac:dyDescent="0.2">
      <c r="B1292" s="73"/>
      <c r="C1292" s="73"/>
      <c r="D1292" s="73"/>
      <c r="E1292" s="73"/>
      <c r="F1292" s="73"/>
      <c r="G1292" s="73"/>
    </row>
    <row r="1293" spans="2:7" x14ac:dyDescent="0.2">
      <c r="B1293" s="73"/>
      <c r="C1293" s="73"/>
      <c r="D1293" s="73"/>
      <c r="E1293" s="73"/>
      <c r="F1293" s="73"/>
      <c r="G1293" s="73"/>
    </row>
    <row r="1294" spans="2:7" x14ac:dyDescent="0.2">
      <c r="B1294" s="73"/>
      <c r="C1294" s="73"/>
      <c r="D1294" s="73"/>
      <c r="E1294" s="73"/>
      <c r="F1294" s="73"/>
      <c r="G1294" s="73"/>
    </row>
    <row r="1295" spans="2:7" x14ac:dyDescent="0.2">
      <c r="B1295" s="73"/>
      <c r="C1295" s="73"/>
      <c r="D1295" s="73"/>
      <c r="E1295" s="73"/>
      <c r="F1295" s="73"/>
      <c r="G1295" s="73"/>
    </row>
    <row r="1296" spans="2:7" x14ac:dyDescent="0.2">
      <c r="B1296" s="73"/>
      <c r="C1296" s="73"/>
      <c r="D1296" s="73"/>
      <c r="E1296" s="73"/>
      <c r="F1296" s="73"/>
      <c r="G1296" s="73"/>
    </row>
    <row r="1297" spans="2:7" x14ac:dyDescent="0.2">
      <c r="B1297" s="73"/>
      <c r="C1297" s="73"/>
      <c r="D1297" s="73"/>
      <c r="E1297" s="73"/>
      <c r="F1297" s="73"/>
      <c r="G1297" s="73"/>
    </row>
    <row r="1298" spans="2:7" x14ac:dyDescent="0.2">
      <c r="B1298" s="73"/>
      <c r="C1298" s="73"/>
      <c r="D1298" s="73"/>
      <c r="E1298" s="73"/>
      <c r="F1298" s="73"/>
      <c r="G1298" s="73"/>
    </row>
    <row r="1299" spans="2:7" x14ac:dyDescent="0.2">
      <c r="B1299" s="73"/>
      <c r="C1299" s="73"/>
      <c r="D1299" s="73"/>
      <c r="E1299" s="73"/>
      <c r="F1299" s="73"/>
      <c r="G1299" s="73"/>
    </row>
    <row r="1300" spans="2:7" x14ac:dyDescent="0.2">
      <c r="B1300" s="73"/>
      <c r="C1300" s="73"/>
      <c r="D1300" s="73"/>
      <c r="E1300" s="73"/>
      <c r="F1300" s="73"/>
      <c r="G1300" s="73"/>
    </row>
    <row r="1301" spans="2:7" x14ac:dyDescent="0.2">
      <c r="B1301" s="73"/>
      <c r="C1301" s="73"/>
      <c r="D1301" s="73"/>
      <c r="E1301" s="73"/>
      <c r="F1301" s="73"/>
      <c r="G1301" s="73"/>
    </row>
    <row r="1302" spans="2:7" x14ac:dyDescent="0.2">
      <c r="B1302" s="73"/>
      <c r="C1302" s="73"/>
      <c r="D1302" s="73"/>
      <c r="E1302" s="73"/>
      <c r="F1302" s="73"/>
      <c r="G1302" s="73"/>
    </row>
    <row r="1303" spans="2:7" x14ac:dyDescent="0.2">
      <c r="B1303" s="73"/>
      <c r="C1303" s="73"/>
      <c r="D1303" s="73"/>
      <c r="E1303" s="73"/>
      <c r="F1303" s="73"/>
      <c r="G1303" s="73"/>
    </row>
    <row r="1304" spans="2:7" x14ac:dyDescent="0.2">
      <c r="B1304" s="73"/>
      <c r="C1304" s="73"/>
      <c r="D1304" s="73"/>
      <c r="E1304" s="73"/>
      <c r="F1304" s="73"/>
      <c r="G1304" s="73"/>
    </row>
    <row r="1305" spans="2:7" x14ac:dyDescent="0.2">
      <c r="B1305" s="73"/>
      <c r="C1305" s="73"/>
      <c r="D1305" s="73"/>
      <c r="E1305" s="73"/>
      <c r="F1305" s="73"/>
      <c r="G1305" s="73"/>
    </row>
    <row r="1306" spans="2:7" x14ac:dyDescent="0.2">
      <c r="B1306" s="73"/>
      <c r="C1306" s="73"/>
      <c r="D1306" s="73"/>
      <c r="E1306" s="73"/>
      <c r="F1306" s="73"/>
      <c r="G1306" s="73"/>
    </row>
    <row r="1307" spans="2:7" x14ac:dyDescent="0.2">
      <c r="B1307" s="73"/>
      <c r="C1307" s="73"/>
      <c r="D1307" s="73"/>
      <c r="E1307" s="73"/>
      <c r="F1307" s="73"/>
      <c r="G1307" s="73"/>
    </row>
    <row r="1308" spans="2:7" x14ac:dyDescent="0.2">
      <c r="B1308" s="73"/>
      <c r="C1308" s="73"/>
      <c r="D1308" s="73"/>
      <c r="E1308" s="73"/>
      <c r="F1308" s="73"/>
      <c r="G1308" s="73"/>
    </row>
    <row r="1309" spans="2:7" x14ac:dyDescent="0.2">
      <c r="B1309" s="73"/>
      <c r="C1309" s="73"/>
      <c r="D1309" s="73"/>
      <c r="E1309" s="73"/>
      <c r="F1309" s="73"/>
      <c r="G1309" s="73"/>
    </row>
    <row r="1310" spans="2:7" x14ac:dyDescent="0.2">
      <c r="B1310" s="73"/>
      <c r="C1310" s="73"/>
      <c r="D1310" s="73"/>
      <c r="E1310" s="73"/>
      <c r="F1310" s="73"/>
      <c r="G1310" s="73"/>
    </row>
    <row r="1311" spans="2:7" x14ac:dyDescent="0.2">
      <c r="B1311" s="73"/>
      <c r="C1311" s="73"/>
      <c r="D1311" s="73"/>
      <c r="E1311" s="73"/>
      <c r="F1311" s="73"/>
      <c r="G1311" s="73"/>
    </row>
    <row r="1312" spans="2:7" x14ac:dyDescent="0.2">
      <c r="B1312" s="73"/>
      <c r="C1312" s="73"/>
      <c r="D1312" s="73"/>
      <c r="E1312" s="73"/>
      <c r="F1312" s="73"/>
      <c r="G1312" s="73"/>
    </row>
    <row r="1313" spans="2:7" x14ac:dyDescent="0.2">
      <c r="B1313" s="73"/>
      <c r="C1313" s="73"/>
      <c r="D1313" s="73"/>
      <c r="E1313" s="73"/>
      <c r="F1313" s="73"/>
      <c r="G1313" s="73"/>
    </row>
    <row r="1314" spans="2:7" x14ac:dyDescent="0.2">
      <c r="B1314" s="73"/>
      <c r="C1314" s="73"/>
      <c r="D1314" s="73"/>
      <c r="E1314" s="73"/>
      <c r="F1314" s="73"/>
      <c r="G1314" s="73"/>
    </row>
    <row r="1315" spans="2:7" x14ac:dyDescent="0.2">
      <c r="B1315" s="73"/>
      <c r="C1315" s="73"/>
      <c r="D1315" s="73"/>
      <c r="E1315" s="73"/>
      <c r="F1315" s="73"/>
      <c r="G1315" s="73"/>
    </row>
    <row r="1316" spans="2:7" x14ac:dyDescent="0.2">
      <c r="B1316" s="73"/>
      <c r="C1316" s="73"/>
      <c r="D1316" s="73"/>
      <c r="E1316" s="73"/>
      <c r="F1316" s="73"/>
      <c r="G1316" s="73"/>
    </row>
    <row r="1317" spans="2:7" x14ac:dyDescent="0.2">
      <c r="B1317" s="73"/>
      <c r="C1317" s="73"/>
      <c r="D1317" s="73"/>
      <c r="E1317" s="73"/>
      <c r="F1317" s="73"/>
      <c r="G1317" s="73"/>
    </row>
    <row r="1318" spans="2:7" x14ac:dyDescent="0.2">
      <c r="B1318" s="73"/>
      <c r="C1318" s="73"/>
      <c r="D1318" s="73"/>
      <c r="E1318" s="73"/>
      <c r="F1318" s="73"/>
      <c r="G1318" s="73"/>
    </row>
    <row r="1319" spans="2:7" x14ac:dyDescent="0.2">
      <c r="B1319" s="73"/>
      <c r="C1319" s="73"/>
      <c r="D1319" s="73"/>
      <c r="E1319" s="73"/>
      <c r="F1319" s="73"/>
      <c r="G1319" s="73"/>
    </row>
    <row r="1320" spans="2:7" x14ac:dyDescent="0.2">
      <c r="B1320" s="73"/>
      <c r="C1320" s="73"/>
      <c r="D1320" s="73"/>
      <c r="E1320" s="73"/>
      <c r="F1320" s="73"/>
      <c r="G1320" s="73"/>
    </row>
    <row r="1321" spans="2:7" x14ac:dyDescent="0.2">
      <c r="B1321" s="73"/>
      <c r="C1321" s="73"/>
      <c r="D1321" s="73"/>
      <c r="E1321" s="73"/>
      <c r="F1321" s="73"/>
      <c r="G1321" s="73"/>
    </row>
    <row r="1322" spans="2:7" x14ac:dyDescent="0.2">
      <c r="B1322" s="73"/>
      <c r="C1322" s="73"/>
      <c r="D1322" s="73"/>
      <c r="E1322" s="73"/>
      <c r="F1322" s="73"/>
      <c r="G1322" s="73"/>
    </row>
    <row r="1323" spans="2:7" x14ac:dyDescent="0.2">
      <c r="B1323" s="73"/>
      <c r="C1323" s="73"/>
      <c r="D1323" s="73"/>
      <c r="E1323" s="73"/>
      <c r="F1323" s="73"/>
      <c r="G1323" s="73"/>
    </row>
    <row r="1324" spans="2:7" x14ac:dyDescent="0.2">
      <c r="B1324" s="73"/>
      <c r="C1324" s="73"/>
      <c r="D1324" s="73"/>
      <c r="E1324" s="73"/>
      <c r="F1324" s="73"/>
      <c r="G1324" s="73"/>
    </row>
    <row r="1325" spans="2:7" x14ac:dyDescent="0.2">
      <c r="B1325" s="73"/>
      <c r="C1325" s="73"/>
      <c r="D1325" s="73"/>
      <c r="E1325" s="73"/>
      <c r="F1325" s="73"/>
      <c r="G1325" s="73"/>
    </row>
    <row r="1326" spans="2:7" x14ac:dyDescent="0.2">
      <c r="B1326" s="73"/>
      <c r="C1326" s="73"/>
      <c r="D1326" s="73"/>
      <c r="E1326" s="73"/>
      <c r="F1326" s="73"/>
      <c r="G1326" s="73"/>
    </row>
    <row r="1327" spans="2:7" x14ac:dyDescent="0.2">
      <c r="B1327" s="73"/>
      <c r="C1327" s="73"/>
      <c r="D1327" s="73"/>
      <c r="E1327" s="73"/>
      <c r="F1327" s="73"/>
      <c r="G1327" s="73"/>
    </row>
    <row r="1328" spans="2:7" x14ac:dyDescent="0.2">
      <c r="B1328" s="73"/>
      <c r="C1328" s="73"/>
      <c r="D1328" s="73"/>
      <c r="E1328" s="73"/>
      <c r="F1328" s="73"/>
      <c r="G1328" s="73"/>
    </row>
    <row r="1329" spans="2:7" x14ac:dyDescent="0.2">
      <c r="B1329" s="73"/>
      <c r="C1329" s="73"/>
      <c r="D1329" s="73"/>
      <c r="E1329" s="73"/>
      <c r="F1329" s="73"/>
      <c r="G1329" s="73"/>
    </row>
    <row r="1330" spans="2:7" x14ac:dyDescent="0.2">
      <c r="B1330" s="73"/>
      <c r="C1330" s="73"/>
      <c r="D1330" s="73"/>
      <c r="E1330" s="73"/>
      <c r="F1330" s="73"/>
      <c r="G1330" s="73"/>
    </row>
    <row r="1331" spans="2:7" x14ac:dyDescent="0.2">
      <c r="B1331" s="73"/>
      <c r="C1331" s="73"/>
      <c r="D1331" s="73"/>
      <c r="E1331" s="73"/>
      <c r="F1331" s="73"/>
      <c r="G1331" s="73"/>
    </row>
    <row r="1332" spans="2:7" x14ac:dyDescent="0.2">
      <c r="B1332" s="73"/>
      <c r="C1332" s="73"/>
      <c r="D1332" s="73"/>
      <c r="E1332" s="73"/>
      <c r="F1332" s="73"/>
      <c r="G1332" s="73"/>
    </row>
    <row r="1333" spans="2:7" x14ac:dyDescent="0.2">
      <c r="B1333" s="73"/>
      <c r="C1333" s="73"/>
      <c r="D1333" s="73"/>
      <c r="E1333" s="73"/>
      <c r="F1333" s="73"/>
      <c r="G1333" s="73"/>
    </row>
    <row r="1334" spans="2:7" x14ac:dyDescent="0.2">
      <c r="B1334" s="73"/>
      <c r="C1334" s="73"/>
      <c r="D1334" s="73"/>
      <c r="E1334" s="73"/>
      <c r="F1334" s="73"/>
      <c r="G1334" s="73"/>
    </row>
    <row r="1335" spans="2:7" x14ac:dyDescent="0.2">
      <c r="B1335" s="73"/>
      <c r="C1335" s="73"/>
      <c r="D1335" s="73"/>
      <c r="E1335" s="73"/>
      <c r="F1335" s="73"/>
      <c r="G1335" s="73"/>
    </row>
    <row r="1336" spans="2:7" x14ac:dyDescent="0.2">
      <c r="B1336" s="73"/>
      <c r="C1336" s="73"/>
      <c r="D1336" s="73"/>
      <c r="E1336" s="73"/>
      <c r="F1336" s="73"/>
      <c r="G1336" s="73"/>
    </row>
    <row r="1337" spans="2:7" x14ac:dyDescent="0.2">
      <c r="B1337" s="73"/>
      <c r="C1337" s="73"/>
      <c r="D1337" s="73"/>
      <c r="E1337" s="73"/>
      <c r="F1337" s="73"/>
      <c r="G1337" s="73"/>
    </row>
    <row r="1338" spans="2:7" x14ac:dyDescent="0.2">
      <c r="B1338" s="73"/>
      <c r="C1338" s="73"/>
      <c r="D1338" s="73"/>
      <c r="E1338" s="73"/>
      <c r="F1338" s="73"/>
      <c r="G1338" s="73"/>
    </row>
    <row r="1339" spans="2:7" x14ac:dyDescent="0.2">
      <c r="B1339" s="73"/>
      <c r="C1339" s="73"/>
      <c r="D1339" s="73"/>
      <c r="E1339" s="73"/>
      <c r="F1339" s="73"/>
      <c r="G1339" s="73"/>
    </row>
    <row r="1340" spans="2:7" x14ac:dyDescent="0.2">
      <c r="B1340" s="73"/>
      <c r="C1340" s="73"/>
      <c r="D1340" s="73"/>
      <c r="E1340" s="73"/>
      <c r="F1340" s="73"/>
      <c r="G1340" s="73"/>
    </row>
    <row r="1341" spans="2:7" x14ac:dyDescent="0.2">
      <c r="B1341" s="73"/>
      <c r="C1341" s="73"/>
      <c r="D1341" s="73"/>
      <c r="E1341" s="73"/>
      <c r="F1341" s="73"/>
      <c r="G1341" s="73"/>
    </row>
    <row r="1342" spans="2:7" x14ac:dyDescent="0.2">
      <c r="B1342" s="73"/>
      <c r="C1342" s="73"/>
      <c r="D1342" s="73"/>
      <c r="E1342" s="73"/>
      <c r="F1342" s="73"/>
      <c r="G1342" s="73"/>
    </row>
    <row r="1343" spans="2:7" x14ac:dyDescent="0.2">
      <c r="B1343" s="73"/>
      <c r="C1343" s="73"/>
      <c r="D1343" s="73"/>
      <c r="E1343" s="73"/>
      <c r="F1343" s="73"/>
      <c r="G1343" s="73"/>
    </row>
    <row r="1344" spans="2:7" x14ac:dyDescent="0.2">
      <c r="B1344" s="73"/>
      <c r="C1344" s="73"/>
      <c r="D1344" s="73"/>
      <c r="E1344" s="73"/>
      <c r="F1344" s="73"/>
      <c r="G1344" s="73"/>
    </row>
    <row r="1345" spans="2:7" x14ac:dyDescent="0.2">
      <c r="B1345" s="73"/>
      <c r="C1345" s="73"/>
      <c r="D1345" s="73"/>
      <c r="E1345" s="73"/>
      <c r="F1345" s="73"/>
      <c r="G1345" s="73"/>
    </row>
    <row r="1346" spans="2:7" x14ac:dyDescent="0.2">
      <c r="B1346" s="73"/>
      <c r="C1346" s="73"/>
      <c r="D1346" s="73"/>
      <c r="E1346" s="73"/>
      <c r="F1346" s="73"/>
      <c r="G1346" s="73"/>
    </row>
    <row r="1347" spans="2:7" x14ac:dyDescent="0.2">
      <c r="B1347" s="73"/>
      <c r="C1347" s="73"/>
      <c r="D1347" s="73"/>
      <c r="E1347" s="73"/>
      <c r="F1347" s="73"/>
      <c r="G1347" s="73"/>
    </row>
    <row r="1348" spans="2:7" x14ac:dyDescent="0.2">
      <c r="B1348" s="73"/>
      <c r="C1348" s="73"/>
      <c r="D1348" s="73"/>
      <c r="E1348" s="73"/>
      <c r="F1348" s="73"/>
      <c r="G1348" s="73"/>
    </row>
    <row r="1349" spans="2:7" x14ac:dyDescent="0.2">
      <c r="B1349" s="73"/>
      <c r="C1349" s="73"/>
      <c r="D1349" s="73"/>
      <c r="E1349" s="73"/>
      <c r="F1349" s="73"/>
      <c r="G1349" s="73"/>
    </row>
    <row r="1350" spans="2:7" x14ac:dyDescent="0.2">
      <c r="B1350" s="73"/>
      <c r="C1350" s="73"/>
      <c r="D1350" s="73"/>
      <c r="E1350" s="73"/>
      <c r="F1350" s="73"/>
      <c r="G1350" s="73"/>
    </row>
    <row r="1351" spans="2:7" x14ac:dyDescent="0.2">
      <c r="B1351" s="73"/>
      <c r="C1351" s="73"/>
      <c r="D1351" s="73"/>
      <c r="E1351" s="73"/>
      <c r="F1351" s="73"/>
      <c r="G1351" s="73"/>
    </row>
    <row r="1352" spans="2:7" x14ac:dyDescent="0.2">
      <c r="B1352" s="73"/>
      <c r="C1352" s="73"/>
      <c r="D1352" s="73"/>
      <c r="E1352" s="73"/>
      <c r="F1352" s="73"/>
      <c r="G1352" s="73"/>
    </row>
    <row r="1353" spans="2:7" x14ac:dyDescent="0.2">
      <c r="B1353" s="73"/>
      <c r="C1353" s="73"/>
      <c r="D1353" s="73"/>
      <c r="E1353" s="73"/>
      <c r="F1353" s="73"/>
      <c r="G1353" s="73"/>
    </row>
    <row r="1354" spans="2:7" x14ac:dyDescent="0.2">
      <c r="B1354" s="73"/>
      <c r="C1354" s="73"/>
      <c r="D1354" s="73"/>
      <c r="E1354" s="73"/>
      <c r="F1354" s="73"/>
      <c r="G1354" s="73"/>
    </row>
    <row r="1355" spans="2:7" x14ac:dyDescent="0.2">
      <c r="B1355" s="73"/>
      <c r="C1355" s="73"/>
      <c r="D1355" s="73"/>
      <c r="E1355" s="73"/>
      <c r="F1355" s="73"/>
      <c r="G1355" s="73"/>
    </row>
    <row r="1356" spans="2:7" x14ac:dyDescent="0.2">
      <c r="B1356" s="73"/>
      <c r="C1356" s="73"/>
      <c r="D1356" s="73"/>
      <c r="E1356" s="73"/>
      <c r="F1356" s="73"/>
      <c r="G1356" s="73"/>
    </row>
    <row r="1357" spans="2:7" x14ac:dyDescent="0.2">
      <c r="B1357" s="73"/>
      <c r="C1357" s="73"/>
      <c r="D1357" s="73"/>
      <c r="E1357" s="73"/>
      <c r="F1357" s="73"/>
      <c r="G1357" s="73"/>
    </row>
    <row r="1358" spans="2:7" x14ac:dyDescent="0.2">
      <c r="B1358" s="73"/>
      <c r="C1358" s="73"/>
      <c r="D1358" s="73"/>
      <c r="E1358" s="73"/>
      <c r="F1358" s="73"/>
      <c r="G1358" s="73"/>
    </row>
    <row r="1359" spans="2:7" x14ac:dyDescent="0.2">
      <c r="B1359" s="73"/>
      <c r="C1359" s="73"/>
      <c r="D1359" s="73"/>
      <c r="E1359" s="73"/>
      <c r="F1359" s="73"/>
      <c r="G1359" s="73"/>
    </row>
    <row r="1360" spans="2:7" x14ac:dyDescent="0.2">
      <c r="B1360" s="73"/>
      <c r="C1360" s="73"/>
      <c r="D1360" s="73"/>
      <c r="E1360" s="73"/>
      <c r="F1360" s="73"/>
      <c r="G1360" s="73"/>
    </row>
    <row r="1361" spans="2:7" x14ac:dyDescent="0.2">
      <c r="B1361" s="73"/>
      <c r="C1361" s="73"/>
      <c r="D1361" s="73"/>
      <c r="E1361" s="73"/>
      <c r="F1361" s="73"/>
      <c r="G1361" s="73"/>
    </row>
    <row r="1362" spans="2:7" x14ac:dyDescent="0.2">
      <c r="B1362" s="73"/>
      <c r="C1362" s="73"/>
      <c r="D1362" s="73"/>
      <c r="E1362" s="73"/>
      <c r="F1362" s="73"/>
      <c r="G1362" s="73"/>
    </row>
    <row r="1363" spans="2:7" x14ac:dyDescent="0.2">
      <c r="B1363" s="73"/>
      <c r="C1363" s="73"/>
      <c r="D1363" s="73"/>
      <c r="E1363" s="73"/>
      <c r="F1363" s="73"/>
      <c r="G1363" s="73"/>
    </row>
    <row r="1364" spans="2:7" x14ac:dyDescent="0.2">
      <c r="B1364" s="73"/>
      <c r="C1364" s="73"/>
      <c r="D1364" s="73"/>
      <c r="E1364" s="73"/>
      <c r="F1364" s="73"/>
      <c r="G1364" s="73"/>
    </row>
    <row r="1365" spans="2:7" x14ac:dyDescent="0.2">
      <c r="B1365" s="73"/>
      <c r="C1365" s="73"/>
      <c r="D1365" s="73"/>
      <c r="E1365" s="73"/>
      <c r="F1365" s="73"/>
      <c r="G1365" s="73"/>
    </row>
    <row r="1366" spans="2:7" x14ac:dyDescent="0.2">
      <c r="B1366" s="73"/>
      <c r="C1366" s="73"/>
      <c r="D1366" s="73"/>
      <c r="E1366" s="73"/>
      <c r="F1366" s="73"/>
      <c r="G1366" s="73"/>
    </row>
    <row r="1367" spans="2:7" x14ac:dyDescent="0.2">
      <c r="B1367" s="73"/>
      <c r="C1367" s="73"/>
      <c r="D1367" s="73"/>
      <c r="E1367" s="73"/>
      <c r="F1367" s="73"/>
      <c r="G1367" s="73"/>
    </row>
    <row r="1368" spans="2:7" x14ac:dyDescent="0.2">
      <c r="B1368" s="73"/>
      <c r="C1368" s="73"/>
      <c r="D1368" s="73"/>
      <c r="E1368" s="73"/>
      <c r="F1368" s="73"/>
      <c r="G1368" s="73"/>
    </row>
    <row r="1369" spans="2:7" x14ac:dyDescent="0.2">
      <c r="B1369" s="73"/>
      <c r="C1369" s="73"/>
      <c r="D1369" s="73"/>
      <c r="E1369" s="73"/>
      <c r="F1369" s="73"/>
      <c r="G1369" s="73"/>
    </row>
    <row r="1370" spans="2:7" x14ac:dyDescent="0.2">
      <c r="B1370" s="73"/>
      <c r="C1370" s="73"/>
      <c r="D1370" s="73"/>
      <c r="E1370" s="73"/>
      <c r="F1370" s="73"/>
      <c r="G1370" s="73"/>
    </row>
    <row r="1371" spans="2:7" x14ac:dyDescent="0.2">
      <c r="B1371" s="73"/>
      <c r="C1371" s="73"/>
      <c r="D1371" s="73"/>
      <c r="E1371" s="73"/>
      <c r="F1371" s="73"/>
      <c r="G1371" s="73"/>
    </row>
    <row r="1372" spans="2:7" x14ac:dyDescent="0.2">
      <c r="B1372" s="73"/>
      <c r="C1372" s="73"/>
      <c r="D1372" s="73"/>
      <c r="E1372" s="73"/>
      <c r="F1372" s="73"/>
      <c r="G1372" s="73"/>
    </row>
    <row r="1373" spans="2:7" x14ac:dyDescent="0.2">
      <c r="B1373" s="73"/>
      <c r="C1373" s="73"/>
      <c r="D1373" s="73"/>
      <c r="E1373" s="73"/>
      <c r="F1373" s="73"/>
      <c r="G1373" s="73"/>
    </row>
    <row r="1374" spans="2:7" x14ac:dyDescent="0.2">
      <c r="B1374" s="73"/>
      <c r="C1374" s="73"/>
      <c r="D1374" s="73"/>
      <c r="E1374" s="73"/>
      <c r="F1374" s="73"/>
      <c r="G1374" s="73"/>
    </row>
    <row r="1375" spans="2:7" x14ac:dyDescent="0.2">
      <c r="B1375" s="73"/>
      <c r="C1375" s="73"/>
      <c r="D1375" s="73"/>
      <c r="E1375" s="73"/>
      <c r="F1375" s="73"/>
      <c r="G1375" s="73"/>
    </row>
    <row r="1376" spans="2:7" x14ac:dyDescent="0.2">
      <c r="B1376" s="73"/>
      <c r="C1376" s="73"/>
      <c r="D1376" s="73"/>
      <c r="E1376" s="73"/>
      <c r="F1376" s="73"/>
      <c r="G1376" s="73"/>
    </row>
    <row r="1377" spans="2:7" x14ac:dyDescent="0.2">
      <c r="B1377" s="73"/>
      <c r="C1377" s="73"/>
      <c r="D1377" s="73"/>
      <c r="E1377" s="73"/>
      <c r="F1377" s="73"/>
      <c r="G1377" s="73"/>
    </row>
    <row r="1378" spans="2:7" x14ac:dyDescent="0.2">
      <c r="B1378" s="73"/>
      <c r="C1378" s="73"/>
      <c r="D1378" s="73"/>
      <c r="E1378" s="73"/>
      <c r="F1378" s="73"/>
      <c r="G1378" s="73"/>
    </row>
    <row r="1379" spans="2:7" x14ac:dyDescent="0.2">
      <c r="B1379" s="73"/>
      <c r="C1379" s="73"/>
      <c r="D1379" s="73"/>
      <c r="E1379" s="73"/>
      <c r="F1379" s="73"/>
      <c r="G1379" s="73"/>
    </row>
    <row r="1380" spans="2:7" x14ac:dyDescent="0.2">
      <c r="B1380" s="73"/>
      <c r="C1380" s="73"/>
      <c r="D1380" s="73"/>
      <c r="E1380" s="73"/>
      <c r="F1380" s="73"/>
      <c r="G1380" s="73"/>
    </row>
    <row r="1381" spans="2:7" x14ac:dyDescent="0.2">
      <c r="B1381" s="73"/>
      <c r="C1381" s="73"/>
      <c r="D1381" s="73"/>
      <c r="E1381" s="73"/>
      <c r="F1381" s="73"/>
      <c r="G1381" s="73"/>
    </row>
    <row r="1382" spans="2:7" x14ac:dyDescent="0.2">
      <c r="B1382" s="73"/>
      <c r="C1382" s="73"/>
      <c r="D1382" s="73"/>
      <c r="E1382" s="73"/>
      <c r="F1382" s="73"/>
      <c r="G1382" s="73"/>
    </row>
    <row r="1383" spans="2:7" x14ac:dyDescent="0.2">
      <c r="B1383" s="73"/>
      <c r="C1383" s="73"/>
      <c r="D1383" s="73"/>
      <c r="E1383" s="73"/>
      <c r="F1383" s="73"/>
      <c r="G1383" s="73"/>
    </row>
    <row r="1384" spans="2:7" x14ac:dyDescent="0.2">
      <c r="B1384" s="73"/>
      <c r="C1384" s="73"/>
      <c r="D1384" s="73"/>
      <c r="E1384" s="73"/>
      <c r="F1384" s="73"/>
      <c r="G1384" s="73"/>
    </row>
    <row r="1385" spans="2:7" x14ac:dyDescent="0.2">
      <c r="B1385" s="73"/>
      <c r="C1385" s="73"/>
      <c r="D1385" s="73"/>
      <c r="E1385" s="73"/>
      <c r="F1385" s="73"/>
      <c r="G1385" s="73"/>
    </row>
    <row r="1386" spans="2:7" x14ac:dyDescent="0.2">
      <c r="B1386" s="73"/>
      <c r="C1386" s="73"/>
      <c r="D1386" s="73"/>
      <c r="E1386" s="73"/>
      <c r="F1386" s="73"/>
      <c r="G1386" s="73"/>
    </row>
    <row r="1387" spans="2:7" x14ac:dyDescent="0.2">
      <c r="B1387" s="73"/>
      <c r="C1387" s="73"/>
      <c r="D1387" s="73"/>
      <c r="E1387" s="73"/>
      <c r="F1387" s="73"/>
      <c r="G1387" s="73"/>
    </row>
    <row r="1388" spans="2:7" x14ac:dyDescent="0.2">
      <c r="B1388" s="73"/>
      <c r="C1388" s="73"/>
      <c r="D1388" s="73"/>
      <c r="E1388" s="73"/>
      <c r="F1388" s="73"/>
      <c r="G1388" s="73"/>
    </row>
    <row r="1389" spans="2:7" x14ac:dyDescent="0.2">
      <c r="B1389" s="73"/>
      <c r="C1389" s="73"/>
      <c r="D1389" s="73"/>
      <c r="E1389" s="73"/>
      <c r="F1389" s="73"/>
      <c r="G1389" s="73"/>
    </row>
    <row r="1390" spans="2:7" x14ac:dyDescent="0.2">
      <c r="B1390" s="73"/>
      <c r="C1390" s="73"/>
      <c r="D1390" s="73"/>
      <c r="E1390" s="73"/>
      <c r="F1390" s="73"/>
      <c r="G1390" s="73"/>
    </row>
    <row r="1391" spans="2:7" x14ac:dyDescent="0.2">
      <c r="B1391" s="73"/>
      <c r="C1391" s="73"/>
      <c r="D1391" s="73"/>
      <c r="E1391" s="73"/>
      <c r="F1391" s="73"/>
      <c r="G1391" s="73"/>
    </row>
    <row r="1392" spans="2:7" x14ac:dyDescent="0.2">
      <c r="B1392" s="73"/>
      <c r="C1392" s="73"/>
      <c r="D1392" s="73"/>
      <c r="E1392" s="73"/>
      <c r="F1392" s="73"/>
      <c r="G1392" s="73"/>
    </row>
    <row r="1393" spans="2:7" x14ac:dyDescent="0.2">
      <c r="B1393" s="73"/>
      <c r="C1393" s="73"/>
      <c r="D1393" s="73"/>
      <c r="E1393" s="73"/>
      <c r="F1393" s="73"/>
      <c r="G1393" s="73"/>
    </row>
    <row r="1394" spans="2:7" x14ac:dyDescent="0.2">
      <c r="B1394" s="73"/>
      <c r="C1394" s="73"/>
      <c r="D1394" s="73"/>
      <c r="E1394" s="73"/>
      <c r="F1394" s="73"/>
      <c r="G1394" s="73"/>
    </row>
    <row r="1395" spans="2:7" x14ac:dyDescent="0.2">
      <c r="B1395" s="73"/>
      <c r="C1395" s="73"/>
      <c r="D1395" s="73"/>
      <c r="E1395" s="73"/>
      <c r="F1395" s="73"/>
      <c r="G1395" s="73"/>
    </row>
    <row r="1396" spans="2:7" x14ac:dyDescent="0.2">
      <c r="B1396" s="73"/>
      <c r="C1396" s="73"/>
      <c r="D1396" s="73"/>
      <c r="E1396" s="73"/>
      <c r="F1396" s="73"/>
      <c r="G1396" s="73"/>
    </row>
    <row r="1397" spans="2:7" x14ac:dyDescent="0.2">
      <c r="B1397" s="73"/>
      <c r="C1397" s="73"/>
      <c r="D1397" s="73"/>
      <c r="E1397" s="73"/>
      <c r="F1397" s="73"/>
      <c r="G1397" s="73"/>
    </row>
    <row r="1398" spans="2:7" x14ac:dyDescent="0.2">
      <c r="B1398" s="73"/>
      <c r="C1398" s="73"/>
      <c r="D1398" s="73"/>
      <c r="E1398" s="73"/>
      <c r="F1398" s="73"/>
      <c r="G1398" s="73"/>
    </row>
    <row r="1399" spans="2:7" x14ac:dyDescent="0.2">
      <c r="B1399" s="73"/>
      <c r="C1399" s="73"/>
      <c r="D1399" s="73"/>
      <c r="E1399" s="73"/>
      <c r="F1399" s="73"/>
      <c r="G1399" s="73"/>
    </row>
    <row r="1400" spans="2:7" x14ac:dyDescent="0.2">
      <c r="B1400" s="73"/>
      <c r="C1400" s="73"/>
      <c r="D1400" s="73"/>
      <c r="E1400" s="73"/>
      <c r="F1400" s="73"/>
      <c r="G1400" s="73"/>
    </row>
    <row r="1401" spans="2:7" x14ac:dyDescent="0.2">
      <c r="B1401" s="73"/>
      <c r="C1401" s="73"/>
      <c r="D1401" s="73"/>
      <c r="E1401" s="73"/>
      <c r="F1401" s="73"/>
      <c r="G1401" s="73"/>
    </row>
    <row r="1402" spans="2:7" x14ac:dyDescent="0.2">
      <c r="B1402" s="73"/>
      <c r="C1402" s="73"/>
      <c r="D1402" s="73"/>
      <c r="E1402" s="73"/>
      <c r="F1402" s="73"/>
      <c r="G1402" s="73"/>
    </row>
    <row r="1403" spans="2:7" x14ac:dyDescent="0.2">
      <c r="B1403" s="73"/>
      <c r="C1403" s="73"/>
      <c r="D1403" s="73"/>
      <c r="E1403" s="73"/>
      <c r="F1403" s="73"/>
      <c r="G1403" s="73"/>
    </row>
    <row r="1404" spans="2:7" x14ac:dyDescent="0.2">
      <c r="B1404" s="73"/>
      <c r="C1404" s="73"/>
      <c r="D1404" s="73"/>
      <c r="E1404" s="73"/>
      <c r="F1404" s="73"/>
      <c r="G1404" s="73"/>
    </row>
    <row r="1405" spans="2:7" x14ac:dyDescent="0.2">
      <c r="B1405" s="73"/>
      <c r="C1405" s="73"/>
      <c r="D1405" s="73"/>
      <c r="E1405" s="73"/>
      <c r="F1405" s="73"/>
      <c r="G1405" s="73"/>
    </row>
    <row r="1406" spans="2:7" x14ac:dyDescent="0.2">
      <c r="B1406" s="73"/>
      <c r="C1406" s="73"/>
      <c r="D1406" s="73"/>
      <c r="E1406" s="73"/>
      <c r="F1406" s="73"/>
      <c r="G1406" s="73"/>
    </row>
    <row r="1407" spans="2:7" x14ac:dyDescent="0.2">
      <c r="B1407" s="73"/>
      <c r="C1407" s="73"/>
      <c r="D1407" s="73"/>
      <c r="E1407" s="73"/>
      <c r="F1407" s="73"/>
      <c r="G1407" s="73"/>
    </row>
    <row r="1408" spans="2:7" x14ac:dyDescent="0.2">
      <c r="B1408" s="73"/>
      <c r="C1408" s="73"/>
      <c r="D1408" s="73"/>
      <c r="E1408" s="73"/>
      <c r="F1408" s="73"/>
      <c r="G1408" s="73"/>
    </row>
    <row r="1409" spans="2:7" x14ac:dyDescent="0.2">
      <c r="B1409" s="73"/>
      <c r="C1409" s="73"/>
      <c r="D1409" s="73"/>
      <c r="E1409" s="73"/>
      <c r="F1409" s="73"/>
      <c r="G1409" s="73"/>
    </row>
    <row r="1410" spans="2:7" x14ac:dyDescent="0.2">
      <c r="B1410" s="73"/>
      <c r="C1410" s="73"/>
      <c r="D1410" s="73"/>
      <c r="E1410" s="73"/>
      <c r="F1410" s="73"/>
      <c r="G1410" s="73"/>
    </row>
    <row r="1411" spans="2:7" x14ac:dyDescent="0.2">
      <c r="B1411" s="73"/>
      <c r="C1411" s="73"/>
      <c r="D1411" s="73"/>
      <c r="E1411" s="73"/>
      <c r="F1411" s="73"/>
      <c r="G1411" s="73"/>
    </row>
    <row r="1412" spans="2:7" x14ac:dyDescent="0.2">
      <c r="B1412" s="73"/>
      <c r="C1412" s="73"/>
      <c r="D1412" s="73"/>
      <c r="E1412" s="73"/>
      <c r="F1412" s="73"/>
      <c r="G1412" s="73"/>
    </row>
    <row r="1413" spans="2:7" x14ac:dyDescent="0.2">
      <c r="B1413" s="73"/>
      <c r="C1413" s="73"/>
      <c r="D1413" s="73"/>
      <c r="E1413" s="73"/>
      <c r="F1413" s="73"/>
      <c r="G1413" s="73"/>
    </row>
    <row r="1414" spans="2:7" x14ac:dyDescent="0.2">
      <c r="B1414" s="73"/>
      <c r="C1414" s="73"/>
      <c r="D1414" s="73"/>
      <c r="E1414" s="73"/>
      <c r="F1414" s="73"/>
      <c r="G1414" s="73"/>
    </row>
    <row r="1415" spans="2:7" x14ac:dyDescent="0.2">
      <c r="B1415" s="73"/>
      <c r="C1415" s="73"/>
      <c r="D1415" s="73"/>
      <c r="E1415" s="73"/>
      <c r="F1415" s="73"/>
      <c r="G1415" s="73"/>
    </row>
    <row r="1416" spans="2:7" x14ac:dyDescent="0.2">
      <c r="B1416" s="73"/>
      <c r="C1416" s="73"/>
      <c r="D1416" s="73"/>
      <c r="E1416" s="73"/>
      <c r="F1416" s="73"/>
      <c r="G1416" s="73"/>
    </row>
    <row r="1417" spans="2:7" x14ac:dyDescent="0.2">
      <c r="B1417" s="73"/>
      <c r="C1417" s="73"/>
      <c r="D1417" s="73"/>
      <c r="E1417" s="73"/>
      <c r="F1417" s="73"/>
      <c r="G1417" s="73"/>
    </row>
    <row r="1418" spans="2:7" x14ac:dyDescent="0.2">
      <c r="B1418" s="73"/>
      <c r="C1418" s="73"/>
      <c r="D1418" s="73"/>
      <c r="E1418" s="73"/>
      <c r="F1418" s="73"/>
      <c r="G1418" s="73"/>
    </row>
    <row r="1419" spans="2:7" x14ac:dyDescent="0.2">
      <c r="B1419" s="73"/>
      <c r="C1419" s="73"/>
      <c r="D1419" s="73"/>
      <c r="E1419" s="73"/>
      <c r="F1419" s="73"/>
      <c r="G1419" s="73"/>
    </row>
    <row r="1420" spans="2:7" x14ac:dyDescent="0.2">
      <c r="B1420" s="73"/>
      <c r="C1420" s="73"/>
      <c r="D1420" s="73"/>
      <c r="E1420" s="73"/>
      <c r="F1420" s="73"/>
      <c r="G1420" s="73"/>
    </row>
    <row r="1421" spans="2:7" x14ac:dyDescent="0.2">
      <c r="B1421" s="73"/>
      <c r="C1421" s="73"/>
      <c r="D1421" s="73"/>
      <c r="E1421" s="73"/>
      <c r="F1421" s="73"/>
      <c r="G1421" s="73"/>
    </row>
    <row r="1422" spans="2:7" x14ac:dyDescent="0.2">
      <c r="B1422" s="73"/>
      <c r="C1422" s="73"/>
      <c r="D1422" s="73"/>
      <c r="E1422" s="73"/>
      <c r="F1422" s="73"/>
      <c r="G1422" s="73"/>
    </row>
    <row r="1423" spans="2:7" x14ac:dyDescent="0.2">
      <c r="B1423" s="73"/>
      <c r="C1423" s="73"/>
      <c r="D1423" s="73"/>
      <c r="E1423" s="73"/>
      <c r="F1423" s="73"/>
      <c r="G1423" s="73"/>
    </row>
    <row r="1424" spans="2:7" x14ac:dyDescent="0.2">
      <c r="B1424" s="73"/>
      <c r="C1424" s="73"/>
      <c r="D1424" s="73"/>
      <c r="E1424" s="73"/>
      <c r="F1424" s="73"/>
      <c r="G1424" s="73"/>
    </row>
    <row r="1425" spans="2:7" x14ac:dyDescent="0.2">
      <c r="B1425" s="73"/>
      <c r="C1425" s="73"/>
      <c r="D1425" s="73"/>
      <c r="E1425" s="73"/>
      <c r="F1425" s="73"/>
      <c r="G1425" s="73"/>
    </row>
    <row r="1426" spans="2:7" x14ac:dyDescent="0.2">
      <c r="B1426" s="73"/>
      <c r="C1426" s="73"/>
      <c r="D1426" s="73"/>
      <c r="E1426" s="73"/>
      <c r="F1426" s="73"/>
      <c r="G1426" s="73"/>
    </row>
    <row r="1427" spans="2:7" x14ac:dyDescent="0.2">
      <c r="B1427" s="73"/>
      <c r="C1427" s="73"/>
      <c r="D1427" s="73"/>
      <c r="E1427" s="73"/>
      <c r="F1427" s="73"/>
      <c r="G1427" s="73"/>
    </row>
    <row r="1428" spans="2:7" x14ac:dyDescent="0.2">
      <c r="B1428" s="73"/>
      <c r="C1428" s="73"/>
      <c r="D1428" s="73"/>
      <c r="E1428" s="73"/>
      <c r="F1428" s="73"/>
      <c r="G1428" s="73"/>
    </row>
    <row r="1429" spans="2:7" x14ac:dyDescent="0.2">
      <c r="B1429" s="73"/>
      <c r="C1429" s="73"/>
      <c r="D1429" s="73"/>
      <c r="E1429" s="73"/>
      <c r="F1429" s="73"/>
      <c r="G1429" s="73"/>
    </row>
    <row r="1430" spans="2:7" x14ac:dyDescent="0.2">
      <c r="B1430" s="73"/>
      <c r="C1430" s="73"/>
      <c r="D1430" s="73"/>
      <c r="E1430" s="73"/>
      <c r="F1430" s="73"/>
      <c r="G1430" s="73"/>
    </row>
    <row r="1431" spans="2:7" x14ac:dyDescent="0.2">
      <c r="B1431" s="73"/>
      <c r="C1431" s="73"/>
      <c r="D1431" s="73"/>
      <c r="E1431" s="73"/>
      <c r="F1431" s="73"/>
      <c r="G1431" s="73"/>
    </row>
    <row r="1432" spans="2:7" x14ac:dyDescent="0.2">
      <c r="B1432" s="73"/>
      <c r="C1432" s="73"/>
      <c r="D1432" s="73"/>
      <c r="E1432" s="73"/>
      <c r="F1432" s="73"/>
      <c r="G1432" s="73"/>
    </row>
    <row r="1433" spans="2:7" x14ac:dyDescent="0.2">
      <c r="B1433" s="73"/>
      <c r="C1433" s="73"/>
      <c r="D1433" s="73"/>
      <c r="E1433" s="73"/>
      <c r="F1433" s="73"/>
      <c r="G1433" s="73"/>
    </row>
    <row r="1434" spans="2:7" x14ac:dyDescent="0.2">
      <c r="B1434" s="73"/>
      <c r="C1434" s="73"/>
      <c r="D1434" s="73"/>
      <c r="E1434" s="73"/>
      <c r="F1434" s="73"/>
      <c r="G1434" s="73"/>
    </row>
    <row r="1435" spans="2:7" x14ac:dyDescent="0.2">
      <c r="B1435" s="73"/>
      <c r="C1435" s="73"/>
      <c r="D1435" s="73"/>
      <c r="E1435" s="73"/>
      <c r="F1435" s="73"/>
      <c r="G1435" s="73"/>
    </row>
    <row r="1436" spans="2:7" x14ac:dyDescent="0.2">
      <c r="B1436" s="73"/>
      <c r="C1436" s="73"/>
      <c r="D1436" s="73"/>
      <c r="E1436" s="73"/>
      <c r="F1436" s="73"/>
      <c r="G1436" s="73"/>
    </row>
    <row r="1437" spans="2:7" x14ac:dyDescent="0.2">
      <c r="B1437" s="73"/>
      <c r="C1437" s="73"/>
      <c r="D1437" s="73"/>
      <c r="E1437" s="73"/>
      <c r="F1437" s="73"/>
      <c r="G1437" s="73"/>
    </row>
    <row r="1438" spans="2:7" x14ac:dyDescent="0.2">
      <c r="B1438" s="73"/>
      <c r="C1438" s="73"/>
      <c r="D1438" s="73"/>
      <c r="E1438" s="73"/>
      <c r="F1438" s="73"/>
      <c r="G1438" s="73"/>
    </row>
    <row r="1439" spans="2:7" x14ac:dyDescent="0.2">
      <c r="B1439" s="73"/>
      <c r="C1439" s="73"/>
      <c r="D1439" s="73"/>
      <c r="E1439" s="73"/>
      <c r="F1439" s="73"/>
      <c r="G1439" s="73"/>
    </row>
    <row r="1440" spans="2:7" x14ac:dyDescent="0.2">
      <c r="B1440" s="73"/>
      <c r="C1440" s="73"/>
      <c r="D1440" s="73"/>
      <c r="E1440" s="73"/>
      <c r="F1440" s="73"/>
      <c r="G1440" s="73"/>
    </row>
    <row r="1441" spans="2:7" x14ac:dyDescent="0.2">
      <c r="B1441" s="73"/>
      <c r="C1441" s="73"/>
      <c r="D1441" s="73"/>
      <c r="E1441" s="73"/>
      <c r="F1441" s="73"/>
      <c r="G1441" s="73"/>
    </row>
    <row r="1442" spans="2:7" x14ac:dyDescent="0.2">
      <c r="B1442" s="73"/>
      <c r="C1442" s="73"/>
      <c r="D1442" s="73"/>
      <c r="E1442" s="73"/>
      <c r="F1442" s="73"/>
      <c r="G1442" s="73"/>
    </row>
    <row r="1443" spans="2:7" x14ac:dyDescent="0.2">
      <c r="B1443" s="73"/>
      <c r="C1443" s="73"/>
      <c r="D1443" s="73"/>
      <c r="E1443" s="73"/>
      <c r="F1443" s="73"/>
      <c r="G1443" s="73"/>
    </row>
    <row r="1444" spans="2:7" x14ac:dyDescent="0.2">
      <c r="B1444" s="73"/>
      <c r="C1444" s="73"/>
      <c r="D1444" s="73"/>
      <c r="E1444" s="73"/>
      <c r="F1444" s="73"/>
      <c r="G1444" s="73"/>
    </row>
    <row r="1445" spans="2:7" x14ac:dyDescent="0.2">
      <c r="B1445" s="73"/>
      <c r="C1445" s="73"/>
      <c r="D1445" s="73"/>
      <c r="E1445" s="73"/>
      <c r="F1445" s="73"/>
      <c r="G1445" s="73"/>
    </row>
    <row r="1446" spans="2:7" x14ac:dyDescent="0.2">
      <c r="B1446" s="73"/>
      <c r="C1446" s="73"/>
      <c r="D1446" s="73"/>
      <c r="E1446" s="73"/>
      <c r="F1446" s="73"/>
      <c r="G1446" s="73"/>
    </row>
    <row r="1447" spans="2:7" x14ac:dyDescent="0.2">
      <c r="B1447" s="73"/>
      <c r="C1447" s="73"/>
      <c r="D1447" s="73"/>
      <c r="E1447" s="73"/>
      <c r="F1447" s="73"/>
      <c r="G1447" s="73"/>
    </row>
    <row r="1448" spans="2:7" x14ac:dyDescent="0.2">
      <c r="B1448" s="73"/>
      <c r="C1448" s="73"/>
      <c r="D1448" s="73"/>
      <c r="E1448" s="73"/>
      <c r="F1448" s="73"/>
      <c r="G1448" s="73"/>
    </row>
    <row r="1449" spans="2:7" x14ac:dyDescent="0.2">
      <c r="B1449" s="73"/>
      <c r="C1449" s="73"/>
      <c r="D1449" s="73"/>
      <c r="E1449" s="73"/>
      <c r="F1449" s="73"/>
      <c r="G1449" s="73"/>
    </row>
    <row r="1450" spans="2:7" x14ac:dyDescent="0.2">
      <c r="B1450" s="73"/>
      <c r="C1450" s="73"/>
      <c r="D1450" s="73"/>
      <c r="E1450" s="73"/>
      <c r="F1450" s="73"/>
      <c r="G1450" s="73"/>
    </row>
    <row r="1451" spans="2:7" x14ac:dyDescent="0.2">
      <c r="B1451" s="73"/>
      <c r="C1451" s="73"/>
      <c r="D1451" s="73"/>
      <c r="E1451" s="73"/>
      <c r="F1451" s="73"/>
      <c r="G1451" s="73"/>
    </row>
    <row r="1452" spans="2:7" x14ac:dyDescent="0.2">
      <c r="B1452" s="73"/>
      <c r="C1452" s="73"/>
      <c r="D1452" s="73"/>
      <c r="E1452" s="73"/>
      <c r="F1452" s="73"/>
      <c r="G1452" s="73"/>
    </row>
    <row r="1453" spans="2:7" x14ac:dyDescent="0.2">
      <c r="B1453" s="73"/>
      <c r="C1453" s="73"/>
      <c r="D1453" s="73"/>
      <c r="E1453" s="73"/>
      <c r="F1453" s="73"/>
      <c r="G1453" s="73"/>
    </row>
    <row r="1454" spans="2:7" x14ac:dyDescent="0.2">
      <c r="B1454" s="73"/>
      <c r="C1454" s="73"/>
      <c r="D1454" s="73"/>
      <c r="E1454" s="73"/>
      <c r="F1454" s="73"/>
      <c r="G1454" s="73"/>
    </row>
    <row r="1455" spans="2:7" x14ac:dyDescent="0.2">
      <c r="B1455" s="73"/>
      <c r="C1455" s="73"/>
      <c r="D1455" s="73"/>
      <c r="E1455" s="73"/>
      <c r="F1455" s="73"/>
      <c r="G1455" s="73"/>
    </row>
    <row r="1456" spans="2:7" x14ac:dyDescent="0.2">
      <c r="B1456" s="73"/>
      <c r="C1456" s="73"/>
      <c r="D1456" s="73"/>
      <c r="E1456" s="73"/>
      <c r="F1456" s="73"/>
      <c r="G1456" s="73"/>
    </row>
    <row r="1457" spans="2:7" x14ac:dyDescent="0.2">
      <c r="B1457" s="73"/>
      <c r="C1457" s="73"/>
      <c r="D1457" s="73"/>
      <c r="E1457" s="73"/>
      <c r="F1457" s="73"/>
      <c r="G1457" s="73"/>
    </row>
    <row r="1458" spans="2:7" x14ac:dyDescent="0.2">
      <c r="B1458" s="73"/>
      <c r="C1458" s="73"/>
      <c r="D1458" s="73"/>
      <c r="E1458" s="73"/>
      <c r="F1458" s="73"/>
      <c r="G1458" s="73"/>
    </row>
    <row r="1459" spans="2:7" x14ac:dyDescent="0.2">
      <c r="B1459" s="73"/>
      <c r="C1459" s="73"/>
      <c r="D1459" s="73"/>
      <c r="E1459" s="73"/>
      <c r="F1459" s="73"/>
      <c r="G1459" s="73"/>
    </row>
    <row r="1460" spans="2:7" x14ac:dyDescent="0.2">
      <c r="B1460" s="73"/>
      <c r="C1460" s="73"/>
      <c r="D1460" s="73"/>
      <c r="E1460" s="73"/>
      <c r="F1460" s="73"/>
      <c r="G1460" s="73"/>
    </row>
    <row r="1461" spans="2:7" x14ac:dyDescent="0.2">
      <c r="B1461" s="73"/>
      <c r="C1461" s="73"/>
      <c r="D1461" s="73"/>
      <c r="E1461" s="73"/>
      <c r="F1461" s="73"/>
      <c r="G1461" s="73"/>
    </row>
    <row r="1462" spans="2:7" x14ac:dyDescent="0.2">
      <c r="B1462" s="73"/>
      <c r="C1462" s="73"/>
      <c r="D1462" s="73"/>
      <c r="E1462" s="73"/>
      <c r="F1462" s="73"/>
      <c r="G1462" s="73"/>
    </row>
    <row r="1463" spans="2:7" x14ac:dyDescent="0.2">
      <c r="B1463" s="73"/>
      <c r="C1463" s="73"/>
      <c r="D1463" s="73"/>
      <c r="E1463" s="73"/>
      <c r="F1463" s="73"/>
      <c r="G1463" s="73"/>
    </row>
    <row r="1464" spans="2:7" x14ac:dyDescent="0.2">
      <c r="B1464" s="73"/>
      <c r="C1464" s="73"/>
      <c r="D1464" s="73"/>
      <c r="E1464" s="73"/>
      <c r="F1464" s="73"/>
      <c r="G1464" s="73"/>
    </row>
    <row r="1465" spans="2:7" x14ac:dyDescent="0.2">
      <c r="B1465" s="73"/>
      <c r="C1465" s="73"/>
      <c r="D1465" s="73"/>
      <c r="E1465" s="73"/>
      <c r="F1465" s="73"/>
      <c r="G1465" s="73"/>
    </row>
    <row r="1466" spans="2:7" x14ac:dyDescent="0.2">
      <c r="B1466" s="73"/>
      <c r="C1466" s="73"/>
      <c r="D1466" s="73"/>
      <c r="E1466" s="73"/>
      <c r="F1466" s="73"/>
      <c r="G1466" s="73"/>
    </row>
    <row r="1467" spans="2:7" x14ac:dyDescent="0.2">
      <c r="B1467" s="73"/>
      <c r="C1467" s="73"/>
      <c r="D1467" s="73"/>
      <c r="E1467" s="73"/>
      <c r="F1467" s="73"/>
      <c r="G1467" s="73"/>
    </row>
    <row r="1468" spans="2:7" x14ac:dyDescent="0.2">
      <c r="B1468" s="73"/>
      <c r="C1468" s="73"/>
      <c r="D1468" s="73"/>
      <c r="E1468" s="73"/>
      <c r="F1468" s="73"/>
      <c r="G1468" s="73"/>
    </row>
    <row r="1469" spans="2:7" x14ac:dyDescent="0.2">
      <c r="B1469" s="73"/>
      <c r="C1469" s="73"/>
      <c r="D1469" s="73"/>
      <c r="E1469" s="73"/>
      <c r="F1469" s="73"/>
      <c r="G1469" s="73"/>
    </row>
    <row r="1470" spans="2:7" x14ac:dyDescent="0.2">
      <c r="B1470" s="73"/>
      <c r="C1470" s="73"/>
      <c r="D1470" s="73"/>
      <c r="E1470" s="73"/>
      <c r="F1470" s="73"/>
      <c r="G1470" s="73"/>
    </row>
    <row r="1471" spans="2:7" x14ac:dyDescent="0.2">
      <c r="B1471" s="73"/>
      <c r="C1471" s="73"/>
      <c r="D1471" s="73"/>
      <c r="E1471" s="73"/>
      <c r="F1471" s="73"/>
      <c r="G1471" s="73"/>
    </row>
    <row r="1472" spans="2:7" x14ac:dyDescent="0.2">
      <c r="B1472" s="73"/>
      <c r="C1472" s="73"/>
      <c r="D1472" s="73"/>
      <c r="E1472" s="73"/>
      <c r="F1472" s="73"/>
      <c r="G1472" s="73"/>
    </row>
    <row r="1473" spans="2:7" x14ac:dyDescent="0.2">
      <c r="B1473" s="73"/>
      <c r="C1473" s="73"/>
      <c r="D1473" s="73"/>
      <c r="E1473" s="73"/>
      <c r="F1473" s="73"/>
      <c r="G1473" s="73"/>
    </row>
    <row r="1474" spans="2:7" x14ac:dyDescent="0.2">
      <c r="B1474" s="73"/>
      <c r="C1474" s="73"/>
      <c r="D1474" s="73"/>
      <c r="E1474" s="73"/>
      <c r="F1474" s="73"/>
      <c r="G1474" s="73"/>
    </row>
    <row r="1475" spans="2:7" x14ac:dyDescent="0.2">
      <c r="B1475" s="73"/>
      <c r="C1475" s="73"/>
      <c r="D1475" s="73"/>
      <c r="E1475" s="73"/>
      <c r="F1475" s="73"/>
      <c r="G1475" s="73"/>
    </row>
    <row r="1476" spans="2:7" x14ac:dyDescent="0.2">
      <c r="B1476" s="73"/>
      <c r="C1476" s="73"/>
      <c r="D1476" s="73"/>
      <c r="E1476" s="73"/>
      <c r="F1476" s="73"/>
      <c r="G1476" s="73"/>
    </row>
    <row r="1477" spans="2:7" x14ac:dyDescent="0.2">
      <c r="B1477" s="73"/>
      <c r="C1477" s="73"/>
      <c r="D1477" s="73"/>
      <c r="E1477" s="73"/>
      <c r="F1477" s="73"/>
      <c r="G1477" s="73"/>
    </row>
    <row r="1478" spans="2:7" x14ac:dyDescent="0.2">
      <c r="B1478" s="73"/>
      <c r="C1478" s="73"/>
      <c r="D1478" s="73"/>
      <c r="E1478" s="73"/>
      <c r="F1478" s="73"/>
      <c r="G1478" s="73"/>
    </row>
    <row r="1479" spans="2:7" x14ac:dyDescent="0.2">
      <c r="B1479" s="73"/>
      <c r="C1479" s="73"/>
      <c r="D1479" s="73"/>
      <c r="E1479" s="73"/>
      <c r="F1479" s="73"/>
      <c r="G1479" s="73"/>
    </row>
    <row r="1480" spans="2:7" x14ac:dyDescent="0.2">
      <c r="B1480" s="73"/>
      <c r="C1480" s="73"/>
      <c r="D1480" s="73"/>
      <c r="E1480" s="73"/>
      <c r="F1480" s="73"/>
      <c r="G1480" s="73"/>
    </row>
    <row r="1481" spans="2:7" x14ac:dyDescent="0.2">
      <c r="B1481" s="73"/>
      <c r="C1481" s="73"/>
      <c r="D1481" s="73"/>
      <c r="E1481" s="73"/>
      <c r="F1481" s="73"/>
      <c r="G1481" s="73"/>
    </row>
    <row r="1482" spans="2:7" x14ac:dyDescent="0.2">
      <c r="B1482" s="73"/>
      <c r="C1482" s="73"/>
      <c r="D1482" s="73"/>
      <c r="E1482" s="73"/>
      <c r="F1482" s="73"/>
      <c r="G1482" s="73"/>
    </row>
    <row r="1483" spans="2:7" x14ac:dyDescent="0.2">
      <c r="B1483" s="73"/>
      <c r="C1483" s="73"/>
      <c r="D1483" s="73"/>
      <c r="E1483" s="73"/>
      <c r="F1483" s="73"/>
      <c r="G1483" s="73"/>
    </row>
    <row r="1484" spans="2:7" x14ac:dyDescent="0.2">
      <c r="B1484" s="73"/>
      <c r="C1484" s="73"/>
      <c r="D1484" s="73"/>
      <c r="E1484" s="73"/>
      <c r="F1484" s="73"/>
      <c r="G1484" s="73"/>
    </row>
    <row r="1485" spans="2:7" x14ac:dyDescent="0.2">
      <c r="B1485" s="73"/>
      <c r="C1485" s="73"/>
      <c r="D1485" s="73"/>
      <c r="E1485" s="73"/>
      <c r="F1485" s="73"/>
      <c r="G1485" s="73"/>
    </row>
    <row r="1486" spans="2:7" x14ac:dyDescent="0.2">
      <c r="B1486" s="73"/>
      <c r="C1486" s="73"/>
      <c r="D1486" s="73"/>
      <c r="E1486" s="73"/>
      <c r="F1486" s="73"/>
      <c r="G1486" s="73"/>
    </row>
    <row r="1487" spans="2:7" x14ac:dyDescent="0.2">
      <c r="B1487" s="73"/>
      <c r="C1487" s="73"/>
      <c r="D1487" s="73"/>
      <c r="E1487" s="73"/>
      <c r="F1487" s="73"/>
      <c r="G1487" s="73"/>
    </row>
    <row r="1488" spans="2:7" x14ac:dyDescent="0.2">
      <c r="B1488" s="73"/>
      <c r="C1488" s="73"/>
      <c r="D1488" s="73"/>
      <c r="E1488" s="73"/>
      <c r="F1488" s="73"/>
      <c r="G1488" s="73"/>
    </row>
    <row r="1489" spans="2:7" x14ac:dyDescent="0.2">
      <c r="B1489" s="73"/>
      <c r="C1489" s="73"/>
      <c r="D1489" s="73"/>
      <c r="E1489" s="73"/>
      <c r="F1489" s="73"/>
      <c r="G1489" s="73"/>
    </row>
    <row r="1490" spans="2:7" x14ac:dyDescent="0.2">
      <c r="B1490" s="73"/>
      <c r="C1490" s="73"/>
      <c r="D1490" s="73"/>
      <c r="E1490" s="73"/>
      <c r="F1490" s="73"/>
      <c r="G1490" s="73"/>
    </row>
    <row r="1491" spans="2:7" x14ac:dyDescent="0.2">
      <c r="B1491" s="73"/>
      <c r="C1491" s="73"/>
      <c r="D1491" s="73"/>
      <c r="E1491" s="73"/>
      <c r="F1491" s="73"/>
      <c r="G1491" s="73"/>
    </row>
    <row r="1492" spans="2:7" x14ac:dyDescent="0.2">
      <c r="B1492" s="73"/>
      <c r="C1492" s="73"/>
      <c r="D1492" s="73"/>
      <c r="E1492" s="73"/>
      <c r="F1492" s="73"/>
      <c r="G1492" s="73"/>
    </row>
    <row r="1493" spans="2:7" x14ac:dyDescent="0.2">
      <c r="B1493" s="73"/>
      <c r="C1493" s="73"/>
      <c r="D1493" s="73"/>
      <c r="E1493" s="73"/>
      <c r="F1493" s="73"/>
      <c r="G1493" s="73"/>
    </row>
    <row r="1494" spans="2:7" x14ac:dyDescent="0.2">
      <c r="B1494" s="73"/>
      <c r="C1494" s="73"/>
      <c r="D1494" s="73"/>
      <c r="E1494" s="73"/>
      <c r="F1494" s="73"/>
      <c r="G1494" s="73"/>
    </row>
    <row r="1495" spans="2:7" x14ac:dyDescent="0.2">
      <c r="B1495" s="73"/>
      <c r="C1495" s="73"/>
      <c r="D1495" s="73"/>
      <c r="E1495" s="73"/>
      <c r="F1495" s="73"/>
      <c r="G1495" s="73"/>
    </row>
    <row r="1496" spans="2:7" x14ac:dyDescent="0.2">
      <c r="B1496" s="73"/>
      <c r="C1496" s="73"/>
      <c r="D1496" s="73"/>
      <c r="E1496" s="73"/>
      <c r="F1496" s="73"/>
      <c r="G1496" s="73"/>
    </row>
    <row r="1497" spans="2:7" x14ac:dyDescent="0.2">
      <c r="B1497" s="73"/>
      <c r="C1497" s="73"/>
      <c r="D1497" s="73"/>
      <c r="E1497" s="73"/>
      <c r="F1497" s="73"/>
      <c r="G1497" s="73"/>
    </row>
    <row r="1498" spans="2:7" x14ac:dyDescent="0.2">
      <c r="B1498" s="73"/>
      <c r="C1498" s="73"/>
      <c r="D1498" s="73"/>
      <c r="E1498" s="73"/>
      <c r="F1498" s="73"/>
      <c r="G1498" s="73"/>
    </row>
    <row r="1499" spans="2:7" x14ac:dyDescent="0.2">
      <c r="B1499" s="73"/>
      <c r="C1499" s="73"/>
      <c r="D1499" s="73"/>
      <c r="E1499" s="73"/>
      <c r="F1499" s="73"/>
      <c r="G1499" s="73"/>
    </row>
    <row r="1500" spans="2:7" x14ac:dyDescent="0.2">
      <c r="B1500" s="73"/>
      <c r="C1500" s="73"/>
      <c r="D1500" s="73"/>
      <c r="E1500" s="73"/>
      <c r="F1500" s="73"/>
      <c r="G1500" s="73"/>
    </row>
    <row r="1501" spans="2:7" x14ac:dyDescent="0.2">
      <c r="B1501" s="73"/>
      <c r="C1501" s="73"/>
      <c r="D1501" s="73"/>
      <c r="E1501" s="73"/>
      <c r="F1501" s="73"/>
      <c r="G1501" s="73"/>
    </row>
    <row r="1502" spans="2:7" x14ac:dyDescent="0.2">
      <c r="B1502" s="73"/>
      <c r="C1502" s="73"/>
      <c r="D1502" s="73"/>
      <c r="E1502" s="73"/>
      <c r="F1502" s="73"/>
      <c r="G1502" s="73"/>
    </row>
    <row r="1503" spans="2:7" x14ac:dyDescent="0.2">
      <c r="B1503" s="73"/>
      <c r="C1503" s="73"/>
      <c r="D1503" s="73"/>
      <c r="E1503" s="73"/>
      <c r="F1503" s="73"/>
      <c r="G1503" s="73"/>
    </row>
    <row r="1504" spans="2:7" x14ac:dyDescent="0.2">
      <c r="B1504" s="73"/>
      <c r="C1504" s="73"/>
      <c r="D1504" s="73"/>
      <c r="E1504" s="73"/>
      <c r="F1504" s="73"/>
      <c r="G1504" s="73"/>
    </row>
    <row r="1505" spans="2:7" x14ac:dyDescent="0.2">
      <c r="B1505" s="73"/>
      <c r="C1505" s="73"/>
      <c r="D1505" s="73"/>
      <c r="E1505" s="73"/>
      <c r="F1505" s="73"/>
      <c r="G1505" s="73"/>
    </row>
    <row r="1506" spans="2:7" x14ac:dyDescent="0.2">
      <c r="B1506" s="73"/>
      <c r="C1506" s="73"/>
      <c r="D1506" s="73"/>
      <c r="E1506" s="73"/>
      <c r="F1506" s="73"/>
      <c r="G1506" s="73"/>
    </row>
    <row r="1507" spans="2:7" x14ac:dyDescent="0.2">
      <c r="B1507" s="73"/>
      <c r="C1507" s="73"/>
      <c r="D1507" s="73"/>
      <c r="E1507" s="73"/>
      <c r="F1507" s="73"/>
      <c r="G1507" s="73"/>
    </row>
    <row r="1508" spans="2:7" x14ac:dyDescent="0.2">
      <c r="B1508" s="73"/>
      <c r="C1508" s="73"/>
      <c r="D1508" s="73"/>
      <c r="E1508" s="73"/>
      <c r="F1508" s="73"/>
      <c r="G1508" s="73"/>
    </row>
    <row r="1509" spans="2:7" x14ac:dyDescent="0.2">
      <c r="B1509" s="73"/>
      <c r="C1509" s="73"/>
      <c r="D1509" s="73"/>
      <c r="E1509" s="73"/>
      <c r="F1509" s="73"/>
      <c r="G1509" s="73"/>
    </row>
    <row r="1510" spans="2:7" x14ac:dyDescent="0.2">
      <c r="B1510" s="73"/>
      <c r="C1510" s="73"/>
      <c r="D1510" s="73"/>
      <c r="E1510" s="73"/>
      <c r="F1510" s="73"/>
      <c r="G1510" s="73"/>
    </row>
    <row r="1511" spans="2:7" x14ac:dyDescent="0.2">
      <c r="B1511" s="73"/>
      <c r="C1511" s="73"/>
      <c r="D1511" s="73"/>
      <c r="E1511" s="73"/>
      <c r="F1511" s="73"/>
      <c r="G1511" s="73"/>
    </row>
    <row r="1512" spans="2:7" x14ac:dyDescent="0.2">
      <c r="B1512" s="73"/>
      <c r="C1512" s="73"/>
      <c r="D1512" s="73"/>
      <c r="E1512" s="73"/>
      <c r="F1512" s="73"/>
      <c r="G1512" s="73"/>
    </row>
    <row r="1513" spans="2:7" x14ac:dyDescent="0.2">
      <c r="B1513" s="73"/>
      <c r="C1513" s="73"/>
      <c r="D1513" s="73"/>
      <c r="E1513" s="73"/>
      <c r="F1513" s="73"/>
      <c r="G1513" s="73"/>
    </row>
    <row r="1514" spans="2:7" x14ac:dyDescent="0.2">
      <c r="B1514" s="73"/>
      <c r="C1514" s="73"/>
      <c r="D1514" s="73"/>
      <c r="E1514" s="73"/>
      <c r="F1514" s="73"/>
      <c r="G1514" s="73"/>
    </row>
    <row r="1515" spans="2:7" x14ac:dyDescent="0.2">
      <c r="B1515" s="73"/>
      <c r="C1515" s="73"/>
      <c r="D1515" s="73"/>
      <c r="E1515" s="73"/>
      <c r="F1515" s="73"/>
      <c r="G1515" s="73"/>
    </row>
    <row r="1516" spans="2:7" x14ac:dyDescent="0.2">
      <c r="B1516" s="73"/>
      <c r="C1516" s="73"/>
      <c r="D1516" s="73"/>
      <c r="E1516" s="73"/>
      <c r="F1516" s="73"/>
      <c r="G1516" s="73"/>
    </row>
    <row r="1517" spans="2:7" x14ac:dyDescent="0.2">
      <c r="B1517" s="73"/>
      <c r="C1517" s="73"/>
      <c r="D1517" s="73"/>
      <c r="E1517" s="73"/>
      <c r="F1517" s="73"/>
      <c r="G1517" s="73"/>
    </row>
    <row r="1518" spans="2:7" x14ac:dyDescent="0.2">
      <c r="B1518" s="73"/>
      <c r="C1518" s="73"/>
      <c r="D1518" s="73"/>
      <c r="E1518" s="73"/>
      <c r="F1518" s="73"/>
      <c r="G1518" s="73"/>
    </row>
    <row r="1519" spans="2:7" x14ac:dyDescent="0.2">
      <c r="B1519" s="73"/>
      <c r="C1519" s="73"/>
      <c r="D1519" s="73"/>
      <c r="E1519" s="73"/>
      <c r="F1519" s="73"/>
      <c r="G1519" s="73"/>
    </row>
    <row r="1520" spans="2:7" x14ac:dyDescent="0.2">
      <c r="B1520" s="73"/>
      <c r="C1520" s="73"/>
      <c r="D1520" s="73"/>
      <c r="E1520" s="73"/>
      <c r="F1520" s="73"/>
      <c r="G1520" s="73"/>
    </row>
    <row r="1521" spans="2:7" x14ac:dyDescent="0.2">
      <c r="B1521" s="73"/>
      <c r="C1521" s="73"/>
      <c r="D1521" s="73"/>
      <c r="E1521" s="73"/>
      <c r="F1521" s="73"/>
      <c r="G1521" s="73"/>
    </row>
    <row r="1522" spans="2:7" x14ac:dyDescent="0.2">
      <c r="B1522" s="73"/>
      <c r="C1522" s="73"/>
      <c r="D1522" s="73"/>
      <c r="E1522" s="73"/>
      <c r="F1522" s="73"/>
      <c r="G1522" s="73"/>
    </row>
    <row r="1523" spans="2:7" x14ac:dyDescent="0.2">
      <c r="B1523" s="73"/>
      <c r="C1523" s="73"/>
      <c r="D1523" s="73"/>
      <c r="E1523" s="73"/>
      <c r="F1523" s="73"/>
      <c r="G1523" s="73"/>
    </row>
    <row r="1524" spans="2:7" x14ac:dyDescent="0.2">
      <c r="B1524" s="73"/>
      <c r="C1524" s="73"/>
      <c r="D1524" s="73"/>
      <c r="E1524" s="73"/>
      <c r="F1524" s="73"/>
      <c r="G1524" s="73"/>
    </row>
    <row r="1525" spans="2:7" x14ac:dyDescent="0.2">
      <c r="B1525" s="73"/>
      <c r="C1525" s="73"/>
      <c r="D1525" s="73"/>
      <c r="E1525" s="73"/>
      <c r="F1525" s="73"/>
      <c r="G1525" s="73"/>
    </row>
    <row r="1526" spans="2:7" x14ac:dyDescent="0.2">
      <c r="B1526" s="73"/>
      <c r="C1526" s="73"/>
      <c r="D1526" s="73"/>
      <c r="E1526" s="73"/>
      <c r="F1526" s="73"/>
      <c r="G1526" s="73"/>
    </row>
    <row r="1527" spans="2:7" x14ac:dyDescent="0.2">
      <c r="B1527" s="73"/>
      <c r="C1527" s="73"/>
      <c r="D1527" s="73"/>
      <c r="E1527" s="73"/>
      <c r="F1527" s="73"/>
      <c r="G1527" s="73"/>
    </row>
    <row r="1528" spans="2:7" x14ac:dyDescent="0.2">
      <c r="B1528" s="73"/>
      <c r="C1528" s="73"/>
      <c r="D1528" s="73"/>
      <c r="E1528" s="73"/>
      <c r="F1528" s="73"/>
      <c r="G1528" s="73"/>
    </row>
    <row r="1529" spans="2:7" x14ac:dyDescent="0.2">
      <c r="B1529" s="73"/>
      <c r="C1529" s="73"/>
      <c r="D1529" s="73"/>
      <c r="E1529" s="73"/>
      <c r="F1529" s="73"/>
      <c r="G1529" s="73"/>
    </row>
    <row r="1530" spans="2:7" x14ac:dyDescent="0.2">
      <c r="B1530" s="73"/>
      <c r="C1530" s="73"/>
      <c r="D1530" s="73"/>
      <c r="E1530" s="73"/>
      <c r="F1530" s="73"/>
      <c r="G1530" s="73"/>
    </row>
    <row r="1531" spans="2:7" x14ac:dyDescent="0.2">
      <c r="B1531" s="73"/>
      <c r="C1531" s="73"/>
      <c r="D1531" s="73"/>
      <c r="E1531" s="73"/>
      <c r="F1531" s="73"/>
      <c r="G1531" s="73"/>
    </row>
    <row r="1532" spans="2:7" x14ac:dyDescent="0.2">
      <c r="B1532" s="73"/>
      <c r="C1532" s="73"/>
      <c r="D1532" s="73"/>
      <c r="E1532" s="73"/>
      <c r="F1532" s="73"/>
      <c r="G1532" s="73"/>
    </row>
    <row r="1533" spans="2:7" x14ac:dyDescent="0.2">
      <c r="B1533" s="73"/>
      <c r="C1533" s="73"/>
      <c r="D1533" s="73"/>
      <c r="E1533" s="73"/>
      <c r="F1533" s="73"/>
      <c r="G1533" s="73"/>
    </row>
    <row r="1534" spans="2:7" x14ac:dyDescent="0.2">
      <c r="B1534" s="73"/>
      <c r="C1534" s="73"/>
      <c r="D1534" s="73"/>
      <c r="E1534" s="73"/>
      <c r="F1534" s="73"/>
      <c r="G1534" s="73"/>
    </row>
    <row r="1535" spans="2:7" x14ac:dyDescent="0.2">
      <c r="B1535" s="73"/>
      <c r="C1535" s="73"/>
      <c r="D1535" s="73"/>
      <c r="E1535" s="73"/>
      <c r="F1535" s="73"/>
      <c r="G1535" s="73"/>
    </row>
    <row r="1536" spans="2:7" x14ac:dyDescent="0.2">
      <c r="B1536" s="73"/>
      <c r="C1536" s="73"/>
      <c r="D1536" s="73"/>
      <c r="E1536" s="73"/>
      <c r="F1536" s="73"/>
      <c r="G1536" s="73"/>
    </row>
    <row r="1537" spans="2:7" x14ac:dyDescent="0.2">
      <c r="B1537" s="73"/>
      <c r="C1537" s="73"/>
      <c r="D1537" s="73"/>
      <c r="E1537" s="73"/>
      <c r="F1537" s="73"/>
      <c r="G1537" s="73"/>
    </row>
    <row r="1538" spans="2:7" x14ac:dyDescent="0.2">
      <c r="B1538" s="73"/>
      <c r="C1538" s="73"/>
      <c r="D1538" s="73"/>
      <c r="E1538" s="73"/>
      <c r="F1538" s="73"/>
      <c r="G1538" s="73"/>
    </row>
    <row r="1539" spans="2:7" x14ac:dyDescent="0.2">
      <c r="B1539" s="73"/>
      <c r="C1539" s="73"/>
      <c r="D1539" s="73"/>
      <c r="E1539" s="73"/>
      <c r="F1539" s="73"/>
      <c r="G1539" s="73"/>
    </row>
    <row r="1540" spans="2:7" x14ac:dyDescent="0.2">
      <c r="B1540" s="73"/>
      <c r="C1540" s="73"/>
      <c r="D1540" s="73"/>
      <c r="E1540" s="73"/>
      <c r="F1540" s="73"/>
      <c r="G1540" s="73"/>
    </row>
    <row r="1541" spans="2:7" x14ac:dyDescent="0.2">
      <c r="B1541" s="73"/>
      <c r="C1541" s="73"/>
      <c r="D1541" s="73"/>
      <c r="E1541" s="73"/>
      <c r="F1541" s="73"/>
      <c r="G1541" s="73"/>
    </row>
    <row r="1542" spans="2:7" x14ac:dyDescent="0.2">
      <c r="B1542" s="73"/>
      <c r="C1542" s="73"/>
      <c r="D1542" s="73"/>
      <c r="E1542" s="73"/>
      <c r="F1542" s="73"/>
      <c r="G1542" s="73"/>
    </row>
    <row r="1543" spans="2:7" x14ac:dyDescent="0.2">
      <c r="B1543" s="73"/>
      <c r="C1543" s="73"/>
      <c r="D1543" s="73"/>
      <c r="E1543" s="73"/>
      <c r="F1543" s="73"/>
      <c r="G1543" s="73"/>
    </row>
    <row r="1544" spans="2:7" x14ac:dyDescent="0.2">
      <c r="B1544" s="73"/>
      <c r="C1544" s="73"/>
      <c r="D1544" s="73"/>
      <c r="E1544" s="73"/>
      <c r="F1544" s="73"/>
      <c r="G1544" s="73"/>
    </row>
    <row r="1545" spans="2:7" x14ac:dyDescent="0.2">
      <c r="B1545" s="73"/>
      <c r="C1545" s="73"/>
      <c r="D1545" s="73"/>
      <c r="E1545" s="73"/>
      <c r="F1545" s="73"/>
      <c r="G1545" s="73"/>
    </row>
    <row r="1546" spans="2:7" x14ac:dyDescent="0.2">
      <c r="B1546" s="73"/>
      <c r="C1546" s="73"/>
      <c r="D1546" s="73"/>
      <c r="E1546" s="73"/>
      <c r="F1546" s="73"/>
      <c r="G1546" s="73"/>
    </row>
    <row r="1547" spans="2:7" x14ac:dyDescent="0.2">
      <c r="B1547" s="73"/>
      <c r="C1547" s="73"/>
      <c r="D1547" s="73"/>
      <c r="E1547" s="73"/>
      <c r="F1547" s="73"/>
      <c r="G1547" s="73"/>
    </row>
    <row r="1548" spans="2:7" x14ac:dyDescent="0.2">
      <c r="B1548" s="73"/>
      <c r="C1548" s="73"/>
      <c r="D1548" s="73"/>
      <c r="E1548" s="73"/>
      <c r="F1548" s="73"/>
      <c r="G1548" s="73"/>
    </row>
    <row r="1549" spans="2:7" x14ac:dyDescent="0.2">
      <c r="B1549" s="73"/>
      <c r="C1549" s="73"/>
      <c r="D1549" s="73"/>
      <c r="E1549" s="73"/>
      <c r="F1549" s="73"/>
      <c r="G1549" s="73"/>
    </row>
    <row r="1550" spans="2:7" x14ac:dyDescent="0.2">
      <c r="B1550" s="73"/>
      <c r="C1550" s="73"/>
      <c r="D1550" s="73"/>
      <c r="E1550" s="73"/>
      <c r="F1550" s="73"/>
      <c r="G1550" s="73"/>
    </row>
    <row r="1551" spans="2:7" x14ac:dyDescent="0.2">
      <c r="B1551" s="73"/>
      <c r="C1551" s="73"/>
      <c r="D1551" s="73"/>
      <c r="E1551" s="73"/>
      <c r="F1551" s="73"/>
      <c r="G1551" s="73"/>
    </row>
    <row r="1552" spans="2:7" x14ac:dyDescent="0.2">
      <c r="B1552" s="73"/>
      <c r="C1552" s="73"/>
      <c r="D1552" s="73"/>
      <c r="E1552" s="73"/>
      <c r="F1552" s="73"/>
      <c r="G1552" s="73"/>
    </row>
    <row r="1553" spans="2:7" x14ac:dyDescent="0.2">
      <c r="B1553" s="73"/>
      <c r="C1553" s="73"/>
      <c r="D1553" s="73"/>
      <c r="E1553" s="73"/>
      <c r="F1553" s="73"/>
      <c r="G1553" s="73"/>
    </row>
    <row r="1554" spans="2:7" x14ac:dyDescent="0.2">
      <c r="B1554" s="73"/>
      <c r="C1554" s="73"/>
      <c r="D1554" s="73"/>
      <c r="E1554" s="73"/>
      <c r="F1554" s="73"/>
      <c r="G1554" s="73"/>
    </row>
    <row r="1555" spans="2:7" x14ac:dyDescent="0.2">
      <c r="B1555" s="73"/>
      <c r="C1555" s="73"/>
      <c r="D1555" s="73"/>
      <c r="E1555" s="73"/>
      <c r="F1555" s="73"/>
      <c r="G1555" s="73"/>
    </row>
    <row r="1556" spans="2:7" x14ac:dyDescent="0.2">
      <c r="B1556" s="73"/>
      <c r="C1556" s="73"/>
      <c r="D1556" s="73"/>
      <c r="E1556" s="73"/>
      <c r="F1556" s="73"/>
      <c r="G1556" s="73"/>
    </row>
    <row r="1557" spans="2:7" x14ac:dyDescent="0.2">
      <c r="B1557" s="73"/>
      <c r="C1557" s="73"/>
      <c r="D1557" s="73"/>
      <c r="E1557" s="73"/>
      <c r="F1557" s="73"/>
      <c r="G1557" s="73"/>
    </row>
    <row r="1558" spans="2:7" x14ac:dyDescent="0.2">
      <c r="B1558" s="73"/>
      <c r="C1558" s="73"/>
      <c r="D1558" s="73"/>
      <c r="E1558" s="73"/>
      <c r="F1558" s="73"/>
      <c r="G1558" s="73"/>
    </row>
    <row r="1559" spans="2:7" x14ac:dyDescent="0.2">
      <c r="B1559" s="73"/>
      <c r="C1559" s="73"/>
      <c r="D1559" s="73"/>
      <c r="E1559" s="73"/>
      <c r="F1559" s="73"/>
      <c r="G1559" s="73"/>
    </row>
    <row r="1560" spans="2:7" x14ac:dyDescent="0.2">
      <c r="B1560" s="73"/>
      <c r="C1560" s="73"/>
      <c r="D1560" s="73"/>
      <c r="E1560" s="73"/>
      <c r="F1560" s="73"/>
      <c r="G1560" s="73"/>
    </row>
    <row r="1561" spans="2:7" x14ac:dyDescent="0.2">
      <c r="B1561" s="73"/>
      <c r="C1561" s="73"/>
      <c r="D1561" s="73"/>
      <c r="E1561" s="73"/>
      <c r="F1561" s="73"/>
      <c r="G1561" s="73"/>
    </row>
    <row r="1562" spans="2:7" x14ac:dyDescent="0.2">
      <c r="B1562" s="73"/>
      <c r="C1562" s="73"/>
      <c r="D1562" s="73"/>
      <c r="E1562" s="73"/>
      <c r="F1562" s="73"/>
      <c r="G1562" s="73"/>
    </row>
    <row r="1563" spans="2:7" x14ac:dyDescent="0.2">
      <c r="B1563" s="73"/>
      <c r="C1563" s="73"/>
      <c r="D1563" s="73"/>
      <c r="E1563" s="73"/>
      <c r="F1563" s="73"/>
      <c r="G1563" s="73"/>
    </row>
    <row r="1564" spans="2:7" x14ac:dyDescent="0.2">
      <c r="B1564" s="73"/>
      <c r="C1564" s="73"/>
      <c r="D1564" s="73"/>
      <c r="E1564" s="73"/>
      <c r="F1564" s="73"/>
      <c r="G1564" s="73"/>
    </row>
    <row r="1565" spans="2:7" x14ac:dyDescent="0.2">
      <c r="B1565" s="73"/>
      <c r="C1565" s="73"/>
      <c r="D1565" s="73"/>
      <c r="E1565" s="73"/>
      <c r="F1565" s="73"/>
      <c r="G1565" s="73"/>
    </row>
    <row r="1566" spans="2:7" x14ac:dyDescent="0.2">
      <c r="B1566" s="73"/>
      <c r="C1566" s="73"/>
      <c r="D1566" s="73"/>
      <c r="E1566" s="73"/>
      <c r="F1566" s="73"/>
      <c r="G1566" s="73"/>
    </row>
    <row r="1567" spans="2:7" x14ac:dyDescent="0.2">
      <c r="B1567" s="73"/>
      <c r="C1567" s="73"/>
      <c r="D1567" s="73"/>
      <c r="E1567" s="73"/>
      <c r="F1567" s="73"/>
      <c r="G1567" s="73"/>
    </row>
    <row r="1568" spans="2:7" x14ac:dyDescent="0.2">
      <c r="B1568" s="73"/>
      <c r="C1568" s="73"/>
      <c r="D1568" s="73"/>
      <c r="E1568" s="73"/>
      <c r="F1568" s="73"/>
      <c r="G1568" s="73"/>
    </row>
    <row r="1569" spans="2:7" x14ac:dyDescent="0.2">
      <c r="B1569" s="73"/>
      <c r="C1569" s="73"/>
      <c r="D1569" s="73"/>
      <c r="E1569" s="73"/>
      <c r="F1569" s="73"/>
      <c r="G1569" s="73"/>
    </row>
    <row r="1570" spans="2:7" x14ac:dyDescent="0.2">
      <c r="B1570" s="73"/>
      <c r="C1570" s="73"/>
      <c r="D1570" s="73"/>
      <c r="E1570" s="73"/>
      <c r="F1570" s="73"/>
      <c r="G1570" s="73"/>
    </row>
    <row r="1571" spans="2:7" x14ac:dyDescent="0.2">
      <c r="B1571" s="73"/>
      <c r="C1571" s="73"/>
      <c r="D1571" s="73"/>
      <c r="E1571" s="73"/>
      <c r="F1571" s="73"/>
      <c r="G1571" s="73"/>
    </row>
    <row r="1572" spans="2:7" x14ac:dyDescent="0.2">
      <c r="B1572" s="73"/>
      <c r="C1572" s="73"/>
      <c r="D1572" s="73"/>
      <c r="E1572" s="73"/>
      <c r="F1572" s="73"/>
      <c r="G1572" s="73"/>
    </row>
    <row r="1573" spans="2:7" x14ac:dyDescent="0.2">
      <c r="B1573" s="73"/>
      <c r="C1573" s="73"/>
      <c r="D1573" s="73"/>
      <c r="E1573" s="73"/>
      <c r="F1573" s="73"/>
      <c r="G1573" s="73"/>
    </row>
    <row r="1574" spans="2:7" x14ac:dyDescent="0.2">
      <c r="B1574" s="73"/>
      <c r="C1574" s="73"/>
      <c r="D1574" s="73"/>
      <c r="E1574" s="73"/>
      <c r="F1574" s="73"/>
      <c r="G1574" s="73"/>
    </row>
    <row r="1575" spans="2:7" x14ac:dyDescent="0.2">
      <c r="B1575" s="73"/>
      <c r="C1575" s="73"/>
      <c r="D1575" s="73"/>
      <c r="E1575" s="73"/>
      <c r="F1575" s="73"/>
      <c r="G1575" s="73"/>
    </row>
    <row r="1576" spans="2:7" x14ac:dyDescent="0.2">
      <c r="B1576" s="73"/>
      <c r="C1576" s="73"/>
      <c r="D1576" s="73"/>
      <c r="E1576" s="73"/>
      <c r="F1576" s="73"/>
      <c r="G1576" s="73"/>
    </row>
    <row r="1577" spans="2:7" x14ac:dyDescent="0.2">
      <c r="B1577" s="73"/>
      <c r="C1577" s="73"/>
      <c r="D1577" s="73"/>
      <c r="E1577" s="73"/>
      <c r="F1577" s="73"/>
      <c r="G1577" s="73"/>
    </row>
    <row r="1578" spans="2:7" x14ac:dyDescent="0.2">
      <c r="B1578" s="73"/>
      <c r="C1578" s="73"/>
      <c r="D1578" s="73"/>
      <c r="E1578" s="73"/>
      <c r="F1578" s="73"/>
      <c r="G1578" s="73"/>
    </row>
    <row r="1579" spans="2:7" x14ac:dyDescent="0.2">
      <c r="B1579" s="73"/>
      <c r="C1579" s="73"/>
      <c r="D1579" s="73"/>
      <c r="E1579" s="73"/>
      <c r="F1579" s="73"/>
      <c r="G1579" s="73"/>
    </row>
    <row r="1580" spans="2:7" x14ac:dyDescent="0.2">
      <c r="B1580" s="73"/>
      <c r="C1580" s="73"/>
      <c r="D1580" s="73"/>
      <c r="E1580" s="73"/>
      <c r="F1580" s="73"/>
      <c r="G1580" s="73"/>
    </row>
    <row r="1581" spans="2:7" x14ac:dyDescent="0.2">
      <c r="B1581" s="73"/>
      <c r="C1581" s="73"/>
      <c r="D1581" s="73"/>
      <c r="E1581" s="73"/>
      <c r="F1581" s="73"/>
      <c r="G1581" s="73"/>
    </row>
    <row r="1582" spans="2:7" x14ac:dyDescent="0.2">
      <c r="B1582" s="73"/>
      <c r="C1582" s="73"/>
      <c r="D1582" s="73"/>
      <c r="E1582" s="73"/>
      <c r="F1582" s="73"/>
      <c r="G1582" s="73"/>
    </row>
    <row r="1583" spans="2:7" x14ac:dyDescent="0.2">
      <c r="B1583" s="73"/>
      <c r="C1583" s="73"/>
      <c r="D1583" s="73"/>
      <c r="E1583" s="73"/>
      <c r="F1583" s="73"/>
      <c r="G1583" s="73"/>
    </row>
    <row r="1584" spans="2:7" x14ac:dyDescent="0.2">
      <c r="B1584" s="73"/>
      <c r="C1584" s="73"/>
      <c r="D1584" s="73"/>
      <c r="E1584" s="73"/>
      <c r="F1584" s="73"/>
      <c r="G1584" s="73"/>
    </row>
    <row r="1585" spans="2:7" x14ac:dyDescent="0.2">
      <c r="B1585" s="73"/>
      <c r="C1585" s="73"/>
      <c r="D1585" s="73"/>
      <c r="E1585" s="73"/>
      <c r="F1585" s="73"/>
      <c r="G1585" s="73"/>
    </row>
    <row r="1586" spans="2:7" x14ac:dyDescent="0.2">
      <c r="B1586" s="73"/>
      <c r="C1586" s="73"/>
      <c r="D1586" s="73"/>
      <c r="E1586" s="73"/>
      <c r="F1586" s="73"/>
      <c r="G1586" s="73"/>
    </row>
    <row r="1587" spans="2:7" x14ac:dyDescent="0.2">
      <c r="B1587" s="73"/>
      <c r="C1587" s="73"/>
      <c r="D1587" s="73"/>
      <c r="E1587" s="73"/>
      <c r="F1587" s="73"/>
      <c r="G1587" s="73"/>
    </row>
    <row r="1588" spans="2:7" x14ac:dyDescent="0.2">
      <c r="B1588" s="73"/>
      <c r="C1588" s="73"/>
      <c r="D1588" s="73"/>
      <c r="E1588" s="73"/>
      <c r="F1588" s="73"/>
      <c r="G1588" s="73"/>
    </row>
    <row r="1589" spans="2:7" x14ac:dyDescent="0.2">
      <c r="B1589" s="73"/>
      <c r="C1589" s="73"/>
      <c r="D1589" s="73"/>
      <c r="E1589" s="73"/>
      <c r="F1589" s="73"/>
      <c r="G1589" s="73"/>
    </row>
    <row r="1590" spans="2:7" x14ac:dyDescent="0.2">
      <c r="B1590" s="73"/>
      <c r="C1590" s="73"/>
      <c r="D1590" s="73"/>
      <c r="E1590" s="73"/>
      <c r="F1590" s="73"/>
      <c r="G1590" s="73"/>
    </row>
    <row r="1591" spans="2:7" x14ac:dyDescent="0.2">
      <c r="B1591" s="73"/>
      <c r="C1591" s="73"/>
      <c r="D1591" s="73"/>
      <c r="E1591" s="73"/>
      <c r="F1591" s="73"/>
      <c r="G1591" s="73"/>
    </row>
    <row r="1592" spans="2:7" x14ac:dyDescent="0.2">
      <c r="B1592" s="73"/>
      <c r="C1592" s="73"/>
      <c r="D1592" s="73"/>
      <c r="E1592" s="73"/>
      <c r="F1592" s="73"/>
      <c r="G1592" s="73"/>
    </row>
    <row r="1593" spans="2:7" x14ac:dyDescent="0.2">
      <c r="B1593" s="73"/>
      <c r="C1593" s="73"/>
      <c r="D1593" s="73"/>
      <c r="E1593" s="73"/>
      <c r="F1593" s="73"/>
      <c r="G1593" s="73"/>
    </row>
    <row r="1594" spans="2:7" x14ac:dyDescent="0.2">
      <c r="B1594" s="73"/>
      <c r="C1594" s="73"/>
      <c r="D1594" s="73"/>
      <c r="E1594" s="73"/>
      <c r="F1594" s="73"/>
      <c r="G1594" s="73"/>
    </row>
    <row r="1595" spans="2:7" x14ac:dyDescent="0.2">
      <c r="B1595" s="73"/>
      <c r="C1595" s="73"/>
      <c r="D1595" s="73"/>
      <c r="E1595" s="73"/>
      <c r="F1595" s="73"/>
      <c r="G1595" s="73"/>
    </row>
    <row r="1596" spans="2:7" x14ac:dyDescent="0.2">
      <c r="B1596" s="73"/>
      <c r="C1596" s="73"/>
      <c r="D1596" s="73"/>
      <c r="E1596" s="73"/>
      <c r="F1596" s="73"/>
      <c r="G1596" s="73"/>
    </row>
    <row r="1597" spans="2:7" x14ac:dyDescent="0.2">
      <c r="B1597" s="73"/>
      <c r="C1597" s="73"/>
      <c r="D1597" s="73"/>
      <c r="E1597" s="73"/>
      <c r="F1597" s="73"/>
      <c r="G1597" s="73"/>
    </row>
    <row r="1598" spans="2:7" x14ac:dyDescent="0.2">
      <c r="B1598" s="73"/>
      <c r="C1598" s="73"/>
      <c r="D1598" s="73"/>
      <c r="E1598" s="73"/>
      <c r="F1598" s="73"/>
      <c r="G1598" s="73"/>
    </row>
    <row r="1599" spans="2:7" x14ac:dyDescent="0.2">
      <c r="B1599" s="73"/>
      <c r="C1599" s="73"/>
      <c r="D1599" s="73"/>
      <c r="E1599" s="73"/>
      <c r="F1599" s="73"/>
      <c r="G1599" s="73"/>
    </row>
    <row r="1600" spans="2:7" x14ac:dyDescent="0.2">
      <c r="B1600" s="73"/>
      <c r="C1600" s="73"/>
      <c r="D1600" s="73"/>
      <c r="E1600" s="73"/>
      <c r="F1600" s="73"/>
      <c r="G1600" s="73"/>
    </row>
    <row r="1601" spans="2:7" x14ac:dyDescent="0.2">
      <c r="B1601" s="73"/>
      <c r="C1601" s="73"/>
      <c r="D1601" s="73"/>
      <c r="E1601" s="73"/>
      <c r="F1601" s="73"/>
      <c r="G1601" s="73"/>
    </row>
    <row r="1602" spans="2:7" x14ac:dyDescent="0.2">
      <c r="B1602" s="73"/>
      <c r="C1602" s="73"/>
      <c r="D1602" s="73"/>
      <c r="E1602" s="73"/>
      <c r="F1602" s="73"/>
      <c r="G1602" s="73"/>
    </row>
    <row r="1603" spans="2:7" x14ac:dyDescent="0.2">
      <c r="B1603" s="73"/>
      <c r="C1603" s="73"/>
      <c r="D1603" s="73"/>
      <c r="E1603" s="73"/>
      <c r="F1603" s="73"/>
      <c r="G1603" s="73"/>
    </row>
    <row r="1604" spans="2:7" x14ac:dyDescent="0.2">
      <c r="B1604" s="73"/>
      <c r="C1604" s="73"/>
      <c r="D1604" s="73"/>
      <c r="E1604" s="73"/>
      <c r="F1604" s="73"/>
      <c r="G1604" s="73"/>
    </row>
    <row r="1605" spans="2:7" x14ac:dyDescent="0.2">
      <c r="B1605" s="73"/>
      <c r="C1605" s="73"/>
      <c r="D1605" s="73"/>
      <c r="E1605" s="73"/>
      <c r="F1605" s="73"/>
      <c r="G1605" s="73"/>
    </row>
    <row r="1606" spans="2:7" x14ac:dyDescent="0.2">
      <c r="B1606" s="73"/>
      <c r="C1606" s="73"/>
      <c r="D1606" s="73"/>
      <c r="E1606" s="73"/>
      <c r="F1606" s="73"/>
      <c r="G1606" s="73"/>
    </row>
    <row r="1607" spans="2:7" x14ac:dyDescent="0.2">
      <c r="B1607" s="73"/>
      <c r="C1607" s="73"/>
      <c r="D1607" s="73"/>
      <c r="E1607" s="73"/>
      <c r="F1607" s="73"/>
      <c r="G1607" s="73"/>
    </row>
    <row r="1608" spans="2:7" x14ac:dyDescent="0.2">
      <c r="B1608" s="73"/>
      <c r="C1608" s="73"/>
      <c r="D1608" s="73"/>
      <c r="E1608" s="73"/>
      <c r="F1608" s="73"/>
      <c r="G1608" s="73"/>
    </row>
    <row r="1609" spans="2:7" x14ac:dyDescent="0.2">
      <c r="B1609" s="73"/>
      <c r="C1609" s="73"/>
      <c r="D1609" s="73"/>
      <c r="E1609" s="73"/>
      <c r="F1609" s="73"/>
      <c r="G1609" s="73"/>
    </row>
    <row r="1610" spans="2:7" x14ac:dyDescent="0.2">
      <c r="B1610" s="73"/>
      <c r="C1610" s="73"/>
      <c r="D1610" s="73"/>
      <c r="E1610" s="73"/>
      <c r="F1610" s="73"/>
      <c r="G1610" s="73"/>
    </row>
    <row r="1611" spans="2:7" x14ac:dyDescent="0.2">
      <c r="B1611" s="73"/>
      <c r="C1611" s="73"/>
      <c r="D1611" s="73"/>
      <c r="E1611" s="73"/>
      <c r="F1611" s="73"/>
      <c r="G1611" s="73"/>
    </row>
    <row r="1612" spans="2:7" x14ac:dyDescent="0.2">
      <c r="B1612" s="73"/>
      <c r="C1612" s="73"/>
      <c r="D1612" s="73"/>
      <c r="E1612" s="73"/>
      <c r="F1612" s="73"/>
      <c r="G1612" s="73"/>
    </row>
    <row r="1613" spans="2:7" x14ac:dyDescent="0.2">
      <c r="B1613" s="73"/>
      <c r="C1613" s="73"/>
      <c r="D1613" s="73"/>
      <c r="E1613" s="73"/>
      <c r="F1613" s="73"/>
      <c r="G1613" s="73"/>
    </row>
    <row r="1614" spans="2:7" x14ac:dyDescent="0.2">
      <c r="B1614" s="73"/>
      <c r="C1614" s="73"/>
      <c r="D1614" s="73"/>
      <c r="E1614" s="73"/>
      <c r="F1614" s="73"/>
      <c r="G1614" s="73"/>
    </row>
    <row r="1615" spans="2:7" x14ac:dyDescent="0.2">
      <c r="B1615" s="73"/>
      <c r="C1615" s="73"/>
      <c r="D1615" s="73"/>
      <c r="E1615" s="73"/>
      <c r="F1615" s="73"/>
      <c r="G1615" s="73"/>
    </row>
    <row r="1616" spans="2:7" x14ac:dyDescent="0.2">
      <c r="B1616" s="73"/>
      <c r="C1616" s="73"/>
      <c r="D1616" s="73"/>
      <c r="E1616" s="73"/>
      <c r="F1616" s="73"/>
      <c r="G1616" s="73"/>
    </row>
    <row r="1617" spans="2:7" x14ac:dyDescent="0.2">
      <c r="B1617" s="73"/>
      <c r="C1617" s="73"/>
      <c r="D1617" s="73"/>
      <c r="E1617" s="73"/>
      <c r="F1617" s="73"/>
      <c r="G1617" s="73"/>
    </row>
    <row r="1618" spans="2:7" x14ac:dyDescent="0.2">
      <c r="B1618" s="73"/>
      <c r="C1618" s="73"/>
      <c r="D1618" s="73"/>
      <c r="E1618" s="73"/>
      <c r="F1618" s="73"/>
      <c r="G1618" s="73"/>
    </row>
    <row r="1619" spans="2:7" x14ac:dyDescent="0.2">
      <c r="B1619" s="73"/>
      <c r="C1619" s="73"/>
      <c r="D1619" s="73"/>
      <c r="E1619" s="73"/>
      <c r="F1619" s="73"/>
      <c r="G1619" s="73"/>
    </row>
    <row r="1620" spans="2:7" x14ac:dyDescent="0.2">
      <c r="B1620" s="73"/>
      <c r="C1620" s="73"/>
      <c r="D1620" s="73"/>
      <c r="E1620" s="73"/>
      <c r="F1620" s="73"/>
      <c r="G1620" s="73"/>
    </row>
    <row r="1621" spans="2:7" x14ac:dyDescent="0.2">
      <c r="B1621" s="73"/>
      <c r="C1621" s="73"/>
      <c r="D1621" s="73"/>
      <c r="E1621" s="73"/>
      <c r="F1621" s="73"/>
      <c r="G1621" s="73"/>
    </row>
    <row r="1622" spans="2:7" x14ac:dyDescent="0.2">
      <c r="B1622" s="73"/>
      <c r="C1622" s="73"/>
      <c r="D1622" s="73"/>
      <c r="E1622" s="73"/>
      <c r="F1622" s="73"/>
      <c r="G1622" s="73"/>
    </row>
    <row r="1623" spans="2:7" x14ac:dyDescent="0.2">
      <c r="B1623" s="73"/>
      <c r="C1623" s="73"/>
      <c r="D1623" s="73"/>
      <c r="E1623" s="73"/>
      <c r="F1623" s="73"/>
      <c r="G1623" s="73"/>
    </row>
    <row r="1624" spans="2:7" x14ac:dyDescent="0.2">
      <c r="B1624" s="73"/>
      <c r="C1624" s="73"/>
      <c r="D1624" s="73"/>
      <c r="E1624" s="73"/>
      <c r="F1624" s="73"/>
      <c r="G1624" s="73"/>
    </row>
    <row r="1625" spans="2:7" x14ac:dyDescent="0.2">
      <c r="B1625" s="73"/>
      <c r="C1625" s="73"/>
      <c r="D1625" s="73"/>
      <c r="E1625" s="73"/>
      <c r="F1625" s="73"/>
      <c r="G1625" s="73"/>
    </row>
    <row r="1626" spans="2:7" x14ac:dyDescent="0.2">
      <c r="B1626" s="73"/>
      <c r="C1626" s="73"/>
      <c r="D1626" s="73"/>
      <c r="E1626" s="73"/>
      <c r="F1626" s="73"/>
      <c r="G1626" s="73"/>
    </row>
    <row r="1627" spans="2:7" x14ac:dyDescent="0.2">
      <c r="B1627" s="73"/>
      <c r="C1627" s="73"/>
      <c r="D1627" s="73"/>
      <c r="E1627" s="73"/>
      <c r="F1627" s="73"/>
      <c r="G1627" s="73"/>
    </row>
    <row r="1628" spans="2:7" x14ac:dyDescent="0.2">
      <c r="B1628" s="73"/>
      <c r="C1628" s="73"/>
      <c r="D1628" s="73"/>
      <c r="E1628" s="73"/>
      <c r="F1628" s="73"/>
      <c r="G1628" s="73"/>
    </row>
    <row r="1629" spans="2:7" x14ac:dyDescent="0.2">
      <c r="B1629" s="73"/>
      <c r="C1629" s="73"/>
      <c r="D1629" s="73"/>
      <c r="E1629" s="73"/>
      <c r="F1629" s="73"/>
      <c r="G1629" s="73"/>
    </row>
    <row r="1630" spans="2:7" x14ac:dyDescent="0.2">
      <c r="B1630" s="73"/>
      <c r="C1630" s="73"/>
      <c r="D1630" s="73"/>
      <c r="E1630" s="73"/>
      <c r="F1630" s="73"/>
      <c r="G1630" s="73"/>
    </row>
    <row r="1631" spans="2:7" x14ac:dyDescent="0.2">
      <c r="B1631" s="73"/>
      <c r="C1631" s="73"/>
      <c r="D1631" s="73"/>
      <c r="E1631" s="73"/>
      <c r="F1631" s="73"/>
      <c r="G1631" s="73"/>
    </row>
    <row r="1632" spans="2:7" x14ac:dyDescent="0.2">
      <c r="B1632" s="73"/>
      <c r="C1632" s="73"/>
      <c r="D1632" s="73"/>
      <c r="E1632" s="73"/>
      <c r="F1632" s="73"/>
      <c r="G1632" s="73"/>
    </row>
    <row r="1633" spans="2:7" x14ac:dyDescent="0.2">
      <c r="B1633" s="73"/>
      <c r="C1633" s="73"/>
      <c r="D1633" s="73"/>
      <c r="E1633" s="73"/>
      <c r="F1633" s="73"/>
      <c r="G1633" s="73"/>
    </row>
    <row r="1634" spans="2:7" x14ac:dyDescent="0.2">
      <c r="B1634" s="73"/>
      <c r="C1634" s="73"/>
      <c r="D1634" s="73"/>
      <c r="E1634" s="73"/>
      <c r="F1634" s="73"/>
      <c r="G1634" s="73"/>
    </row>
    <row r="1635" spans="2:7" x14ac:dyDescent="0.2">
      <c r="B1635" s="73"/>
      <c r="C1635" s="73"/>
      <c r="D1635" s="73"/>
      <c r="E1635" s="73"/>
      <c r="F1635" s="73"/>
      <c r="G1635" s="73"/>
    </row>
    <row r="1636" spans="2:7" x14ac:dyDescent="0.2">
      <c r="B1636" s="73"/>
      <c r="C1636" s="73"/>
      <c r="D1636" s="73"/>
      <c r="E1636" s="73"/>
      <c r="F1636" s="73"/>
      <c r="G1636" s="73"/>
    </row>
    <row r="1637" spans="2:7" x14ac:dyDescent="0.2">
      <c r="B1637" s="73"/>
      <c r="C1637" s="73"/>
      <c r="D1637" s="73"/>
      <c r="E1637" s="73"/>
      <c r="F1637" s="73"/>
      <c r="G1637" s="73"/>
    </row>
    <row r="1638" spans="2:7" x14ac:dyDescent="0.2">
      <c r="B1638" s="73"/>
      <c r="C1638" s="73"/>
      <c r="D1638" s="73"/>
      <c r="E1638" s="73"/>
      <c r="F1638" s="73"/>
      <c r="G1638" s="73"/>
    </row>
    <row r="1639" spans="2:7" x14ac:dyDescent="0.2">
      <c r="B1639" s="73"/>
      <c r="C1639" s="73"/>
      <c r="D1639" s="73"/>
      <c r="E1639" s="73"/>
      <c r="F1639" s="73"/>
      <c r="G1639" s="73"/>
    </row>
    <row r="1640" spans="2:7" x14ac:dyDescent="0.2">
      <c r="B1640" s="73"/>
      <c r="C1640" s="73"/>
      <c r="D1640" s="73"/>
      <c r="E1640" s="73"/>
      <c r="F1640" s="73"/>
      <c r="G1640" s="73"/>
    </row>
    <row r="1641" spans="2:7" x14ac:dyDescent="0.2">
      <c r="B1641" s="73"/>
      <c r="C1641" s="73"/>
      <c r="D1641" s="73"/>
      <c r="E1641" s="73"/>
      <c r="F1641" s="73"/>
      <c r="G1641" s="73"/>
    </row>
    <row r="1642" spans="2:7" x14ac:dyDescent="0.2">
      <c r="B1642" s="73"/>
      <c r="C1642" s="73"/>
      <c r="D1642" s="73"/>
      <c r="E1642" s="73"/>
      <c r="F1642" s="73"/>
      <c r="G1642" s="73"/>
    </row>
    <row r="1643" spans="2:7" x14ac:dyDescent="0.2">
      <c r="B1643" s="73"/>
      <c r="C1643" s="73"/>
      <c r="D1643" s="73"/>
      <c r="E1643" s="73"/>
      <c r="F1643" s="73"/>
      <c r="G1643" s="73"/>
    </row>
    <row r="1644" spans="2:7" x14ac:dyDescent="0.2">
      <c r="B1644" s="73"/>
      <c r="C1644" s="73"/>
      <c r="D1644" s="73"/>
      <c r="E1644" s="73"/>
      <c r="F1644" s="73"/>
      <c r="G1644" s="73"/>
    </row>
    <row r="1645" spans="2:7" x14ac:dyDescent="0.2">
      <c r="B1645" s="73"/>
      <c r="C1645" s="73"/>
      <c r="D1645" s="73"/>
      <c r="E1645" s="73"/>
      <c r="F1645" s="73"/>
      <c r="G1645" s="73"/>
    </row>
    <row r="1646" spans="2:7" x14ac:dyDescent="0.2">
      <c r="B1646" s="73"/>
      <c r="C1646" s="73"/>
      <c r="D1646" s="73"/>
      <c r="E1646" s="73"/>
      <c r="F1646" s="73"/>
      <c r="G1646" s="73"/>
    </row>
    <row r="1647" spans="2:7" x14ac:dyDescent="0.2">
      <c r="B1647" s="73"/>
      <c r="C1647" s="73"/>
      <c r="D1647" s="73"/>
      <c r="E1647" s="73"/>
      <c r="F1647" s="73"/>
      <c r="G1647" s="73"/>
    </row>
    <row r="1648" spans="2:7" x14ac:dyDescent="0.2">
      <c r="B1648" s="73"/>
      <c r="C1648" s="73"/>
      <c r="D1648" s="73"/>
      <c r="E1648" s="73"/>
      <c r="F1648" s="73"/>
      <c r="G1648" s="73"/>
    </row>
    <row r="1649" spans="2:7" x14ac:dyDescent="0.2">
      <c r="B1649" s="73"/>
      <c r="C1649" s="73"/>
      <c r="D1649" s="73"/>
      <c r="E1649" s="73"/>
      <c r="F1649" s="73"/>
      <c r="G1649" s="73"/>
    </row>
    <row r="1650" spans="2:7" x14ac:dyDescent="0.2">
      <c r="B1650" s="73"/>
      <c r="C1650" s="73"/>
      <c r="D1650" s="73"/>
      <c r="E1650" s="73"/>
      <c r="F1650" s="73"/>
      <c r="G1650" s="73"/>
    </row>
    <row r="1651" spans="2:7" x14ac:dyDescent="0.2">
      <c r="B1651" s="73"/>
      <c r="C1651" s="73"/>
      <c r="D1651" s="73"/>
      <c r="E1651" s="73"/>
      <c r="F1651" s="73"/>
      <c r="G1651" s="73"/>
    </row>
    <row r="1652" spans="2:7" x14ac:dyDescent="0.2">
      <c r="B1652" s="73"/>
      <c r="C1652" s="73"/>
      <c r="D1652" s="73"/>
      <c r="E1652" s="73"/>
      <c r="F1652" s="73"/>
      <c r="G1652" s="73"/>
    </row>
    <row r="1653" spans="2:7" x14ac:dyDescent="0.2">
      <c r="B1653" s="73"/>
      <c r="C1653" s="73"/>
      <c r="D1653" s="73"/>
      <c r="E1653" s="73"/>
      <c r="F1653" s="73"/>
      <c r="G1653" s="73"/>
    </row>
    <row r="1654" spans="2:7" x14ac:dyDescent="0.2">
      <c r="B1654" s="73"/>
      <c r="C1654" s="73"/>
      <c r="D1654" s="73"/>
      <c r="E1654" s="73"/>
      <c r="F1654" s="73"/>
      <c r="G1654" s="73"/>
    </row>
    <row r="1655" spans="2:7" x14ac:dyDescent="0.2">
      <c r="B1655" s="73"/>
      <c r="C1655" s="73"/>
      <c r="D1655" s="73"/>
      <c r="E1655" s="73"/>
      <c r="F1655" s="73"/>
      <c r="G1655" s="73"/>
    </row>
    <row r="1656" spans="2:7" x14ac:dyDescent="0.2">
      <c r="B1656" s="73"/>
      <c r="C1656" s="73"/>
      <c r="D1656" s="73"/>
      <c r="E1656" s="73"/>
      <c r="F1656" s="73"/>
      <c r="G1656" s="73"/>
    </row>
    <row r="1657" spans="2:7" x14ac:dyDescent="0.2">
      <c r="B1657" s="73"/>
      <c r="C1657" s="73"/>
      <c r="D1657" s="73"/>
      <c r="E1657" s="73"/>
      <c r="F1657" s="73"/>
      <c r="G1657" s="73"/>
    </row>
    <row r="1658" spans="2:7" x14ac:dyDescent="0.2">
      <c r="B1658" s="73"/>
      <c r="C1658" s="73"/>
      <c r="D1658" s="73"/>
      <c r="E1658" s="73"/>
      <c r="F1658" s="73"/>
      <c r="G1658" s="73"/>
    </row>
    <row r="1659" spans="2:7" x14ac:dyDescent="0.2">
      <c r="B1659" s="73"/>
      <c r="C1659" s="73"/>
      <c r="D1659" s="73"/>
      <c r="E1659" s="73"/>
      <c r="F1659" s="73"/>
      <c r="G1659" s="73"/>
    </row>
    <row r="1660" spans="2:7" x14ac:dyDescent="0.2">
      <c r="B1660" s="73"/>
      <c r="C1660" s="73"/>
      <c r="D1660" s="73"/>
      <c r="E1660" s="73"/>
      <c r="F1660" s="73"/>
      <c r="G1660" s="73"/>
    </row>
    <row r="1661" spans="2:7" x14ac:dyDescent="0.2">
      <c r="B1661" s="73"/>
      <c r="C1661" s="73"/>
      <c r="D1661" s="73"/>
      <c r="E1661" s="73"/>
      <c r="F1661" s="73"/>
      <c r="G1661" s="73"/>
    </row>
    <row r="1662" spans="2:7" x14ac:dyDescent="0.2">
      <c r="B1662" s="73"/>
      <c r="C1662" s="73"/>
      <c r="D1662" s="73"/>
      <c r="E1662" s="73"/>
      <c r="F1662" s="73"/>
      <c r="G1662" s="73"/>
    </row>
    <row r="1663" spans="2:7" x14ac:dyDescent="0.2">
      <c r="B1663" s="73"/>
      <c r="C1663" s="73"/>
      <c r="D1663" s="73"/>
      <c r="E1663" s="73"/>
      <c r="F1663" s="73"/>
      <c r="G1663" s="73"/>
    </row>
    <row r="1664" spans="2:7" x14ac:dyDescent="0.2">
      <c r="B1664" s="73"/>
      <c r="C1664" s="73"/>
      <c r="D1664" s="73"/>
      <c r="E1664" s="73"/>
      <c r="F1664" s="73"/>
      <c r="G1664" s="73"/>
    </row>
    <row r="1665" spans="2:7" x14ac:dyDescent="0.2">
      <c r="B1665" s="73"/>
      <c r="C1665" s="73"/>
      <c r="D1665" s="73"/>
      <c r="E1665" s="73"/>
      <c r="F1665" s="73"/>
      <c r="G1665" s="73"/>
    </row>
    <row r="1666" spans="2:7" x14ac:dyDescent="0.2">
      <c r="B1666" s="73"/>
      <c r="C1666" s="73"/>
      <c r="D1666" s="73"/>
      <c r="E1666" s="73"/>
      <c r="F1666" s="73"/>
      <c r="G1666" s="73"/>
    </row>
    <row r="1667" spans="2:7" x14ac:dyDescent="0.2">
      <c r="B1667" s="73"/>
      <c r="C1667" s="73"/>
      <c r="D1667" s="73"/>
      <c r="E1667" s="73"/>
      <c r="F1667" s="73"/>
      <c r="G1667" s="73"/>
    </row>
    <row r="1668" spans="2:7" x14ac:dyDescent="0.2">
      <c r="B1668" s="73"/>
      <c r="C1668" s="73"/>
      <c r="D1668" s="73"/>
      <c r="E1668" s="73"/>
      <c r="F1668" s="73"/>
      <c r="G1668" s="73"/>
    </row>
    <row r="1669" spans="2:7" x14ac:dyDescent="0.2">
      <c r="B1669" s="73"/>
      <c r="C1669" s="73"/>
      <c r="D1669" s="73"/>
      <c r="E1669" s="73"/>
      <c r="F1669" s="73"/>
      <c r="G1669" s="73"/>
    </row>
    <row r="1670" spans="2:7" x14ac:dyDescent="0.2">
      <c r="B1670" s="73"/>
      <c r="C1670" s="73"/>
      <c r="D1670" s="73"/>
      <c r="E1670" s="73"/>
      <c r="F1670" s="73"/>
      <c r="G1670" s="73"/>
    </row>
    <row r="1671" spans="2:7" x14ac:dyDescent="0.2">
      <c r="B1671" s="73"/>
      <c r="C1671" s="73"/>
      <c r="D1671" s="73"/>
      <c r="E1671" s="73"/>
      <c r="F1671" s="73"/>
      <c r="G1671" s="73"/>
    </row>
    <row r="1672" spans="2:7" x14ac:dyDescent="0.2">
      <c r="B1672" s="73"/>
      <c r="C1672" s="73"/>
      <c r="D1672" s="73"/>
      <c r="E1672" s="73"/>
      <c r="F1672" s="73"/>
      <c r="G1672" s="73"/>
    </row>
    <row r="1673" spans="2:7" x14ac:dyDescent="0.2">
      <c r="B1673" s="73"/>
      <c r="C1673" s="73"/>
      <c r="D1673" s="73"/>
      <c r="E1673" s="73"/>
      <c r="F1673" s="73"/>
      <c r="G1673" s="73"/>
    </row>
    <row r="1674" spans="2:7" x14ac:dyDescent="0.2">
      <c r="B1674" s="73"/>
      <c r="C1674" s="73"/>
      <c r="D1674" s="73"/>
      <c r="E1674" s="73"/>
      <c r="F1674" s="73"/>
      <c r="G1674" s="73"/>
    </row>
    <row r="1675" spans="2:7" x14ac:dyDescent="0.2">
      <c r="B1675" s="73"/>
      <c r="C1675" s="73"/>
      <c r="D1675" s="73"/>
      <c r="E1675" s="73"/>
      <c r="F1675" s="73"/>
      <c r="G1675" s="73"/>
    </row>
    <row r="1676" spans="2:7" x14ac:dyDescent="0.2">
      <c r="B1676" s="73"/>
      <c r="C1676" s="73"/>
      <c r="D1676" s="73"/>
      <c r="E1676" s="73"/>
      <c r="F1676" s="73"/>
      <c r="G1676" s="73"/>
    </row>
    <row r="1677" spans="2:7" x14ac:dyDescent="0.2">
      <c r="B1677" s="73"/>
      <c r="C1677" s="73"/>
      <c r="D1677" s="73"/>
      <c r="E1677" s="73"/>
      <c r="F1677" s="73"/>
      <c r="G1677" s="73"/>
    </row>
    <row r="1678" spans="2:7" x14ac:dyDescent="0.2">
      <c r="B1678" s="73"/>
      <c r="C1678" s="73"/>
      <c r="D1678" s="73"/>
      <c r="E1678" s="73"/>
      <c r="F1678" s="73"/>
      <c r="G1678" s="73"/>
    </row>
    <row r="1679" spans="2:7" x14ac:dyDescent="0.2">
      <c r="B1679" s="73"/>
      <c r="C1679" s="73"/>
      <c r="D1679" s="73"/>
      <c r="E1679" s="73"/>
      <c r="F1679" s="73"/>
      <c r="G1679" s="73"/>
    </row>
    <row r="1680" spans="2:7" x14ac:dyDescent="0.2">
      <c r="B1680" s="73"/>
      <c r="C1680" s="73"/>
      <c r="D1680" s="73"/>
      <c r="E1680" s="73"/>
      <c r="F1680" s="73"/>
      <c r="G1680" s="73"/>
    </row>
    <row r="1681" spans="2:7" x14ac:dyDescent="0.2">
      <c r="B1681" s="73"/>
      <c r="C1681" s="73"/>
      <c r="D1681" s="73"/>
      <c r="E1681" s="73"/>
      <c r="F1681" s="73"/>
      <c r="G1681" s="73"/>
    </row>
    <row r="1682" spans="2:7" x14ac:dyDescent="0.2">
      <c r="B1682" s="73"/>
      <c r="C1682" s="73"/>
      <c r="D1682" s="73"/>
      <c r="E1682" s="73"/>
      <c r="F1682" s="73"/>
      <c r="G1682" s="73"/>
    </row>
    <row r="1683" spans="2:7" x14ac:dyDescent="0.2">
      <c r="B1683" s="73"/>
      <c r="C1683" s="73"/>
      <c r="D1683" s="73"/>
      <c r="E1683" s="73"/>
      <c r="F1683" s="73"/>
      <c r="G1683" s="73"/>
    </row>
    <row r="1684" spans="2:7" x14ac:dyDescent="0.2">
      <c r="B1684" s="73"/>
      <c r="C1684" s="73"/>
      <c r="D1684" s="73"/>
      <c r="E1684" s="73"/>
      <c r="F1684" s="73"/>
      <c r="G1684" s="73"/>
    </row>
    <row r="1685" spans="2:7" x14ac:dyDescent="0.2">
      <c r="B1685" s="73"/>
      <c r="C1685" s="73"/>
      <c r="D1685" s="73"/>
      <c r="E1685" s="73"/>
      <c r="F1685" s="73"/>
      <c r="G1685" s="73"/>
    </row>
    <row r="1686" spans="2:7" x14ac:dyDescent="0.2">
      <c r="B1686" s="73"/>
      <c r="C1686" s="73"/>
      <c r="D1686" s="73"/>
      <c r="E1686" s="73"/>
      <c r="F1686" s="73"/>
      <c r="G1686" s="73"/>
    </row>
    <row r="1687" spans="2:7" x14ac:dyDescent="0.2">
      <c r="B1687" s="73"/>
      <c r="C1687" s="73"/>
      <c r="D1687" s="73"/>
      <c r="E1687" s="73"/>
      <c r="F1687" s="73"/>
      <c r="G1687" s="73"/>
    </row>
    <row r="1688" spans="2:7" x14ac:dyDescent="0.2">
      <c r="B1688" s="73"/>
      <c r="C1688" s="73"/>
      <c r="D1688" s="73"/>
      <c r="E1688" s="73"/>
      <c r="F1688" s="73"/>
      <c r="G1688" s="73"/>
    </row>
    <row r="1689" spans="2:7" x14ac:dyDescent="0.2">
      <c r="B1689" s="73"/>
      <c r="C1689" s="73"/>
      <c r="D1689" s="73"/>
      <c r="E1689" s="73"/>
      <c r="F1689" s="73"/>
      <c r="G1689" s="73"/>
    </row>
    <row r="1690" spans="2:7" x14ac:dyDescent="0.2">
      <c r="B1690" s="73"/>
      <c r="C1690" s="73"/>
      <c r="D1690" s="73"/>
      <c r="E1690" s="73"/>
      <c r="F1690" s="73"/>
      <c r="G1690" s="73"/>
    </row>
    <row r="1691" spans="2:7" x14ac:dyDescent="0.2">
      <c r="B1691" s="73"/>
      <c r="C1691" s="73"/>
      <c r="D1691" s="73"/>
      <c r="E1691" s="73"/>
      <c r="F1691" s="73"/>
      <c r="G1691" s="73"/>
    </row>
    <row r="1692" spans="2:7" x14ac:dyDescent="0.2">
      <c r="B1692" s="73"/>
      <c r="C1692" s="73"/>
      <c r="D1692" s="73"/>
      <c r="E1692" s="73"/>
      <c r="F1692" s="73"/>
      <c r="G1692" s="73"/>
    </row>
    <row r="1693" spans="2:7" x14ac:dyDescent="0.2">
      <c r="B1693" s="73"/>
      <c r="C1693" s="73"/>
      <c r="D1693" s="73"/>
      <c r="E1693" s="73"/>
      <c r="F1693" s="73"/>
      <c r="G1693" s="73"/>
    </row>
    <row r="1694" spans="2:7" x14ac:dyDescent="0.2">
      <c r="B1694" s="73"/>
      <c r="C1694" s="73"/>
      <c r="D1694" s="73"/>
      <c r="E1694" s="73"/>
      <c r="F1694" s="73"/>
      <c r="G1694" s="73"/>
    </row>
    <row r="1695" spans="2:7" x14ac:dyDescent="0.2">
      <c r="B1695" s="73"/>
      <c r="C1695" s="73"/>
      <c r="D1695" s="73"/>
      <c r="E1695" s="73"/>
      <c r="F1695" s="73"/>
      <c r="G1695" s="73"/>
    </row>
    <row r="1696" spans="2:7" x14ac:dyDescent="0.2">
      <c r="B1696" s="73"/>
      <c r="C1696" s="73"/>
      <c r="D1696" s="73"/>
      <c r="E1696" s="73"/>
      <c r="F1696" s="73"/>
      <c r="G1696" s="73"/>
    </row>
    <row r="1697" spans="2:7" x14ac:dyDescent="0.2">
      <c r="B1697" s="73"/>
      <c r="C1697" s="73"/>
      <c r="D1697" s="73"/>
      <c r="E1697" s="73"/>
      <c r="F1697" s="73"/>
      <c r="G1697" s="73"/>
    </row>
    <row r="1698" spans="2:7" x14ac:dyDescent="0.2">
      <c r="B1698" s="73"/>
      <c r="C1698" s="73"/>
      <c r="D1698" s="73"/>
      <c r="E1698" s="73"/>
      <c r="F1698" s="73"/>
      <c r="G1698" s="73"/>
    </row>
    <row r="1699" spans="2:7" x14ac:dyDescent="0.2">
      <c r="B1699" s="73"/>
      <c r="C1699" s="73"/>
      <c r="D1699" s="73"/>
      <c r="E1699" s="73"/>
      <c r="F1699" s="73"/>
      <c r="G1699" s="73"/>
    </row>
    <row r="1700" spans="2:7" x14ac:dyDescent="0.2">
      <c r="B1700" s="73"/>
      <c r="C1700" s="73"/>
      <c r="D1700" s="73"/>
      <c r="E1700" s="73"/>
      <c r="F1700" s="73"/>
      <c r="G1700" s="73"/>
    </row>
    <row r="1701" spans="2:7" x14ac:dyDescent="0.2">
      <c r="B1701" s="73"/>
      <c r="C1701" s="73"/>
      <c r="D1701" s="73"/>
      <c r="E1701" s="73"/>
      <c r="F1701" s="73"/>
      <c r="G1701" s="73"/>
    </row>
    <row r="1702" spans="2:7" x14ac:dyDescent="0.2">
      <c r="B1702" s="73"/>
      <c r="C1702" s="73"/>
      <c r="D1702" s="73"/>
      <c r="E1702" s="73"/>
      <c r="F1702" s="73"/>
      <c r="G1702" s="73"/>
    </row>
    <row r="1703" spans="2:7" x14ac:dyDescent="0.2">
      <c r="B1703" s="73"/>
      <c r="C1703" s="73"/>
      <c r="D1703" s="73"/>
      <c r="E1703" s="73"/>
      <c r="F1703" s="73"/>
      <c r="G1703" s="73"/>
    </row>
    <row r="1704" spans="2:7" x14ac:dyDescent="0.2">
      <c r="B1704" s="73"/>
      <c r="C1704" s="73"/>
      <c r="D1704" s="73"/>
      <c r="E1704" s="73"/>
      <c r="F1704" s="73"/>
      <c r="G1704" s="73"/>
    </row>
    <row r="1705" spans="2:7" x14ac:dyDescent="0.2">
      <c r="B1705" s="73"/>
      <c r="C1705" s="73"/>
      <c r="D1705" s="73"/>
      <c r="E1705" s="73"/>
      <c r="F1705" s="73"/>
      <c r="G1705" s="73"/>
    </row>
    <row r="1706" spans="2:7" x14ac:dyDescent="0.2">
      <c r="B1706" s="73"/>
      <c r="C1706" s="73"/>
      <c r="D1706" s="73"/>
      <c r="E1706" s="73"/>
      <c r="F1706" s="73"/>
      <c r="G1706" s="73"/>
    </row>
    <row r="1707" spans="2:7" x14ac:dyDescent="0.2">
      <c r="B1707" s="73"/>
      <c r="C1707" s="73"/>
      <c r="D1707" s="73"/>
      <c r="E1707" s="73"/>
      <c r="F1707" s="73"/>
      <c r="G1707" s="73"/>
    </row>
    <row r="1708" spans="2:7" x14ac:dyDescent="0.2">
      <c r="B1708" s="73"/>
      <c r="C1708" s="73"/>
      <c r="D1708" s="73"/>
      <c r="E1708" s="73"/>
      <c r="F1708" s="73"/>
      <c r="G1708" s="73"/>
    </row>
    <row r="1709" spans="2:7" x14ac:dyDescent="0.2">
      <c r="B1709" s="73"/>
      <c r="C1709" s="73"/>
      <c r="D1709" s="73"/>
      <c r="E1709" s="73"/>
      <c r="F1709" s="73"/>
      <c r="G1709" s="73"/>
    </row>
    <row r="1710" spans="2:7" x14ac:dyDescent="0.2">
      <c r="B1710" s="73"/>
      <c r="C1710" s="73"/>
      <c r="D1710" s="73"/>
      <c r="E1710" s="73"/>
      <c r="F1710" s="73"/>
      <c r="G1710" s="73"/>
    </row>
    <row r="1711" spans="2:7" x14ac:dyDescent="0.2">
      <c r="B1711" s="73"/>
      <c r="C1711" s="73"/>
      <c r="D1711" s="73"/>
      <c r="E1711" s="73"/>
      <c r="F1711" s="73"/>
      <c r="G1711" s="73"/>
    </row>
    <row r="1712" spans="2:7" x14ac:dyDescent="0.2">
      <c r="B1712" s="73"/>
      <c r="C1712" s="73"/>
      <c r="D1712" s="73"/>
      <c r="E1712" s="73"/>
      <c r="F1712" s="73"/>
      <c r="G1712" s="73"/>
    </row>
    <row r="1713" spans="2:7" x14ac:dyDescent="0.2">
      <c r="B1713" s="73"/>
      <c r="C1713" s="73"/>
      <c r="D1713" s="73"/>
      <c r="E1713" s="73"/>
      <c r="F1713" s="73"/>
      <c r="G1713" s="73"/>
    </row>
    <row r="1714" spans="2:7" x14ac:dyDescent="0.2">
      <c r="B1714" s="73"/>
      <c r="C1714" s="73"/>
      <c r="D1714" s="73"/>
      <c r="E1714" s="73"/>
      <c r="F1714" s="73"/>
      <c r="G1714" s="73"/>
    </row>
    <row r="1715" spans="2:7" x14ac:dyDescent="0.2">
      <c r="B1715" s="73"/>
      <c r="C1715" s="73"/>
      <c r="D1715" s="73"/>
      <c r="E1715" s="73"/>
      <c r="F1715" s="73"/>
      <c r="G1715" s="73"/>
    </row>
    <row r="1716" spans="2:7" x14ac:dyDescent="0.2">
      <c r="B1716" s="73"/>
      <c r="C1716" s="73"/>
      <c r="D1716" s="73"/>
      <c r="E1716" s="73"/>
      <c r="F1716" s="73"/>
      <c r="G1716" s="73"/>
    </row>
    <row r="1717" spans="2:7" x14ac:dyDescent="0.2">
      <c r="B1717" s="73"/>
      <c r="C1717" s="73"/>
      <c r="D1717" s="73"/>
      <c r="E1717" s="73"/>
      <c r="F1717" s="73"/>
      <c r="G1717" s="73"/>
    </row>
    <row r="1718" spans="2:7" x14ac:dyDescent="0.2">
      <c r="B1718" s="73"/>
      <c r="C1718" s="73"/>
      <c r="D1718" s="73"/>
      <c r="E1718" s="73"/>
      <c r="F1718" s="73"/>
      <c r="G1718" s="73"/>
    </row>
    <row r="1719" spans="2:7" x14ac:dyDescent="0.2">
      <c r="B1719" s="73"/>
      <c r="C1719" s="73"/>
      <c r="D1719" s="73"/>
      <c r="E1719" s="73"/>
      <c r="F1719" s="73"/>
      <c r="G1719" s="73"/>
    </row>
    <row r="1720" spans="2:7" x14ac:dyDescent="0.2">
      <c r="B1720" s="73"/>
      <c r="C1720" s="73"/>
      <c r="D1720" s="73"/>
      <c r="E1720" s="73"/>
      <c r="F1720" s="73"/>
      <c r="G1720" s="73"/>
    </row>
    <row r="1721" spans="2:7" x14ac:dyDescent="0.2">
      <c r="B1721" s="73"/>
      <c r="C1721" s="73"/>
      <c r="D1721" s="73"/>
      <c r="E1721" s="73"/>
      <c r="F1721" s="73"/>
      <c r="G1721" s="73"/>
    </row>
  </sheetData>
  <pageMargins left="0.70866141732283472" right="0.70866141732283472" top="0.74803149606299213" bottom="0.74803149606299213" header="0.31496062992125984" footer="0.31496062992125984"/>
  <pageSetup paperSize="9" fitToHeight="0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0:G57"/>
  <sheetViews>
    <sheetView topLeftCell="A31" workbookViewId="0">
      <selection activeCell="G25" sqref="G25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20.42578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18" spans="2:7" x14ac:dyDescent="0.2">
      <c r="G18" s="210"/>
    </row>
    <row r="19" spans="2:7" x14ac:dyDescent="0.2">
      <c r="G19" s="210"/>
    </row>
    <row r="20" spans="2:7" x14ac:dyDescent="0.2">
      <c r="G20" s="211"/>
    </row>
    <row r="21" spans="2:7" x14ac:dyDescent="0.2">
      <c r="G21" s="210"/>
    </row>
    <row r="23" spans="2:7" ht="13.5" thickBot="1" x14ac:dyDescent="0.25"/>
    <row r="24" spans="2:7" ht="24.75" customHeight="1" thickTop="1" x14ac:dyDescent="0.2">
      <c r="B24" s="152" t="s">
        <v>88</v>
      </c>
      <c r="C24" s="153"/>
      <c r="D24" s="154"/>
      <c r="E24" s="155"/>
      <c r="F24" s="156"/>
      <c r="G24" s="157"/>
    </row>
    <row r="25" spans="2:7" x14ac:dyDescent="0.2">
      <c r="C25" s="32"/>
      <c r="D25" s="32"/>
      <c r="E25" s="32"/>
      <c r="F25" s="32"/>
      <c r="G25" s="32"/>
    </row>
    <row r="26" spans="2:7" x14ac:dyDescent="0.2">
      <c r="B26" s="175" t="s">
        <v>0</v>
      </c>
      <c r="C26" s="176"/>
      <c r="D26" s="177"/>
      <c r="E26" s="176"/>
      <c r="F26" s="178"/>
      <c r="G26" s="172" t="s">
        <v>320</v>
      </c>
    </row>
    <row r="27" spans="2:7" x14ac:dyDescent="0.2">
      <c r="B27" s="184"/>
      <c r="C27" s="185"/>
      <c r="D27" s="186"/>
      <c r="E27" s="108"/>
      <c r="F27" s="187"/>
      <c r="G27" s="173"/>
    </row>
    <row r="28" spans="2:7" x14ac:dyDescent="0.2">
      <c r="B28" s="193" t="s">
        <v>89</v>
      </c>
      <c r="C28" s="194"/>
      <c r="D28" s="195"/>
      <c r="E28" s="196"/>
      <c r="F28" s="197"/>
      <c r="G28" s="209">
        <v>319.99800779450402</v>
      </c>
    </row>
    <row r="29" spans="2:7" x14ac:dyDescent="0.2">
      <c r="B29" s="188" t="s">
        <v>105</v>
      </c>
      <c r="C29" s="189"/>
      <c r="D29" s="190"/>
      <c r="E29" s="191"/>
      <c r="F29" s="192"/>
      <c r="G29" s="209">
        <v>1005.7361496135487</v>
      </c>
    </row>
    <row r="30" spans="2:7" x14ac:dyDescent="0.2">
      <c r="B30" s="188"/>
      <c r="C30" s="203" t="s">
        <v>94</v>
      </c>
      <c r="D30" s="206" t="s">
        <v>91</v>
      </c>
      <c r="E30" s="191"/>
      <c r="F30" s="192"/>
      <c r="G30" s="174"/>
    </row>
    <row r="31" spans="2:7" x14ac:dyDescent="0.2">
      <c r="B31" s="188"/>
      <c r="C31" s="203" t="s">
        <v>95</v>
      </c>
      <c r="D31" s="206" t="s">
        <v>92</v>
      </c>
      <c r="E31" s="191"/>
      <c r="F31" s="192"/>
      <c r="G31" s="174"/>
    </row>
    <row r="32" spans="2:7" x14ac:dyDescent="0.2">
      <c r="B32" s="188"/>
      <c r="C32" s="203" t="s">
        <v>96</v>
      </c>
      <c r="D32" s="206" t="s">
        <v>93</v>
      </c>
      <c r="E32" s="191"/>
      <c r="F32" s="192"/>
      <c r="G32" s="174"/>
    </row>
    <row r="33" spans="2:7" x14ac:dyDescent="0.2">
      <c r="B33" s="193"/>
      <c r="C33" s="204" t="s">
        <v>97</v>
      </c>
      <c r="D33" s="207" t="s">
        <v>93</v>
      </c>
      <c r="E33" s="196"/>
      <c r="F33" s="197"/>
      <c r="G33" s="174"/>
    </row>
    <row r="34" spans="2:7" x14ac:dyDescent="0.2">
      <c r="B34" s="179"/>
      <c r="C34" s="205" t="s">
        <v>98</v>
      </c>
      <c r="D34" s="208" t="s">
        <v>93</v>
      </c>
      <c r="E34" s="109"/>
      <c r="F34" s="180"/>
      <c r="G34" s="174"/>
    </row>
    <row r="35" spans="2:7" x14ac:dyDescent="0.2">
      <c r="B35" s="193"/>
      <c r="C35" s="204" t="s">
        <v>99</v>
      </c>
      <c r="D35" s="207" t="s">
        <v>93</v>
      </c>
      <c r="E35" s="196"/>
      <c r="F35" s="197"/>
      <c r="G35" s="174"/>
    </row>
    <row r="36" spans="2:7" x14ac:dyDescent="0.2">
      <c r="B36" s="179"/>
      <c r="C36" s="205" t="s">
        <v>100</v>
      </c>
      <c r="D36" s="208" t="s">
        <v>93</v>
      </c>
      <c r="E36" s="109"/>
      <c r="F36" s="180"/>
      <c r="G36" s="174"/>
    </row>
    <row r="37" spans="2:7" x14ac:dyDescent="0.2">
      <c r="B37" s="193"/>
      <c r="C37" s="204" t="s">
        <v>90</v>
      </c>
      <c r="D37" s="207" t="s">
        <v>93</v>
      </c>
      <c r="E37" s="196"/>
      <c r="F37" s="197"/>
      <c r="G37" s="174"/>
    </row>
    <row r="38" spans="2:7" x14ac:dyDescent="0.2">
      <c r="B38" s="193"/>
      <c r="C38" s="204" t="s">
        <v>104</v>
      </c>
      <c r="D38" s="204" t="s">
        <v>93</v>
      </c>
      <c r="E38" s="196"/>
      <c r="F38" s="180"/>
      <c r="G38" s="174"/>
    </row>
    <row r="39" spans="2:7" x14ac:dyDescent="0.2">
      <c r="B39" s="181"/>
      <c r="C39" s="205" t="s">
        <v>101</v>
      </c>
      <c r="D39" s="208" t="s">
        <v>93</v>
      </c>
      <c r="E39" s="182"/>
      <c r="F39" s="197"/>
      <c r="G39" s="174"/>
    </row>
    <row r="40" spans="2:7" x14ac:dyDescent="0.2">
      <c r="B40" s="179"/>
      <c r="C40" s="204" t="s">
        <v>102</v>
      </c>
      <c r="D40" s="207" t="s">
        <v>93</v>
      </c>
      <c r="E40" s="109"/>
      <c r="F40" s="180"/>
      <c r="G40" s="174"/>
    </row>
    <row r="41" spans="2:7" x14ac:dyDescent="0.2">
      <c r="B41" s="193"/>
      <c r="C41" s="204" t="s">
        <v>103</v>
      </c>
      <c r="D41" s="207" t="s">
        <v>93</v>
      </c>
      <c r="E41" s="196"/>
      <c r="F41" s="197"/>
      <c r="G41" s="174"/>
    </row>
    <row r="42" spans="2:7" x14ac:dyDescent="0.2">
      <c r="B42" s="200"/>
      <c r="C42" s="201"/>
      <c r="D42" s="201"/>
      <c r="E42" s="201"/>
      <c r="F42" s="202"/>
      <c r="G42" s="174"/>
    </row>
    <row r="43" spans="2:7" x14ac:dyDescent="0.2">
      <c r="B43" s="179" t="s">
        <v>109</v>
      </c>
      <c r="C43" s="148"/>
      <c r="D43" s="55"/>
      <c r="E43" s="109"/>
      <c r="F43" s="180"/>
      <c r="G43" s="174">
        <v>425.88235294117646</v>
      </c>
    </row>
    <row r="44" spans="2:7" x14ac:dyDescent="0.2">
      <c r="B44" s="193" t="s">
        <v>110</v>
      </c>
      <c r="C44" s="194"/>
      <c r="D44" s="195"/>
      <c r="E44" s="196"/>
      <c r="F44" s="197"/>
      <c r="G44" s="174">
        <v>608.23529411764707</v>
      </c>
    </row>
    <row r="45" spans="2:7" x14ac:dyDescent="0.2">
      <c r="B45" s="193" t="s">
        <v>87</v>
      </c>
      <c r="C45" s="194"/>
      <c r="D45" s="195"/>
      <c r="E45" s="196"/>
      <c r="F45" s="197"/>
      <c r="G45" s="174">
        <v>39.001421464108034</v>
      </c>
    </row>
    <row r="46" spans="2:7" x14ac:dyDescent="0.2">
      <c r="B46" s="193" t="s">
        <v>222</v>
      </c>
      <c r="C46" s="194"/>
      <c r="D46" s="195"/>
      <c r="E46" s="196"/>
      <c r="F46" s="197"/>
      <c r="G46" s="147">
        <v>29.000000000000004</v>
      </c>
    </row>
    <row r="47" spans="2:7" x14ac:dyDescent="0.2">
      <c r="B47" s="193" t="s">
        <v>223</v>
      </c>
      <c r="C47" s="194"/>
      <c r="D47" s="195"/>
      <c r="E47" s="196"/>
      <c r="F47" s="197"/>
      <c r="G47" s="147">
        <v>8.8461538461538467</v>
      </c>
    </row>
    <row r="48" spans="2:7" x14ac:dyDescent="0.2">
      <c r="B48" s="193" t="s">
        <v>224</v>
      </c>
      <c r="C48" s="194"/>
      <c r="D48" s="195"/>
      <c r="E48" s="196"/>
      <c r="F48" s="197"/>
      <c r="G48" s="147">
        <v>9</v>
      </c>
    </row>
    <row r="49" spans="2:7" x14ac:dyDescent="0.2">
      <c r="B49" s="193" t="s">
        <v>225</v>
      </c>
      <c r="C49" s="194"/>
      <c r="D49" s="195"/>
      <c r="E49" s="196"/>
      <c r="F49" s="197"/>
      <c r="G49" s="147">
        <v>9.3076923076923066</v>
      </c>
    </row>
    <row r="50" spans="2:7" x14ac:dyDescent="0.2">
      <c r="B50" s="193" t="s">
        <v>226</v>
      </c>
      <c r="C50" s="194"/>
      <c r="D50" s="195"/>
      <c r="E50" s="196"/>
      <c r="F50" s="197"/>
      <c r="G50" s="147">
        <v>9.6923076923076916</v>
      </c>
    </row>
    <row r="51" spans="2:7" x14ac:dyDescent="0.2">
      <c r="B51" s="193" t="s">
        <v>199</v>
      </c>
      <c r="C51" s="194"/>
      <c r="D51" s="195"/>
      <c r="E51" s="196"/>
      <c r="F51" s="197"/>
      <c r="G51" s="147">
        <v>30</v>
      </c>
    </row>
    <row r="52" spans="2:7" x14ac:dyDescent="0.2">
      <c r="B52" s="193" t="s">
        <v>150</v>
      </c>
      <c r="C52" s="232"/>
      <c r="D52" s="234" t="s">
        <v>151</v>
      </c>
      <c r="E52" s="198"/>
      <c r="F52" s="199"/>
      <c r="G52" s="147">
        <v>14</v>
      </c>
    </row>
    <row r="53" spans="2:7" x14ac:dyDescent="0.2">
      <c r="B53" s="193" t="s">
        <v>152</v>
      </c>
      <c r="C53" s="232"/>
      <c r="D53" s="234" t="s">
        <v>11</v>
      </c>
      <c r="E53" s="198"/>
      <c r="F53" s="199"/>
      <c r="G53" s="147">
        <v>132.86000000000001</v>
      </c>
    </row>
    <row r="54" spans="2:7" x14ac:dyDescent="0.2">
      <c r="B54" s="193" t="s">
        <v>200</v>
      </c>
      <c r="C54" s="198"/>
      <c r="D54" s="198"/>
      <c r="E54" s="198"/>
      <c r="F54" s="199"/>
      <c r="G54" s="255"/>
    </row>
    <row r="55" spans="2:7" x14ac:dyDescent="0.2">
      <c r="B55" s="32"/>
      <c r="C55" s="32"/>
      <c r="D55" s="32"/>
      <c r="E55" s="32"/>
      <c r="F55" s="32"/>
      <c r="G55" s="32"/>
    </row>
    <row r="56" spans="2:7" x14ac:dyDescent="0.2">
      <c r="B56" s="32"/>
      <c r="C56" s="32"/>
      <c r="D56" s="32"/>
      <c r="E56" s="32"/>
      <c r="F56" s="32"/>
      <c r="G56" s="32"/>
    </row>
    <row r="57" spans="2:7" x14ac:dyDescent="0.2">
      <c r="B57" s="32"/>
      <c r="C57" s="32"/>
      <c r="D57" s="32"/>
      <c r="E57" s="32"/>
      <c r="F57" s="32"/>
      <c r="G57" s="32"/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G64"/>
  <sheetViews>
    <sheetView topLeftCell="A34" workbookViewId="0">
      <selection activeCell="E21" sqref="E21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20.42578125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27" spans="2:7" ht="13.5" thickBot="1" x14ac:dyDescent="0.25"/>
    <row r="28" spans="2:7" ht="24.75" customHeight="1" thickTop="1" x14ac:dyDescent="0.2">
      <c r="B28" s="152" t="s">
        <v>201</v>
      </c>
      <c r="C28" s="153"/>
      <c r="D28" s="154"/>
      <c r="E28" s="155"/>
      <c r="F28" s="156"/>
      <c r="G28" s="158" t="s">
        <v>69</v>
      </c>
    </row>
    <row r="29" spans="2:7" x14ac:dyDescent="0.2">
      <c r="C29" s="32"/>
      <c r="D29" s="32"/>
      <c r="E29" s="32"/>
      <c r="F29" s="32"/>
      <c r="G29" s="32"/>
    </row>
    <row r="30" spans="2:7" x14ac:dyDescent="0.2">
      <c r="B30" s="18" t="s">
        <v>0</v>
      </c>
      <c r="C30" s="18" t="s">
        <v>1</v>
      </c>
      <c r="D30" s="19" t="s">
        <v>2</v>
      </c>
      <c r="E30" s="18" t="s">
        <v>3</v>
      </c>
      <c r="F30" s="20"/>
      <c r="G30" s="116" t="s">
        <v>108</v>
      </c>
    </row>
    <row r="31" spans="2:7" x14ac:dyDescent="0.2">
      <c r="B31" s="68" t="s">
        <v>52</v>
      </c>
      <c r="C31" s="103" t="s">
        <v>53</v>
      </c>
      <c r="D31" s="69"/>
      <c r="E31" s="65"/>
      <c r="F31" s="65"/>
      <c r="G31" s="117"/>
    </row>
    <row r="32" spans="2:7" x14ac:dyDescent="0.2">
      <c r="B32" s="145" t="s">
        <v>211</v>
      </c>
      <c r="C32" s="168" t="s">
        <v>210</v>
      </c>
      <c r="D32" s="70">
        <v>8</v>
      </c>
      <c r="E32" s="124">
        <v>5</v>
      </c>
      <c r="F32" s="124" t="s">
        <v>207</v>
      </c>
      <c r="G32" s="118">
        <v>19.505549636803877</v>
      </c>
    </row>
    <row r="33" spans="1:7" x14ac:dyDescent="0.2">
      <c r="B33" s="145" t="s">
        <v>211</v>
      </c>
      <c r="C33" s="168" t="s">
        <v>209</v>
      </c>
      <c r="D33" s="70">
        <v>10</v>
      </c>
      <c r="E33" s="66">
        <v>6</v>
      </c>
      <c r="F33" s="124" t="s">
        <v>207</v>
      </c>
      <c r="G33" s="118">
        <v>23.567142857142859</v>
      </c>
    </row>
    <row r="34" spans="1:7" x14ac:dyDescent="0.2">
      <c r="B34" s="145" t="s">
        <v>211</v>
      </c>
      <c r="C34" s="168" t="s">
        <v>209</v>
      </c>
      <c r="D34" s="70">
        <v>10</v>
      </c>
      <c r="E34" s="66">
        <v>10</v>
      </c>
      <c r="F34" s="124" t="s">
        <v>207</v>
      </c>
      <c r="G34" s="118">
        <v>29.687142857142856</v>
      </c>
    </row>
    <row r="35" spans="1:7" x14ac:dyDescent="0.2">
      <c r="B35" s="145" t="s">
        <v>211</v>
      </c>
      <c r="C35" s="168" t="s">
        <v>209</v>
      </c>
      <c r="D35" s="70">
        <v>12</v>
      </c>
      <c r="E35" s="66">
        <v>7</v>
      </c>
      <c r="F35" s="125" t="s">
        <v>207</v>
      </c>
      <c r="G35" s="118">
        <v>26.095380145278455</v>
      </c>
    </row>
    <row r="36" spans="1:7" x14ac:dyDescent="0.2">
      <c r="B36" s="145" t="s">
        <v>211</v>
      </c>
      <c r="C36" s="168" t="s">
        <v>209</v>
      </c>
      <c r="D36" s="70">
        <v>12</v>
      </c>
      <c r="E36" s="66">
        <v>10</v>
      </c>
      <c r="F36" s="125" t="s">
        <v>207</v>
      </c>
      <c r="G36" s="118">
        <v>31.059719128329299</v>
      </c>
    </row>
    <row r="37" spans="1:7" x14ac:dyDescent="0.2">
      <c r="A37" s="8"/>
      <c r="B37" s="92"/>
      <c r="C37" s="260"/>
      <c r="D37" s="246"/>
      <c r="E37" s="109"/>
      <c r="F37" s="261"/>
      <c r="G37" s="119"/>
    </row>
    <row r="38" spans="1:7" x14ac:dyDescent="0.2">
      <c r="B38" s="145" t="s">
        <v>211</v>
      </c>
      <c r="C38" s="168" t="s">
        <v>212</v>
      </c>
      <c r="D38" s="70">
        <v>8</v>
      </c>
      <c r="E38" s="124">
        <v>5</v>
      </c>
      <c r="F38" s="124" t="s">
        <v>207</v>
      </c>
      <c r="G38" s="118">
        <v>19.871651331719132</v>
      </c>
    </row>
    <row r="39" spans="1:7" x14ac:dyDescent="0.2">
      <c r="B39" s="145" t="s">
        <v>211</v>
      </c>
      <c r="C39" s="168" t="s">
        <v>213</v>
      </c>
      <c r="D39" s="70">
        <v>10</v>
      </c>
      <c r="E39" s="66">
        <v>6</v>
      </c>
      <c r="F39" s="124" t="s">
        <v>207</v>
      </c>
      <c r="G39" s="118">
        <v>24.234515738498789</v>
      </c>
    </row>
    <row r="40" spans="1:7" x14ac:dyDescent="0.2">
      <c r="B40" s="145" t="s">
        <v>211</v>
      </c>
      <c r="C40" s="168" t="s">
        <v>213</v>
      </c>
      <c r="D40" s="70">
        <v>10</v>
      </c>
      <c r="E40" s="66">
        <v>10</v>
      </c>
      <c r="F40" s="124" t="s">
        <v>207</v>
      </c>
      <c r="G40" s="118">
        <v>30.735871670702181</v>
      </c>
    </row>
    <row r="41" spans="1:7" x14ac:dyDescent="0.2">
      <c r="B41" s="145" t="s">
        <v>211</v>
      </c>
      <c r="C41" s="168" t="s">
        <v>213</v>
      </c>
      <c r="D41" s="70">
        <v>12</v>
      </c>
      <c r="E41" s="66">
        <v>7</v>
      </c>
      <c r="F41" s="125" t="s">
        <v>207</v>
      </c>
      <c r="G41" s="118">
        <v>27.157075060532691</v>
      </c>
    </row>
    <row r="42" spans="1:7" x14ac:dyDescent="0.2">
      <c r="B42" s="145" t="s">
        <v>211</v>
      </c>
      <c r="C42" s="168" t="s">
        <v>213</v>
      </c>
      <c r="D42" s="70">
        <v>12</v>
      </c>
      <c r="E42" s="66">
        <v>10</v>
      </c>
      <c r="F42" s="125" t="s">
        <v>207</v>
      </c>
      <c r="G42" s="118">
        <v>32.51954963680388</v>
      </c>
    </row>
    <row r="43" spans="1:7" x14ac:dyDescent="0.2">
      <c r="C43" s="62"/>
      <c r="D43" s="32"/>
      <c r="E43" s="32"/>
      <c r="F43" s="32"/>
      <c r="G43" s="32"/>
    </row>
    <row r="44" spans="1:7" x14ac:dyDescent="0.2">
      <c r="B44" s="68" t="s">
        <v>202</v>
      </c>
      <c r="C44" s="103" t="s">
        <v>53</v>
      </c>
      <c r="D44" s="69"/>
      <c r="E44" s="65"/>
      <c r="F44" s="65"/>
      <c r="G44" s="117"/>
    </row>
    <row r="45" spans="1:7" x14ac:dyDescent="0.2">
      <c r="B45" s="145" t="s">
        <v>208</v>
      </c>
      <c r="C45" s="168" t="s">
        <v>214</v>
      </c>
      <c r="D45" s="70">
        <v>10</v>
      </c>
      <c r="E45" s="66">
        <v>30</v>
      </c>
      <c r="F45" s="124" t="s">
        <v>207</v>
      </c>
      <c r="G45" s="118">
        <v>66.155714285714282</v>
      </c>
    </row>
    <row r="46" spans="1:7" x14ac:dyDescent="0.2">
      <c r="B46" s="145" t="s">
        <v>208</v>
      </c>
      <c r="C46" s="168" t="s">
        <v>214</v>
      </c>
      <c r="D46" s="70">
        <v>12</v>
      </c>
      <c r="E46" s="66">
        <v>30</v>
      </c>
      <c r="F46" s="125" t="s">
        <v>207</v>
      </c>
      <c r="G46" s="118">
        <v>71.58388377723972</v>
      </c>
    </row>
    <row r="47" spans="1:7" x14ac:dyDescent="0.2">
      <c r="B47" s="145" t="s">
        <v>208</v>
      </c>
      <c r="C47" s="168" t="s">
        <v>214</v>
      </c>
      <c r="D47" s="72">
        <v>14</v>
      </c>
      <c r="E47" s="60">
        <v>30</v>
      </c>
      <c r="F47" s="125" t="s">
        <v>207</v>
      </c>
      <c r="G47" s="118">
        <v>92.423232929782102</v>
      </c>
    </row>
    <row r="48" spans="1:7" x14ac:dyDescent="0.2">
      <c r="A48" s="8"/>
      <c r="B48" s="92"/>
      <c r="C48" s="245"/>
      <c r="D48" s="259"/>
      <c r="E48" s="94"/>
      <c r="F48" s="106"/>
      <c r="G48" s="122"/>
    </row>
    <row r="49" spans="2:7" x14ac:dyDescent="0.2">
      <c r="B49" s="145" t="s">
        <v>208</v>
      </c>
      <c r="C49" s="168" t="s">
        <v>215</v>
      </c>
      <c r="D49" s="70">
        <v>10</v>
      </c>
      <c r="E49" s="66">
        <v>30</v>
      </c>
      <c r="F49" s="124" t="s">
        <v>207</v>
      </c>
      <c r="G49" s="118">
        <v>69.111222760290559</v>
      </c>
    </row>
    <row r="50" spans="2:7" x14ac:dyDescent="0.2">
      <c r="B50" s="145" t="s">
        <v>208</v>
      </c>
      <c r="C50" s="168" t="s">
        <v>215</v>
      </c>
      <c r="D50" s="70">
        <v>12</v>
      </c>
      <c r="E50" s="66">
        <v>30</v>
      </c>
      <c r="F50" s="125" t="s">
        <v>207</v>
      </c>
      <c r="G50" s="118">
        <v>75.697951573849892</v>
      </c>
    </row>
    <row r="51" spans="2:7" x14ac:dyDescent="0.2">
      <c r="B51" s="145" t="s">
        <v>208</v>
      </c>
      <c r="C51" s="168" t="s">
        <v>215</v>
      </c>
      <c r="D51" s="72">
        <v>14</v>
      </c>
      <c r="E51" s="60">
        <v>30</v>
      </c>
      <c r="F51" s="125" t="s">
        <v>207</v>
      </c>
      <c r="G51" s="118">
        <v>98.000080387409241</v>
      </c>
    </row>
    <row r="52" spans="2:7" x14ac:dyDescent="0.2">
      <c r="B52" s="32"/>
      <c r="C52" s="32"/>
      <c r="D52" s="32"/>
      <c r="E52" s="32"/>
      <c r="F52" s="32"/>
      <c r="G52" s="32"/>
    </row>
    <row r="53" spans="2:7" x14ac:dyDescent="0.2">
      <c r="B53" s="68" t="s">
        <v>203</v>
      </c>
      <c r="C53" s="103" t="s">
        <v>204</v>
      </c>
      <c r="D53" s="69"/>
      <c r="E53" s="65"/>
      <c r="F53" s="65"/>
      <c r="G53" s="117"/>
    </row>
    <row r="54" spans="2:7" x14ac:dyDescent="0.2">
      <c r="B54" s="42" t="s">
        <v>216</v>
      </c>
      <c r="C54" s="218" t="s">
        <v>205</v>
      </c>
      <c r="D54" s="43">
        <v>6</v>
      </c>
      <c r="E54" s="66">
        <v>1.5</v>
      </c>
      <c r="F54" s="124" t="s">
        <v>207</v>
      </c>
      <c r="G54" s="118">
        <v>8.7098666023166018</v>
      </c>
    </row>
    <row r="55" spans="2:7" x14ac:dyDescent="0.2">
      <c r="B55" s="42" t="s">
        <v>216</v>
      </c>
      <c r="C55" s="218" t="s">
        <v>205</v>
      </c>
      <c r="D55" s="43">
        <v>6</v>
      </c>
      <c r="E55" s="66">
        <v>2</v>
      </c>
      <c r="F55" s="124" t="s">
        <v>207</v>
      </c>
      <c r="G55" s="118">
        <v>9.0232684942084962</v>
      </c>
    </row>
    <row r="56" spans="2:7" x14ac:dyDescent="0.2">
      <c r="B56" s="42" t="s">
        <v>216</v>
      </c>
      <c r="C56" s="218" t="s">
        <v>205</v>
      </c>
      <c r="D56" s="43">
        <v>8</v>
      </c>
      <c r="E56" s="66">
        <v>1.5</v>
      </c>
      <c r="F56" s="124" t="s">
        <v>207</v>
      </c>
      <c r="G56" s="118">
        <v>8.5802902678571442</v>
      </c>
    </row>
    <row r="57" spans="2:7" x14ac:dyDescent="0.2">
      <c r="B57" s="42" t="s">
        <v>216</v>
      </c>
      <c r="C57" s="218" t="s">
        <v>205</v>
      </c>
      <c r="D57" s="43">
        <v>8</v>
      </c>
      <c r="E57" s="66">
        <v>2</v>
      </c>
      <c r="F57" s="124" t="s">
        <v>207</v>
      </c>
      <c r="G57" s="118">
        <v>8.8677768928571439</v>
      </c>
    </row>
    <row r="58" spans="2:7" x14ac:dyDescent="0.2">
      <c r="B58" s="42" t="s">
        <v>216</v>
      </c>
      <c r="C58" s="218" t="s">
        <v>205</v>
      </c>
      <c r="D58" s="43">
        <v>10</v>
      </c>
      <c r="E58" s="66">
        <v>2</v>
      </c>
      <c r="F58" s="124" t="s">
        <v>207</v>
      </c>
      <c r="G58" s="118">
        <v>10.745079870129871</v>
      </c>
    </row>
    <row r="60" spans="2:7" x14ac:dyDescent="0.2">
      <c r="B60" s="42" t="s">
        <v>33</v>
      </c>
      <c r="C60" s="218" t="s">
        <v>206</v>
      </c>
      <c r="D60" s="43">
        <v>6</v>
      </c>
      <c r="E60" s="66">
        <v>1.5</v>
      </c>
      <c r="F60" s="124" t="s">
        <v>207</v>
      </c>
      <c r="G60" s="118">
        <v>8.8539731428571429</v>
      </c>
    </row>
    <row r="61" spans="2:7" x14ac:dyDescent="0.2">
      <c r="B61" s="42" t="s">
        <v>33</v>
      </c>
      <c r="C61" s="218" t="s">
        <v>206</v>
      </c>
      <c r="D61" s="43">
        <v>6</v>
      </c>
      <c r="E61" s="66">
        <v>2</v>
      </c>
      <c r="F61" s="124" t="s">
        <v>207</v>
      </c>
      <c r="G61" s="118">
        <v>9.196196342857144</v>
      </c>
    </row>
    <row r="62" spans="2:7" x14ac:dyDescent="0.2">
      <c r="B62" s="42" t="s">
        <v>33</v>
      </c>
      <c r="C62" s="218" t="s">
        <v>206</v>
      </c>
      <c r="D62" s="43">
        <v>8</v>
      </c>
      <c r="E62" s="66">
        <v>1.5</v>
      </c>
      <c r="F62" s="124" t="s">
        <v>207</v>
      </c>
      <c r="G62" s="118">
        <v>9.1215223736263731</v>
      </c>
    </row>
    <row r="63" spans="2:7" x14ac:dyDescent="0.2">
      <c r="B63" s="42" t="s">
        <v>33</v>
      </c>
      <c r="C63" s="218" t="s">
        <v>206</v>
      </c>
      <c r="D63" s="43">
        <v>8</v>
      </c>
      <c r="E63" s="66">
        <v>2</v>
      </c>
      <c r="F63" s="124" t="s">
        <v>207</v>
      </c>
      <c r="G63" s="118">
        <v>9.5172554197802217</v>
      </c>
    </row>
    <row r="64" spans="2:7" x14ac:dyDescent="0.2">
      <c r="B64" s="42" t="s">
        <v>33</v>
      </c>
      <c r="C64" s="218" t="s">
        <v>206</v>
      </c>
      <c r="D64" s="43">
        <v>10</v>
      </c>
      <c r="E64" s="66">
        <v>2</v>
      </c>
      <c r="F64" s="124" t="s">
        <v>207</v>
      </c>
      <c r="G64" s="118">
        <v>11.262210874200427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0:H86"/>
  <sheetViews>
    <sheetView tabSelected="1" topLeftCell="A9" zoomScaleNormal="100" workbookViewId="0">
      <selection activeCell="J14" sqref="J14"/>
    </sheetView>
  </sheetViews>
  <sheetFormatPr defaultRowHeight="12.75" x14ac:dyDescent="0.2"/>
  <cols>
    <col min="2" max="2" width="20.140625" customWidth="1"/>
    <col min="3" max="3" width="22.42578125" customWidth="1"/>
    <col min="4" max="6" width="7.85546875" customWidth="1"/>
    <col min="7" max="7" width="14.5703125" customWidth="1"/>
    <col min="8" max="8" width="13.85546875" style="73" customWidth="1"/>
  </cols>
  <sheetData>
    <row r="10" spans="2:2" x14ac:dyDescent="0.2">
      <c r="B10" s="9" t="str">
        <f>'Pro Race'!B11</f>
        <v>PRICE LIST</v>
      </c>
    </row>
    <row r="11" spans="2:2" x14ac:dyDescent="0.2">
      <c r="B11" s="73" t="str">
        <f>'Pro Race'!B12</f>
        <v>ref. 01-2017</v>
      </c>
    </row>
    <row r="12" spans="2:2" x14ac:dyDescent="0.2">
      <c r="B12" s="9"/>
    </row>
    <row r="13" spans="2:2" x14ac:dyDescent="0.2">
      <c r="B13" s="62" t="str">
        <f>'Pro Race'!B14</f>
        <v>prices are ex-taxes and can be changed without prior notice</v>
      </c>
    </row>
    <row r="14" spans="2:2" x14ac:dyDescent="0.2">
      <c r="B14" s="62" t="str">
        <f>'Pro Race'!B15</f>
        <v>position EXW Factory Portugal</v>
      </c>
    </row>
    <row r="15" spans="2:2" x14ac:dyDescent="0.2">
      <c r="B15" s="62" t="str">
        <f>'Pro Race'!B16</f>
        <v>alpha ropes®</v>
      </c>
    </row>
    <row r="16" spans="2:2" x14ac:dyDescent="0.2">
      <c r="B16" s="62" t="str">
        <f>'Pro Race'!B17</f>
        <v>valid from January 1st, 2017</v>
      </c>
    </row>
    <row r="18" spans="2:8" x14ac:dyDescent="0.2">
      <c r="G18" s="210"/>
    </row>
    <row r="19" spans="2:8" x14ac:dyDescent="0.2">
      <c r="G19" s="210"/>
    </row>
    <row r="20" spans="2:8" x14ac:dyDescent="0.2">
      <c r="G20" s="211"/>
    </row>
    <row r="21" spans="2:8" x14ac:dyDescent="0.2">
      <c r="G21" s="210"/>
    </row>
    <row r="23" spans="2:8" ht="13.5" thickBot="1" x14ac:dyDescent="0.25"/>
    <row r="24" spans="2:8" ht="24.75" customHeight="1" thickTop="1" x14ac:dyDescent="0.2">
      <c r="B24" s="152" t="s">
        <v>115</v>
      </c>
      <c r="C24" s="153"/>
      <c r="D24" s="154"/>
      <c r="E24" s="155"/>
      <c r="F24" s="156"/>
      <c r="G24" s="326" t="s">
        <v>69</v>
      </c>
      <c r="H24" s="326"/>
    </row>
    <row r="25" spans="2:8" x14ac:dyDescent="0.2">
      <c r="C25" s="32"/>
      <c r="D25" s="32"/>
      <c r="E25" s="32"/>
      <c r="F25" s="32"/>
      <c r="G25" s="32"/>
      <c r="H25" s="32"/>
    </row>
    <row r="26" spans="2:8" x14ac:dyDescent="0.2">
      <c r="B26" s="175" t="s">
        <v>0</v>
      </c>
      <c r="C26" s="176"/>
      <c r="D26" s="177"/>
      <c r="E26" s="176"/>
      <c r="F26" s="178"/>
      <c r="G26" s="256" t="s">
        <v>323</v>
      </c>
      <c r="H26" s="256" t="s">
        <v>265</v>
      </c>
    </row>
    <row r="27" spans="2:8" x14ac:dyDescent="0.2">
      <c r="B27" s="253" t="s">
        <v>305</v>
      </c>
      <c r="C27" s="308" t="s">
        <v>125</v>
      </c>
      <c r="D27" s="313"/>
      <c r="E27" s="310"/>
      <c r="F27" s="310"/>
      <c r="G27" s="314"/>
      <c r="H27" s="314"/>
    </row>
    <row r="28" spans="2:8" x14ac:dyDescent="0.2">
      <c r="B28" s="179" t="s">
        <v>83</v>
      </c>
      <c r="C28" s="205" t="s">
        <v>285</v>
      </c>
      <c r="D28" s="208" t="s">
        <v>153</v>
      </c>
      <c r="E28" s="109"/>
      <c r="F28" s="180"/>
      <c r="G28" s="328">
        <f>(H28/100)</f>
        <v>0.2742857142857143</v>
      </c>
      <c r="H28" s="112">
        <v>27.428571428571431</v>
      </c>
    </row>
    <row r="29" spans="2:8" x14ac:dyDescent="0.2">
      <c r="B29" s="188" t="s">
        <v>118</v>
      </c>
      <c r="C29" s="203" t="s">
        <v>286</v>
      </c>
      <c r="D29" s="206" t="s">
        <v>153</v>
      </c>
      <c r="E29" s="191"/>
      <c r="F29" s="192"/>
      <c r="G29" s="328">
        <f t="shared" ref="G29:G31" si="0">(H29/100)</f>
        <v>0.50857142857142856</v>
      </c>
      <c r="H29" s="111">
        <v>50.857142857142854</v>
      </c>
    </row>
    <row r="30" spans="2:8" x14ac:dyDescent="0.2">
      <c r="B30" s="188" t="s">
        <v>117</v>
      </c>
      <c r="C30" s="203" t="s">
        <v>287</v>
      </c>
      <c r="D30" s="206" t="s">
        <v>153</v>
      </c>
      <c r="E30" s="191"/>
      <c r="F30" s="192"/>
      <c r="G30" s="328">
        <f t="shared" si="0"/>
        <v>0.53714285714285714</v>
      </c>
      <c r="H30" s="111">
        <v>53.714285714285715</v>
      </c>
    </row>
    <row r="31" spans="2:8" x14ac:dyDescent="0.2">
      <c r="B31" s="188" t="s">
        <v>116</v>
      </c>
      <c r="C31" s="203" t="s">
        <v>288</v>
      </c>
      <c r="D31" s="206" t="s">
        <v>153</v>
      </c>
      <c r="E31" s="191"/>
      <c r="F31" s="192"/>
      <c r="G31" s="328">
        <f t="shared" si="0"/>
        <v>0.65714285714285725</v>
      </c>
      <c r="H31" s="111">
        <v>65.714285714285722</v>
      </c>
    </row>
    <row r="32" spans="2:8" x14ac:dyDescent="0.2">
      <c r="B32" s="188"/>
      <c r="C32" s="203"/>
      <c r="D32" s="206"/>
      <c r="E32" s="191"/>
      <c r="F32" s="192"/>
      <c r="H32" s="315"/>
    </row>
    <row r="33" spans="2:8" x14ac:dyDescent="0.2">
      <c r="B33" s="253" t="s">
        <v>306</v>
      </c>
      <c r="C33" s="308" t="s">
        <v>125</v>
      </c>
      <c r="D33" s="309"/>
      <c r="E33" s="310"/>
      <c r="F33" s="310"/>
      <c r="G33" s="310"/>
      <c r="H33" s="316"/>
    </row>
    <row r="34" spans="2:8" hidden="1" x14ac:dyDescent="0.2">
      <c r="B34" s="181" t="s">
        <v>83</v>
      </c>
      <c r="C34" s="223" t="s">
        <v>289</v>
      </c>
      <c r="D34" s="235" t="s">
        <v>153</v>
      </c>
      <c r="E34" s="182"/>
      <c r="F34" s="183"/>
      <c r="H34" s="112">
        <v>25.714285714285719</v>
      </c>
    </row>
    <row r="35" spans="2:8" hidden="1" x14ac:dyDescent="0.2">
      <c r="B35" s="193" t="s">
        <v>83</v>
      </c>
      <c r="C35" s="204" t="s">
        <v>289</v>
      </c>
      <c r="D35" s="236" t="s">
        <v>126</v>
      </c>
      <c r="E35" s="196"/>
      <c r="F35" s="197"/>
      <c r="H35" s="111">
        <v>32.142857142857139</v>
      </c>
    </row>
    <row r="36" spans="2:8" x14ac:dyDescent="0.2">
      <c r="B36" s="193" t="s">
        <v>118</v>
      </c>
      <c r="C36" s="204" t="s">
        <v>286</v>
      </c>
      <c r="D36" s="207" t="s">
        <v>153</v>
      </c>
      <c r="E36" s="196"/>
      <c r="F36" s="197"/>
      <c r="G36" s="328">
        <f>(H36/100)</f>
        <v>0.34285714285714286</v>
      </c>
      <c r="H36" s="111">
        <v>34.285714285714285</v>
      </c>
    </row>
    <row r="37" spans="2:8" x14ac:dyDescent="0.2">
      <c r="B37" s="179" t="s">
        <v>118</v>
      </c>
      <c r="C37" s="205" t="s">
        <v>286</v>
      </c>
      <c r="D37" s="239" t="s">
        <v>126</v>
      </c>
      <c r="E37" s="109"/>
      <c r="F37" s="180"/>
      <c r="G37" s="328">
        <f t="shared" ref="G37:G47" si="1">(H37/100)</f>
        <v>0.4285714285714286</v>
      </c>
      <c r="H37" s="111">
        <v>42.857142857142861</v>
      </c>
    </row>
    <row r="38" spans="2:8" x14ac:dyDescent="0.2">
      <c r="B38" s="193" t="s">
        <v>117</v>
      </c>
      <c r="C38" s="204" t="s">
        <v>290</v>
      </c>
      <c r="D38" s="207" t="s">
        <v>153</v>
      </c>
      <c r="E38" s="196"/>
      <c r="F38" s="197"/>
      <c r="G38" s="328">
        <f t="shared" si="1"/>
        <v>0.42285714285714282</v>
      </c>
      <c r="H38" s="111">
        <v>42.285714285714285</v>
      </c>
    </row>
    <row r="39" spans="2:8" x14ac:dyDescent="0.2">
      <c r="B39" s="193" t="s">
        <v>117</v>
      </c>
      <c r="C39" s="204" t="s">
        <v>290</v>
      </c>
      <c r="D39" s="236" t="s">
        <v>126</v>
      </c>
      <c r="E39" s="196"/>
      <c r="F39" s="197"/>
      <c r="G39" s="328">
        <f t="shared" si="1"/>
        <v>0.52857142857142858</v>
      </c>
      <c r="H39" s="111">
        <v>52.857142857142861</v>
      </c>
    </row>
    <row r="40" spans="2:8" x14ac:dyDescent="0.2">
      <c r="B40" s="193" t="s">
        <v>116</v>
      </c>
      <c r="C40" s="204" t="s">
        <v>291</v>
      </c>
      <c r="D40" s="204" t="s">
        <v>153</v>
      </c>
      <c r="E40" s="196"/>
      <c r="F40" s="197"/>
      <c r="G40" s="328">
        <f t="shared" si="1"/>
        <v>0.50285714285714289</v>
      </c>
      <c r="H40" s="111">
        <v>50.285714285714292</v>
      </c>
    </row>
    <row r="41" spans="2:8" x14ac:dyDescent="0.2">
      <c r="B41" s="193" t="s">
        <v>116</v>
      </c>
      <c r="C41" s="204" t="s">
        <v>291</v>
      </c>
      <c r="D41" s="225" t="s">
        <v>126</v>
      </c>
      <c r="E41" s="182"/>
      <c r="F41" s="197"/>
      <c r="G41" s="328">
        <f t="shared" si="1"/>
        <v>0.62857142857142856</v>
      </c>
      <c r="H41" s="111">
        <v>62.857142857142854</v>
      </c>
    </row>
    <row r="42" spans="2:8" x14ac:dyDescent="0.2">
      <c r="B42" s="193" t="s">
        <v>120</v>
      </c>
      <c r="C42" s="237" t="s">
        <v>292</v>
      </c>
      <c r="D42" s="207" t="s">
        <v>153</v>
      </c>
      <c r="E42" s="182"/>
      <c r="F42" s="197"/>
      <c r="G42" s="328">
        <f t="shared" si="1"/>
        <v>0.65714285714285725</v>
      </c>
      <c r="H42" s="111">
        <v>65.714285714285722</v>
      </c>
    </row>
    <row r="43" spans="2:8" x14ac:dyDescent="0.2">
      <c r="B43" s="181" t="s">
        <v>120</v>
      </c>
      <c r="C43" s="222" t="s">
        <v>292</v>
      </c>
      <c r="D43" s="236" t="s">
        <v>126</v>
      </c>
      <c r="E43" s="196"/>
      <c r="F43" s="197"/>
      <c r="G43" s="328">
        <f t="shared" si="1"/>
        <v>0.82142857142857162</v>
      </c>
      <c r="H43" s="111">
        <v>82.142857142857167</v>
      </c>
    </row>
    <row r="44" spans="2:8" x14ac:dyDescent="0.2">
      <c r="B44" s="193" t="s">
        <v>119</v>
      </c>
      <c r="C44" s="204" t="s">
        <v>293</v>
      </c>
      <c r="D44" s="235" t="s">
        <v>153</v>
      </c>
      <c r="E44" s="196"/>
      <c r="F44" s="197"/>
      <c r="G44" s="328">
        <f t="shared" si="1"/>
        <v>0.82857142857142851</v>
      </c>
      <c r="H44" s="111">
        <v>82.857142857142847</v>
      </c>
    </row>
    <row r="45" spans="2:8" x14ac:dyDescent="0.2">
      <c r="B45" s="179" t="s">
        <v>119</v>
      </c>
      <c r="C45" s="204" t="s">
        <v>293</v>
      </c>
      <c r="D45" s="238" t="s">
        <v>126</v>
      </c>
      <c r="E45" s="109"/>
      <c r="F45" s="180"/>
      <c r="G45" s="328">
        <f t="shared" si="1"/>
        <v>1.0357142857142858</v>
      </c>
      <c r="H45" s="111">
        <v>103.57142857142858</v>
      </c>
    </row>
    <row r="46" spans="2:8" x14ac:dyDescent="0.2">
      <c r="B46" s="193" t="s">
        <v>121</v>
      </c>
      <c r="C46" s="204"/>
      <c r="D46" s="207" t="s">
        <v>153</v>
      </c>
      <c r="E46" s="196"/>
      <c r="F46" s="197"/>
      <c r="G46" s="328">
        <f t="shared" si="1"/>
        <v>1</v>
      </c>
      <c r="H46" s="111">
        <v>100</v>
      </c>
    </row>
    <row r="47" spans="2:8" x14ac:dyDescent="0.2">
      <c r="B47" s="181" t="s">
        <v>121</v>
      </c>
      <c r="C47" s="223"/>
      <c r="D47" s="238" t="s">
        <v>126</v>
      </c>
      <c r="E47" s="182"/>
      <c r="F47" s="183"/>
      <c r="G47" s="328">
        <f t="shared" si="1"/>
        <v>1.25</v>
      </c>
      <c r="H47" s="111">
        <v>125</v>
      </c>
    </row>
    <row r="48" spans="2:8" x14ac:dyDescent="0.2">
      <c r="B48" s="317"/>
      <c r="C48" s="8"/>
      <c r="D48" s="8"/>
      <c r="E48" s="8"/>
      <c r="F48" s="318"/>
      <c r="H48" s="315"/>
    </row>
    <row r="49" spans="2:8" x14ac:dyDescent="0.2">
      <c r="B49" s="253" t="s">
        <v>307</v>
      </c>
      <c r="C49" s="308" t="s">
        <v>125</v>
      </c>
      <c r="D49" s="313"/>
      <c r="E49" s="310"/>
      <c r="F49" s="310"/>
      <c r="G49" s="310"/>
      <c r="H49" s="316"/>
    </row>
    <row r="50" spans="2:8" x14ac:dyDescent="0.2">
      <c r="B50" s="181" t="s">
        <v>122</v>
      </c>
      <c r="C50" s="223" t="s">
        <v>294</v>
      </c>
      <c r="D50" s="235" t="s">
        <v>153</v>
      </c>
      <c r="E50" s="182"/>
      <c r="F50" s="183"/>
      <c r="G50" s="328">
        <f>(H50/100)</f>
        <v>0.80000000000000016</v>
      </c>
      <c r="H50" s="112">
        <v>80.000000000000014</v>
      </c>
    </row>
    <row r="51" spans="2:8" x14ac:dyDescent="0.2">
      <c r="B51" s="193" t="s">
        <v>116</v>
      </c>
      <c r="C51" s="204" t="s">
        <v>293</v>
      </c>
      <c r="D51" s="207" t="s">
        <v>153</v>
      </c>
      <c r="E51" s="196"/>
      <c r="F51" s="197"/>
      <c r="G51" s="328">
        <f t="shared" ref="G51:G53" si="2">(H51/100)</f>
        <v>0.94285714285714295</v>
      </c>
      <c r="H51" s="111">
        <v>94.285714285714292</v>
      </c>
    </row>
    <row r="52" spans="2:8" x14ac:dyDescent="0.2">
      <c r="B52" s="181" t="s">
        <v>120</v>
      </c>
      <c r="C52" s="223" t="s">
        <v>295</v>
      </c>
      <c r="D52" s="235" t="s">
        <v>153</v>
      </c>
      <c r="E52" s="182"/>
      <c r="F52" s="183"/>
      <c r="G52" s="328">
        <f t="shared" si="2"/>
        <v>1.2571428571428573</v>
      </c>
      <c r="H52" s="111">
        <v>125.71428571428574</v>
      </c>
    </row>
    <row r="53" spans="2:8" x14ac:dyDescent="0.2">
      <c r="B53" s="188" t="s">
        <v>119</v>
      </c>
      <c r="C53" s="203" t="s">
        <v>296</v>
      </c>
      <c r="D53" s="208" t="s">
        <v>153</v>
      </c>
      <c r="E53" s="226"/>
      <c r="F53" s="227"/>
      <c r="G53" s="328">
        <f t="shared" si="2"/>
        <v>1.4857142857142858</v>
      </c>
      <c r="H53" s="111">
        <v>148.57142857142858</v>
      </c>
    </row>
    <row r="54" spans="2:8" x14ac:dyDescent="0.2">
      <c r="B54" s="229"/>
      <c r="C54" s="228"/>
      <c r="D54" s="228"/>
      <c r="E54" s="228"/>
      <c r="F54" s="231"/>
      <c r="H54" s="315"/>
    </row>
    <row r="55" spans="2:8" x14ac:dyDescent="0.2">
      <c r="B55" s="253" t="s">
        <v>308</v>
      </c>
      <c r="C55" s="308" t="s">
        <v>125</v>
      </c>
      <c r="D55" s="313"/>
      <c r="E55" s="310"/>
      <c r="F55" s="310"/>
      <c r="G55" s="310"/>
      <c r="H55" s="316"/>
    </row>
    <row r="56" spans="2:8" x14ac:dyDescent="0.2">
      <c r="B56" s="179" t="s">
        <v>303</v>
      </c>
      <c r="C56" s="205" t="s">
        <v>304</v>
      </c>
      <c r="D56" s="235" t="s">
        <v>153</v>
      </c>
      <c r="E56" s="319"/>
      <c r="F56" s="320"/>
      <c r="G56" s="328">
        <f>(H56/100)</f>
        <v>4.6753246753246751</v>
      </c>
      <c r="H56" s="112">
        <v>467.53246753246754</v>
      </c>
    </row>
    <row r="57" spans="2:8" x14ac:dyDescent="0.2">
      <c r="B57" s="229"/>
      <c r="C57" s="203"/>
      <c r="D57" s="226"/>
      <c r="E57" s="226"/>
      <c r="F57" s="227"/>
      <c r="H57" s="315"/>
    </row>
    <row r="58" spans="2:8" x14ac:dyDescent="0.2">
      <c r="B58" s="253" t="s">
        <v>309</v>
      </c>
      <c r="C58" s="308" t="s">
        <v>125</v>
      </c>
      <c r="D58" s="311"/>
      <c r="E58" s="311"/>
      <c r="F58" s="311"/>
      <c r="G58" s="311"/>
      <c r="H58" s="316"/>
    </row>
    <row r="59" spans="2:8" x14ac:dyDescent="0.2">
      <c r="B59" s="179" t="s">
        <v>117</v>
      </c>
      <c r="C59" s="205" t="s">
        <v>297</v>
      </c>
      <c r="D59" s="235" t="s">
        <v>153</v>
      </c>
      <c r="E59" s="319"/>
      <c r="F59" s="320"/>
      <c r="G59" s="328">
        <f>(H59/100)</f>
        <v>0.74363992172211335</v>
      </c>
      <c r="H59" s="112">
        <v>74.36399217221134</v>
      </c>
    </row>
    <row r="60" spans="2:8" x14ac:dyDescent="0.2">
      <c r="B60" s="188"/>
      <c r="C60" s="203"/>
      <c r="D60" s="206"/>
      <c r="E60" s="191"/>
      <c r="F60" s="192"/>
      <c r="H60" s="315"/>
    </row>
    <row r="61" spans="2:8" x14ac:dyDescent="0.2">
      <c r="B61" s="253" t="s">
        <v>310</v>
      </c>
      <c r="C61" s="308"/>
      <c r="D61" s="309"/>
      <c r="E61" s="310"/>
      <c r="F61" s="310"/>
      <c r="G61" s="310"/>
      <c r="H61" s="316"/>
    </row>
    <row r="62" spans="2:8" x14ac:dyDescent="0.2">
      <c r="B62" s="181" t="s">
        <v>118</v>
      </c>
      <c r="C62" s="223"/>
      <c r="D62" s="235" t="s">
        <v>153</v>
      </c>
      <c r="E62" s="182"/>
      <c r="F62" s="182"/>
      <c r="G62" s="328">
        <f>(H62/100)</f>
        <v>0.29142857142857143</v>
      </c>
      <c r="H62" s="333">
        <v>29.142857142857142</v>
      </c>
    </row>
    <row r="63" spans="2:8" x14ac:dyDescent="0.2">
      <c r="B63" s="193" t="s">
        <v>117</v>
      </c>
      <c r="C63" s="204"/>
      <c r="D63" s="207" t="s">
        <v>153</v>
      </c>
      <c r="E63" s="196"/>
      <c r="F63" s="196"/>
      <c r="G63" s="328">
        <f t="shared" ref="G63:G86" si="3">(H63/100)</f>
        <v>0.34285714285714286</v>
      </c>
      <c r="H63" s="334">
        <v>34.285714285714285</v>
      </c>
    </row>
    <row r="64" spans="2:8" x14ac:dyDescent="0.2">
      <c r="B64" s="193" t="s">
        <v>116</v>
      </c>
      <c r="C64" s="204"/>
      <c r="D64" s="204" t="s">
        <v>153</v>
      </c>
      <c r="E64" s="196"/>
      <c r="F64" s="196"/>
      <c r="G64" s="328">
        <f t="shared" si="3"/>
        <v>0.37142857142857144</v>
      </c>
      <c r="H64" s="334">
        <v>37.142857142857146</v>
      </c>
    </row>
    <row r="65" spans="2:8" x14ac:dyDescent="0.2">
      <c r="B65" s="230"/>
      <c r="C65" s="203"/>
      <c r="D65" s="226"/>
      <c r="E65" s="226"/>
      <c r="F65" s="226"/>
      <c r="G65" s="328"/>
      <c r="H65" s="335"/>
    </row>
    <row r="66" spans="2:8" x14ac:dyDescent="0.2">
      <c r="B66" s="253" t="s">
        <v>311</v>
      </c>
      <c r="C66" s="308"/>
      <c r="D66" s="309"/>
      <c r="E66" s="310"/>
      <c r="F66" s="310"/>
      <c r="G66" s="310"/>
      <c r="H66" s="316"/>
    </row>
    <row r="67" spans="2:8" x14ac:dyDescent="0.2">
      <c r="B67" s="181" t="s">
        <v>118</v>
      </c>
      <c r="C67" s="223"/>
      <c r="D67" s="235" t="s">
        <v>153</v>
      </c>
      <c r="E67" s="182"/>
      <c r="F67" s="182"/>
      <c r="G67" s="328">
        <f t="shared" si="3"/>
        <v>0.37714285714285717</v>
      </c>
      <c r="H67" s="333">
        <v>37.714285714285715</v>
      </c>
    </row>
    <row r="68" spans="2:8" x14ac:dyDescent="0.2">
      <c r="B68" s="193" t="s">
        <v>117</v>
      </c>
      <c r="C68" s="204"/>
      <c r="D68" s="207" t="s">
        <v>153</v>
      </c>
      <c r="E68" s="196"/>
      <c r="F68" s="196"/>
      <c r="G68" s="328">
        <f t="shared" si="3"/>
        <v>0.41038961038961036</v>
      </c>
      <c r="H68" s="334">
        <v>41.038961038961034</v>
      </c>
    </row>
    <row r="69" spans="2:8" x14ac:dyDescent="0.2">
      <c r="B69" s="193" t="s">
        <v>116</v>
      </c>
      <c r="C69" s="204"/>
      <c r="D69" s="204" t="s">
        <v>153</v>
      </c>
      <c r="E69" s="196"/>
      <c r="F69" s="196"/>
      <c r="G69" s="328">
        <f t="shared" si="3"/>
        <v>0.47428571428571437</v>
      </c>
      <c r="H69" s="334">
        <v>47.428571428571438</v>
      </c>
    </row>
    <row r="70" spans="2:8" x14ac:dyDescent="0.2">
      <c r="B70" s="230"/>
      <c r="C70" s="203"/>
      <c r="D70" s="226"/>
      <c r="E70" s="226"/>
      <c r="F70" s="226"/>
      <c r="G70" s="328"/>
      <c r="H70" s="335"/>
    </row>
    <row r="71" spans="2:8" x14ac:dyDescent="0.2">
      <c r="B71" s="253" t="s">
        <v>123</v>
      </c>
      <c r="C71" s="308" t="s">
        <v>125</v>
      </c>
      <c r="D71" s="311"/>
      <c r="E71" s="311"/>
      <c r="F71" s="311"/>
      <c r="G71" s="310"/>
      <c r="H71" s="316"/>
    </row>
    <row r="72" spans="2:8" x14ac:dyDescent="0.2">
      <c r="B72" s="179" t="s">
        <v>117</v>
      </c>
      <c r="C72" s="205" t="s">
        <v>284</v>
      </c>
      <c r="D72" s="235" t="s">
        <v>155</v>
      </c>
      <c r="E72" s="319"/>
      <c r="F72" s="319"/>
      <c r="G72" s="328">
        <f t="shared" si="3"/>
        <v>11.428571428571429</v>
      </c>
      <c r="H72" s="333">
        <v>1142.8571428571429</v>
      </c>
    </row>
    <row r="73" spans="2:8" x14ac:dyDescent="0.2">
      <c r="B73" s="188" t="s">
        <v>124</v>
      </c>
      <c r="C73" s="203" t="s">
        <v>283</v>
      </c>
      <c r="D73" s="235" t="s">
        <v>155</v>
      </c>
      <c r="E73" s="226"/>
      <c r="F73" s="226"/>
      <c r="G73" s="328">
        <f t="shared" si="3"/>
        <v>13.333333333333336</v>
      </c>
      <c r="H73" s="334">
        <v>1333.3333333333335</v>
      </c>
    </row>
    <row r="74" spans="2:8" x14ac:dyDescent="0.2">
      <c r="B74" s="229"/>
      <c r="C74" s="203"/>
      <c r="D74" s="228"/>
      <c r="E74" s="228"/>
      <c r="F74" s="228"/>
      <c r="G74" s="328"/>
      <c r="H74" s="335"/>
    </row>
    <row r="75" spans="2:8" x14ac:dyDescent="0.2">
      <c r="B75" s="253" t="s">
        <v>272</v>
      </c>
      <c r="C75" s="308" t="s">
        <v>125</v>
      </c>
      <c r="D75" s="312"/>
      <c r="E75" s="312"/>
      <c r="F75" s="312"/>
      <c r="G75" s="310"/>
      <c r="H75" s="316"/>
    </row>
    <row r="76" spans="2:8" x14ac:dyDescent="0.2">
      <c r="B76" s="181" t="s">
        <v>82</v>
      </c>
      <c r="C76" s="223"/>
      <c r="D76" s="235" t="s">
        <v>154</v>
      </c>
      <c r="E76" s="321"/>
      <c r="F76" s="321"/>
      <c r="G76" s="328">
        <f t="shared" si="3"/>
        <v>1.4285714285714286</v>
      </c>
      <c r="H76" s="333">
        <v>142.85714285714286</v>
      </c>
    </row>
    <row r="77" spans="2:8" x14ac:dyDescent="0.2">
      <c r="B77" s="188" t="s">
        <v>83</v>
      </c>
      <c r="C77" s="203" t="s">
        <v>267</v>
      </c>
      <c r="D77" s="235" t="s">
        <v>154</v>
      </c>
      <c r="E77" s="233"/>
      <c r="F77" s="233"/>
      <c r="G77" s="328">
        <f t="shared" si="3"/>
        <v>2.4761904761904763</v>
      </c>
      <c r="H77" s="334">
        <v>247.61904761904762</v>
      </c>
    </row>
    <row r="78" spans="2:8" x14ac:dyDescent="0.2">
      <c r="B78" s="188" t="s">
        <v>118</v>
      </c>
      <c r="C78" s="203" t="s">
        <v>298</v>
      </c>
      <c r="D78" s="235" t="s">
        <v>154</v>
      </c>
      <c r="E78" s="233"/>
      <c r="F78" s="233"/>
      <c r="G78" s="328">
        <f t="shared" si="3"/>
        <v>3.9047619047619047</v>
      </c>
      <c r="H78" s="334">
        <v>390.47619047619048</v>
      </c>
    </row>
    <row r="79" spans="2:8" x14ac:dyDescent="0.2">
      <c r="B79" s="188" t="s">
        <v>117</v>
      </c>
      <c r="C79" s="203" t="s">
        <v>299</v>
      </c>
      <c r="D79" s="235" t="s">
        <v>154</v>
      </c>
      <c r="E79" s="228"/>
      <c r="F79" s="228"/>
      <c r="G79" s="328">
        <f t="shared" si="3"/>
        <v>4.4761904761904763</v>
      </c>
      <c r="H79" s="334">
        <v>447.61904761904765</v>
      </c>
    </row>
    <row r="80" spans="2:8" x14ac:dyDescent="0.2">
      <c r="B80" s="188" t="s">
        <v>116</v>
      </c>
      <c r="C80" s="203" t="s">
        <v>300</v>
      </c>
      <c r="D80" s="235" t="s">
        <v>154</v>
      </c>
      <c r="E80" s="228"/>
      <c r="F80" s="228"/>
      <c r="G80" s="328">
        <f t="shared" si="3"/>
        <v>5.7142857142857144</v>
      </c>
      <c r="H80" s="334">
        <v>571.42857142857144</v>
      </c>
    </row>
    <row r="81" spans="2:8" x14ac:dyDescent="0.2">
      <c r="B81" s="193" t="s">
        <v>120</v>
      </c>
      <c r="C81" s="291" t="s">
        <v>283</v>
      </c>
      <c r="D81" s="235" t="s">
        <v>154</v>
      </c>
      <c r="E81" s="232"/>
      <c r="F81" s="232"/>
      <c r="G81" s="328">
        <f t="shared" si="3"/>
        <v>6.2857142857142865</v>
      </c>
      <c r="H81" s="334">
        <v>628.57142857142867</v>
      </c>
    </row>
    <row r="82" spans="2:8" x14ac:dyDescent="0.2">
      <c r="B82" s="188"/>
      <c r="C82" s="322"/>
      <c r="D82" s="208"/>
      <c r="E82" s="228"/>
      <c r="F82" s="228"/>
      <c r="G82" s="328"/>
      <c r="H82" s="335"/>
    </row>
    <row r="83" spans="2:8" x14ac:dyDescent="0.2">
      <c r="B83" s="253" t="s">
        <v>268</v>
      </c>
      <c r="C83" s="308" t="s">
        <v>125</v>
      </c>
      <c r="D83" s="309"/>
      <c r="E83" s="312"/>
      <c r="F83" s="312"/>
      <c r="G83" s="310"/>
      <c r="H83" s="316"/>
    </row>
    <row r="84" spans="2:8" x14ac:dyDescent="0.2">
      <c r="B84" s="181" t="s">
        <v>117</v>
      </c>
      <c r="C84" s="323" t="s">
        <v>269</v>
      </c>
      <c r="D84" s="235" t="s">
        <v>154</v>
      </c>
      <c r="E84" s="201"/>
      <c r="F84" s="201"/>
      <c r="G84" s="328">
        <f t="shared" si="3"/>
        <v>5.4761904761904763</v>
      </c>
      <c r="H84" s="333">
        <v>547.61904761904759</v>
      </c>
    </row>
    <row r="85" spans="2:8" x14ac:dyDescent="0.2">
      <c r="B85" s="193" t="s">
        <v>116</v>
      </c>
      <c r="C85" s="291" t="s">
        <v>301</v>
      </c>
      <c r="D85" s="207" t="s">
        <v>154</v>
      </c>
      <c r="E85" s="232"/>
      <c r="F85" s="232"/>
      <c r="G85" s="328">
        <f t="shared" si="3"/>
        <v>8.3333333333333339</v>
      </c>
      <c r="H85" s="334">
        <v>833.33333333333337</v>
      </c>
    </row>
    <row r="86" spans="2:8" x14ac:dyDescent="0.2">
      <c r="B86" s="193" t="s">
        <v>120</v>
      </c>
      <c r="C86" s="291" t="s">
        <v>302</v>
      </c>
      <c r="D86" s="207" t="s">
        <v>154</v>
      </c>
      <c r="E86" s="232"/>
      <c r="F86" s="232"/>
      <c r="G86" s="328">
        <f t="shared" si="3"/>
        <v>14.047619047619047</v>
      </c>
      <c r="H86" s="334">
        <v>1404.7619047619048</v>
      </c>
    </row>
  </sheetData>
  <mergeCells count="1">
    <mergeCell ref="G24:H24"/>
  </mergeCells>
  <pageMargins left="0.70866141732283472" right="0.70866141732283472" top="0.74803149606299213" bottom="0.74803149606299213" header="0.31496062992125984" footer="0.31496062992125984"/>
  <pageSetup paperSize="9" fitToHeight="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14</vt:i4>
      </vt:variant>
      <vt:variant>
        <vt:lpstr>Intervalos com nome</vt:lpstr>
      </vt:variant>
      <vt:variant>
        <vt:i4>26</vt:i4>
      </vt:variant>
    </vt:vector>
  </HeadingPairs>
  <TitlesOfParts>
    <vt:vector size="40" baseType="lpstr">
      <vt:lpstr>Pro Race</vt:lpstr>
      <vt:lpstr>Skincovers</vt:lpstr>
      <vt:lpstr>Regatta</vt:lpstr>
      <vt:lpstr>Classic</vt:lpstr>
      <vt:lpstr>Cruising</vt:lpstr>
      <vt:lpstr>Olympic Line</vt:lpstr>
      <vt:lpstr>Sailmaker</vt:lpstr>
      <vt:lpstr>Kite &amp; Wind</vt:lpstr>
      <vt:lpstr>Mooring</vt:lpstr>
      <vt:lpstr>Mini-Boxes</vt:lpstr>
      <vt:lpstr>Acessories</vt:lpstr>
      <vt:lpstr>Ready Made</vt:lpstr>
      <vt:lpstr>Webbings</vt:lpstr>
      <vt:lpstr>Folha1</vt:lpstr>
      <vt:lpstr>Acessories!Área_de_Impressão</vt:lpstr>
      <vt:lpstr>Classic!Área_de_Impressão</vt:lpstr>
      <vt:lpstr>Cruising!Área_de_Impressão</vt:lpstr>
      <vt:lpstr>'Kite &amp; Wind'!Área_de_Impressão</vt:lpstr>
      <vt:lpstr>'Mini-Boxes'!Área_de_Impressão</vt:lpstr>
      <vt:lpstr>Mooring!Área_de_Impressão</vt:lpstr>
      <vt:lpstr>'Olympic Line'!Área_de_Impressão</vt:lpstr>
      <vt:lpstr>'Pro Race'!Área_de_Impressão</vt:lpstr>
      <vt:lpstr>'Ready Made'!Área_de_Impressão</vt:lpstr>
      <vt:lpstr>Regatta!Área_de_Impressão</vt:lpstr>
      <vt:lpstr>Sailmaker!Área_de_Impressão</vt:lpstr>
      <vt:lpstr>Skincovers!Área_de_Impressão</vt:lpstr>
      <vt:lpstr>Webbings!Área_de_Impressão</vt:lpstr>
      <vt:lpstr>Acessories!Títulos_de_Impressão</vt:lpstr>
      <vt:lpstr>Classic!Títulos_de_Impressão</vt:lpstr>
      <vt:lpstr>Cruising!Títulos_de_Impressão</vt:lpstr>
      <vt:lpstr>'Kite &amp; Wind'!Títulos_de_Impressão</vt:lpstr>
      <vt:lpstr>'Mini-Boxes'!Títulos_de_Impressão</vt:lpstr>
      <vt:lpstr>Mooring!Títulos_de_Impressão</vt:lpstr>
      <vt:lpstr>'Olympic Line'!Títulos_de_Impressão</vt:lpstr>
      <vt:lpstr>'Pro Race'!Títulos_de_Impressão</vt:lpstr>
      <vt:lpstr>'Ready Made'!Títulos_de_Impressão</vt:lpstr>
      <vt:lpstr>Regatta!Títulos_de_Impressão</vt:lpstr>
      <vt:lpstr>Sailmaker!Títulos_de_Impressão</vt:lpstr>
      <vt:lpstr>Skincovers!Títulos_de_Impressão</vt:lpstr>
      <vt:lpstr>Webbings!Títulos_de_Impressão</vt:lpstr>
    </vt:vector>
  </TitlesOfParts>
  <Company>Alpha Ropes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Pricelist 2008</dc:title>
  <dc:creator>Diogo Cayolla</dc:creator>
  <cp:lastModifiedBy>António Lima</cp:lastModifiedBy>
  <cp:lastPrinted>2016-12-30T15:26:46Z</cp:lastPrinted>
  <dcterms:created xsi:type="dcterms:W3CDTF">2005-12-14T11:33:19Z</dcterms:created>
  <dcterms:modified xsi:type="dcterms:W3CDTF">2017-01-09T14:31:07Z</dcterms:modified>
</cp:coreProperties>
</file>