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eDrive\MORFBLOCK\SUPPLIERS\"/>
    </mc:Choice>
  </mc:AlternateContent>
  <xr:revisionPtr revIDLastSave="0" documentId="13_ncr:1_{6B023E1F-5F29-443F-94A9-C74F2CD39469}" xr6:coauthVersionLast="45" xr6:coauthVersionMax="45" xr10:uidLastSave="{00000000-0000-0000-0000-000000000000}"/>
  <bookViews>
    <workbookView xWindow="-109" yWindow="-109" windowWidth="26301" windowHeight="14305" xr2:uid="{FE978780-CA8A-421C-875E-14E2DEE4DF7C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9" i="1" l="1"/>
  <c r="M18" i="1"/>
  <c r="O19" i="1"/>
  <c r="O18" i="1"/>
  <c r="O16" i="1"/>
  <c r="O17" i="1"/>
  <c r="N9" i="1"/>
  <c r="N10" i="1"/>
  <c r="N11" i="1"/>
  <c r="N12" i="1"/>
  <c r="N13" i="1"/>
  <c r="N14" i="1"/>
  <c r="N15" i="1"/>
  <c r="N17" i="1"/>
  <c r="N16" i="1"/>
  <c r="M31" i="1"/>
  <c r="M28" i="1"/>
  <c r="V29" i="1"/>
  <c r="V30" i="1"/>
  <c r="T30" i="1"/>
  <c r="U31" i="1"/>
  <c r="U28" i="1"/>
  <c r="U29" i="1"/>
  <c r="U30" i="1"/>
  <c r="U27" i="1"/>
  <c r="V27" i="1"/>
  <c r="S28" i="1"/>
  <c r="S29" i="1"/>
  <c r="T29" i="1"/>
  <c r="S30" i="1"/>
  <c r="S31" i="1"/>
  <c r="S27" i="1"/>
  <c r="T27" i="1"/>
  <c r="Q28" i="1"/>
  <c r="Q29" i="1"/>
  <c r="Q30" i="1"/>
  <c r="Q31" i="1"/>
  <c r="Q27" i="1"/>
  <c r="L28" i="1"/>
  <c r="L29" i="1"/>
  <c r="L30" i="1"/>
  <c r="L31" i="1"/>
  <c r="L27" i="1"/>
  <c r="M9" i="1"/>
  <c r="M10" i="1"/>
  <c r="M11" i="1"/>
  <c r="M12" i="1"/>
  <c r="M13" i="1"/>
  <c r="M14" i="1"/>
  <c r="M15" i="1"/>
  <c r="M16" i="1"/>
  <c r="T31" i="1"/>
  <c r="V31" i="1"/>
  <c r="V28" i="1"/>
  <c r="T28" i="1"/>
</calcChain>
</file>

<file path=xl/sharedStrings.xml><?xml version="1.0" encoding="utf-8"?>
<sst xmlns="http://schemas.openxmlformats.org/spreadsheetml/2006/main" count="38" uniqueCount="36">
  <si>
    <t>Equiplite</t>
  </si>
  <si>
    <t>12-47-5 CB</t>
  </si>
  <si>
    <t>Quick Style</t>
  </si>
  <si>
    <t>diameter</t>
  </si>
  <si>
    <t>L</t>
  </si>
  <si>
    <t>T</t>
  </si>
  <si>
    <t>W</t>
  </si>
  <si>
    <t>max line</t>
  </si>
  <si>
    <t>Weight</t>
  </si>
  <si>
    <t>MWL</t>
  </si>
  <si>
    <t>14-48-6 CB</t>
  </si>
  <si>
    <t>18-65-7 CB</t>
  </si>
  <si>
    <t>20-70-8 CB</t>
  </si>
  <si>
    <t>24-80-10 CB</t>
  </si>
  <si>
    <t>26-100-10 CB</t>
  </si>
  <si>
    <t>28-120-12 CB</t>
  </si>
  <si>
    <t>32-135-14 CB</t>
  </si>
  <si>
    <t>36-155-18 CB</t>
  </si>
  <si>
    <t>40-180-22 CB</t>
  </si>
  <si>
    <t>44-210-26 CB</t>
  </si>
  <si>
    <t>50-240-30 CB</t>
  </si>
  <si>
    <t>Retail</t>
  </si>
  <si>
    <t>inc Vat</t>
  </si>
  <si>
    <t>10-34-4-CB</t>
  </si>
  <si>
    <t>12-42-5 CB</t>
  </si>
  <si>
    <t>no Vat</t>
  </si>
  <si>
    <t>MB-XL-7</t>
  </si>
  <si>
    <t>MB-XL-8</t>
  </si>
  <si>
    <t>MB-XL-9</t>
  </si>
  <si>
    <t>MB-XL-10</t>
  </si>
  <si>
    <t>no VAT</t>
  </si>
  <si>
    <t>MB-XL-11</t>
  </si>
  <si>
    <t>MB price</t>
  </si>
  <si>
    <t>Discount</t>
  </si>
  <si>
    <t>production max</t>
  </si>
  <si>
    <t>diff eqip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</si>
</sst>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2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1593-8958-4D4D-82C1-AB8AA7B4D141}">
  <dimension ref="C5:V33"/>
  <sheetViews>
    <sheetView tabSelected="1" topLeftCell="A4" workbookViewId="0">
      <selection activeCell="M18" sqref="M18:M19"/>
    </sheetView>
  </sheetViews>
  <sheetFormatPr baseColWidth="10" defaultRowHeight="14.3" x14ac:dyDescent="0.25"/>
  <cols>
    <col min="3" max="3" width="13.75" customWidth="1"/>
    <col min="13" max="13" width="10.25" customWidth="1"/>
    <col min="15" max="15" width="14.25" customWidth="1"/>
    <col min="16" max="16" width="7.125" customWidth="1"/>
  </cols>
  <sheetData>
    <row r="5" spans="3:15" x14ac:dyDescent="0.25">
      <c r="C5" t="s">
        <v>0</v>
      </c>
    </row>
    <row r="7" spans="3:15" x14ac:dyDescent="0.25">
      <c r="C7" t="s">
        <v>2</v>
      </c>
      <c r="L7" t="s">
        <v>21</v>
      </c>
    </row>
    <row r="8" spans="3:15" x14ac:dyDescent="0.25">
      <c r="D8" t="s">
        <v>3</v>
      </c>
      <c r="E8" t="s">
        <v>6</v>
      </c>
      <c r="F8" t="s">
        <v>4</v>
      </c>
      <c r="G8" t="s">
        <v>5</v>
      </c>
      <c r="H8" t="s">
        <v>7</v>
      </c>
      <c r="I8" t="s">
        <v>8</v>
      </c>
      <c r="J8" t="s">
        <v>9</v>
      </c>
      <c r="L8" t="s">
        <v>22</v>
      </c>
      <c r="M8" t="s">
        <v>25</v>
      </c>
      <c r="N8" s="1"/>
    </row>
    <row r="9" spans="3:15" x14ac:dyDescent="0.25">
      <c r="C9" t="s">
        <v>23</v>
      </c>
      <c r="D9">
        <v>34</v>
      </c>
      <c r="G9">
        <v>17</v>
      </c>
      <c r="H9">
        <v>10</v>
      </c>
      <c r="I9">
        <v>55</v>
      </c>
      <c r="J9">
        <v>2000</v>
      </c>
      <c r="L9">
        <v>308.55</v>
      </c>
      <c r="M9">
        <f t="shared" ref="M9:M15" si="0">+L9/1.21</f>
        <v>255.00000000000003</v>
      </c>
      <c r="N9">
        <f t="shared" ref="N9:N15" si="1">M9/J9</f>
        <v>0.1275</v>
      </c>
    </row>
    <row r="10" spans="3:15" x14ac:dyDescent="0.25">
      <c r="C10" t="s">
        <v>24</v>
      </c>
      <c r="D10">
        <v>42</v>
      </c>
      <c r="G10">
        <v>20</v>
      </c>
      <c r="H10">
        <v>12</v>
      </c>
      <c r="I10">
        <v>85</v>
      </c>
      <c r="J10">
        <v>3000</v>
      </c>
      <c r="L10">
        <v>365.95</v>
      </c>
      <c r="M10" s="2">
        <f t="shared" si="0"/>
        <v>302.43801652892563</v>
      </c>
      <c r="N10">
        <f t="shared" si="1"/>
        <v>0.10081267217630854</v>
      </c>
    </row>
    <row r="11" spans="3:15" x14ac:dyDescent="0.25">
      <c r="C11" t="s">
        <v>1</v>
      </c>
      <c r="D11">
        <v>47</v>
      </c>
      <c r="E11">
        <v>40</v>
      </c>
      <c r="F11">
        <v>70</v>
      </c>
      <c r="G11">
        <v>22</v>
      </c>
      <c r="H11">
        <v>12</v>
      </c>
      <c r="I11">
        <v>90</v>
      </c>
      <c r="J11">
        <v>3000</v>
      </c>
      <c r="L11">
        <v>417.45</v>
      </c>
      <c r="M11">
        <f t="shared" si="0"/>
        <v>345</v>
      </c>
      <c r="N11">
        <f t="shared" si="1"/>
        <v>0.115</v>
      </c>
    </row>
    <row r="12" spans="3:15" x14ac:dyDescent="0.25">
      <c r="C12" t="s">
        <v>10</v>
      </c>
      <c r="D12">
        <v>48</v>
      </c>
      <c r="E12">
        <v>40</v>
      </c>
      <c r="F12">
        <v>82</v>
      </c>
      <c r="G12">
        <v>27</v>
      </c>
      <c r="H12">
        <v>14</v>
      </c>
      <c r="I12">
        <v>160</v>
      </c>
      <c r="J12">
        <v>4000</v>
      </c>
      <c r="L12">
        <v>562.65</v>
      </c>
      <c r="M12">
        <f t="shared" si="0"/>
        <v>465</v>
      </c>
      <c r="N12">
        <f t="shared" si="1"/>
        <v>0.11625000000000001</v>
      </c>
    </row>
    <row r="13" spans="3:15" x14ac:dyDescent="0.25">
      <c r="C13" t="s">
        <v>11</v>
      </c>
      <c r="D13">
        <v>65</v>
      </c>
      <c r="E13">
        <v>52</v>
      </c>
      <c r="F13">
        <v>105</v>
      </c>
      <c r="G13">
        <v>30</v>
      </c>
      <c r="H13">
        <v>18</v>
      </c>
      <c r="I13">
        <v>380</v>
      </c>
      <c r="J13">
        <v>6000</v>
      </c>
      <c r="L13">
        <v>719.95</v>
      </c>
      <c r="M13">
        <f t="shared" si="0"/>
        <v>595</v>
      </c>
      <c r="N13">
        <f t="shared" si="1"/>
        <v>9.9166666666666667E-2</v>
      </c>
    </row>
    <row r="14" spans="3:15" x14ac:dyDescent="0.25">
      <c r="C14" t="s">
        <v>12</v>
      </c>
      <c r="D14">
        <v>70</v>
      </c>
      <c r="E14">
        <v>57</v>
      </c>
      <c r="F14">
        <v>115</v>
      </c>
      <c r="G14">
        <v>35</v>
      </c>
      <c r="H14">
        <v>20</v>
      </c>
      <c r="I14">
        <v>460</v>
      </c>
      <c r="J14">
        <v>8000</v>
      </c>
      <c r="L14">
        <v>961.95</v>
      </c>
      <c r="M14">
        <f t="shared" si="0"/>
        <v>795.00000000000011</v>
      </c>
      <c r="N14">
        <f t="shared" si="1"/>
        <v>9.9375000000000019E-2</v>
      </c>
    </row>
    <row r="15" spans="3:15" x14ac:dyDescent="0.25">
      <c r="C15" t="s">
        <v>13</v>
      </c>
      <c r="D15">
        <v>80</v>
      </c>
      <c r="E15">
        <v>65</v>
      </c>
      <c r="F15">
        <v>140</v>
      </c>
      <c r="G15">
        <v>45</v>
      </c>
      <c r="H15">
        <v>24</v>
      </c>
      <c r="I15">
        <v>610</v>
      </c>
      <c r="J15">
        <v>9500</v>
      </c>
      <c r="L15">
        <v>1445.95</v>
      </c>
      <c r="M15">
        <f t="shared" si="0"/>
        <v>1195</v>
      </c>
      <c r="N15">
        <f t="shared" si="1"/>
        <v>0.12578947368421053</v>
      </c>
    </row>
    <row r="16" spans="3:15" x14ac:dyDescent="0.25">
      <c r="C16" t="s">
        <v>14</v>
      </c>
      <c r="D16">
        <v>100</v>
      </c>
      <c r="E16">
        <v>74</v>
      </c>
      <c r="F16">
        <v>150</v>
      </c>
      <c r="G16">
        <v>50</v>
      </c>
      <c r="H16">
        <v>26</v>
      </c>
      <c r="I16">
        <v>970</v>
      </c>
      <c r="J16">
        <v>11000</v>
      </c>
      <c r="L16">
        <v>1808.95</v>
      </c>
      <c r="M16">
        <f>+L16/1.21</f>
        <v>1495</v>
      </c>
      <c r="N16">
        <f>M16/J16</f>
        <v>0.1359090909090909</v>
      </c>
      <c r="O16">
        <f>N15*1.1</f>
        <v>0.13836842105263161</v>
      </c>
    </row>
    <row r="17" spans="3:22" x14ac:dyDescent="0.25">
      <c r="C17" t="s">
        <v>15</v>
      </c>
      <c r="D17">
        <v>120</v>
      </c>
      <c r="E17">
        <v>82</v>
      </c>
      <c r="F17">
        <v>181</v>
      </c>
      <c r="G17">
        <v>60</v>
      </c>
      <c r="H17">
        <v>28</v>
      </c>
      <c r="I17">
        <v>1695</v>
      </c>
      <c r="J17">
        <v>15000</v>
      </c>
      <c r="L17">
        <v>2740.65</v>
      </c>
      <c r="M17">
        <v>2265</v>
      </c>
      <c r="N17">
        <f>M17/J17</f>
        <v>0.151</v>
      </c>
      <c r="O17">
        <f>N16*1.12</f>
        <v>0.15221818181818181</v>
      </c>
    </row>
    <row r="18" spans="3:22" x14ac:dyDescent="0.25">
      <c r="C18" t="s">
        <v>16</v>
      </c>
      <c r="D18">
        <v>135</v>
      </c>
      <c r="E18">
        <v>93</v>
      </c>
      <c r="F18">
        <v>196</v>
      </c>
      <c r="G18">
        <v>75</v>
      </c>
      <c r="H18">
        <v>32</v>
      </c>
      <c r="I18">
        <v>1950</v>
      </c>
      <c r="J18">
        <v>20000</v>
      </c>
      <c r="M18" s="4">
        <f>J18*O18*1.1</f>
        <v>3322.0000000000005</v>
      </c>
      <c r="O18">
        <f>N17</f>
        <v>0.151</v>
      </c>
    </row>
    <row r="19" spans="3:22" x14ac:dyDescent="0.25">
      <c r="C19" t="s">
        <v>17</v>
      </c>
      <c r="D19">
        <v>155</v>
      </c>
      <c r="E19">
        <v>110</v>
      </c>
      <c r="F19">
        <v>216</v>
      </c>
      <c r="G19">
        <v>80</v>
      </c>
      <c r="H19">
        <v>36</v>
      </c>
      <c r="I19">
        <v>2550</v>
      </c>
      <c r="J19">
        <v>30000</v>
      </c>
      <c r="M19" s="4">
        <f>J19*O19*1.1</f>
        <v>4983</v>
      </c>
      <c r="O19">
        <f>N17</f>
        <v>0.151</v>
      </c>
    </row>
    <row r="20" spans="3:22" x14ac:dyDescent="0.25">
      <c r="C20" t="s">
        <v>18</v>
      </c>
      <c r="D20">
        <v>180</v>
      </c>
      <c r="E20">
        <v>135</v>
      </c>
      <c r="F20">
        <v>239</v>
      </c>
      <c r="G20">
        <v>83</v>
      </c>
      <c r="H20">
        <v>40</v>
      </c>
      <c r="I20">
        <v>3000</v>
      </c>
      <c r="J20">
        <v>40000</v>
      </c>
    </row>
    <row r="21" spans="3:22" x14ac:dyDescent="0.25">
      <c r="C21" t="s">
        <v>19</v>
      </c>
      <c r="D21">
        <v>210</v>
      </c>
      <c r="E21">
        <v>151</v>
      </c>
      <c r="F21">
        <v>264</v>
      </c>
      <c r="G21">
        <v>85</v>
      </c>
      <c r="H21">
        <v>44</v>
      </c>
      <c r="I21">
        <v>3500</v>
      </c>
      <c r="J21">
        <v>55000</v>
      </c>
    </row>
    <row r="22" spans="3:22" x14ac:dyDescent="0.25">
      <c r="C22" t="s">
        <v>20</v>
      </c>
      <c r="D22">
        <v>240</v>
      </c>
      <c r="E22">
        <v>196</v>
      </c>
      <c r="F22">
        <v>292</v>
      </c>
      <c r="G22">
        <v>88</v>
      </c>
      <c r="H22">
        <v>50</v>
      </c>
      <c r="I22">
        <v>4000</v>
      </c>
      <c r="J22">
        <v>75000</v>
      </c>
    </row>
    <row r="25" spans="3:22" x14ac:dyDescent="0.25">
      <c r="L25" t="s">
        <v>21</v>
      </c>
      <c r="Q25" t="s">
        <v>34</v>
      </c>
      <c r="S25" t="s">
        <v>33</v>
      </c>
    </row>
    <row r="26" spans="3:22" x14ac:dyDescent="0.25">
      <c r="C26" t="s">
        <v>32</v>
      </c>
      <c r="K26" t="s">
        <v>35</v>
      </c>
      <c r="L26" t="s">
        <v>22</v>
      </c>
      <c r="M26" t="s">
        <v>30</v>
      </c>
      <c r="S26" s="1">
        <v>0.4</v>
      </c>
      <c r="U26" s="1">
        <v>0.45</v>
      </c>
    </row>
    <row r="27" spans="3:22" x14ac:dyDescent="0.25">
      <c r="C27" t="s">
        <v>26</v>
      </c>
      <c r="J27">
        <v>5000</v>
      </c>
      <c r="L27">
        <f>+M27*1.21</f>
        <v>665.5</v>
      </c>
      <c r="M27">
        <v>550</v>
      </c>
      <c r="Q27">
        <f>+M27/3</f>
        <v>183.33333333333334</v>
      </c>
      <c r="S27">
        <f>+M27*(1-$S$26)</f>
        <v>330</v>
      </c>
      <c r="T27" s="3">
        <f>+S27/Q27</f>
        <v>1.7999999999999998</v>
      </c>
      <c r="U27">
        <f>+M27*(1-$U$26)</f>
        <v>302.5</v>
      </c>
      <c r="V27" s="3">
        <f>+U27/Q27</f>
        <v>1.65</v>
      </c>
    </row>
    <row r="28" spans="3:22" x14ac:dyDescent="0.25">
      <c r="C28" t="s">
        <v>27</v>
      </c>
      <c r="J28">
        <v>8000</v>
      </c>
      <c r="K28" s="1">
        <v>0.02</v>
      </c>
      <c r="L28">
        <f t="shared" ref="L28:L31" si="2">+M28*1.21</f>
        <v>942.71100000000013</v>
      </c>
      <c r="M28">
        <f>+M14*(1-K28)</f>
        <v>779.10000000000014</v>
      </c>
      <c r="Q28">
        <f>+M28/3</f>
        <v>259.70000000000005</v>
      </c>
      <c r="S28">
        <f>+M28*(1-$S$26)</f>
        <v>467.46000000000004</v>
      </c>
      <c r="T28" s="3">
        <f t="shared" ref="T28:T31" si="3">+S28/Q28</f>
        <v>1.7999999999999998</v>
      </c>
      <c r="U28">
        <f>+M28*(1-$U$26)</f>
        <v>428.50500000000011</v>
      </c>
      <c r="V28" s="3">
        <f t="shared" ref="V28:V31" si="4">+U28/Q28</f>
        <v>1.6500000000000001</v>
      </c>
    </row>
    <row r="29" spans="3:22" x14ac:dyDescent="0.25">
      <c r="C29" t="s">
        <v>28</v>
      </c>
      <c r="J29">
        <v>10000</v>
      </c>
      <c r="K29" s="1"/>
      <c r="L29">
        <f t="shared" si="2"/>
        <v>1645.6</v>
      </c>
      <c r="M29">
        <v>1360</v>
      </c>
      <c r="Q29">
        <f>+M29/3</f>
        <v>453.33333333333331</v>
      </c>
      <c r="S29">
        <f>+M29*(1-$S$26)</f>
        <v>816</v>
      </c>
      <c r="T29" s="3">
        <f t="shared" si="3"/>
        <v>1.8</v>
      </c>
      <c r="U29">
        <f>+M29*(1-$U$26)</f>
        <v>748.00000000000011</v>
      </c>
      <c r="V29" s="3">
        <f t="shared" si="4"/>
        <v>1.6500000000000004</v>
      </c>
    </row>
    <row r="30" spans="3:22" x14ac:dyDescent="0.25">
      <c r="C30" t="s">
        <v>29</v>
      </c>
      <c r="J30">
        <v>12500</v>
      </c>
      <c r="K30" s="1"/>
      <c r="L30">
        <f t="shared" si="2"/>
        <v>2171.9499999999998</v>
      </c>
      <c r="M30">
        <v>1795</v>
      </c>
      <c r="Q30">
        <f>+M30/3</f>
        <v>598.33333333333337</v>
      </c>
      <c r="S30">
        <f>+M30*(1-$S$26)</f>
        <v>1077</v>
      </c>
      <c r="T30" s="3">
        <f t="shared" si="3"/>
        <v>1.7999999999999998</v>
      </c>
      <c r="U30">
        <f>+M30*(1-$U$26)</f>
        <v>987.25000000000011</v>
      </c>
      <c r="V30" s="3">
        <f t="shared" si="4"/>
        <v>1.6500000000000001</v>
      </c>
    </row>
    <row r="31" spans="3:22" x14ac:dyDescent="0.25">
      <c r="C31" t="s">
        <v>31</v>
      </c>
      <c r="J31">
        <v>15000</v>
      </c>
      <c r="K31" s="1">
        <v>1.7999999999999999E-2</v>
      </c>
      <c r="L31">
        <f t="shared" si="2"/>
        <v>2691.3182999999999</v>
      </c>
      <c r="M31">
        <f>+M17*(1-K31)</f>
        <v>2224.23</v>
      </c>
      <c r="Q31">
        <f>+M31/3</f>
        <v>741.41</v>
      </c>
      <c r="S31">
        <f>+M31*(1-$S$26)</f>
        <v>1334.538</v>
      </c>
      <c r="T31" s="3">
        <f t="shared" si="3"/>
        <v>1.8</v>
      </c>
      <c r="U31">
        <f>+M31*(1-$U$26)</f>
        <v>1223.3265000000001</v>
      </c>
      <c r="V31" s="3">
        <f t="shared" si="4"/>
        <v>1.6500000000000001</v>
      </c>
    </row>
    <row r="32" spans="3:22" x14ac:dyDescent="0.25">
      <c r="J32">
        <v>18000</v>
      </c>
    </row>
    <row r="33" spans="10:10" x14ac:dyDescent="0.25">
      <c r="J33">
        <v>20000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2019-10-10T07:37:33Z</dcterms:created>
  <dcterms:modified xsi:type="dcterms:W3CDTF">2019-10-18T10:02:34Z</dcterms:modified>
</cp:coreProperties>
</file>