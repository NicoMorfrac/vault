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6125" windowHeight="129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434" i="1" l="1"/>
  <c r="E435" i="1"/>
  <c r="E436" i="1"/>
  <c r="E437" i="1"/>
  <c r="E438" i="1"/>
  <c r="E439" i="1"/>
  <c r="E440" i="1"/>
  <c r="E441" i="1"/>
  <c r="E442" i="1"/>
  <c r="E443" i="1"/>
  <c r="E444" i="1"/>
  <c r="E445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179" i="1" l="1"/>
  <c r="E179" i="1"/>
  <c r="F179" i="1"/>
  <c r="D178" i="1"/>
  <c r="E178" i="1"/>
  <c r="F178" i="1"/>
  <c r="F177" i="1"/>
  <c r="E177" i="1"/>
  <c r="D177" i="1"/>
  <c r="G176" i="1"/>
  <c r="F176" i="1"/>
  <c r="E176" i="1"/>
  <c r="D176" i="1"/>
  <c r="G163" i="1" l="1"/>
  <c r="F163" i="1"/>
  <c r="E163" i="1"/>
  <c r="D163" i="1"/>
  <c r="G422" i="1" l="1"/>
  <c r="F422" i="1"/>
  <c r="E422" i="1"/>
  <c r="D422" i="1"/>
  <c r="G421" i="1"/>
  <c r="F421" i="1"/>
  <c r="E421" i="1"/>
  <c r="D421" i="1"/>
  <c r="G434" i="1"/>
  <c r="D264" i="1" l="1"/>
  <c r="E264" i="1"/>
  <c r="F264" i="1"/>
  <c r="G264" i="1"/>
  <c r="D265" i="1"/>
  <c r="E265" i="1"/>
  <c r="F265" i="1"/>
  <c r="G265" i="1"/>
  <c r="D266" i="1"/>
  <c r="E266" i="1"/>
  <c r="F266" i="1"/>
  <c r="G266" i="1"/>
  <c r="D267" i="1"/>
  <c r="E267" i="1"/>
  <c r="F267" i="1"/>
  <c r="G267" i="1"/>
  <c r="D268" i="1"/>
  <c r="E268" i="1"/>
  <c r="F268" i="1"/>
  <c r="G268" i="1"/>
  <c r="D269" i="1"/>
  <c r="E269" i="1"/>
  <c r="F269" i="1"/>
  <c r="G269" i="1"/>
  <c r="D270" i="1"/>
  <c r="E270" i="1"/>
  <c r="F270" i="1"/>
  <c r="G270" i="1"/>
  <c r="D271" i="1"/>
  <c r="E271" i="1"/>
  <c r="F271" i="1"/>
  <c r="G271" i="1"/>
  <c r="D272" i="1"/>
  <c r="E272" i="1"/>
  <c r="F272" i="1"/>
  <c r="G272" i="1"/>
  <c r="D273" i="1"/>
  <c r="E273" i="1"/>
  <c r="F273" i="1"/>
  <c r="G273" i="1"/>
  <c r="D274" i="1"/>
  <c r="E274" i="1"/>
  <c r="F274" i="1"/>
  <c r="G274" i="1"/>
  <c r="D275" i="1"/>
  <c r="E275" i="1"/>
  <c r="F275" i="1"/>
  <c r="G275" i="1"/>
  <c r="D276" i="1"/>
  <c r="E276" i="1"/>
  <c r="F276" i="1"/>
  <c r="G276" i="1"/>
  <c r="D277" i="1"/>
  <c r="E277" i="1"/>
  <c r="F277" i="1"/>
  <c r="G277" i="1"/>
  <c r="D278" i="1"/>
  <c r="E278" i="1"/>
  <c r="F278" i="1"/>
  <c r="G278" i="1"/>
  <c r="D279" i="1"/>
  <c r="E279" i="1"/>
  <c r="F279" i="1"/>
  <c r="G279" i="1"/>
  <c r="D280" i="1"/>
  <c r="E280" i="1"/>
  <c r="F280" i="1"/>
  <c r="G280" i="1"/>
  <c r="D281" i="1"/>
  <c r="E281" i="1"/>
  <c r="F281" i="1"/>
  <c r="G281" i="1"/>
  <c r="D282" i="1"/>
  <c r="E282" i="1"/>
  <c r="F282" i="1"/>
  <c r="G282" i="1"/>
  <c r="D283" i="1"/>
  <c r="E283" i="1"/>
  <c r="F283" i="1"/>
  <c r="G283" i="1"/>
  <c r="D284" i="1"/>
  <c r="E284" i="1"/>
  <c r="F284" i="1"/>
  <c r="G284" i="1"/>
  <c r="D285" i="1"/>
  <c r="E285" i="1"/>
  <c r="F285" i="1"/>
  <c r="G285" i="1"/>
  <c r="D286" i="1"/>
  <c r="E286" i="1"/>
  <c r="F286" i="1"/>
  <c r="G286" i="1"/>
  <c r="D287" i="1"/>
  <c r="E287" i="1"/>
  <c r="F287" i="1"/>
  <c r="G287" i="1"/>
  <c r="D288" i="1"/>
  <c r="E288" i="1"/>
  <c r="F288" i="1"/>
  <c r="G288" i="1"/>
  <c r="D289" i="1"/>
  <c r="E289" i="1"/>
  <c r="F289" i="1"/>
  <c r="G289" i="1"/>
  <c r="D290" i="1"/>
  <c r="E290" i="1"/>
  <c r="F290" i="1"/>
  <c r="G290" i="1"/>
  <c r="D291" i="1"/>
  <c r="E291" i="1"/>
  <c r="F291" i="1"/>
  <c r="G291" i="1"/>
  <c r="D292" i="1"/>
  <c r="E292" i="1"/>
  <c r="F292" i="1"/>
  <c r="G292" i="1"/>
  <c r="D293" i="1"/>
  <c r="E293" i="1"/>
  <c r="F293" i="1"/>
  <c r="G293" i="1"/>
  <c r="D294" i="1"/>
  <c r="E294" i="1"/>
  <c r="F294" i="1"/>
  <c r="G294" i="1"/>
  <c r="D295" i="1"/>
  <c r="E295" i="1"/>
  <c r="F295" i="1"/>
  <c r="G295" i="1"/>
  <c r="D296" i="1"/>
  <c r="E296" i="1"/>
  <c r="F296" i="1"/>
  <c r="G296" i="1"/>
  <c r="D297" i="1"/>
  <c r="E297" i="1"/>
  <c r="F297" i="1"/>
  <c r="G297" i="1"/>
  <c r="D298" i="1"/>
  <c r="E298" i="1"/>
  <c r="F298" i="1"/>
  <c r="G298" i="1"/>
  <c r="D299" i="1"/>
  <c r="E299" i="1"/>
  <c r="F299" i="1"/>
  <c r="G299" i="1"/>
  <c r="D300" i="1"/>
  <c r="E300" i="1"/>
  <c r="F300" i="1"/>
  <c r="G300" i="1"/>
  <c r="D301" i="1"/>
  <c r="E301" i="1"/>
  <c r="F301" i="1"/>
  <c r="G301" i="1"/>
  <c r="D302" i="1"/>
  <c r="E302" i="1"/>
  <c r="F302" i="1"/>
  <c r="G302" i="1"/>
  <c r="D303" i="1"/>
  <c r="E303" i="1"/>
  <c r="F303" i="1"/>
  <c r="G303" i="1"/>
  <c r="D304" i="1"/>
  <c r="E304" i="1"/>
  <c r="F304" i="1"/>
  <c r="G304" i="1"/>
  <c r="D305" i="1"/>
  <c r="E305" i="1"/>
  <c r="F305" i="1"/>
  <c r="G305" i="1"/>
  <c r="D306" i="1"/>
  <c r="E306" i="1"/>
  <c r="F306" i="1"/>
  <c r="G306" i="1"/>
  <c r="D307" i="1"/>
  <c r="E307" i="1"/>
  <c r="F307" i="1"/>
  <c r="G307" i="1"/>
  <c r="D308" i="1"/>
  <c r="E308" i="1"/>
  <c r="F308" i="1"/>
  <c r="G308" i="1"/>
  <c r="D309" i="1"/>
  <c r="E309" i="1"/>
  <c r="F309" i="1"/>
  <c r="G309" i="1"/>
  <c r="D310" i="1"/>
  <c r="E310" i="1"/>
  <c r="F310" i="1"/>
  <c r="G310" i="1"/>
  <c r="D311" i="1"/>
  <c r="E311" i="1"/>
  <c r="F311" i="1"/>
  <c r="G311" i="1"/>
  <c r="D312" i="1"/>
  <c r="E312" i="1"/>
  <c r="F312" i="1"/>
  <c r="G312" i="1"/>
  <c r="D313" i="1"/>
  <c r="E313" i="1"/>
  <c r="F313" i="1"/>
  <c r="G313" i="1"/>
  <c r="D314" i="1"/>
  <c r="E314" i="1"/>
  <c r="F314" i="1"/>
  <c r="G314" i="1"/>
  <c r="D315" i="1"/>
  <c r="E315" i="1"/>
  <c r="F315" i="1"/>
  <c r="G315" i="1"/>
  <c r="D316" i="1"/>
  <c r="E316" i="1"/>
  <c r="F316" i="1"/>
  <c r="G316" i="1"/>
  <c r="D317" i="1"/>
  <c r="E317" i="1"/>
  <c r="F317" i="1"/>
  <c r="G317" i="1"/>
  <c r="D318" i="1"/>
  <c r="E318" i="1"/>
  <c r="F318" i="1"/>
  <c r="G318" i="1"/>
  <c r="D319" i="1"/>
  <c r="E319" i="1"/>
  <c r="F319" i="1"/>
  <c r="G319" i="1"/>
  <c r="D320" i="1"/>
  <c r="E320" i="1"/>
  <c r="F320" i="1"/>
  <c r="G320" i="1"/>
  <c r="D321" i="1"/>
  <c r="E321" i="1"/>
  <c r="F321" i="1"/>
  <c r="G321" i="1"/>
  <c r="D322" i="1"/>
  <c r="E322" i="1"/>
  <c r="F322" i="1"/>
  <c r="G322" i="1"/>
  <c r="D323" i="1"/>
  <c r="E323" i="1"/>
  <c r="F323" i="1"/>
  <c r="G323" i="1"/>
  <c r="D324" i="1"/>
  <c r="E324" i="1"/>
  <c r="F324" i="1"/>
  <c r="G324" i="1"/>
  <c r="D325" i="1"/>
  <c r="E325" i="1"/>
  <c r="F325" i="1"/>
  <c r="G325" i="1"/>
  <c r="D326" i="1"/>
  <c r="E326" i="1"/>
  <c r="F326" i="1"/>
  <c r="G326" i="1"/>
  <c r="D327" i="1"/>
  <c r="E327" i="1"/>
  <c r="F327" i="1"/>
  <c r="G327" i="1"/>
  <c r="D328" i="1"/>
  <c r="E328" i="1"/>
  <c r="F328" i="1"/>
  <c r="G328" i="1"/>
  <c r="D329" i="1"/>
  <c r="E329" i="1"/>
  <c r="F329" i="1"/>
  <c r="G329" i="1"/>
  <c r="D330" i="1"/>
  <c r="E330" i="1"/>
  <c r="F330" i="1"/>
  <c r="G330" i="1"/>
  <c r="D331" i="1"/>
  <c r="E331" i="1"/>
  <c r="F331" i="1"/>
  <c r="G331" i="1"/>
  <c r="D332" i="1"/>
  <c r="E332" i="1"/>
  <c r="F332" i="1"/>
  <c r="G332" i="1"/>
  <c r="D333" i="1"/>
  <c r="E333" i="1"/>
  <c r="F333" i="1"/>
  <c r="G333" i="1"/>
  <c r="D334" i="1"/>
  <c r="E334" i="1"/>
  <c r="F334" i="1"/>
  <c r="G334" i="1"/>
  <c r="D335" i="1"/>
  <c r="E335" i="1"/>
  <c r="F335" i="1"/>
  <c r="G335" i="1"/>
  <c r="D336" i="1"/>
  <c r="E336" i="1"/>
  <c r="F336" i="1"/>
  <c r="G336" i="1"/>
  <c r="D337" i="1"/>
  <c r="E337" i="1"/>
  <c r="F337" i="1"/>
  <c r="G337" i="1"/>
  <c r="D338" i="1"/>
  <c r="E338" i="1"/>
  <c r="F338" i="1"/>
  <c r="G338" i="1"/>
  <c r="D339" i="1"/>
  <c r="E339" i="1"/>
  <c r="F339" i="1"/>
  <c r="G339" i="1"/>
  <c r="D340" i="1"/>
  <c r="E340" i="1"/>
  <c r="F340" i="1"/>
  <c r="G340" i="1"/>
  <c r="D341" i="1"/>
  <c r="E341" i="1"/>
  <c r="F341" i="1"/>
  <c r="G341" i="1"/>
  <c r="D342" i="1"/>
  <c r="E342" i="1"/>
  <c r="F342" i="1"/>
  <c r="G342" i="1"/>
  <c r="D343" i="1"/>
  <c r="E343" i="1"/>
  <c r="F343" i="1"/>
  <c r="G343" i="1"/>
  <c r="D344" i="1"/>
  <c r="E344" i="1"/>
  <c r="F344" i="1"/>
  <c r="G344" i="1"/>
  <c r="D345" i="1"/>
  <c r="E345" i="1"/>
  <c r="F345" i="1"/>
  <c r="G345" i="1"/>
  <c r="D346" i="1"/>
  <c r="E346" i="1"/>
  <c r="F346" i="1"/>
  <c r="G346" i="1"/>
  <c r="D347" i="1"/>
  <c r="E347" i="1"/>
  <c r="F347" i="1"/>
  <c r="G347" i="1"/>
  <c r="D348" i="1"/>
  <c r="E348" i="1"/>
  <c r="F348" i="1"/>
  <c r="G348" i="1"/>
  <c r="D349" i="1"/>
  <c r="E349" i="1"/>
  <c r="F349" i="1"/>
  <c r="G349" i="1"/>
  <c r="D350" i="1"/>
  <c r="E350" i="1"/>
  <c r="F350" i="1"/>
  <c r="G350" i="1"/>
  <c r="D351" i="1"/>
  <c r="E351" i="1"/>
  <c r="F351" i="1"/>
  <c r="G351" i="1"/>
  <c r="D352" i="1"/>
  <c r="E352" i="1"/>
  <c r="F352" i="1"/>
  <c r="G352" i="1"/>
  <c r="D353" i="1"/>
  <c r="E353" i="1"/>
  <c r="F353" i="1"/>
  <c r="G353" i="1"/>
  <c r="D354" i="1"/>
  <c r="E354" i="1"/>
  <c r="F354" i="1"/>
  <c r="G354" i="1"/>
  <c r="D355" i="1"/>
  <c r="E355" i="1"/>
  <c r="F355" i="1"/>
  <c r="G355" i="1"/>
  <c r="D356" i="1"/>
  <c r="E356" i="1"/>
  <c r="F356" i="1"/>
  <c r="G356" i="1"/>
  <c r="D357" i="1"/>
  <c r="E357" i="1"/>
  <c r="F357" i="1"/>
  <c r="G357" i="1"/>
  <c r="D358" i="1"/>
  <c r="E358" i="1"/>
  <c r="F358" i="1"/>
  <c r="G358" i="1"/>
  <c r="D359" i="1"/>
  <c r="E359" i="1"/>
  <c r="F359" i="1"/>
  <c r="G359" i="1"/>
  <c r="D360" i="1"/>
  <c r="E360" i="1"/>
  <c r="F360" i="1"/>
  <c r="G360" i="1"/>
  <c r="D361" i="1"/>
  <c r="E361" i="1"/>
  <c r="F361" i="1"/>
  <c r="G361" i="1"/>
  <c r="D362" i="1"/>
  <c r="E362" i="1"/>
  <c r="F362" i="1"/>
  <c r="G362" i="1"/>
  <c r="D363" i="1"/>
  <c r="E363" i="1"/>
  <c r="F363" i="1"/>
  <c r="G363" i="1"/>
  <c r="D364" i="1"/>
  <c r="E364" i="1"/>
  <c r="F364" i="1"/>
  <c r="G364" i="1"/>
  <c r="D365" i="1"/>
  <c r="E365" i="1"/>
  <c r="F365" i="1"/>
  <c r="G365" i="1"/>
  <c r="D366" i="1"/>
  <c r="E366" i="1"/>
  <c r="F366" i="1"/>
  <c r="G366" i="1"/>
  <c r="D367" i="1"/>
  <c r="E367" i="1"/>
  <c r="F367" i="1"/>
  <c r="G367" i="1"/>
  <c r="D368" i="1"/>
  <c r="E368" i="1"/>
  <c r="F368" i="1"/>
  <c r="G368" i="1"/>
  <c r="D369" i="1"/>
  <c r="E369" i="1"/>
  <c r="F369" i="1"/>
  <c r="G369" i="1"/>
  <c r="D370" i="1"/>
  <c r="E370" i="1"/>
  <c r="F370" i="1"/>
  <c r="G370" i="1"/>
  <c r="D371" i="1"/>
  <c r="E371" i="1"/>
  <c r="F371" i="1"/>
  <c r="G371" i="1"/>
  <c r="D372" i="1"/>
  <c r="E372" i="1"/>
  <c r="F372" i="1"/>
  <c r="G372" i="1"/>
  <c r="D373" i="1"/>
  <c r="E373" i="1"/>
  <c r="F373" i="1"/>
  <c r="G373" i="1"/>
  <c r="D374" i="1"/>
  <c r="E374" i="1"/>
  <c r="F374" i="1"/>
  <c r="G374" i="1"/>
  <c r="D375" i="1"/>
  <c r="E375" i="1"/>
  <c r="F375" i="1"/>
  <c r="G375" i="1"/>
  <c r="D376" i="1"/>
  <c r="E376" i="1"/>
  <c r="F376" i="1"/>
  <c r="G376" i="1"/>
  <c r="D377" i="1"/>
  <c r="E377" i="1"/>
  <c r="F377" i="1"/>
  <c r="G377" i="1"/>
  <c r="D378" i="1"/>
  <c r="E378" i="1"/>
  <c r="F378" i="1"/>
  <c r="G378" i="1"/>
  <c r="D379" i="1"/>
  <c r="E379" i="1"/>
  <c r="F379" i="1"/>
  <c r="G379" i="1"/>
  <c r="D380" i="1"/>
  <c r="E380" i="1"/>
  <c r="F380" i="1"/>
  <c r="G380" i="1"/>
  <c r="D381" i="1"/>
  <c r="E381" i="1"/>
  <c r="F381" i="1"/>
  <c r="G381" i="1"/>
  <c r="D382" i="1"/>
  <c r="E382" i="1"/>
  <c r="F382" i="1"/>
  <c r="G382" i="1"/>
  <c r="D383" i="1"/>
  <c r="E383" i="1"/>
  <c r="F383" i="1"/>
  <c r="G383" i="1"/>
  <c r="D384" i="1"/>
  <c r="E384" i="1"/>
  <c r="F384" i="1"/>
  <c r="G384" i="1"/>
  <c r="D385" i="1"/>
  <c r="E385" i="1"/>
  <c r="F385" i="1"/>
  <c r="G385" i="1"/>
  <c r="D386" i="1"/>
  <c r="E386" i="1"/>
  <c r="F386" i="1"/>
  <c r="G386" i="1"/>
  <c r="D387" i="1"/>
  <c r="E387" i="1"/>
  <c r="F387" i="1"/>
  <c r="G387" i="1"/>
  <c r="D388" i="1"/>
  <c r="E388" i="1"/>
  <c r="F388" i="1"/>
  <c r="G388" i="1"/>
  <c r="D389" i="1"/>
  <c r="E389" i="1"/>
  <c r="F389" i="1"/>
  <c r="G389" i="1"/>
  <c r="D390" i="1"/>
  <c r="E390" i="1"/>
  <c r="F390" i="1"/>
  <c r="G390" i="1"/>
  <c r="D391" i="1"/>
  <c r="E391" i="1"/>
  <c r="F391" i="1"/>
  <c r="G391" i="1"/>
  <c r="D392" i="1"/>
  <c r="E392" i="1"/>
  <c r="F392" i="1"/>
  <c r="G392" i="1"/>
  <c r="D393" i="1"/>
  <c r="E393" i="1"/>
  <c r="F393" i="1"/>
  <c r="G393" i="1"/>
  <c r="D394" i="1"/>
  <c r="E394" i="1"/>
  <c r="F394" i="1"/>
  <c r="G394" i="1"/>
  <c r="D395" i="1"/>
  <c r="E395" i="1"/>
  <c r="F395" i="1"/>
  <c r="G395" i="1"/>
  <c r="D396" i="1"/>
  <c r="E396" i="1"/>
  <c r="F396" i="1"/>
  <c r="G396" i="1"/>
  <c r="D397" i="1"/>
  <c r="E397" i="1"/>
  <c r="F397" i="1"/>
  <c r="G397" i="1"/>
  <c r="D398" i="1"/>
  <c r="E398" i="1"/>
  <c r="F398" i="1"/>
  <c r="G398" i="1"/>
  <c r="D399" i="1"/>
  <c r="E399" i="1"/>
  <c r="F399" i="1"/>
  <c r="G399" i="1"/>
  <c r="D400" i="1"/>
  <c r="E400" i="1"/>
  <c r="F400" i="1"/>
  <c r="G400" i="1"/>
  <c r="D401" i="1"/>
  <c r="E401" i="1"/>
  <c r="F401" i="1"/>
  <c r="G401" i="1"/>
  <c r="D402" i="1"/>
  <c r="E402" i="1"/>
  <c r="F402" i="1"/>
  <c r="G402" i="1"/>
  <c r="D403" i="1"/>
  <c r="E403" i="1"/>
  <c r="F403" i="1"/>
  <c r="G403" i="1"/>
  <c r="D404" i="1"/>
  <c r="E404" i="1"/>
  <c r="F404" i="1"/>
  <c r="G404" i="1"/>
  <c r="D405" i="1"/>
  <c r="E405" i="1"/>
  <c r="F405" i="1"/>
  <c r="G405" i="1"/>
  <c r="D406" i="1"/>
  <c r="E406" i="1"/>
  <c r="F406" i="1"/>
  <c r="G406" i="1"/>
  <c r="D407" i="1"/>
  <c r="E407" i="1"/>
  <c r="F407" i="1"/>
  <c r="G407" i="1"/>
  <c r="D408" i="1"/>
  <c r="E408" i="1"/>
  <c r="F408" i="1"/>
  <c r="G408" i="1"/>
  <c r="D409" i="1"/>
  <c r="E409" i="1"/>
  <c r="F409" i="1"/>
  <c r="G409" i="1"/>
  <c r="D410" i="1"/>
  <c r="E410" i="1"/>
  <c r="F410" i="1"/>
  <c r="G410" i="1"/>
  <c r="D411" i="1"/>
  <c r="E411" i="1"/>
  <c r="F411" i="1"/>
  <c r="G411" i="1"/>
  <c r="D412" i="1"/>
  <c r="E412" i="1"/>
  <c r="F412" i="1"/>
  <c r="G412" i="1"/>
  <c r="D413" i="1"/>
  <c r="E413" i="1"/>
  <c r="F413" i="1"/>
  <c r="G413" i="1"/>
  <c r="D414" i="1"/>
  <c r="E414" i="1"/>
  <c r="F414" i="1"/>
  <c r="G414" i="1"/>
  <c r="D415" i="1"/>
  <c r="E415" i="1"/>
  <c r="F415" i="1"/>
  <c r="G415" i="1"/>
  <c r="D416" i="1"/>
  <c r="E416" i="1"/>
  <c r="F416" i="1"/>
  <c r="G416" i="1"/>
  <c r="D417" i="1"/>
  <c r="E417" i="1"/>
  <c r="F417" i="1"/>
  <c r="G417" i="1"/>
  <c r="D418" i="1"/>
  <c r="E418" i="1"/>
  <c r="F418" i="1"/>
  <c r="G418" i="1"/>
  <c r="D419" i="1"/>
  <c r="E419" i="1"/>
  <c r="F419" i="1"/>
  <c r="G419" i="1"/>
  <c r="D420" i="1"/>
  <c r="E420" i="1"/>
  <c r="F420" i="1"/>
  <c r="G420" i="1"/>
  <c r="D423" i="1"/>
  <c r="E423" i="1"/>
  <c r="F423" i="1"/>
  <c r="G423" i="1"/>
  <c r="D424" i="1"/>
  <c r="E424" i="1"/>
  <c r="F424" i="1"/>
  <c r="G424" i="1"/>
  <c r="D426" i="1"/>
  <c r="E426" i="1"/>
  <c r="F426" i="1"/>
  <c r="G426" i="1"/>
  <c r="D427" i="1"/>
  <c r="E427" i="1"/>
  <c r="F427" i="1"/>
  <c r="G427" i="1"/>
  <c r="D428" i="1"/>
  <c r="E428" i="1"/>
  <c r="F428" i="1"/>
  <c r="G428" i="1"/>
  <c r="D429" i="1"/>
  <c r="E429" i="1"/>
  <c r="F429" i="1"/>
  <c r="G429" i="1"/>
  <c r="D430" i="1"/>
  <c r="E430" i="1"/>
  <c r="F430" i="1"/>
  <c r="G430" i="1"/>
  <c r="D431" i="1"/>
  <c r="E431" i="1"/>
  <c r="F431" i="1"/>
  <c r="G431" i="1"/>
  <c r="D432" i="1"/>
  <c r="E432" i="1"/>
  <c r="F432" i="1"/>
  <c r="G432" i="1"/>
  <c r="D433" i="1"/>
  <c r="E433" i="1"/>
  <c r="F433" i="1"/>
  <c r="G433" i="1"/>
  <c r="F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G263" i="1"/>
  <c r="F263" i="1"/>
  <c r="E263" i="1"/>
  <c r="D263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43" i="1"/>
  <c r="E243" i="1"/>
  <c r="F243" i="1"/>
  <c r="D244" i="1"/>
  <c r="E244" i="1"/>
  <c r="F244" i="1"/>
  <c r="D245" i="1"/>
  <c r="E245" i="1"/>
  <c r="F245" i="1"/>
  <c r="D246" i="1"/>
  <c r="E246" i="1"/>
  <c r="F246" i="1"/>
  <c r="D247" i="1"/>
  <c r="E247" i="1"/>
  <c r="F247" i="1"/>
  <c r="D248" i="1"/>
  <c r="E248" i="1"/>
  <c r="F248" i="1"/>
  <c r="D220" i="1"/>
  <c r="E220" i="1"/>
  <c r="F220" i="1"/>
  <c r="G220" i="1"/>
  <c r="D221" i="1"/>
  <c r="E221" i="1"/>
  <c r="F221" i="1"/>
  <c r="G221" i="1"/>
  <c r="D222" i="1"/>
  <c r="E222" i="1"/>
  <c r="F222" i="1"/>
  <c r="G222" i="1"/>
  <c r="D223" i="1"/>
  <c r="E223" i="1"/>
  <c r="F223" i="1"/>
  <c r="G223" i="1"/>
  <c r="D224" i="1"/>
  <c r="E224" i="1"/>
  <c r="F224" i="1"/>
  <c r="G224" i="1"/>
  <c r="D225" i="1"/>
  <c r="E225" i="1"/>
  <c r="F225" i="1"/>
  <c r="G225" i="1"/>
  <c r="D226" i="1"/>
  <c r="E226" i="1"/>
  <c r="F226" i="1"/>
  <c r="G226" i="1"/>
  <c r="D227" i="1"/>
  <c r="E227" i="1"/>
  <c r="F227" i="1"/>
  <c r="G227" i="1"/>
  <c r="D228" i="1"/>
  <c r="E228" i="1"/>
  <c r="F228" i="1"/>
  <c r="G228" i="1"/>
  <c r="D229" i="1"/>
  <c r="E229" i="1"/>
  <c r="F229" i="1"/>
  <c r="G229" i="1"/>
  <c r="D230" i="1"/>
  <c r="E230" i="1"/>
  <c r="F230" i="1"/>
  <c r="G230" i="1"/>
  <c r="D231" i="1"/>
  <c r="E231" i="1"/>
  <c r="F231" i="1"/>
  <c r="G231" i="1"/>
  <c r="D232" i="1"/>
  <c r="E232" i="1"/>
  <c r="F232" i="1"/>
  <c r="G232" i="1"/>
  <c r="D233" i="1"/>
  <c r="E233" i="1"/>
  <c r="F233" i="1"/>
  <c r="G233" i="1"/>
  <c r="D234" i="1"/>
  <c r="E234" i="1"/>
  <c r="F234" i="1"/>
  <c r="G234" i="1"/>
  <c r="D235" i="1"/>
  <c r="E235" i="1"/>
  <c r="F235" i="1"/>
  <c r="G235" i="1"/>
  <c r="D236" i="1"/>
  <c r="E236" i="1"/>
  <c r="F236" i="1"/>
  <c r="G236" i="1"/>
  <c r="D237" i="1"/>
  <c r="E237" i="1"/>
  <c r="F237" i="1"/>
  <c r="G237" i="1"/>
  <c r="D238" i="1"/>
  <c r="E238" i="1"/>
  <c r="F238" i="1"/>
  <c r="G238" i="1"/>
  <c r="D239" i="1"/>
  <c r="E239" i="1"/>
  <c r="F239" i="1"/>
  <c r="G239" i="1"/>
  <c r="D240" i="1"/>
  <c r="E240" i="1"/>
  <c r="F240" i="1"/>
  <c r="G240" i="1"/>
  <c r="D241" i="1"/>
  <c r="E241" i="1"/>
  <c r="F241" i="1"/>
  <c r="G241" i="1"/>
  <c r="D242" i="1"/>
  <c r="E242" i="1"/>
  <c r="F242" i="1"/>
  <c r="G242" i="1"/>
  <c r="G219" i="1"/>
  <c r="F219" i="1"/>
  <c r="E219" i="1"/>
  <c r="D219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E205" i="1"/>
  <c r="D205" i="1"/>
  <c r="D160" i="1"/>
  <c r="E160" i="1"/>
  <c r="F160" i="1"/>
  <c r="G160" i="1"/>
  <c r="D161" i="1"/>
  <c r="E161" i="1"/>
  <c r="F161" i="1"/>
  <c r="G161" i="1"/>
  <c r="D162" i="1"/>
  <c r="E162" i="1"/>
  <c r="F162" i="1"/>
  <c r="G162" i="1"/>
  <c r="D164" i="1"/>
  <c r="E164" i="1"/>
  <c r="F164" i="1"/>
  <c r="G164" i="1"/>
  <c r="D165" i="1"/>
  <c r="E165" i="1"/>
  <c r="F165" i="1"/>
  <c r="G165" i="1"/>
  <c r="D166" i="1"/>
  <c r="E166" i="1"/>
  <c r="F166" i="1"/>
  <c r="G166" i="1"/>
  <c r="D167" i="1"/>
  <c r="E167" i="1"/>
  <c r="F167" i="1"/>
  <c r="G167" i="1"/>
  <c r="D168" i="1"/>
  <c r="E168" i="1"/>
  <c r="F168" i="1"/>
  <c r="G168" i="1"/>
  <c r="D169" i="1"/>
  <c r="E169" i="1"/>
  <c r="F169" i="1"/>
  <c r="G169" i="1"/>
  <c r="D170" i="1"/>
  <c r="E170" i="1"/>
  <c r="F170" i="1"/>
  <c r="G170" i="1"/>
  <c r="D171" i="1"/>
  <c r="E171" i="1"/>
  <c r="F171" i="1"/>
  <c r="G171" i="1"/>
  <c r="D172" i="1"/>
  <c r="E172" i="1"/>
  <c r="F172" i="1"/>
  <c r="G172" i="1"/>
  <c r="D173" i="1"/>
  <c r="E173" i="1"/>
  <c r="F173" i="1"/>
  <c r="G173" i="1"/>
  <c r="D174" i="1"/>
  <c r="E174" i="1"/>
  <c r="F174" i="1"/>
  <c r="G174" i="1"/>
  <c r="D181" i="1"/>
  <c r="E181" i="1"/>
  <c r="F181" i="1"/>
  <c r="G181" i="1"/>
  <c r="D182" i="1"/>
  <c r="E182" i="1"/>
  <c r="F182" i="1"/>
  <c r="G182" i="1"/>
  <c r="D183" i="1"/>
  <c r="E183" i="1"/>
  <c r="F183" i="1"/>
  <c r="G183" i="1"/>
  <c r="D184" i="1"/>
  <c r="E184" i="1"/>
  <c r="F184" i="1"/>
  <c r="G184" i="1"/>
  <c r="D185" i="1"/>
  <c r="E185" i="1"/>
  <c r="F185" i="1"/>
  <c r="G185" i="1"/>
  <c r="D186" i="1"/>
  <c r="E186" i="1"/>
  <c r="F186" i="1"/>
  <c r="G186" i="1"/>
  <c r="D187" i="1"/>
  <c r="E187" i="1"/>
  <c r="F187" i="1"/>
  <c r="G187" i="1"/>
  <c r="D188" i="1"/>
  <c r="E188" i="1"/>
  <c r="F188" i="1"/>
  <c r="G188" i="1"/>
  <c r="D189" i="1"/>
  <c r="E189" i="1"/>
  <c r="F189" i="1"/>
  <c r="G189" i="1"/>
  <c r="D190" i="1"/>
  <c r="E190" i="1"/>
  <c r="F190" i="1"/>
  <c r="G190" i="1"/>
  <c r="D191" i="1"/>
  <c r="E191" i="1"/>
  <c r="F191" i="1"/>
  <c r="G191" i="1"/>
  <c r="D192" i="1"/>
  <c r="E192" i="1"/>
  <c r="F192" i="1"/>
  <c r="G192" i="1"/>
  <c r="D193" i="1"/>
  <c r="E193" i="1"/>
  <c r="F193" i="1"/>
  <c r="G193" i="1"/>
  <c r="D194" i="1"/>
  <c r="E194" i="1"/>
  <c r="F194" i="1"/>
  <c r="G194" i="1"/>
  <c r="D195" i="1"/>
  <c r="E195" i="1"/>
  <c r="F195" i="1"/>
  <c r="G195" i="1"/>
  <c r="D196" i="1"/>
  <c r="E196" i="1"/>
  <c r="F196" i="1"/>
  <c r="G196" i="1"/>
  <c r="D197" i="1"/>
  <c r="E197" i="1"/>
  <c r="F197" i="1"/>
  <c r="G197" i="1"/>
  <c r="D198" i="1"/>
  <c r="E198" i="1"/>
  <c r="F198" i="1"/>
  <c r="G198" i="1"/>
  <c r="D199" i="1"/>
  <c r="E199" i="1"/>
  <c r="F199" i="1"/>
  <c r="G199" i="1"/>
  <c r="D200" i="1"/>
  <c r="E200" i="1"/>
  <c r="F200" i="1"/>
  <c r="G200" i="1"/>
  <c r="D201" i="1"/>
  <c r="E201" i="1"/>
  <c r="F201" i="1"/>
  <c r="G201" i="1"/>
  <c r="D202" i="1"/>
  <c r="E202" i="1"/>
  <c r="F202" i="1"/>
  <c r="G202" i="1"/>
  <c r="D203" i="1"/>
  <c r="E203" i="1"/>
  <c r="F203" i="1"/>
  <c r="G203" i="1"/>
  <c r="D204" i="1"/>
  <c r="E204" i="1"/>
  <c r="F204" i="1"/>
  <c r="G204" i="1"/>
  <c r="G159" i="1"/>
  <c r="F159" i="1"/>
  <c r="E159" i="1"/>
  <c r="D159" i="1"/>
  <c r="D141" i="1"/>
  <c r="E141" i="1"/>
  <c r="F141" i="1"/>
  <c r="G141" i="1"/>
  <c r="D142" i="1"/>
  <c r="E142" i="1"/>
  <c r="F142" i="1"/>
  <c r="G142" i="1"/>
  <c r="D143" i="1"/>
  <c r="E143" i="1"/>
  <c r="F143" i="1"/>
  <c r="G143" i="1"/>
  <c r="D144" i="1"/>
  <c r="E144" i="1"/>
  <c r="F144" i="1"/>
  <c r="G144" i="1"/>
  <c r="D145" i="1"/>
  <c r="E145" i="1"/>
  <c r="F145" i="1"/>
  <c r="G145" i="1"/>
  <c r="D146" i="1"/>
  <c r="E146" i="1"/>
  <c r="F146" i="1"/>
  <c r="G146" i="1"/>
  <c r="D147" i="1"/>
  <c r="E147" i="1"/>
  <c r="F147" i="1"/>
  <c r="G147" i="1"/>
  <c r="D148" i="1"/>
  <c r="E148" i="1"/>
  <c r="F148" i="1"/>
  <c r="G148" i="1"/>
  <c r="D149" i="1"/>
  <c r="E149" i="1"/>
  <c r="F149" i="1"/>
  <c r="G149" i="1"/>
  <c r="D150" i="1"/>
  <c r="E150" i="1"/>
  <c r="F150" i="1"/>
  <c r="G150" i="1"/>
  <c r="D151" i="1"/>
  <c r="E151" i="1"/>
  <c r="F151" i="1"/>
  <c r="G151" i="1"/>
  <c r="D152" i="1"/>
  <c r="E152" i="1"/>
  <c r="F152" i="1"/>
  <c r="G152" i="1"/>
  <c r="D153" i="1"/>
  <c r="E153" i="1"/>
  <c r="F153" i="1"/>
  <c r="G153" i="1"/>
  <c r="D154" i="1"/>
  <c r="E154" i="1"/>
  <c r="F154" i="1"/>
  <c r="G154" i="1"/>
  <c r="D155" i="1"/>
  <c r="E155" i="1"/>
  <c r="F155" i="1"/>
  <c r="G155" i="1"/>
  <c r="D156" i="1"/>
  <c r="E156" i="1"/>
  <c r="F156" i="1"/>
  <c r="G156" i="1"/>
  <c r="D157" i="1"/>
  <c r="E157" i="1"/>
  <c r="F157" i="1"/>
  <c r="D158" i="1"/>
  <c r="E158" i="1"/>
  <c r="F158" i="1"/>
  <c r="G158" i="1"/>
  <c r="D138" i="1"/>
  <c r="E138" i="1"/>
  <c r="F138" i="1"/>
  <c r="G138" i="1"/>
  <c r="D139" i="1"/>
  <c r="E139" i="1"/>
  <c r="F139" i="1"/>
  <c r="G139" i="1"/>
  <c r="D140" i="1"/>
  <c r="E140" i="1"/>
  <c r="F140" i="1"/>
  <c r="G140" i="1"/>
  <c r="G137" i="1"/>
  <c r="F137" i="1"/>
  <c r="E137" i="1"/>
  <c r="D137" i="1"/>
  <c r="E134" i="1"/>
  <c r="D134" i="1"/>
  <c r="E133" i="1"/>
  <c r="D133" i="1"/>
  <c r="D129" i="1"/>
  <c r="E129" i="1"/>
  <c r="D130" i="1"/>
  <c r="E130" i="1"/>
  <c r="E128" i="1"/>
  <c r="D128" i="1"/>
  <c r="D121" i="1"/>
  <c r="E121" i="1"/>
  <c r="F121" i="1"/>
  <c r="G121" i="1"/>
  <c r="D122" i="1"/>
  <c r="E122" i="1"/>
  <c r="F122" i="1"/>
  <c r="G122" i="1"/>
  <c r="D123" i="1"/>
  <c r="E123" i="1"/>
  <c r="F123" i="1"/>
  <c r="G123" i="1"/>
  <c r="D124" i="1"/>
  <c r="E124" i="1"/>
  <c r="F124" i="1"/>
  <c r="G124" i="1"/>
  <c r="D125" i="1"/>
  <c r="E125" i="1"/>
  <c r="D120" i="1"/>
  <c r="E120" i="1"/>
  <c r="F120" i="1"/>
  <c r="G120" i="1"/>
  <c r="G119" i="1"/>
  <c r="F119" i="1"/>
  <c r="E119" i="1"/>
  <c r="D119" i="1"/>
  <c r="G118" i="1"/>
  <c r="F118" i="1"/>
  <c r="E118" i="1"/>
  <c r="D118" i="1"/>
  <c r="G115" i="1"/>
  <c r="F115" i="1"/>
  <c r="E115" i="1"/>
  <c r="D115" i="1"/>
  <c r="G114" i="1"/>
  <c r="F114" i="1"/>
  <c r="E114" i="1"/>
  <c r="D114" i="1"/>
  <c r="D109" i="1"/>
  <c r="E109" i="1"/>
  <c r="F109" i="1"/>
  <c r="G109" i="1"/>
  <c r="D110" i="1"/>
  <c r="E110" i="1"/>
  <c r="F110" i="1"/>
  <c r="G110" i="1"/>
  <c r="D111" i="1"/>
  <c r="E111" i="1"/>
  <c r="F111" i="1"/>
  <c r="G108" i="1"/>
  <c r="F108" i="1"/>
  <c r="E108" i="1"/>
  <c r="D108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D104" i="1"/>
  <c r="E104" i="1"/>
  <c r="F104" i="1"/>
  <c r="G104" i="1"/>
  <c r="D105" i="1"/>
  <c r="E105" i="1"/>
  <c r="F105" i="1"/>
  <c r="G105" i="1"/>
  <c r="G86" i="1"/>
  <c r="F86" i="1"/>
  <c r="E86" i="1"/>
  <c r="D86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61" i="1"/>
  <c r="D63" i="1"/>
  <c r="E63" i="1"/>
  <c r="F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G62" i="1"/>
  <c r="F62" i="1"/>
  <c r="E62" i="1"/>
  <c r="D62" i="1"/>
  <c r="D61" i="1"/>
  <c r="E61" i="1"/>
  <c r="F61" i="1"/>
  <c r="D59" i="1"/>
  <c r="E59" i="1"/>
  <c r="F59" i="1"/>
  <c r="G59" i="1"/>
  <c r="D60" i="1"/>
  <c r="E60" i="1"/>
  <c r="F60" i="1"/>
  <c r="G60" i="1"/>
  <c r="G58" i="1"/>
  <c r="F58" i="1"/>
  <c r="E58" i="1"/>
  <c r="D58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G41" i="1"/>
  <c r="F41" i="1"/>
  <c r="E41" i="1"/>
  <c r="D41" i="1"/>
  <c r="G38" i="1"/>
  <c r="F38" i="1"/>
  <c r="D38" i="1"/>
  <c r="E38" i="1"/>
  <c r="D36" i="1"/>
  <c r="E36" i="1"/>
  <c r="D37" i="1"/>
  <c r="E37" i="1"/>
  <c r="D32" i="1"/>
  <c r="E32" i="1"/>
  <c r="D33" i="1"/>
  <c r="E33" i="1"/>
  <c r="D34" i="1"/>
  <c r="E34" i="1"/>
  <c r="D35" i="1"/>
  <c r="E35" i="1"/>
  <c r="D30" i="1"/>
  <c r="E30" i="1"/>
  <c r="F30" i="1"/>
  <c r="D31" i="1"/>
  <c r="E31" i="1"/>
  <c r="F31" i="1"/>
  <c r="D27" i="1"/>
  <c r="E27" i="1"/>
  <c r="F27" i="1"/>
  <c r="D28" i="1"/>
  <c r="E28" i="1"/>
  <c r="F28" i="1"/>
  <c r="D29" i="1"/>
  <c r="E29" i="1"/>
  <c r="F29" i="1"/>
  <c r="D26" i="1"/>
  <c r="E26" i="1"/>
  <c r="F26" i="1"/>
  <c r="G26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9" i="1"/>
  <c r="E9" i="1"/>
  <c r="F9" i="1"/>
  <c r="G117" i="1"/>
  <c r="F117" i="1"/>
  <c r="E117" i="1"/>
  <c r="G116" i="1"/>
  <c r="F116" i="1"/>
  <c r="E116" i="1"/>
  <c r="G107" i="1"/>
  <c r="F107" i="1"/>
  <c r="E107" i="1"/>
  <c r="G106" i="1"/>
  <c r="F106" i="1"/>
  <c r="E10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<sst xmlns="http://schemas.openxmlformats.org/spreadsheetml/2006/main" count="927" uniqueCount="731">
  <si>
    <t>800 Flanders Road Mystic, CT 06355 USA</t>
  </si>
  <si>
    <t>Phone (860) 572-8440  Fax (860) 572-0534</t>
  </si>
  <si>
    <t>www.Tylaska.com</t>
  </si>
  <si>
    <t>Price (US $)</t>
  </si>
  <si>
    <t>X8A Sew-in Tack Shackle</t>
  </si>
  <si>
    <t>J8 J-Lock Shackle</t>
  </si>
  <si>
    <t>J12 J-Lock Shackle</t>
  </si>
  <si>
    <t>J20 J-Lock Shackle</t>
  </si>
  <si>
    <t>J30 J-Lock Shackle</t>
  </si>
  <si>
    <t>H5 Aluminum Halyard Shackle</t>
  </si>
  <si>
    <t>H8 Aluminum Halyard Shackle</t>
  </si>
  <si>
    <t>H12 Aluminum Halyard Shackle</t>
  </si>
  <si>
    <t>H20 Aluminum Halyard Shackle</t>
  </si>
  <si>
    <t>Tylaska Spool Shackles</t>
  </si>
  <si>
    <t>S2 Spool Shackle</t>
  </si>
  <si>
    <t>S3 Spool Shackle</t>
  </si>
  <si>
    <t>S5 Spool Shackle</t>
  </si>
  <si>
    <t>S8 Spool Shackle</t>
  </si>
  <si>
    <t>S12 Spool Shackle</t>
  </si>
  <si>
    <t>S20 Spool Shackle</t>
  </si>
  <si>
    <t>S30 Spool Shackle</t>
  </si>
  <si>
    <t>P4 Polycarbonate Spool Shackle</t>
  </si>
  <si>
    <t>Tylaska Canvas Tools</t>
  </si>
  <si>
    <t>Sailmaker's Installation Die (DOT Die)</t>
  </si>
  <si>
    <t>Tylaska Swivels</t>
  </si>
  <si>
    <t>SP6 Trigger Style Snap Shackle</t>
  </si>
  <si>
    <t>SP10 Trigger Style Snap Shackle</t>
  </si>
  <si>
    <t>SP15 Trigger Style Snap Shackle</t>
  </si>
  <si>
    <t>PressLock Junior</t>
  </si>
  <si>
    <t>PressLock Senior</t>
  </si>
  <si>
    <t>SS10 Plunger Style Shackle</t>
  </si>
  <si>
    <t>Stainless Steel Stud Pin</t>
  </si>
  <si>
    <t>Stainless Toggle bushed to 1/2"</t>
  </si>
  <si>
    <t>Stainless Toggle bushed to 5/8"</t>
  </si>
  <si>
    <t>Bayonet Toggle Assembly w/Clevis (1/2")</t>
  </si>
  <si>
    <t>Bayonet Toggle Assembly w/Clevis (5/8")</t>
  </si>
  <si>
    <t xml:space="preserve">Ball-Lock Clevis Pins </t>
  </si>
  <si>
    <t>BL375-625  3/8" x 5/8"</t>
  </si>
  <si>
    <t>BL375-813  3/8" x 13/16"</t>
  </si>
  <si>
    <t>BL375-1000  3/8" x 1"</t>
  </si>
  <si>
    <t>BL375-1250  3/8" x 1-1/4"</t>
  </si>
  <si>
    <t>BL375-1500  3/8" x 1-1/2"</t>
  </si>
  <si>
    <t>BL500-1000  1/2" x 1"</t>
  </si>
  <si>
    <t>BL625-1000  5/8" x 1"</t>
  </si>
  <si>
    <t>BL625-1250  5/8" x 1-1/4"</t>
  </si>
  <si>
    <t>BL625-1500  5/8" x 1-1/2"</t>
  </si>
  <si>
    <t>BL625-1750  5/8" x 1-3/4"</t>
  </si>
  <si>
    <t>T5 Shacklehead (no bail, nut, or washer)</t>
  </si>
  <si>
    <t>T8 Shacklehead (no bail, nut, or washer)</t>
  </si>
  <si>
    <t>T12 Shacklehead (no bail, nut, or washer)</t>
  </si>
  <si>
    <t>T20 Shacklehead (no bail, nut, or washer)</t>
  </si>
  <si>
    <t>T30 Shacklehead (no bail, nut, or washer)</t>
  </si>
  <si>
    <t>Sailmaker's Punch</t>
  </si>
  <si>
    <t>Dogbones  (Aluminum)</t>
  </si>
  <si>
    <t>Dogbones  (Stainless Steel)</t>
  </si>
  <si>
    <t>Basic Clevis Pins</t>
  </si>
  <si>
    <t>Rigging Pins</t>
  </si>
  <si>
    <t>TY1005-S</t>
  </si>
  <si>
    <t>TY1005-CM</t>
  </si>
  <si>
    <t>TY1005-CR</t>
  </si>
  <si>
    <t>TY1005-L</t>
  </si>
  <si>
    <t>TY1005-P</t>
  </si>
  <si>
    <t>TY1008-P</t>
  </si>
  <si>
    <t>TY1012-P</t>
  </si>
  <si>
    <t>TY1020-P</t>
  </si>
  <si>
    <t>TY1030-P</t>
  </si>
  <si>
    <t>TY1005-SH</t>
  </si>
  <si>
    <t>TY1008-SH</t>
  </si>
  <si>
    <t>TY1012-SH</t>
  </si>
  <si>
    <t>TY1020-SH</t>
  </si>
  <si>
    <t>TY1030-SH</t>
  </si>
  <si>
    <t>TY1008-S</t>
  </si>
  <si>
    <t>TY1008-CM</t>
  </si>
  <si>
    <t>TY1008-CR</t>
  </si>
  <si>
    <t>TY1008-L</t>
  </si>
  <si>
    <t>TY1012-S</t>
  </si>
  <si>
    <t>TY1012-CR</t>
  </si>
  <si>
    <t>TY1012-L</t>
  </si>
  <si>
    <t>TY1016-S</t>
  </si>
  <si>
    <t>TY1016-L</t>
  </si>
  <si>
    <t>TY1020-S</t>
  </si>
  <si>
    <t>TY1020-CM</t>
  </si>
  <si>
    <t>TY1020-CR</t>
  </si>
  <si>
    <t>TY1020-L</t>
  </si>
  <si>
    <t>TY1030-S</t>
  </si>
  <si>
    <t>TY1030-CM</t>
  </si>
  <si>
    <t>TY1030-CR</t>
  </si>
  <si>
    <t>TY1030-L</t>
  </si>
  <si>
    <t>TY1040-S</t>
  </si>
  <si>
    <t>TY1040-CR</t>
  </si>
  <si>
    <t>TY1040-L</t>
  </si>
  <si>
    <t>TY1050-S</t>
  </si>
  <si>
    <t>TY1050-CR</t>
  </si>
  <si>
    <t>TY1050-L</t>
  </si>
  <si>
    <t>TY1008-X8A</t>
  </si>
  <si>
    <t>TY1308</t>
  </si>
  <si>
    <t>TY1312</t>
  </si>
  <si>
    <t>TY1320</t>
  </si>
  <si>
    <t>TY1330</t>
  </si>
  <si>
    <t>TY1405</t>
  </si>
  <si>
    <t>TY1408</t>
  </si>
  <si>
    <t>TY1412</t>
  </si>
  <si>
    <t>TY1420</t>
  </si>
  <si>
    <t>TY1505</t>
  </si>
  <si>
    <t>TY1508</t>
  </si>
  <si>
    <t>TY1508-S</t>
  </si>
  <si>
    <t>TY1512-S</t>
  </si>
  <si>
    <t>TY1512</t>
  </si>
  <si>
    <t>TY1520</t>
  </si>
  <si>
    <t>TY4002</t>
  </si>
  <si>
    <t>TY1705</t>
  </si>
  <si>
    <t>TY1708</t>
  </si>
  <si>
    <t>TY1712</t>
  </si>
  <si>
    <t>TY1716</t>
  </si>
  <si>
    <t>TY1720</t>
  </si>
  <si>
    <t>TY1720-SS</t>
  </si>
  <si>
    <t>TY1730</t>
  </si>
  <si>
    <t>TY1730-SS</t>
  </si>
  <si>
    <t>TY1905</t>
  </si>
  <si>
    <t>TY1912</t>
  </si>
  <si>
    <t>TY1920</t>
  </si>
  <si>
    <t>TY1805</t>
  </si>
  <si>
    <t>TY1812</t>
  </si>
  <si>
    <t>TY1820-SS</t>
  </si>
  <si>
    <t>TY1820</t>
  </si>
  <si>
    <t>TY1830-SS</t>
  </si>
  <si>
    <t>TY2402</t>
  </si>
  <si>
    <t>TY2403</t>
  </si>
  <si>
    <t>TY2405</t>
  </si>
  <si>
    <t>TY2408</t>
  </si>
  <si>
    <t>TY2412</t>
  </si>
  <si>
    <t>TY2420</t>
  </si>
  <si>
    <t>TY2430</t>
  </si>
  <si>
    <t>TY2404</t>
  </si>
  <si>
    <t>TY9001</t>
  </si>
  <si>
    <t>TY9002</t>
  </si>
  <si>
    <t>TY1205-SS</t>
  </si>
  <si>
    <t>TY1205-SL</t>
  </si>
  <si>
    <t>TY1205-LL</t>
  </si>
  <si>
    <t>TY1205-SC</t>
  </si>
  <si>
    <t>TY1205-CC</t>
  </si>
  <si>
    <t>TY1205-LC</t>
  </si>
  <si>
    <t>TY1208-SS</t>
  </si>
  <si>
    <t>TY1208-SL</t>
  </si>
  <si>
    <t>TY1208-LL</t>
  </si>
  <si>
    <t>TY1208-SC</t>
  </si>
  <si>
    <t>TY1208-CC</t>
  </si>
  <si>
    <t>TY1208-LC</t>
  </si>
  <si>
    <t>TY1212-SS</t>
  </si>
  <si>
    <t>TY1212-SL</t>
  </si>
  <si>
    <t>TY12-12-LL</t>
  </si>
  <si>
    <t>TY1212-SC</t>
  </si>
  <si>
    <t>TY1212-CC</t>
  </si>
  <si>
    <t>TY1212-LC</t>
  </si>
  <si>
    <t>TY1220-SS</t>
  </si>
  <si>
    <t>TY1220-SL</t>
  </si>
  <si>
    <t>TY1220-LL</t>
  </si>
  <si>
    <t>TY1220-SC</t>
  </si>
  <si>
    <t>TY1220-CC</t>
  </si>
  <si>
    <t>TY1220-LC</t>
  </si>
  <si>
    <t>TY1230-SS</t>
  </si>
  <si>
    <t>TY1230-SL</t>
  </si>
  <si>
    <t>TY1230-LL</t>
  </si>
  <si>
    <t>TY1230-SC</t>
  </si>
  <si>
    <t>TY1230-CC</t>
  </si>
  <si>
    <t>TY1230-LC</t>
  </si>
  <si>
    <t>TY1240-SS</t>
  </si>
  <si>
    <t>TY1240-SL</t>
  </si>
  <si>
    <t>TY1240-LL</t>
  </si>
  <si>
    <t>TY1240-SC</t>
  </si>
  <si>
    <t>TY1240-CC</t>
  </si>
  <si>
    <t>TY1240-LC</t>
  </si>
  <si>
    <t>TY1250-SS</t>
  </si>
  <si>
    <t>TY1250-SL</t>
  </si>
  <si>
    <t>TY1250-LL</t>
  </si>
  <si>
    <t>TY1250-SC</t>
  </si>
  <si>
    <t>TY1250-CC</t>
  </si>
  <si>
    <t>TY1250-LC</t>
  </si>
  <si>
    <t>TY2106</t>
  </si>
  <si>
    <t>TY2110</t>
  </si>
  <si>
    <t>TY2115</t>
  </si>
  <si>
    <t>TY2205</t>
  </si>
  <si>
    <t>TY2210</t>
  </si>
  <si>
    <t>TY2010</t>
  </si>
  <si>
    <t>TY2322</t>
  </si>
  <si>
    <t>TY2314</t>
  </si>
  <si>
    <t>TY2303</t>
  </si>
  <si>
    <t>TY2330</t>
  </si>
  <si>
    <t>TY2340</t>
  </si>
  <si>
    <t>2340-M10</t>
  </si>
  <si>
    <t>TY2340-BT</t>
  </si>
  <si>
    <t>TY2341-BT</t>
  </si>
  <si>
    <t>2340-A10</t>
  </si>
  <si>
    <t>2341-A10</t>
  </si>
  <si>
    <t>TY2603</t>
  </si>
  <si>
    <t>TY2604</t>
  </si>
  <si>
    <t>TY2605</t>
  </si>
  <si>
    <t>TY2606</t>
  </si>
  <si>
    <t>TY2607</t>
  </si>
  <si>
    <t>TY2608</t>
  </si>
  <si>
    <t>TY2610</t>
  </si>
  <si>
    <t>TY2614</t>
  </si>
  <si>
    <t>TY2618</t>
  </si>
  <si>
    <t>TY2622</t>
  </si>
  <si>
    <t>TY2626</t>
  </si>
  <si>
    <t>TY3312-20</t>
  </si>
  <si>
    <t>TY3312-26</t>
  </si>
  <si>
    <t>TY3312-32</t>
  </si>
  <si>
    <t>TY3312-40</t>
  </si>
  <si>
    <t>TY3312-48</t>
  </si>
  <si>
    <t>TY3316-32</t>
  </si>
  <si>
    <t>TY3320-32</t>
  </si>
  <si>
    <t>TY3320-40</t>
  </si>
  <si>
    <t>TY3320-48</t>
  </si>
  <si>
    <t>TY3320-56</t>
  </si>
  <si>
    <t>TY2506</t>
  </si>
  <si>
    <t>TY2508</t>
  </si>
  <si>
    <t>TY2510</t>
  </si>
  <si>
    <t>TY2512</t>
  </si>
  <si>
    <t>TY2514</t>
  </si>
  <si>
    <t>TY2516</t>
  </si>
  <si>
    <t>TY2518</t>
  </si>
  <si>
    <t>TY2506-SS</t>
  </si>
  <si>
    <t>TY2508-SS</t>
  </si>
  <si>
    <t>TY2510-SS</t>
  </si>
  <si>
    <t>TY2512-SS</t>
  </si>
  <si>
    <t>TY2514-SS</t>
  </si>
  <si>
    <t>TY2516-SS</t>
  </si>
  <si>
    <t>TY2518-SS</t>
  </si>
  <si>
    <t>TY2524-SS</t>
  </si>
  <si>
    <t>TY3004-12</t>
  </si>
  <si>
    <t>TY3005-12</t>
  </si>
  <si>
    <t>TY3005-20</t>
  </si>
  <si>
    <t>TY3006-09</t>
  </si>
  <si>
    <t>TY3006-13</t>
  </si>
  <si>
    <t>TY3006-17</t>
  </si>
  <si>
    <t>TY3006-24</t>
  </si>
  <si>
    <t>TY3006-32</t>
  </si>
  <si>
    <t>TY3008-13</t>
  </si>
  <si>
    <t>TY3008-16</t>
  </si>
  <si>
    <t>TY3008-24</t>
  </si>
  <si>
    <t>TY3008-28</t>
  </si>
  <si>
    <t>TY3008-32</t>
  </si>
  <si>
    <t>TY3008-40</t>
  </si>
  <si>
    <t>TY3008-48</t>
  </si>
  <si>
    <t>TY3010-16</t>
  </si>
  <si>
    <t>TY3010-18</t>
  </si>
  <si>
    <t>TY3010-22</t>
  </si>
  <si>
    <t>TY3010-32</t>
  </si>
  <si>
    <t>TY3010-40</t>
  </si>
  <si>
    <t>TY3012-22</t>
  </si>
  <si>
    <t>TY3012-26</t>
  </si>
  <si>
    <t>TY3012-32</t>
  </si>
  <si>
    <t>TY3012-40</t>
  </si>
  <si>
    <t>TY3012-48</t>
  </si>
  <si>
    <t>TY3016-24</t>
  </si>
  <si>
    <t>TY3016-28</t>
  </si>
  <si>
    <t>TY3016-32</t>
  </si>
  <si>
    <t>TY3016-48</t>
  </si>
  <si>
    <t>TY3020-32</t>
  </si>
  <si>
    <t>TY3020-36</t>
  </si>
  <si>
    <t>TY3020-40</t>
  </si>
  <si>
    <t>TY3024-42</t>
  </si>
  <si>
    <t>TY3024-50</t>
  </si>
  <si>
    <t>TY3024-60</t>
  </si>
  <si>
    <t>TY3104-12</t>
  </si>
  <si>
    <t>TY3105-12</t>
  </si>
  <si>
    <t>TY3105-20</t>
  </si>
  <si>
    <t>TY3106-09</t>
  </si>
  <si>
    <t>TY3106-13</t>
  </si>
  <si>
    <t>TY3106-17</t>
  </si>
  <si>
    <t>TY3106-24</t>
  </si>
  <si>
    <t>TY3106-32</t>
  </si>
  <si>
    <t>TY3108-13</t>
  </si>
  <si>
    <t>TY3108-16</t>
  </si>
  <si>
    <t>TY3108-24</t>
  </si>
  <si>
    <t>TY3108-28</t>
  </si>
  <si>
    <t>TY3108-32</t>
  </si>
  <si>
    <t>TY3108-40</t>
  </si>
  <si>
    <t>TY3108-48</t>
  </si>
  <si>
    <t>TY3110-16</t>
  </si>
  <si>
    <t>TY3110-18</t>
  </si>
  <si>
    <t>TY3110-22</t>
  </si>
  <si>
    <t>TY3110-32</t>
  </si>
  <si>
    <t>TY3110-40</t>
  </si>
  <si>
    <t>TY3112-22</t>
  </si>
  <si>
    <t>TY3112-26</t>
  </si>
  <si>
    <t>TY3112-32</t>
  </si>
  <si>
    <t>TY3112-40</t>
  </si>
  <si>
    <t>TY3112-48</t>
  </si>
  <si>
    <t>TY3116-24</t>
  </si>
  <si>
    <t>TY3116-28</t>
  </si>
  <si>
    <t>TY3116-32</t>
  </si>
  <si>
    <t>TY3116-48</t>
  </si>
  <si>
    <t>TY3120-32</t>
  </si>
  <si>
    <t>TY3120-36</t>
  </si>
  <si>
    <t>TY3120-40</t>
  </si>
  <si>
    <t>TY3124-42</t>
  </si>
  <si>
    <t>TY3124-50</t>
  </si>
  <si>
    <t>TY3124-60</t>
  </si>
  <si>
    <t>TY3208-48</t>
  </si>
  <si>
    <t>TY3208-112</t>
  </si>
  <si>
    <t>TY3208-64</t>
  </si>
  <si>
    <t>TY3208-80</t>
  </si>
  <si>
    <t>TY3208-96</t>
  </si>
  <si>
    <t>TY3210-112</t>
  </si>
  <si>
    <t>TY3210-48</t>
  </si>
  <si>
    <t>TY3210-64</t>
  </si>
  <si>
    <t>TY3210-80</t>
  </si>
  <si>
    <t>TY3210-96</t>
  </si>
  <si>
    <t>TY3212-112</t>
  </si>
  <si>
    <t>TY3212-48</t>
  </si>
  <si>
    <t>TY3212-64</t>
  </si>
  <si>
    <t>TY3212-80</t>
  </si>
  <si>
    <t>TY3212-96</t>
  </si>
  <si>
    <t>TY3214-112</t>
  </si>
  <si>
    <t>TY3214-48</t>
  </si>
  <si>
    <t>TY3214-64</t>
  </si>
  <si>
    <t>TY3214-80</t>
  </si>
  <si>
    <t>TY3214-96</t>
  </si>
  <si>
    <t>TY3216-112</t>
  </si>
  <si>
    <t>TY3216-48</t>
  </si>
  <si>
    <t>TY3216-64</t>
  </si>
  <si>
    <t>TY3216-80</t>
  </si>
  <si>
    <t>TY3216-96</t>
  </si>
  <si>
    <t>TY3220-112</t>
  </si>
  <si>
    <t>TY3220-48</t>
  </si>
  <si>
    <t>TY3220-64</t>
  </si>
  <si>
    <t>TY3220-80</t>
  </si>
  <si>
    <t>TY3220-96</t>
  </si>
  <si>
    <t>TY3224-112</t>
  </si>
  <si>
    <t>TY3224-64</t>
  </si>
  <si>
    <t>TY3224-80</t>
  </si>
  <si>
    <t>TY3224-96</t>
  </si>
  <si>
    <t>TY1016-SH</t>
  </si>
  <si>
    <t>T16 Shacklehead (no bail, nut, or washer)</t>
  </si>
  <si>
    <t>TY1016-P</t>
  </si>
  <si>
    <t>P5 - T5 Plug Fid (Purple)</t>
  </si>
  <si>
    <t>P8 - T8 Plug Fid (Purple)</t>
  </si>
  <si>
    <t>P12 - T12 Plug Fid (Purple)</t>
  </si>
  <si>
    <t>P16 - T16 Plug Fid (Purple)</t>
  </si>
  <si>
    <t>P20 - T20 Plug Fid (Purple)</t>
  </si>
  <si>
    <t>P30 - T30 Plug Fid (Purple)</t>
  </si>
  <si>
    <t>TY2612</t>
  </si>
  <si>
    <t>Quickstay</t>
  </si>
  <si>
    <t>TY3420-EYE</t>
  </si>
  <si>
    <t>Description</t>
  </si>
  <si>
    <t>Part Number</t>
  </si>
  <si>
    <t>MSRP</t>
  </si>
  <si>
    <t>TY3104-20</t>
  </si>
  <si>
    <t>TY3004-20</t>
  </si>
  <si>
    <t xml:space="preserve"> 1/8" dia. x 5/8" grip length</t>
  </si>
  <si>
    <t xml:space="preserve"> 1/8" dia.  x 3/8" grip length</t>
  </si>
  <si>
    <t>5/32" dia. x 3/8" grip length</t>
  </si>
  <si>
    <t>5/32" dia. x 5/8" grip length</t>
  </si>
  <si>
    <t>3/16" dia. x 9/32" grip length</t>
  </si>
  <si>
    <t>3/16" dia. x 13/32" grip length</t>
  </si>
  <si>
    <t>3/16" dia. x 17/32" grip length</t>
  </si>
  <si>
    <t xml:space="preserve">3/16" dia. x 3/4" grip length </t>
  </si>
  <si>
    <t>3/16" dia. x  1" grip length</t>
  </si>
  <si>
    <t>1/4" dia. x 13/32" grip length</t>
  </si>
  <si>
    <t>1/4" dia. X 1/2" grip length</t>
  </si>
  <si>
    <t>1/4" dia. x 3/4" grip length</t>
  </si>
  <si>
    <t>1/4" dia. x 7/8" grip length</t>
  </si>
  <si>
    <t>1/4" dia.  x 1" grip length</t>
  </si>
  <si>
    <t xml:space="preserve"> 1/4" dia. x 1-1/4" grip length</t>
  </si>
  <si>
    <t xml:space="preserve"> 1/4" dia. x 1-1/2" grip length</t>
  </si>
  <si>
    <t xml:space="preserve"> 5/16" dia. x 1/2" grip length</t>
  </si>
  <si>
    <t xml:space="preserve"> 5/16" dia. x 9/16" grip length</t>
  </si>
  <si>
    <t xml:space="preserve"> 5/16" dia. x 11/16" grip length</t>
  </si>
  <si>
    <t xml:space="preserve"> 5/16" dia. x 1" grip length</t>
  </si>
  <si>
    <t xml:space="preserve">  5/16" dia. x 1-1/4" grip length</t>
  </si>
  <si>
    <t xml:space="preserve"> 3/8" dia. x 11/16" grip length</t>
  </si>
  <si>
    <t xml:space="preserve"> 3/8" dia. x 13/16" grip length</t>
  </si>
  <si>
    <t xml:space="preserve"> 3/8" dia. x 1" grip length</t>
  </si>
  <si>
    <t xml:space="preserve"> 3/8" dia. x 1-1/4" grip length</t>
  </si>
  <si>
    <t xml:space="preserve"> 3/8" dia. x 1-1/2" grip length</t>
  </si>
  <si>
    <t xml:space="preserve">  1/2" dia. x 3/4"grip length</t>
  </si>
  <si>
    <t xml:space="preserve">  1/2" dia. x 7/8" grip length</t>
  </si>
  <si>
    <t xml:space="preserve">  1/2" dia. x 1" grip length</t>
  </si>
  <si>
    <t xml:space="preserve">  1/2" dia. x 1-1/2" grip length</t>
  </si>
  <si>
    <t xml:space="preserve">  5/8" dia. x 1" grip length</t>
  </si>
  <si>
    <t xml:space="preserve">  5/8" dia. x 1-1/8" grip length</t>
  </si>
  <si>
    <t xml:space="preserve">  5/8" dia. x 1-1/4" grip length</t>
  </si>
  <si>
    <t xml:space="preserve">  3/4" dia. x 1-5/16" grip length</t>
  </si>
  <si>
    <t xml:space="preserve">  3/4" dia. x 1-9/16" grip length</t>
  </si>
  <si>
    <t xml:space="preserve">  3/4" dia. x 1-7/8" grip length</t>
  </si>
  <si>
    <t>1/8" dia. x 3/8" grip length</t>
  </si>
  <si>
    <t>1/8" dia. x 5/8" grip length</t>
  </si>
  <si>
    <t xml:space="preserve"> 5/32" dia.  x 3/8" grip length </t>
  </si>
  <si>
    <t xml:space="preserve"> 5/32" dia. x 5/8" grip length</t>
  </si>
  <si>
    <t xml:space="preserve"> 3/16" dia. x 9/32" grip length</t>
  </si>
  <si>
    <t xml:space="preserve"> 3/16" dia. x 13/32" grip length</t>
  </si>
  <si>
    <t xml:space="preserve"> 3/16" dia. x 17/32" grip length</t>
  </si>
  <si>
    <t xml:space="preserve"> 3/16" dia. x 3/4" grip length</t>
  </si>
  <si>
    <t xml:space="preserve"> 3/16" dia. x 1" grip length</t>
  </si>
  <si>
    <t xml:space="preserve"> 1/4" dia. x 13/32" grip length</t>
  </si>
  <si>
    <t xml:space="preserve"> 1/4" dia. x 1/2" grip length</t>
  </si>
  <si>
    <t xml:space="preserve"> 1/4" dia.x 3/4" grip length</t>
  </si>
  <si>
    <t xml:space="preserve"> 1/4" dia. x 7/8" grip length</t>
  </si>
  <si>
    <t xml:space="preserve"> 1/4" dia. x 1" grip length</t>
  </si>
  <si>
    <t xml:space="preserve"> 1/4" dia x 1-1/4" grip length</t>
  </si>
  <si>
    <t xml:space="preserve"> 5/16" dia  x 1-1/4" grip length</t>
  </si>
  <si>
    <t xml:space="preserve">  3/8" dia. x 11/16" grip length</t>
  </si>
  <si>
    <t xml:space="preserve">  3/8" dia. x 13/16" grip length</t>
  </si>
  <si>
    <t xml:space="preserve">  3/8" dia. x 1" grip length</t>
  </si>
  <si>
    <t xml:space="preserve">  3/8" dia. x  1-1/4" grip length</t>
  </si>
  <si>
    <t xml:space="preserve">  3/8" dia. x 1-1/2" grip length</t>
  </si>
  <si>
    <t xml:space="preserve">  1/2" dia. x 3/4" grip length</t>
  </si>
  <si>
    <t xml:space="preserve">  1/4" dia. x 1-1/2" grip length</t>
  </si>
  <si>
    <t xml:space="preserve">  1/4" dia. x 2" grip length</t>
  </si>
  <si>
    <t xml:space="preserve">  1/4" dia. x 2-1/2" grip length</t>
  </si>
  <si>
    <t xml:space="preserve">  1/4" dia. x 3" grip length</t>
  </si>
  <si>
    <t xml:space="preserve">  1/4" dia. x 3-1/2" grip length</t>
  </si>
  <si>
    <t xml:space="preserve">  5/16" dia. x 1-1/2" grip length</t>
  </si>
  <si>
    <t xml:space="preserve">  5/16" dia. x 2" grip length</t>
  </si>
  <si>
    <t xml:space="preserve">  5/16" dia. x 2-1/2" grip length</t>
  </si>
  <si>
    <t xml:space="preserve">  5/16" dia. x 3" grip length</t>
  </si>
  <si>
    <t xml:space="preserve">  5/16" dia. x 3-1/2" grip length</t>
  </si>
  <si>
    <t xml:space="preserve">  3/8" dia. x 2" grip length</t>
  </si>
  <si>
    <t xml:space="preserve">  3/8" dia. x 2-1/2" grip length</t>
  </si>
  <si>
    <t xml:space="preserve">  3/8" dia. x 3" grip length</t>
  </si>
  <si>
    <t xml:space="preserve">  3/8" dia. x 3-1/2" grip length</t>
  </si>
  <si>
    <t xml:space="preserve">  7/16" dia. x 1-1/2" grip length</t>
  </si>
  <si>
    <t xml:space="preserve">  7/16" dia. x 2" grip length</t>
  </si>
  <si>
    <t xml:space="preserve">  7/16" dia. x 2-1/2" grip length</t>
  </si>
  <si>
    <t xml:space="preserve">  7/16" dia. x 3" grip length</t>
  </si>
  <si>
    <t xml:space="preserve">  7/16" dia. x 3-1/2" grip length</t>
  </si>
  <si>
    <t xml:space="preserve">  1/2" dia. x 2" grip length</t>
  </si>
  <si>
    <t xml:space="preserve">  1/2" dia. x 2-1/2" grip length</t>
  </si>
  <si>
    <t xml:space="preserve">  1/2" dia. x 3" grip length</t>
  </si>
  <si>
    <t xml:space="preserve">  1/2" dia. x 3-1/2" grip length</t>
  </si>
  <si>
    <t xml:space="preserve">  5/8" dia. x 1-1/2" grip length</t>
  </si>
  <si>
    <t xml:space="preserve">  5/8" dia. x 2" grip length</t>
  </si>
  <si>
    <t xml:space="preserve">  5/8" dia. x 2-1/2" grip length</t>
  </si>
  <si>
    <t xml:space="preserve">  5/8" dia. x 3" grip length</t>
  </si>
  <si>
    <t xml:space="preserve">  5/8" dia. x 3-1/2" grip length</t>
  </si>
  <si>
    <t xml:space="preserve">   3/4" dia. x 1-1/2" grip length</t>
  </si>
  <si>
    <t xml:space="preserve">   3/4" dia. x 2" grip length</t>
  </si>
  <si>
    <t xml:space="preserve">   3/4" dia. x 2-1/2" grip length</t>
  </si>
  <si>
    <t xml:space="preserve">   3/4" dia. x 3" grip length</t>
  </si>
  <si>
    <t xml:space="preserve">   3/4" dia. x 3-1/2" grip length</t>
  </si>
  <si>
    <t>TY3601-M04</t>
  </si>
  <si>
    <t>TY3601-M05</t>
  </si>
  <si>
    <t>TY3601-07</t>
  </si>
  <si>
    <t>TY3601-M06</t>
  </si>
  <si>
    <t>TY3601-08</t>
  </si>
  <si>
    <t>TY3601-M07</t>
  </si>
  <si>
    <t>TY3601-M08</t>
  </si>
  <si>
    <t>TY3601-12</t>
  </si>
  <si>
    <t>TY3601-M10</t>
  </si>
  <si>
    <t>TY3601-M11</t>
  </si>
  <si>
    <t>TY3601-M12</t>
  </si>
  <si>
    <t>TY3601-16</t>
  </si>
  <si>
    <t>TY3601-M14</t>
  </si>
  <si>
    <t>TY3602-M05</t>
  </si>
  <si>
    <t>TY3602-M06</t>
  </si>
  <si>
    <t>TY3602-M07</t>
  </si>
  <si>
    <t>TY3602-M08</t>
  </si>
  <si>
    <t>TY3602-M10</t>
  </si>
  <si>
    <t>TY3602-M12</t>
  </si>
  <si>
    <t>TY3602-M14</t>
  </si>
  <si>
    <t>NG cone for 5mm compact strand wire rope</t>
  </si>
  <si>
    <t>NG cone for 6mm compact strand wire rope</t>
  </si>
  <si>
    <t>NG cone for 7mm and 9/32" compact strand wire rope</t>
  </si>
  <si>
    <t>NG cone for 8mm and 5/16" compact strand wire rope</t>
  </si>
  <si>
    <t>NG cone for 10mm compact strand wire rope</t>
  </si>
  <si>
    <t>NG cone for 12mm compact strand wire rope</t>
  </si>
  <si>
    <t>NG cone for 14mm and 9/16" 1x19 wire rope</t>
  </si>
  <si>
    <t>NG cone for 1/2" 1x19 wire rope</t>
  </si>
  <si>
    <t>NG cone for 12mm 1x19 wire rope</t>
  </si>
  <si>
    <t>NG cone for 11mm and 7/16" 1x19 wire rope</t>
  </si>
  <si>
    <t>NG cone for 10mm 1x19 wire rope</t>
  </si>
  <si>
    <t>NG cone for 3/8" 1x19 wire rope</t>
  </si>
  <si>
    <t>NG cone for 8mm and 5/16" 1x19 wire rope</t>
  </si>
  <si>
    <t>NG cone for 7mm and 9/32" 1x19 wire rope</t>
  </si>
  <si>
    <t>NG cone for 1/4" 1x19 wire rope</t>
  </si>
  <si>
    <t>NG cone for 6mm 1x19 wire rope</t>
  </si>
  <si>
    <t>NG cone for 7/32" 1x19 wire rope</t>
  </si>
  <si>
    <t>NG cone for 5mm and 3/16" 1x19 wire rope</t>
  </si>
  <si>
    <t>NG cone for 4mm and 5/32" 1x19 wire rope</t>
  </si>
  <si>
    <t>TY1005-S-BRZ</t>
  </si>
  <si>
    <t>TY1005-L-BRZ</t>
  </si>
  <si>
    <t>TY1008-S-BRZ</t>
  </si>
  <si>
    <t>TY1008-L-BRZ</t>
  </si>
  <si>
    <t>TY1012-S-BRZ</t>
  </si>
  <si>
    <t>TY1012-L-BRZ</t>
  </si>
  <si>
    <t>SS Plunger Pin Hooks (For Lifting)</t>
  </si>
  <si>
    <t>TY2020L-S</t>
  </si>
  <si>
    <t>TY2020L-C</t>
  </si>
  <si>
    <t>TY2040L</t>
  </si>
  <si>
    <t>SS20L Standard Bail Plunger Pin Hook</t>
  </si>
  <si>
    <t>SS20L Clevis Bail Plunger Pin Hook</t>
  </si>
  <si>
    <t>SS40L Plunger Pin Hook</t>
  </si>
  <si>
    <t>LH Self-Locking Hooks (For Lifting)</t>
  </si>
  <si>
    <t>TY5010-E</t>
  </si>
  <si>
    <t>TY5010-E-PY</t>
  </si>
  <si>
    <t>LH10 Self-Locking Hook (Eye Type)</t>
  </si>
  <si>
    <t>LH10 Self-Locking Hook (Eye Type) Powder Coated Yellow</t>
  </si>
  <si>
    <t>TY4020</t>
  </si>
  <si>
    <t>ParaGrip Parachute Packing Tool</t>
  </si>
  <si>
    <t>ParaGrip Parachute Packing Tool (Black Oxide Finish)</t>
  </si>
  <si>
    <t>TY3603-M05</t>
  </si>
  <si>
    <t>NG cone for 5mm 7 strand wire rope</t>
  </si>
  <si>
    <t>TY2322-XD</t>
  </si>
  <si>
    <t>TY2303-XD</t>
  </si>
  <si>
    <t>Intrepid II XD Outboard Pole End</t>
  </si>
  <si>
    <t>Intrepid II 4" Outboard Pole End</t>
  </si>
  <si>
    <t>CR4 "Stubbie" 4" Inboard Pole End</t>
  </si>
  <si>
    <t>Gran Prix 3" Inboard Pole End</t>
  </si>
  <si>
    <t>Reaching Strut Inboard End</t>
  </si>
  <si>
    <t>Reaching Strut 3" Outboard End</t>
  </si>
  <si>
    <t>Gran Prix XD Inboard Pole End</t>
  </si>
  <si>
    <t>Halyard Shackles</t>
  </si>
  <si>
    <t>T-Series Trigger Release Snap Shackles</t>
  </si>
  <si>
    <t>H5 2:1 Aluminum Halyard Shackle (with Sheave)</t>
  </si>
  <si>
    <t>H8 2:1 Aluminum Halyard Shackle (with Sheave)</t>
  </si>
  <si>
    <t>H12 2:1 Aluminum Halyard Shackle (with Sheave)</t>
  </si>
  <si>
    <t>H20 2:1 Aluminum Halyard Shackle (with Sheave)</t>
  </si>
  <si>
    <t>Pole Ends &amp; Pole End Hardware</t>
  </si>
  <si>
    <t>T5 Peeling Shackle with Std/Std Linked Bails</t>
  </si>
  <si>
    <t>T8 Peeling Shackle with Std/Std Linked Bails</t>
  </si>
  <si>
    <t>T12 Peeling Shackle with Std/Std Linked Bails</t>
  </si>
  <si>
    <t>T16 Peeling Shackle with Std/Std Linked Bails</t>
  </si>
  <si>
    <t>T20 Peeling Shackle with Std/Std Linked Bails</t>
  </si>
  <si>
    <t>T30 Peeling Shackle with Std/Std Linked Bails</t>
  </si>
  <si>
    <t>TY1605</t>
  </si>
  <si>
    <t>T5-T16 Knurled Shackle Fid</t>
  </si>
  <si>
    <t>TY1616</t>
  </si>
  <si>
    <t>TY1606</t>
  </si>
  <si>
    <t>TY1640</t>
  </si>
  <si>
    <t xml:space="preserve">T16-T30 Knurled Shackle Fid </t>
  </si>
  <si>
    <t>T40-T50 Knurled Shackle Fid</t>
  </si>
  <si>
    <t>T5-T16 Knurled Fid with Stepped Taper</t>
  </si>
  <si>
    <t>P20SS - T20 Stainless Steel Plug Fid</t>
  </si>
  <si>
    <t>P30SS - T30 Stainless Steel Plug Fid</t>
  </si>
  <si>
    <t>T8 Double Cone Fid (Green)</t>
  </si>
  <si>
    <t>T12 Double Cone Fid (Green)</t>
  </si>
  <si>
    <t>T20 Double Cone Fid (Green)</t>
  </si>
  <si>
    <t>T5-T8 Single Cone Fid (Blue)</t>
  </si>
  <si>
    <t>T20 Stainless Steel Single Cone Fid</t>
  </si>
  <si>
    <t>T30 Stainless Steel Single Cone Fid</t>
  </si>
  <si>
    <t>T12-T16 Single Cone Fid (Blue)</t>
  </si>
  <si>
    <t>T20-T30 Single Cone Fid (Blue)</t>
  </si>
  <si>
    <t>T-Shackle Opening Fids</t>
  </si>
  <si>
    <t>T-Series Snap Shackles with PVD Bronze Finish</t>
  </si>
  <si>
    <t>T-Series Snap Shackles with Black Oxide Finish</t>
  </si>
  <si>
    <t>T5 Standard Bail Snap Shackle</t>
  </si>
  <si>
    <t>T8 Standard Bail Snap Shackle</t>
  </si>
  <si>
    <t>T12 Standard Bail Snap Shackle</t>
  </si>
  <si>
    <t>T16 Standard Bail Snap Shackle</t>
  </si>
  <si>
    <t>T20 Standard Bail Snap Shackle</t>
  </si>
  <si>
    <t>T30 Standard Bail Snap Shackle</t>
  </si>
  <si>
    <t>T40 Standard Bail Snap Shackle</t>
  </si>
  <si>
    <t>T50 Standard Bail Snap Shackle</t>
  </si>
  <si>
    <t>T8 Clevis Bail Snap Shackle 9/32" Pin</t>
  </si>
  <si>
    <t>T8 Clevis Bail Snap Shackle 6mm Pin</t>
  </si>
  <si>
    <t>T5 Clevis Bail Snap Shackle 1/4" Pin</t>
  </si>
  <si>
    <t>T5 Clevis Bail Snap Shackle 6mm Pin</t>
  </si>
  <si>
    <t>T12 Clevis Bail Snap Shackle 5/16" (8 MM) Pin</t>
  </si>
  <si>
    <t>T20 Clevis Bail Snap Shackle 10mm Pin</t>
  </si>
  <si>
    <t>T20 Clevis Bail Snap Shackle 7/16" Pin</t>
  </si>
  <si>
    <t>T30 Clevis Bail Snap Shackle 12mm Pin</t>
  </si>
  <si>
    <t>T30 Clevis Bail Snap Shackle 9/16" Pin</t>
  </si>
  <si>
    <t>T40 Clevis Bail Snap Shackle 3/4" Pin</t>
  </si>
  <si>
    <t>T50 Clevis Bail Snap Shackle 7/8" Pin</t>
  </si>
  <si>
    <t>T5 Large Bail Snap Shackle</t>
  </si>
  <si>
    <t>T8 Large Bail Snap Shackle</t>
  </si>
  <si>
    <t>T12 Large Bail Snap Shackle</t>
  </si>
  <si>
    <t>T16 Large Bail Snap Shackle</t>
  </si>
  <si>
    <t>T20 Large Bail Snap Shackle</t>
  </si>
  <si>
    <t>T30 Large Bail Snap Shackle</t>
  </si>
  <si>
    <t>T40 Large Bail Snap Shackle</t>
  </si>
  <si>
    <t>T50 Large Bail Snap Shackle</t>
  </si>
  <si>
    <t>T5 Standard Bail Snap Shackle with Bronze PVD Finish</t>
  </si>
  <si>
    <t>T5 Large Bail Snap Shackle with Bronze PVD Finish</t>
  </si>
  <si>
    <t>T8 Standard Bail Snap Shackle with Bronze PVD Finish</t>
  </si>
  <si>
    <t>T8 Large Bail Snap Shackle with Bronze PVD Finish</t>
  </si>
  <si>
    <t>T12 Standard Bail Snap Shackle with Bronze PVD Finish</t>
  </si>
  <si>
    <t>T12 Large Bail Snap Shackle with Bronze PVD Finish</t>
  </si>
  <si>
    <t>T5 Standard Bail Snap Shackle with Black Oxide Finish</t>
  </si>
  <si>
    <t>T5 Large Bail Snap Shackle with Black Oxide Finish</t>
  </si>
  <si>
    <t>T8 Standard Bail Snap Shackle with Black Oxide Finish</t>
  </si>
  <si>
    <t>T8 Large Bail Snap Shackle with with Black Oxide Finish</t>
  </si>
  <si>
    <t>T12 Standard Bail Snap Shackle with Black Oxide Finish</t>
  </si>
  <si>
    <t>T12 Large Bail Snap Shackle with with Black Oxide Finish</t>
  </si>
  <si>
    <t>Presslock Shackles</t>
  </si>
  <si>
    <t>J-Lock Shackles</t>
  </si>
  <si>
    <t>QS22 Quickstay with Eye Connection</t>
  </si>
  <si>
    <t>QS22 Quickstay with Fork Connection</t>
  </si>
  <si>
    <t>DB6 Dogbone (Aluminum)</t>
  </si>
  <si>
    <t>DB8 Dogbone (Aluminum)</t>
  </si>
  <si>
    <t>DB10 Dogbone (Aluminum)</t>
  </si>
  <si>
    <t>DB12 Dogbone (Aluminum)</t>
  </si>
  <si>
    <t>DB14 Dogbone (Aluminum)</t>
  </si>
  <si>
    <t>DB16 Dogbone (Aluminum)</t>
  </si>
  <si>
    <t>DB18 Dogbone (Aluminum)</t>
  </si>
  <si>
    <t>DB6 Dogbone (Stainless Steel)</t>
  </si>
  <si>
    <t>DB8 Dogbone (Stainless Steel)</t>
  </si>
  <si>
    <t>DB10 Dogbone (Stainless Steel)</t>
  </si>
  <si>
    <t>DB12 Dogbone (Stainless Steel)</t>
  </si>
  <si>
    <t>DB14 Dogbone (Stainless Steel)</t>
  </si>
  <si>
    <t>DB16 Dogbone (Stainless Steel)</t>
  </si>
  <si>
    <t>DB18 Dogbone (Stainless Steel)</t>
  </si>
  <si>
    <t>DB24 Dogbone (Stainless Steel)</t>
  </si>
  <si>
    <t>FR3 Ferrule</t>
  </si>
  <si>
    <t>FR4 Ferrule</t>
  </si>
  <si>
    <t>FR5 Ferrule</t>
  </si>
  <si>
    <t>FR6 Ferrule</t>
  </si>
  <si>
    <t>FR7 Ferrule</t>
  </si>
  <si>
    <t>FR8 Ferrule</t>
  </si>
  <si>
    <t>FR10 Ferrule</t>
  </si>
  <si>
    <t>FR12 Ferrule</t>
  </si>
  <si>
    <t>FR14 Ferrule</t>
  </si>
  <si>
    <t>FR18 Ferrule</t>
  </si>
  <si>
    <t>FR22 Ferrule</t>
  </si>
  <si>
    <t>FR26 Ferrule</t>
  </si>
  <si>
    <t>Ferrules (Low Friction Rings)</t>
  </si>
  <si>
    <t>T5 Std/Std Bail Swivel</t>
  </si>
  <si>
    <t>T5 Std/Large Bail Swivel</t>
  </si>
  <si>
    <t>T5 Large/Large Bail Swivel</t>
  </si>
  <si>
    <t>T5 Std/Clevis Bail Swivel</t>
  </si>
  <si>
    <t>T5 Clevis/Clevis Bail Swivel</t>
  </si>
  <si>
    <t>T5 Large/Clevis Bail Swivel</t>
  </si>
  <si>
    <t>T8 Std/Std Bail Swivel</t>
  </si>
  <si>
    <t>T8 Std/Large Bail Swivel</t>
  </si>
  <si>
    <t>T8 Large/Large Bail Swivel</t>
  </si>
  <si>
    <t>T8 Std/Clevis Bail Swivel</t>
  </si>
  <si>
    <t>T8 Clevis/Clevis Bail Swivel</t>
  </si>
  <si>
    <t>T8 Large/Clevis Bail Swivel</t>
  </si>
  <si>
    <t>T12 Std/Std Bail Swivel</t>
  </si>
  <si>
    <t>T12 Std/Large Bail Swivel</t>
  </si>
  <si>
    <t>T12 Large/Large Bail Swivel</t>
  </si>
  <si>
    <t>T12 Std/Clevis Bail Swivel</t>
  </si>
  <si>
    <t>T12 Clevis/Clevis Bail Swivel</t>
  </si>
  <si>
    <t>T12 Large/Clevis Bail Swivel</t>
  </si>
  <si>
    <t>T20 Std/Std Bail Swivel</t>
  </si>
  <si>
    <t>T20 Std/Large Bail Swivel</t>
  </si>
  <si>
    <t>T20 Large/Large Bail Swivel</t>
  </si>
  <si>
    <t>T20 Std/Clevis Bail Swivel</t>
  </si>
  <si>
    <t>T20 Clevis/Clevis Bail Swivel</t>
  </si>
  <si>
    <t>T20 Large/Clevis Bail Swivel</t>
  </si>
  <si>
    <t>T30 Std/Std Bail Swivel</t>
  </si>
  <si>
    <t>T30 Std/Large Bail Swivel</t>
  </si>
  <si>
    <t>T30 Large/Large Bail Swivel</t>
  </si>
  <si>
    <t>T30 Std/Clevis Bail Swivel</t>
  </si>
  <si>
    <t>T30 Clevis/Clevis Bail Swivel</t>
  </si>
  <si>
    <t>T30 Large/Clevis Bail Swivel</t>
  </si>
  <si>
    <t>T40 Std/Std Bail Swivel</t>
  </si>
  <si>
    <t>T40 Std/Large Bail Swivel</t>
  </si>
  <si>
    <t>T40 Large/Large Bail Swivel</t>
  </si>
  <si>
    <t>T40 Std/Clevis Bail Swivel</t>
  </si>
  <si>
    <t>T40 Clevis/Clevis Bail Swivel</t>
  </si>
  <si>
    <t>T40 Large/Clevis Bail Swivel</t>
  </si>
  <si>
    <t>T50 Std/Std Bail Swivel</t>
  </si>
  <si>
    <t>T50 Std/Large Bail Swivel</t>
  </si>
  <si>
    <t>T50 Large/Large Bail Swivel</t>
  </si>
  <si>
    <t>T50 Std/Clevis Bail Swivel</t>
  </si>
  <si>
    <t>T50 Clevis/Clevis Bail Swivel</t>
  </si>
  <si>
    <t>T50 Large/Clevis Bail Swivel</t>
  </si>
  <si>
    <t>RSL (MP-2) Plunger Pin Shackle</t>
  </si>
  <si>
    <t>RSL (MP-2) Plunger Pin Shackle (Black Oxide Finish)</t>
  </si>
  <si>
    <t>Parachute Hardware</t>
  </si>
  <si>
    <t>Special Order Black Oxide Shackles (Excluding T40, T50, SS40L)</t>
  </si>
  <si>
    <t>TY2606-L</t>
  </si>
  <si>
    <t>FR6-L Ferrule</t>
  </si>
  <si>
    <t>TY4020-BL</t>
  </si>
  <si>
    <t>TY1005-S-BL</t>
  </si>
  <si>
    <t>TY1005-L-BL</t>
  </si>
  <si>
    <t>TY1008-S-BL</t>
  </si>
  <si>
    <t>TY1008-L-BL</t>
  </si>
  <si>
    <t>TY1012-S-BL</t>
  </si>
  <si>
    <t>TY1012-L-BL</t>
  </si>
  <si>
    <t>TYXXXX-X-BL</t>
  </si>
  <si>
    <t>TY4002-BL</t>
  </si>
  <si>
    <t>TY3420-FRK</t>
  </si>
  <si>
    <t>TY1005-S-MB</t>
  </si>
  <si>
    <t>TY1008-S-MB</t>
  </si>
  <si>
    <t>TY1012-S-MB</t>
  </si>
  <si>
    <t>TY1016-S-MB</t>
  </si>
  <si>
    <t>T-Series Martin Breaker Shackles (w/ through cable to release shackle)</t>
  </si>
  <si>
    <t>T-Series Linked Peeling Shackles (two shackles linked at bail)</t>
  </si>
  <si>
    <t>T-Series Shackleheads (no washer, nut, or bail)</t>
  </si>
  <si>
    <t>TY1020-S-MB</t>
  </si>
  <si>
    <t>T5 Standard Bail Snap Shackle Martin Breaker</t>
  </si>
  <si>
    <t>T8 Standard Bail Snap Shackle Martin Breaker</t>
  </si>
  <si>
    <t>T12 Standard Bail Snap Shackle Martin Breaker</t>
  </si>
  <si>
    <t>T16 Standard Bail Snap Shackle Martin Breaker</t>
  </si>
  <si>
    <t>T20 Standard Bail Snap Shackle Martin Breaker</t>
  </si>
  <si>
    <t>T-Series Shackles Linked to Welded Ring</t>
  </si>
  <si>
    <t>Two-Hole  Clevis Pins</t>
  </si>
  <si>
    <t>Price of Shackles + $175 Flat Fee</t>
  </si>
  <si>
    <t>SP Trigger Release Snap Shackles</t>
  </si>
  <si>
    <t>Plunger Pin Style Snap Shackles</t>
  </si>
  <si>
    <t>TY1020-S-SP</t>
  </si>
  <si>
    <t>T20 Standard Bail Snap Shackle with Safety Pin</t>
  </si>
  <si>
    <t>TY1030-S-SP</t>
  </si>
  <si>
    <t>T30 Standard Bail Snap Shackle with Safety Pin</t>
  </si>
  <si>
    <t>$150 lot charge or +$10 per shackle if ordering more than 16 shackles</t>
  </si>
  <si>
    <t>40% Off</t>
  </si>
  <si>
    <t>50% Off</t>
  </si>
  <si>
    <t>55% Off</t>
  </si>
  <si>
    <t>N/A</t>
  </si>
  <si>
    <t>20% Off</t>
  </si>
  <si>
    <t>TY2604-SS</t>
  </si>
  <si>
    <t>FR4 Ferrule (316L Stainless Steel)</t>
  </si>
  <si>
    <t>TY1000-R20</t>
  </si>
  <si>
    <t>TY1000-R24</t>
  </si>
  <si>
    <t>TY1000-R33</t>
  </si>
  <si>
    <t>2" Ring (open or w/ "T" cross bars) linked to T5-T30 Shackles</t>
  </si>
  <si>
    <t>2-3/8" Ring (open or w/ "T" cross bars) linked to T5-T30 Shackles</t>
  </si>
  <si>
    <t>3-1/4" Ring (open or w/ "T" cross bars) linked to T5-T30 Shackles</t>
  </si>
  <si>
    <t>Norseman-Gibb Swageless Cones (1x19 Wire Rope)</t>
  </si>
  <si>
    <t>Norseman-Gibb Swageless Cones (1x19 Compacted Strand Wire Rope)</t>
  </si>
  <si>
    <t>Norseman-Gibb Swageless Cones (7x19 Wire Rope)</t>
  </si>
  <si>
    <t>Low Friction Rigging Rings</t>
  </si>
  <si>
    <t>TY2714</t>
  </si>
  <si>
    <t>TY2720</t>
  </si>
  <si>
    <t>TY2728</t>
  </si>
  <si>
    <t>TR14 Rigging Ring</t>
  </si>
  <si>
    <t>TR20 Rigging Ring</t>
  </si>
  <si>
    <t>TR28 Rigging Ring</t>
  </si>
  <si>
    <t>4020-V10</t>
  </si>
  <si>
    <t xml:space="preserve">ParaGrip replacement cord </t>
  </si>
  <si>
    <t>Tylaska Marine &amp; Aerospace 2020 Price List</t>
  </si>
  <si>
    <t/>
  </si>
  <si>
    <t>TY3224-48</t>
  </si>
  <si>
    <t>NG cone for 14mm and 9/16" compact strand wire rope (1x25)</t>
  </si>
  <si>
    <t>Revised 5/7/2020</t>
  </si>
  <si>
    <t>H8 2:1 Split Halyard Shackle (with Sheave)</t>
  </si>
  <si>
    <t>H12 2:1 Split Halyard Shackle (with Sheave)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</si>
</sst>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Font="1"/>
    <xf numFmtId="49" fontId="0" fillId="0" borderId="0" xfId="0" applyNumberFormat="1" applyFont="1" applyBorder="1"/>
    <xf numFmtId="0" fontId="0" fillId="0" borderId="0" xfId="0" applyNumberFormat="1" applyFont="1" applyBorder="1"/>
    <xf numFmtId="49" fontId="0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0" fillId="0" borderId="0" xfId="0" applyNumberFormat="1" applyFont="1" applyFill="1" applyBorder="1"/>
    <xf numFmtId="0" fontId="0" fillId="0" borderId="0" xfId="0" applyFont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 applyFont="1" applyFill="1" applyBorder="1"/>
    <xf numFmtId="2" fontId="0" fillId="0" borderId="0" xfId="0" applyNumberFormat="1" applyFont="1" applyBorder="1"/>
    <xf numFmtId="2" fontId="0" fillId="0" borderId="0" xfId="0" applyNumberFormat="1"/>
    <xf numFmtId="0" fontId="0" fillId="0" borderId="0" xfId="0" applyAlignment="1"/>
    <xf numFmtId="0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horizontal="right" wrapText="1"/>
    </xf>
    <xf numFmtId="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Border="1"/>
    <xf numFmtId="2" fontId="6" fillId="0" borderId="0" xfId="0" applyNumberFormat="1" applyFont="1" applyFill="1" applyAlignment="1">
      <alignment horizontal="right"/>
    </xf>
    <xf numFmtId="0" fontId="4" fillId="0" borderId="0" xfId="0" applyFont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ylask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82"/>
  <sheetViews>
    <sheetView tabSelected="1" zoomScale="115" zoomScaleNormal="115" workbookViewId="0">
      <pane ySplit="7" topLeftCell="A125" activePane="bottomLeft" state="frozen"/>
      <selection pane="bottomLeft" activeCell="B145" sqref="B145"/>
    </sheetView>
  </sheetViews>
  <sheetFormatPr defaultRowHeight="15" x14ac:dyDescent="0.25"/>
  <cols>
    <col min="1" max="1" width="14.140625" customWidth="1"/>
    <col min="2" max="2" width="56.42578125" customWidth="1"/>
    <col min="3" max="4" width="10.7109375" customWidth="1"/>
    <col min="5" max="7" width="10.7109375" style="17" customWidth="1"/>
  </cols>
  <sheetData>
    <row r="2" spans="1:7" ht="31.5" customHeight="1" x14ac:dyDescent="0.25">
      <c r="A2" s="27" t="s">
        <v>724</v>
      </c>
      <c r="B2" s="27"/>
      <c r="C2" s="27"/>
      <c r="D2" s="25" t="s">
        <v>728</v>
      </c>
      <c r="E2" s="25"/>
      <c r="F2" s="25"/>
      <c r="G2" s="25"/>
    </row>
    <row r="3" spans="1:7" x14ac:dyDescent="0.25">
      <c r="A3" t="s">
        <v>0</v>
      </c>
    </row>
    <row r="4" spans="1:7" x14ac:dyDescent="0.25">
      <c r="A4" t="s">
        <v>1</v>
      </c>
    </row>
    <row r="5" spans="1:7" x14ac:dyDescent="0.25">
      <c r="A5" s="1" t="s">
        <v>2</v>
      </c>
    </row>
    <row r="7" spans="1:7" ht="17.25" customHeight="1" x14ac:dyDescent="0.25">
      <c r="A7" s="10" t="s">
        <v>347</v>
      </c>
      <c r="B7" s="11" t="s">
        <v>346</v>
      </c>
      <c r="C7" s="10" t="s">
        <v>348</v>
      </c>
      <c r="D7" s="20" t="s">
        <v>703</v>
      </c>
      <c r="E7" s="18" t="s">
        <v>699</v>
      </c>
      <c r="F7" s="18" t="s">
        <v>700</v>
      </c>
      <c r="G7" s="18" t="s">
        <v>701</v>
      </c>
    </row>
    <row r="8" spans="1:7" x14ac:dyDescent="0.25">
      <c r="A8" s="29" t="s">
        <v>514</v>
      </c>
      <c r="B8" s="29"/>
      <c r="C8" s="2" t="s">
        <v>3</v>
      </c>
      <c r="D8" s="2"/>
      <c r="E8" s="19"/>
      <c r="F8" s="19"/>
      <c r="G8" s="19"/>
    </row>
    <row r="9" spans="1:7" x14ac:dyDescent="0.25">
      <c r="A9" t="s">
        <v>57</v>
      </c>
      <c r="B9" t="s">
        <v>547</v>
      </c>
      <c r="C9">
        <v>196.79000000000002</v>
      </c>
      <c r="D9" s="19">
        <f>IFERROR(IF($C9*0.8=0,"",$C9*0.8),"")</f>
        <v>157.43200000000002</v>
      </c>
      <c r="E9" s="19">
        <f>IFERROR(IF($C9*0.6=0,"",$C9*0.6),"")</f>
        <v>118.07400000000001</v>
      </c>
      <c r="F9" s="19">
        <f>IFERROR(IF($C9*0.5=0,"",$C9*0.5),"")</f>
        <v>98.39500000000001</v>
      </c>
      <c r="G9" s="19">
        <f>IFERROR(IF($C9*0.45=0,"",$C9*0.45),"")</f>
        <v>88.555500000000009</v>
      </c>
    </row>
    <row r="10" spans="1:7" x14ac:dyDescent="0.25">
      <c r="A10" t="s">
        <v>58</v>
      </c>
      <c r="B10" t="s">
        <v>558</v>
      </c>
      <c r="C10">
        <v>201.89000000000001</v>
      </c>
      <c r="D10" s="19">
        <f t="shared" ref="D10:D38" si="0">IFERROR(IF($C10*0.8=0,"",$C10*0.8),"")</f>
        <v>161.51200000000003</v>
      </c>
      <c r="E10" s="19">
        <f t="shared" ref="E10:E38" si="1">IFERROR(IF($C10*0.6=0,"",$C10*0.6),"")</f>
        <v>121.134</v>
      </c>
      <c r="F10" s="19">
        <f t="shared" ref="F10:F31" si="2">IFERROR(IF($C10*0.5=0,"",$C10*0.5),"")</f>
        <v>100.94500000000001</v>
      </c>
      <c r="G10" s="19">
        <f t="shared" ref="G10:G26" si="3">IFERROR(IF($C10*0.45=0,"",$C10*0.45),"")</f>
        <v>90.850500000000011</v>
      </c>
    </row>
    <row r="11" spans="1:7" x14ac:dyDescent="0.25">
      <c r="A11" t="s">
        <v>59</v>
      </c>
      <c r="B11" t="s">
        <v>557</v>
      </c>
      <c r="C11">
        <v>201.89000000000001</v>
      </c>
      <c r="D11" s="19">
        <f t="shared" si="0"/>
        <v>161.51200000000003</v>
      </c>
      <c r="E11" s="19">
        <f t="shared" si="1"/>
        <v>121.134</v>
      </c>
      <c r="F11" s="19">
        <f t="shared" si="2"/>
        <v>100.94500000000001</v>
      </c>
      <c r="G11" s="19">
        <f t="shared" si="3"/>
        <v>90.850500000000011</v>
      </c>
    </row>
    <row r="12" spans="1:7" x14ac:dyDescent="0.25">
      <c r="A12" t="s">
        <v>60</v>
      </c>
      <c r="B12" t="s">
        <v>566</v>
      </c>
      <c r="C12">
        <v>206.99</v>
      </c>
      <c r="D12" s="19">
        <f t="shared" si="0"/>
        <v>165.59200000000001</v>
      </c>
      <c r="E12" s="19">
        <f t="shared" si="1"/>
        <v>124.194</v>
      </c>
      <c r="F12" s="19">
        <f t="shared" si="2"/>
        <v>103.495</v>
      </c>
      <c r="G12" s="19">
        <f t="shared" si="3"/>
        <v>93.145500000000013</v>
      </c>
    </row>
    <row r="13" spans="1:7" x14ac:dyDescent="0.25">
      <c r="A13" t="s">
        <v>71</v>
      </c>
      <c r="B13" t="s">
        <v>548</v>
      </c>
      <c r="C13">
        <v>206.99</v>
      </c>
      <c r="D13" s="19">
        <f t="shared" si="0"/>
        <v>165.59200000000001</v>
      </c>
      <c r="E13" s="19">
        <f t="shared" si="1"/>
        <v>124.194</v>
      </c>
      <c r="F13" s="19">
        <f t="shared" si="2"/>
        <v>103.495</v>
      </c>
      <c r="G13" s="19">
        <f t="shared" si="3"/>
        <v>93.145500000000013</v>
      </c>
    </row>
    <row r="14" spans="1:7" x14ac:dyDescent="0.25">
      <c r="A14" t="s">
        <v>72</v>
      </c>
      <c r="B14" t="s">
        <v>556</v>
      </c>
      <c r="C14">
        <v>215.19</v>
      </c>
      <c r="D14" s="19">
        <f t="shared" si="0"/>
        <v>172.15200000000002</v>
      </c>
      <c r="E14" s="19">
        <f t="shared" si="1"/>
        <v>129.114</v>
      </c>
      <c r="F14" s="19">
        <f t="shared" si="2"/>
        <v>107.595</v>
      </c>
      <c r="G14" s="19">
        <f t="shared" si="3"/>
        <v>96.835499999999996</v>
      </c>
    </row>
    <row r="15" spans="1:7" x14ac:dyDescent="0.25">
      <c r="A15" t="s">
        <v>73</v>
      </c>
      <c r="B15" t="s">
        <v>555</v>
      </c>
      <c r="C15">
        <v>215.19</v>
      </c>
      <c r="D15" s="19">
        <f t="shared" si="0"/>
        <v>172.15200000000002</v>
      </c>
      <c r="E15" s="19">
        <f t="shared" si="1"/>
        <v>129.114</v>
      </c>
      <c r="F15" s="19">
        <f t="shared" si="2"/>
        <v>107.595</v>
      </c>
      <c r="G15" s="19">
        <f t="shared" si="3"/>
        <v>96.835499999999996</v>
      </c>
    </row>
    <row r="16" spans="1:7" x14ac:dyDescent="0.25">
      <c r="A16" t="s">
        <v>74</v>
      </c>
      <c r="B16" t="s">
        <v>567</v>
      </c>
      <c r="C16">
        <v>219.19</v>
      </c>
      <c r="D16" s="19">
        <f t="shared" si="0"/>
        <v>175.352</v>
      </c>
      <c r="E16" s="19">
        <f t="shared" si="1"/>
        <v>131.51399999999998</v>
      </c>
      <c r="F16" s="19">
        <f t="shared" si="2"/>
        <v>109.595</v>
      </c>
      <c r="G16" s="19">
        <f t="shared" si="3"/>
        <v>98.635500000000008</v>
      </c>
    </row>
    <row r="17" spans="1:7" x14ac:dyDescent="0.25">
      <c r="A17" t="s">
        <v>75</v>
      </c>
      <c r="B17" t="s">
        <v>549</v>
      </c>
      <c r="C17">
        <v>231.49</v>
      </c>
      <c r="D17" s="19">
        <f t="shared" si="0"/>
        <v>185.19200000000001</v>
      </c>
      <c r="E17" s="19">
        <f t="shared" si="1"/>
        <v>138.89400000000001</v>
      </c>
      <c r="F17" s="19">
        <f t="shared" si="2"/>
        <v>115.745</v>
      </c>
      <c r="G17" s="19">
        <f t="shared" si="3"/>
        <v>104.1705</v>
      </c>
    </row>
    <row r="18" spans="1:7" x14ac:dyDescent="0.25">
      <c r="A18" t="s">
        <v>76</v>
      </c>
      <c r="B18" t="s">
        <v>559</v>
      </c>
      <c r="C18">
        <v>245.79000000000002</v>
      </c>
      <c r="D18" s="19">
        <f t="shared" si="0"/>
        <v>196.63200000000003</v>
      </c>
      <c r="E18" s="19">
        <f t="shared" si="1"/>
        <v>147.47400000000002</v>
      </c>
      <c r="F18" s="19">
        <f t="shared" si="2"/>
        <v>122.89500000000001</v>
      </c>
      <c r="G18" s="19">
        <f t="shared" si="3"/>
        <v>110.60550000000001</v>
      </c>
    </row>
    <row r="19" spans="1:7" x14ac:dyDescent="0.25">
      <c r="A19" s="23" t="s">
        <v>77</v>
      </c>
      <c r="B19" s="23" t="s">
        <v>568</v>
      </c>
      <c r="C19">
        <v>243.69</v>
      </c>
      <c r="D19" s="19">
        <f t="shared" si="0"/>
        <v>194.952</v>
      </c>
      <c r="E19" s="19">
        <f t="shared" si="1"/>
        <v>146.214</v>
      </c>
      <c r="F19" s="19">
        <f t="shared" si="2"/>
        <v>121.845</v>
      </c>
      <c r="G19" s="19">
        <f t="shared" si="3"/>
        <v>109.6605</v>
      </c>
    </row>
    <row r="20" spans="1:7" x14ac:dyDescent="0.25">
      <c r="A20" s="23" t="s">
        <v>78</v>
      </c>
      <c r="B20" s="23" t="s">
        <v>550</v>
      </c>
      <c r="C20">
        <v>273.29000000000002</v>
      </c>
      <c r="D20" s="19">
        <f t="shared" si="0"/>
        <v>218.63200000000003</v>
      </c>
      <c r="E20" s="19">
        <f t="shared" si="1"/>
        <v>163.97400000000002</v>
      </c>
      <c r="F20" s="19">
        <f t="shared" si="2"/>
        <v>136.64500000000001</v>
      </c>
      <c r="G20" s="19">
        <f t="shared" si="3"/>
        <v>122.98050000000001</v>
      </c>
    </row>
    <row r="21" spans="1:7" x14ac:dyDescent="0.25">
      <c r="A21" s="23" t="s">
        <v>79</v>
      </c>
      <c r="B21" s="23" t="s">
        <v>569</v>
      </c>
      <c r="C21">
        <v>285.49</v>
      </c>
      <c r="D21" s="19">
        <f t="shared" si="0"/>
        <v>228.39200000000002</v>
      </c>
      <c r="E21" s="19">
        <f t="shared" si="1"/>
        <v>171.29400000000001</v>
      </c>
      <c r="F21" s="19">
        <f t="shared" si="2"/>
        <v>142.745</v>
      </c>
      <c r="G21" s="19">
        <f t="shared" si="3"/>
        <v>128.47050000000002</v>
      </c>
    </row>
    <row r="22" spans="1:7" x14ac:dyDescent="0.25">
      <c r="A22" s="23" t="s">
        <v>80</v>
      </c>
      <c r="B22" s="23" t="s">
        <v>551</v>
      </c>
      <c r="C22">
        <v>323.29000000000002</v>
      </c>
      <c r="D22" s="19">
        <f t="shared" si="0"/>
        <v>258.63200000000001</v>
      </c>
      <c r="E22" s="19">
        <f t="shared" si="1"/>
        <v>193.97400000000002</v>
      </c>
      <c r="F22" s="19">
        <f t="shared" si="2"/>
        <v>161.64500000000001</v>
      </c>
      <c r="G22" s="19">
        <f t="shared" si="3"/>
        <v>145.48050000000001</v>
      </c>
    </row>
    <row r="23" spans="1:7" x14ac:dyDescent="0.25">
      <c r="A23" s="23" t="s">
        <v>694</v>
      </c>
      <c r="B23" s="23" t="s">
        <v>695</v>
      </c>
      <c r="C23">
        <v>361.99</v>
      </c>
      <c r="D23" s="19">
        <f t="shared" si="0"/>
        <v>289.59200000000004</v>
      </c>
      <c r="E23" s="19">
        <f t="shared" si="1"/>
        <v>217.19399999999999</v>
      </c>
      <c r="F23" s="19">
        <f t="shared" si="2"/>
        <v>180.995</v>
      </c>
      <c r="G23" s="19">
        <f t="shared" si="3"/>
        <v>162.8955</v>
      </c>
    </row>
    <row r="24" spans="1:7" x14ac:dyDescent="0.25">
      <c r="A24" s="23" t="s">
        <v>81</v>
      </c>
      <c r="B24" s="23" t="s">
        <v>560</v>
      </c>
      <c r="C24">
        <v>342.69</v>
      </c>
      <c r="D24" s="19">
        <f t="shared" si="0"/>
        <v>274.15199999999999</v>
      </c>
      <c r="E24" s="19">
        <f t="shared" si="1"/>
        <v>205.614</v>
      </c>
      <c r="F24" s="19">
        <f t="shared" si="2"/>
        <v>171.345</v>
      </c>
      <c r="G24" s="19">
        <f t="shared" si="3"/>
        <v>154.2105</v>
      </c>
    </row>
    <row r="25" spans="1:7" x14ac:dyDescent="0.25">
      <c r="A25" s="23" t="s">
        <v>82</v>
      </c>
      <c r="B25" s="23" t="s">
        <v>561</v>
      </c>
      <c r="C25">
        <v>342.69</v>
      </c>
      <c r="D25" s="19">
        <f t="shared" si="0"/>
        <v>274.15199999999999</v>
      </c>
      <c r="E25" s="19">
        <f t="shared" si="1"/>
        <v>205.614</v>
      </c>
      <c r="F25" s="19">
        <f t="shared" si="2"/>
        <v>171.345</v>
      </c>
      <c r="G25" s="19">
        <f t="shared" si="3"/>
        <v>154.2105</v>
      </c>
    </row>
    <row r="26" spans="1:7" x14ac:dyDescent="0.25">
      <c r="A26" s="23" t="s">
        <v>83</v>
      </c>
      <c r="B26" s="23" t="s">
        <v>570</v>
      </c>
      <c r="C26">
        <v>336.49</v>
      </c>
      <c r="D26" s="19">
        <f t="shared" si="0"/>
        <v>269.19200000000001</v>
      </c>
      <c r="E26" s="19">
        <f t="shared" si="1"/>
        <v>201.89400000000001</v>
      </c>
      <c r="F26" s="19">
        <f t="shared" si="2"/>
        <v>168.245</v>
      </c>
      <c r="G26" s="19">
        <f t="shared" si="3"/>
        <v>151.4205</v>
      </c>
    </row>
    <row r="27" spans="1:7" x14ac:dyDescent="0.25">
      <c r="A27" s="23" t="s">
        <v>84</v>
      </c>
      <c r="B27" s="23" t="s">
        <v>552</v>
      </c>
      <c r="C27">
        <v>580.29</v>
      </c>
      <c r="D27" s="19">
        <f t="shared" si="0"/>
        <v>464.23199999999997</v>
      </c>
      <c r="E27" s="19">
        <f t="shared" si="1"/>
        <v>348.17399999999998</v>
      </c>
      <c r="F27" s="19">
        <f t="shared" si="2"/>
        <v>290.14499999999998</v>
      </c>
      <c r="G27" s="19" t="s">
        <v>702</v>
      </c>
    </row>
    <row r="28" spans="1:7" x14ac:dyDescent="0.25">
      <c r="A28" s="23" t="s">
        <v>696</v>
      </c>
      <c r="B28" s="23" t="s">
        <v>697</v>
      </c>
      <c r="C28">
        <v>632.29</v>
      </c>
      <c r="D28" s="19">
        <f t="shared" si="0"/>
        <v>505.83199999999999</v>
      </c>
      <c r="E28" s="19">
        <f t="shared" si="1"/>
        <v>379.37399999999997</v>
      </c>
      <c r="F28" s="19">
        <f t="shared" si="2"/>
        <v>316.14499999999998</v>
      </c>
      <c r="G28" s="19" t="s">
        <v>702</v>
      </c>
    </row>
    <row r="29" spans="1:7" x14ac:dyDescent="0.25">
      <c r="A29" s="23" t="s">
        <v>85</v>
      </c>
      <c r="B29" s="23" t="s">
        <v>562</v>
      </c>
      <c r="C29">
        <v>603.79</v>
      </c>
      <c r="D29" s="19">
        <f t="shared" si="0"/>
        <v>483.03199999999998</v>
      </c>
      <c r="E29" s="19">
        <f t="shared" si="1"/>
        <v>362.27399999999994</v>
      </c>
      <c r="F29" s="19">
        <f t="shared" si="2"/>
        <v>301.89499999999998</v>
      </c>
      <c r="G29" s="19" t="s">
        <v>702</v>
      </c>
    </row>
    <row r="30" spans="1:7" x14ac:dyDescent="0.25">
      <c r="A30" s="23" t="s">
        <v>86</v>
      </c>
      <c r="B30" s="23" t="s">
        <v>563</v>
      </c>
      <c r="C30">
        <v>603.79</v>
      </c>
      <c r="D30" s="19">
        <f t="shared" si="0"/>
        <v>483.03199999999998</v>
      </c>
      <c r="E30" s="19">
        <f t="shared" si="1"/>
        <v>362.27399999999994</v>
      </c>
      <c r="F30" s="19">
        <f t="shared" si="2"/>
        <v>301.89499999999998</v>
      </c>
      <c r="G30" s="19" t="s">
        <v>702</v>
      </c>
    </row>
    <row r="31" spans="1:7" x14ac:dyDescent="0.25">
      <c r="A31" s="23" t="s">
        <v>87</v>
      </c>
      <c r="B31" s="23" t="s">
        <v>571</v>
      </c>
      <c r="C31">
        <v>608.89</v>
      </c>
      <c r="D31" s="19">
        <f t="shared" si="0"/>
        <v>487.11200000000002</v>
      </c>
      <c r="E31" s="19">
        <f t="shared" si="1"/>
        <v>365.334</v>
      </c>
      <c r="F31" s="19">
        <f t="shared" si="2"/>
        <v>304.44499999999999</v>
      </c>
      <c r="G31" s="19" t="s">
        <v>702</v>
      </c>
    </row>
    <row r="32" spans="1:7" x14ac:dyDescent="0.25">
      <c r="A32" s="23" t="s">
        <v>88</v>
      </c>
      <c r="B32" s="23" t="s">
        <v>553</v>
      </c>
      <c r="C32">
        <v>858.79</v>
      </c>
      <c r="D32" s="19">
        <f t="shared" si="0"/>
        <v>687.03200000000004</v>
      </c>
      <c r="E32" s="19">
        <f t="shared" si="1"/>
        <v>515.274</v>
      </c>
      <c r="F32" s="19" t="s">
        <v>702</v>
      </c>
      <c r="G32" s="19" t="s">
        <v>702</v>
      </c>
    </row>
    <row r="33" spans="1:7" x14ac:dyDescent="0.25">
      <c r="A33" s="23" t="s">
        <v>89</v>
      </c>
      <c r="B33" s="23" t="s">
        <v>564</v>
      </c>
      <c r="C33">
        <v>892.39</v>
      </c>
      <c r="D33" s="19">
        <f t="shared" si="0"/>
        <v>713.91200000000003</v>
      </c>
      <c r="E33" s="19">
        <f t="shared" si="1"/>
        <v>535.43399999999997</v>
      </c>
      <c r="F33" s="19" t="s">
        <v>702</v>
      </c>
      <c r="G33" s="19" t="s">
        <v>702</v>
      </c>
    </row>
    <row r="34" spans="1:7" x14ac:dyDescent="0.25">
      <c r="A34" s="23" t="s">
        <v>90</v>
      </c>
      <c r="B34" s="23" t="s">
        <v>572</v>
      </c>
      <c r="C34">
        <v>916.99</v>
      </c>
      <c r="D34" s="19">
        <f t="shared" si="0"/>
        <v>733.5920000000001</v>
      </c>
      <c r="E34" s="19">
        <f t="shared" si="1"/>
        <v>550.19399999999996</v>
      </c>
      <c r="F34" s="19" t="s">
        <v>702</v>
      </c>
      <c r="G34" s="19" t="s">
        <v>702</v>
      </c>
    </row>
    <row r="35" spans="1:7" x14ac:dyDescent="0.25">
      <c r="A35" s="23" t="s">
        <v>91</v>
      </c>
      <c r="B35" s="23" t="s">
        <v>554</v>
      </c>
      <c r="C35">
        <v>1253.49</v>
      </c>
      <c r="D35" s="19">
        <f t="shared" si="0"/>
        <v>1002.792</v>
      </c>
      <c r="E35" s="19">
        <f t="shared" si="1"/>
        <v>752.09399999999994</v>
      </c>
      <c r="F35" s="19" t="s">
        <v>702</v>
      </c>
      <c r="G35" s="19" t="s">
        <v>702</v>
      </c>
    </row>
    <row r="36" spans="1:7" x14ac:dyDescent="0.25">
      <c r="A36" s="23" t="s">
        <v>92</v>
      </c>
      <c r="B36" s="23" t="s">
        <v>565</v>
      </c>
      <c r="C36">
        <v>1294.29</v>
      </c>
      <c r="D36" s="19">
        <f t="shared" si="0"/>
        <v>1035.432</v>
      </c>
      <c r="E36" s="19">
        <f t="shared" si="1"/>
        <v>776.57399999999996</v>
      </c>
      <c r="F36" s="19" t="s">
        <v>702</v>
      </c>
      <c r="G36" s="19" t="s">
        <v>702</v>
      </c>
    </row>
    <row r="37" spans="1:7" x14ac:dyDescent="0.25">
      <c r="A37" s="23" t="s">
        <v>93</v>
      </c>
      <c r="B37" s="23" t="s">
        <v>573</v>
      </c>
      <c r="C37">
        <v>1316.79</v>
      </c>
      <c r="D37" s="19">
        <f t="shared" si="0"/>
        <v>1053.432</v>
      </c>
      <c r="E37" s="19">
        <f t="shared" si="1"/>
        <v>790.07399999999996</v>
      </c>
      <c r="F37" s="19" t="s">
        <v>702</v>
      </c>
      <c r="G37" s="19" t="s">
        <v>702</v>
      </c>
    </row>
    <row r="38" spans="1:7" x14ac:dyDescent="0.25">
      <c r="A38" s="23" t="s">
        <v>94</v>
      </c>
      <c r="B38" s="23" t="s">
        <v>4</v>
      </c>
      <c r="C38">
        <v>154.99</v>
      </c>
      <c r="D38" s="19">
        <f t="shared" si="0"/>
        <v>123.99200000000002</v>
      </c>
      <c r="E38" s="19">
        <f t="shared" si="1"/>
        <v>92.994</v>
      </c>
      <c r="F38" s="19">
        <f t="shared" ref="F38" si="4">IFERROR(IF($C38*0.5=0,"",$C38*0.5),"")</f>
        <v>77.495000000000005</v>
      </c>
      <c r="G38" s="19">
        <f t="shared" ref="G38" si="5">IFERROR(IF($C38*0.45=0,"",$C38*0.45),"")</f>
        <v>69.745500000000007</v>
      </c>
    </row>
    <row r="39" spans="1:7" x14ac:dyDescent="0.25">
      <c r="A39" s="23"/>
      <c r="B39" s="23"/>
      <c r="C39" t="s">
        <v>725</v>
      </c>
      <c r="E39" s="19"/>
      <c r="F39" s="19"/>
      <c r="G39" s="19"/>
    </row>
    <row r="40" spans="1:7" x14ac:dyDescent="0.25">
      <c r="A40" s="26" t="s">
        <v>545</v>
      </c>
      <c r="B40" s="26"/>
      <c r="C40" s="2" t="s">
        <v>3</v>
      </c>
      <c r="D40" s="2"/>
      <c r="E40" s="19"/>
      <c r="F40" s="19"/>
      <c r="G40" s="19"/>
    </row>
    <row r="41" spans="1:7" x14ac:dyDescent="0.25">
      <c r="A41" s="23" t="s">
        <v>481</v>
      </c>
      <c r="B41" s="23" t="s">
        <v>574</v>
      </c>
      <c r="C41">
        <v>248.79000000000002</v>
      </c>
      <c r="D41" s="19">
        <f t="shared" ref="D41:D54" si="6">IFERROR(IF($C41*0.8=0,"",$C41*0.8),"")</f>
        <v>199.03200000000004</v>
      </c>
      <c r="E41" s="19">
        <f t="shared" ref="E41:E54" si="7">IFERROR(IF($C41*0.6=0,"",$C41*0.6),"")</f>
        <v>149.274</v>
      </c>
      <c r="F41" s="19">
        <f t="shared" ref="F41:F54" si="8">IFERROR(IF($C41*0.5=0,"",$C41*0.5),"")</f>
        <v>124.39500000000001</v>
      </c>
      <c r="G41" s="19">
        <f t="shared" ref="G41:G54" si="9">IFERROR(IF($C41*0.45=0,"",$C41*0.45),"")</f>
        <v>111.95550000000001</v>
      </c>
    </row>
    <row r="42" spans="1:7" x14ac:dyDescent="0.25">
      <c r="A42" s="23" t="s">
        <v>482</v>
      </c>
      <c r="B42" s="23" t="s">
        <v>575</v>
      </c>
      <c r="C42">
        <v>258.99</v>
      </c>
      <c r="D42" s="19">
        <f t="shared" si="6"/>
        <v>207.19200000000001</v>
      </c>
      <c r="E42" s="19">
        <f t="shared" si="7"/>
        <v>155.39400000000001</v>
      </c>
      <c r="F42" s="19">
        <f t="shared" si="8"/>
        <v>129.495</v>
      </c>
      <c r="G42" s="19">
        <f t="shared" si="9"/>
        <v>116.5455</v>
      </c>
    </row>
    <row r="43" spans="1:7" x14ac:dyDescent="0.25">
      <c r="A43" s="23" t="s">
        <v>483</v>
      </c>
      <c r="B43" s="23" t="s">
        <v>576</v>
      </c>
      <c r="C43">
        <v>270.19</v>
      </c>
      <c r="D43" s="19">
        <f t="shared" si="6"/>
        <v>216.15200000000002</v>
      </c>
      <c r="E43" s="19">
        <f t="shared" si="7"/>
        <v>162.114</v>
      </c>
      <c r="F43" s="19">
        <f t="shared" si="8"/>
        <v>135.095</v>
      </c>
      <c r="G43" s="19">
        <f t="shared" si="9"/>
        <v>121.5855</v>
      </c>
    </row>
    <row r="44" spans="1:7" x14ac:dyDescent="0.25">
      <c r="A44" s="23" t="s">
        <v>484</v>
      </c>
      <c r="B44" s="23" t="s">
        <v>577</v>
      </c>
      <c r="C44">
        <v>281.49</v>
      </c>
      <c r="D44" s="19">
        <f t="shared" si="6"/>
        <v>225.19200000000001</v>
      </c>
      <c r="E44" s="19">
        <f t="shared" si="7"/>
        <v>168.89400000000001</v>
      </c>
      <c r="F44" s="19">
        <f t="shared" si="8"/>
        <v>140.745</v>
      </c>
      <c r="G44" s="19">
        <f t="shared" si="9"/>
        <v>126.6705</v>
      </c>
    </row>
    <row r="45" spans="1:7" x14ac:dyDescent="0.25">
      <c r="A45" s="23" t="s">
        <v>485</v>
      </c>
      <c r="B45" s="23" t="s">
        <v>578</v>
      </c>
      <c r="C45">
        <v>303.89</v>
      </c>
      <c r="D45" s="19">
        <f t="shared" si="6"/>
        <v>243.11199999999999</v>
      </c>
      <c r="E45" s="19">
        <f t="shared" si="7"/>
        <v>182.33399999999997</v>
      </c>
      <c r="F45" s="19">
        <f t="shared" si="8"/>
        <v>151.94499999999999</v>
      </c>
      <c r="G45" s="19">
        <f t="shared" si="9"/>
        <v>136.75049999999999</v>
      </c>
    </row>
    <row r="46" spans="1:7" x14ac:dyDescent="0.25">
      <c r="A46" s="23" t="s">
        <v>486</v>
      </c>
      <c r="B46" s="23" t="s">
        <v>579</v>
      </c>
      <c r="C46">
        <v>317.19</v>
      </c>
      <c r="D46" s="19">
        <f t="shared" si="6"/>
        <v>253.75200000000001</v>
      </c>
      <c r="E46" s="19">
        <f t="shared" si="7"/>
        <v>190.31399999999999</v>
      </c>
      <c r="F46" s="19">
        <f t="shared" si="8"/>
        <v>158.595</v>
      </c>
      <c r="G46" s="19">
        <f t="shared" si="9"/>
        <v>142.7355</v>
      </c>
    </row>
    <row r="47" spans="1:7" x14ac:dyDescent="0.25">
      <c r="A47" s="23"/>
      <c r="B47" s="23"/>
      <c r="C47" t="s">
        <v>725</v>
      </c>
      <c r="D47" s="19" t="str">
        <f t="shared" si="6"/>
        <v/>
      </c>
      <c r="E47" s="19" t="str">
        <f t="shared" si="7"/>
        <v/>
      </c>
      <c r="F47" s="19" t="str">
        <f t="shared" si="8"/>
        <v/>
      </c>
      <c r="G47" s="19" t="str">
        <f t="shared" si="9"/>
        <v/>
      </c>
    </row>
    <row r="48" spans="1:7" x14ac:dyDescent="0.25">
      <c r="A48" s="26" t="s">
        <v>546</v>
      </c>
      <c r="B48" s="26"/>
      <c r="C48" s="2" t="s">
        <v>3</v>
      </c>
      <c r="D48" s="19" t="str">
        <f t="shared" si="6"/>
        <v/>
      </c>
      <c r="E48" s="19" t="str">
        <f t="shared" si="7"/>
        <v/>
      </c>
      <c r="F48" s="19" t="str">
        <f t="shared" si="8"/>
        <v/>
      </c>
      <c r="G48" s="19" t="str">
        <f t="shared" si="9"/>
        <v/>
      </c>
    </row>
    <row r="49" spans="1:7" x14ac:dyDescent="0.25">
      <c r="A49" s="23" t="s">
        <v>667</v>
      </c>
      <c r="B49" s="23" t="s">
        <v>580</v>
      </c>
      <c r="C49">
        <v>218.19</v>
      </c>
      <c r="D49" s="19">
        <f t="shared" si="6"/>
        <v>174.55200000000002</v>
      </c>
      <c r="E49" s="19">
        <f t="shared" si="7"/>
        <v>130.91399999999999</v>
      </c>
      <c r="F49" s="19">
        <f t="shared" si="8"/>
        <v>109.095</v>
      </c>
      <c r="G49" s="19">
        <f t="shared" si="9"/>
        <v>98.185500000000005</v>
      </c>
    </row>
    <row r="50" spans="1:7" x14ac:dyDescent="0.25">
      <c r="A50" s="23" t="s">
        <v>668</v>
      </c>
      <c r="B50" s="23" t="s">
        <v>581</v>
      </c>
      <c r="C50">
        <v>228.39000000000001</v>
      </c>
      <c r="D50" s="19">
        <f t="shared" si="6"/>
        <v>182.71200000000002</v>
      </c>
      <c r="E50" s="19">
        <f t="shared" si="7"/>
        <v>137.03399999999999</v>
      </c>
      <c r="F50" s="19">
        <f t="shared" si="8"/>
        <v>114.19500000000001</v>
      </c>
      <c r="G50" s="19">
        <f t="shared" si="9"/>
        <v>102.77550000000001</v>
      </c>
    </row>
    <row r="51" spans="1:7" x14ac:dyDescent="0.25">
      <c r="A51" s="23" t="s">
        <v>669</v>
      </c>
      <c r="B51" s="23" t="s">
        <v>582</v>
      </c>
      <c r="C51">
        <v>228.39000000000001</v>
      </c>
      <c r="D51" s="19">
        <f t="shared" si="6"/>
        <v>182.71200000000002</v>
      </c>
      <c r="E51" s="19">
        <f t="shared" si="7"/>
        <v>137.03399999999999</v>
      </c>
      <c r="F51" s="19">
        <f t="shared" si="8"/>
        <v>114.19500000000001</v>
      </c>
      <c r="G51" s="19">
        <f t="shared" si="9"/>
        <v>102.77550000000001</v>
      </c>
    </row>
    <row r="52" spans="1:7" x14ac:dyDescent="0.25">
      <c r="A52" s="23" t="s">
        <v>670</v>
      </c>
      <c r="B52" s="23" t="s">
        <v>583</v>
      </c>
      <c r="C52">
        <v>239.59</v>
      </c>
      <c r="D52" s="19">
        <f t="shared" si="6"/>
        <v>191.67200000000003</v>
      </c>
      <c r="E52" s="19">
        <f t="shared" si="7"/>
        <v>143.75399999999999</v>
      </c>
      <c r="F52" s="19">
        <f t="shared" si="8"/>
        <v>119.795</v>
      </c>
      <c r="G52" s="19">
        <f t="shared" si="9"/>
        <v>107.8155</v>
      </c>
    </row>
    <row r="53" spans="1:7" x14ac:dyDescent="0.25">
      <c r="A53" s="23" t="s">
        <v>671</v>
      </c>
      <c r="B53" s="23" t="s">
        <v>584</v>
      </c>
      <c r="C53">
        <v>251.89000000000001</v>
      </c>
      <c r="D53" s="19">
        <f t="shared" si="6"/>
        <v>201.51200000000003</v>
      </c>
      <c r="E53" s="19">
        <f t="shared" si="7"/>
        <v>151.13400000000001</v>
      </c>
      <c r="F53" s="19">
        <f t="shared" si="8"/>
        <v>125.94500000000001</v>
      </c>
      <c r="G53" s="19">
        <f t="shared" si="9"/>
        <v>113.35050000000001</v>
      </c>
    </row>
    <row r="54" spans="1:7" x14ac:dyDescent="0.25">
      <c r="A54" s="23" t="s">
        <v>672</v>
      </c>
      <c r="B54" s="23" t="s">
        <v>585</v>
      </c>
      <c r="C54">
        <v>265.09000000000003</v>
      </c>
      <c r="D54" s="19">
        <f t="shared" si="6"/>
        <v>212.07200000000003</v>
      </c>
      <c r="E54" s="19">
        <f t="shared" si="7"/>
        <v>159.054</v>
      </c>
      <c r="F54" s="19">
        <f t="shared" si="8"/>
        <v>132.54500000000002</v>
      </c>
      <c r="G54" s="19">
        <f t="shared" si="9"/>
        <v>119.29050000000002</v>
      </c>
    </row>
    <row r="55" spans="1:7" x14ac:dyDescent="0.25">
      <c r="A55" s="23" t="s">
        <v>673</v>
      </c>
      <c r="B55" s="23" t="s">
        <v>663</v>
      </c>
      <c r="C55" s="15" t="s">
        <v>698</v>
      </c>
      <c r="D55" s="15"/>
      <c r="E55" s="19"/>
      <c r="F55" s="19"/>
      <c r="G55" s="19"/>
    </row>
    <row r="56" spans="1:7" x14ac:dyDescent="0.25">
      <c r="A56" s="23"/>
      <c r="B56" s="23"/>
      <c r="C56" t="s">
        <v>725</v>
      </c>
      <c r="E56" s="19"/>
      <c r="F56" s="19"/>
      <c r="G56" s="19"/>
    </row>
    <row r="57" spans="1:7" x14ac:dyDescent="0.25">
      <c r="A57" s="26" t="s">
        <v>682</v>
      </c>
      <c r="B57" s="26"/>
      <c r="C57" s="2" t="s">
        <v>3</v>
      </c>
      <c r="D57" s="2"/>
      <c r="E57" s="19"/>
      <c r="F57" s="19"/>
      <c r="G57" s="19"/>
    </row>
    <row r="58" spans="1:7" x14ac:dyDescent="0.25">
      <c r="A58" s="23" t="s">
        <v>66</v>
      </c>
      <c r="B58" s="23" t="s">
        <v>47</v>
      </c>
      <c r="C58">
        <v>173.29000000000002</v>
      </c>
      <c r="D58" s="19">
        <f t="shared" ref="D58:D78" si="10">IFERROR(IF($C58*0.8=0,"",$C58*0.8),"")</f>
        <v>138.63200000000003</v>
      </c>
      <c r="E58" s="19">
        <f t="shared" ref="E58:E78" si="11">IFERROR(IF($C58*0.6=0,"",$C58*0.6),"")</f>
        <v>103.974</v>
      </c>
      <c r="F58" s="19">
        <f t="shared" ref="F58:F78" si="12">IFERROR(IF($C58*0.5=0,"",$C58*0.5),"")</f>
        <v>86.64500000000001</v>
      </c>
      <c r="G58" s="19">
        <f t="shared" ref="G58:G77" si="13">IFERROR(IF($C58*0.45=0,"",$C58*0.45),"")</f>
        <v>77.980500000000006</v>
      </c>
    </row>
    <row r="59" spans="1:7" x14ac:dyDescent="0.25">
      <c r="A59" s="23" t="s">
        <v>67</v>
      </c>
      <c r="B59" s="23" t="s">
        <v>48</v>
      </c>
      <c r="C59">
        <v>185.59</v>
      </c>
      <c r="D59" s="19">
        <f t="shared" si="10"/>
        <v>148.47200000000001</v>
      </c>
      <c r="E59" s="19">
        <f t="shared" si="11"/>
        <v>111.354</v>
      </c>
      <c r="F59" s="19">
        <f t="shared" si="12"/>
        <v>92.795000000000002</v>
      </c>
      <c r="G59" s="19">
        <f t="shared" si="13"/>
        <v>83.515500000000003</v>
      </c>
    </row>
    <row r="60" spans="1:7" x14ac:dyDescent="0.25">
      <c r="A60" s="23" t="s">
        <v>68</v>
      </c>
      <c r="B60" s="23" t="s">
        <v>49</v>
      </c>
      <c r="C60">
        <v>207.99</v>
      </c>
      <c r="D60" s="19">
        <f t="shared" si="10"/>
        <v>166.39200000000002</v>
      </c>
      <c r="E60" s="19">
        <f t="shared" si="11"/>
        <v>124.794</v>
      </c>
      <c r="F60" s="19">
        <f t="shared" si="12"/>
        <v>103.995</v>
      </c>
      <c r="G60" s="19">
        <f t="shared" si="13"/>
        <v>93.595500000000001</v>
      </c>
    </row>
    <row r="61" spans="1:7" x14ac:dyDescent="0.25">
      <c r="A61" s="23" t="s">
        <v>334</v>
      </c>
      <c r="B61" s="23" t="s">
        <v>335</v>
      </c>
      <c r="C61">
        <v>254.89000000000001</v>
      </c>
      <c r="D61" s="19">
        <f t="shared" si="10"/>
        <v>203.91200000000003</v>
      </c>
      <c r="E61" s="19">
        <f t="shared" si="11"/>
        <v>152.934</v>
      </c>
      <c r="F61" s="19">
        <f t="shared" si="12"/>
        <v>127.44500000000001</v>
      </c>
      <c r="G61" s="19">
        <f t="shared" si="13"/>
        <v>114.70050000000001</v>
      </c>
    </row>
    <row r="62" spans="1:7" x14ac:dyDescent="0.25">
      <c r="A62" s="23" t="s">
        <v>69</v>
      </c>
      <c r="B62" s="23" t="s">
        <v>50</v>
      </c>
      <c r="C62">
        <v>289.59000000000003</v>
      </c>
      <c r="D62" s="19">
        <f t="shared" si="10"/>
        <v>231.67200000000003</v>
      </c>
      <c r="E62" s="19">
        <f t="shared" si="11"/>
        <v>173.75400000000002</v>
      </c>
      <c r="F62" s="19">
        <f t="shared" si="12"/>
        <v>144.79500000000002</v>
      </c>
      <c r="G62" s="19">
        <f t="shared" si="13"/>
        <v>130.31550000000001</v>
      </c>
    </row>
    <row r="63" spans="1:7" x14ac:dyDescent="0.25">
      <c r="A63" s="23" t="s">
        <v>70</v>
      </c>
      <c r="B63" s="23" t="s">
        <v>51</v>
      </c>
      <c r="C63">
        <v>516.09</v>
      </c>
      <c r="D63" s="19">
        <f t="shared" si="10"/>
        <v>412.87200000000007</v>
      </c>
      <c r="E63" s="19">
        <f t="shared" si="11"/>
        <v>309.654</v>
      </c>
      <c r="F63" s="19">
        <f t="shared" si="12"/>
        <v>258.04500000000002</v>
      </c>
      <c r="G63" s="19" t="s">
        <v>702</v>
      </c>
    </row>
    <row r="64" spans="1:7" x14ac:dyDescent="0.25">
      <c r="A64" s="23"/>
      <c r="B64" s="23"/>
      <c r="C64" t="s">
        <v>725</v>
      </c>
      <c r="D64" s="19" t="str">
        <f t="shared" si="10"/>
        <v/>
      </c>
      <c r="E64" s="19" t="str">
        <f t="shared" si="11"/>
        <v/>
      </c>
      <c r="F64" s="19" t="str">
        <f t="shared" si="12"/>
        <v/>
      </c>
      <c r="G64" s="19" t="str">
        <f t="shared" si="13"/>
        <v/>
      </c>
    </row>
    <row r="65" spans="1:7" x14ac:dyDescent="0.25">
      <c r="A65" s="26" t="s">
        <v>680</v>
      </c>
      <c r="B65" s="26"/>
      <c r="C65" s="2" t="s">
        <v>3</v>
      </c>
      <c r="D65" s="19" t="str">
        <f t="shared" si="10"/>
        <v/>
      </c>
      <c r="E65" s="19" t="str">
        <f t="shared" si="11"/>
        <v/>
      </c>
      <c r="F65" s="19" t="str">
        <f t="shared" si="12"/>
        <v/>
      </c>
      <c r="G65" s="19" t="str">
        <f t="shared" si="13"/>
        <v/>
      </c>
    </row>
    <row r="66" spans="1:7" x14ac:dyDescent="0.25">
      <c r="A66" s="23" t="s">
        <v>676</v>
      </c>
      <c r="B66" s="23" t="s">
        <v>684</v>
      </c>
      <c r="C66">
        <v>220.29000000000002</v>
      </c>
      <c r="D66" s="19">
        <f t="shared" si="10"/>
        <v>176.23200000000003</v>
      </c>
      <c r="E66" s="19">
        <f t="shared" si="11"/>
        <v>132.17400000000001</v>
      </c>
      <c r="F66" s="19">
        <f t="shared" si="12"/>
        <v>110.14500000000001</v>
      </c>
      <c r="G66" s="19">
        <f t="shared" si="13"/>
        <v>99.130500000000012</v>
      </c>
    </row>
    <row r="67" spans="1:7" x14ac:dyDescent="0.25">
      <c r="A67" s="23" t="s">
        <v>677</v>
      </c>
      <c r="B67" s="23" t="s">
        <v>685</v>
      </c>
      <c r="C67">
        <v>231.49</v>
      </c>
      <c r="D67" s="19">
        <f t="shared" si="10"/>
        <v>185.19200000000001</v>
      </c>
      <c r="E67" s="19">
        <f t="shared" si="11"/>
        <v>138.89400000000001</v>
      </c>
      <c r="F67" s="19">
        <f t="shared" si="12"/>
        <v>115.745</v>
      </c>
      <c r="G67" s="19">
        <f t="shared" si="13"/>
        <v>104.1705</v>
      </c>
    </row>
    <row r="68" spans="1:7" x14ac:dyDescent="0.25">
      <c r="A68" s="23" t="s">
        <v>678</v>
      </c>
      <c r="B68" s="23" t="s">
        <v>686</v>
      </c>
      <c r="C68">
        <v>256.99</v>
      </c>
      <c r="D68" s="19">
        <f t="shared" si="10"/>
        <v>205.59200000000001</v>
      </c>
      <c r="E68" s="19">
        <f t="shared" si="11"/>
        <v>154.19399999999999</v>
      </c>
      <c r="F68" s="19">
        <f t="shared" si="12"/>
        <v>128.495</v>
      </c>
      <c r="G68" s="19">
        <f t="shared" si="13"/>
        <v>115.64550000000001</v>
      </c>
    </row>
    <row r="69" spans="1:7" x14ac:dyDescent="0.25">
      <c r="A69" s="23" t="s">
        <v>679</v>
      </c>
      <c r="B69" s="23" t="s">
        <v>687</v>
      </c>
      <c r="C69">
        <v>301.89</v>
      </c>
      <c r="D69" s="19">
        <f t="shared" si="10"/>
        <v>241.512</v>
      </c>
      <c r="E69" s="19">
        <f t="shared" si="11"/>
        <v>181.13399999999999</v>
      </c>
      <c r="F69" s="19">
        <f t="shared" si="12"/>
        <v>150.94499999999999</v>
      </c>
      <c r="G69" s="19">
        <f t="shared" si="13"/>
        <v>135.85050000000001</v>
      </c>
    </row>
    <row r="70" spans="1:7" x14ac:dyDescent="0.25">
      <c r="A70" s="23" t="s">
        <v>683</v>
      </c>
      <c r="B70" s="23" t="s">
        <v>688</v>
      </c>
      <c r="C70">
        <v>363.09000000000003</v>
      </c>
      <c r="D70" s="19">
        <f t="shared" si="10"/>
        <v>290.47200000000004</v>
      </c>
      <c r="E70" s="19">
        <f t="shared" si="11"/>
        <v>217.85400000000001</v>
      </c>
      <c r="F70" s="19">
        <f t="shared" si="12"/>
        <v>181.54500000000002</v>
      </c>
      <c r="G70" s="19">
        <f t="shared" si="13"/>
        <v>163.39050000000003</v>
      </c>
    </row>
    <row r="71" spans="1:7" x14ac:dyDescent="0.25">
      <c r="A71" s="23"/>
      <c r="B71" s="23"/>
      <c r="C71" t="s">
        <v>725</v>
      </c>
      <c r="D71" s="19" t="str">
        <f t="shared" si="10"/>
        <v/>
      </c>
      <c r="E71" s="19" t="str">
        <f t="shared" si="11"/>
        <v/>
      </c>
      <c r="F71" s="19" t="str">
        <f t="shared" si="12"/>
        <v/>
      </c>
      <c r="G71" s="19" t="str">
        <f t="shared" si="13"/>
        <v/>
      </c>
    </row>
    <row r="72" spans="1:7" x14ac:dyDescent="0.25">
      <c r="A72" s="26" t="s">
        <v>681</v>
      </c>
      <c r="B72" s="26"/>
      <c r="C72" s="2" t="s">
        <v>3</v>
      </c>
      <c r="D72" s="19" t="str">
        <f t="shared" si="10"/>
        <v/>
      </c>
      <c r="E72" s="19" t="str">
        <f t="shared" si="11"/>
        <v/>
      </c>
      <c r="F72" s="19" t="str">
        <f t="shared" si="12"/>
        <v/>
      </c>
      <c r="G72" s="19" t="str">
        <f t="shared" si="13"/>
        <v/>
      </c>
    </row>
    <row r="73" spans="1:7" x14ac:dyDescent="0.25">
      <c r="A73" s="23" t="s">
        <v>61</v>
      </c>
      <c r="B73" s="23" t="s">
        <v>520</v>
      </c>
      <c r="C73">
        <v>493.59000000000003</v>
      </c>
      <c r="D73" s="19">
        <f t="shared" si="10"/>
        <v>394.87200000000007</v>
      </c>
      <c r="E73" s="19">
        <f t="shared" si="11"/>
        <v>296.154</v>
      </c>
      <c r="F73" s="19">
        <f t="shared" si="12"/>
        <v>246.79500000000002</v>
      </c>
      <c r="G73" s="19">
        <f t="shared" si="13"/>
        <v>222.11550000000003</v>
      </c>
    </row>
    <row r="74" spans="1:7" x14ac:dyDescent="0.25">
      <c r="A74" s="23" t="s">
        <v>62</v>
      </c>
      <c r="B74" s="23" t="s">
        <v>521</v>
      </c>
      <c r="C74">
        <v>516.09</v>
      </c>
      <c r="D74" s="19">
        <f t="shared" si="10"/>
        <v>412.87200000000007</v>
      </c>
      <c r="E74" s="19">
        <f t="shared" si="11"/>
        <v>309.654</v>
      </c>
      <c r="F74" s="19">
        <f t="shared" si="12"/>
        <v>258.04500000000002</v>
      </c>
      <c r="G74" s="19">
        <f t="shared" si="13"/>
        <v>232.24050000000003</v>
      </c>
    </row>
    <row r="75" spans="1:7" x14ac:dyDescent="0.25">
      <c r="A75" s="23" t="s">
        <v>63</v>
      </c>
      <c r="B75" s="23" t="s">
        <v>522</v>
      </c>
      <c r="C75">
        <v>568.09</v>
      </c>
      <c r="D75" s="19">
        <f t="shared" si="10"/>
        <v>454.47200000000004</v>
      </c>
      <c r="E75" s="19">
        <f t="shared" si="11"/>
        <v>340.85399999999998</v>
      </c>
      <c r="F75" s="19">
        <f t="shared" si="12"/>
        <v>284.04500000000002</v>
      </c>
      <c r="G75" s="19">
        <f t="shared" si="13"/>
        <v>255.64050000000003</v>
      </c>
    </row>
    <row r="76" spans="1:7" x14ac:dyDescent="0.25">
      <c r="A76" s="23" t="s">
        <v>336</v>
      </c>
      <c r="B76" s="23" t="s">
        <v>523</v>
      </c>
      <c r="C76">
        <v>656.79</v>
      </c>
      <c r="D76" s="19">
        <f t="shared" si="10"/>
        <v>525.43200000000002</v>
      </c>
      <c r="E76" s="19">
        <f t="shared" si="11"/>
        <v>394.07399999999996</v>
      </c>
      <c r="F76" s="19">
        <f t="shared" si="12"/>
        <v>328.39499999999998</v>
      </c>
      <c r="G76" s="19">
        <f t="shared" si="13"/>
        <v>295.55549999999999</v>
      </c>
    </row>
    <row r="77" spans="1:7" x14ac:dyDescent="0.25">
      <c r="A77" s="23" t="s">
        <v>64</v>
      </c>
      <c r="B77" s="23" t="s">
        <v>524</v>
      </c>
      <c r="C77">
        <v>727.19</v>
      </c>
      <c r="D77" s="19">
        <f t="shared" si="10"/>
        <v>581.75200000000007</v>
      </c>
      <c r="E77" s="19">
        <f t="shared" si="11"/>
        <v>436.31400000000002</v>
      </c>
      <c r="F77" s="19">
        <f t="shared" si="12"/>
        <v>363.59500000000003</v>
      </c>
      <c r="G77" s="19">
        <f t="shared" si="13"/>
        <v>327.23550000000006</v>
      </c>
    </row>
    <row r="78" spans="1:7" x14ac:dyDescent="0.25">
      <c r="A78" s="23" t="s">
        <v>65</v>
      </c>
      <c r="B78" s="23" t="s">
        <v>525</v>
      </c>
      <c r="C78">
        <v>1216.79</v>
      </c>
      <c r="D78" s="19">
        <f t="shared" si="10"/>
        <v>973.43200000000002</v>
      </c>
      <c r="E78" s="19">
        <f t="shared" si="11"/>
        <v>730.07399999999996</v>
      </c>
      <c r="F78" s="19">
        <f t="shared" si="12"/>
        <v>608.39499999999998</v>
      </c>
      <c r="G78" s="19" t="s">
        <v>702</v>
      </c>
    </row>
    <row r="79" spans="1:7" x14ac:dyDescent="0.25">
      <c r="A79" s="23"/>
      <c r="B79" s="23"/>
      <c r="C79" t="s">
        <v>725</v>
      </c>
      <c r="E79" s="19"/>
      <c r="F79" s="19"/>
      <c r="G79" s="19"/>
    </row>
    <row r="80" spans="1:7" x14ac:dyDescent="0.25">
      <c r="A80" s="26" t="s">
        <v>689</v>
      </c>
      <c r="B80" s="26"/>
      <c r="C80" s="2" t="s">
        <v>3</v>
      </c>
      <c r="D80" s="2"/>
      <c r="E80" s="19"/>
      <c r="F80" s="19"/>
      <c r="G80" s="19"/>
    </row>
    <row r="81" spans="1:7" x14ac:dyDescent="0.25">
      <c r="A81" s="23" t="s">
        <v>706</v>
      </c>
      <c r="B81" s="23" t="s">
        <v>709</v>
      </c>
      <c r="C81" t="s">
        <v>691</v>
      </c>
      <c r="E81" s="19"/>
      <c r="F81" s="19"/>
      <c r="G81" s="19"/>
    </row>
    <row r="82" spans="1:7" x14ac:dyDescent="0.25">
      <c r="A82" s="23" t="s">
        <v>707</v>
      </c>
      <c r="B82" s="23" t="s">
        <v>710</v>
      </c>
      <c r="C82" t="s">
        <v>691</v>
      </c>
      <c r="E82" s="19"/>
      <c r="F82" s="19"/>
      <c r="G82" s="19"/>
    </row>
    <row r="83" spans="1:7" x14ac:dyDescent="0.25">
      <c r="A83" s="23" t="s">
        <v>708</v>
      </c>
      <c r="B83" s="23" t="s">
        <v>711</v>
      </c>
      <c r="C83" t="s">
        <v>691</v>
      </c>
      <c r="E83" s="19"/>
      <c r="F83" s="19"/>
      <c r="G83" s="19"/>
    </row>
    <row r="84" spans="1:7" x14ac:dyDescent="0.25">
      <c r="A84" s="23"/>
      <c r="B84" s="23"/>
      <c r="C84" s="2" t="s">
        <v>725</v>
      </c>
      <c r="D84" s="2"/>
      <c r="E84" s="19"/>
      <c r="F84" s="19"/>
      <c r="G84" s="19"/>
    </row>
    <row r="85" spans="1:7" ht="17.25" customHeight="1" x14ac:dyDescent="0.25">
      <c r="A85" s="26" t="s">
        <v>544</v>
      </c>
      <c r="B85" s="26"/>
      <c r="C85" s="2" t="s">
        <v>3</v>
      </c>
      <c r="D85" s="2"/>
      <c r="E85" s="19"/>
      <c r="F85" s="19"/>
      <c r="G85" s="19"/>
    </row>
    <row r="86" spans="1:7" x14ac:dyDescent="0.25">
      <c r="A86" s="23" t="s">
        <v>526</v>
      </c>
      <c r="B86" s="23" t="s">
        <v>527</v>
      </c>
      <c r="C86">
        <v>30.49</v>
      </c>
      <c r="D86" s="19">
        <f t="shared" ref="D86:D105" si="14">IFERROR(IF($C86*0.8=0,"",$C86*0.8),"")</f>
        <v>24.391999999999999</v>
      </c>
      <c r="E86" s="19">
        <f t="shared" ref="E86:E105" si="15">IFERROR(IF($C86*0.6=0,"",$C86*0.6),"")</f>
        <v>18.293999999999997</v>
      </c>
      <c r="F86" s="19">
        <f t="shared" ref="F86:F105" si="16">IFERROR(IF($C86*0.5=0,"",$C86*0.5),"")</f>
        <v>15.244999999999999</v>
      </c>
      <c r="G86" s="19">
        <f t="shared" ref="G86:G105" si="17">IFERROR(IF($C86*0.45=0,"",$C86*0.45),"")</f>
        <v>13.720499999999999</v>
      </c>
    </row>
    <row r="87" spans="1:7" x14ac:dyDescent="0.25">
      <c r="A87" s="23" t="s">
        <v>529</v>
      </c>
      <c r="B87" s="23" t="s">
        <v>533</v>
      </c>
      <c r="C87">
        <v>30.49</v>
      </c>
      <c r="D87" s="19">
        <f t="shared" si="14"/>
        <v>24.391999999999999</v>
      </c>
      <c r="E87" s="19">
        <f t="shared" si="15"/>
        <v>18.293999999999997</v>
      </c>
      <c r="F87" s="19">
        <f t="shared" si="16"/>
        <v>15.244999999999999</v>
      </c>
      <c r="G87" s="19">
        <f t="shared" si="17"/>
        <v>13.720499999999999</v>
      </c>
    </row>
    <row r="88" spans="1:7" x14ac:dyDescent="0.25">
      <c r="A88" s="23" t="s">
        <v>528</v>
      </c>
      <c r="B88" s="23" t="s">
        <v>531</v>
      </c>
      <c r="C88">
        <v>64.19</v>
      </c>
      <c r="D88" s="19">
        <f t="shared" si="14"/>
        <v>51.352000000000004</v>
      </c>
      <c r="E88" s="19">
        <f t="shared" si="15"/>
        <v>38.513999999999996</v>
      </c>
      <c r="F88" s="19">
        <f t="shared" si="16"/>
        <v>32.094999999999999</v>
      </c>
      <c r="G88" s="19">
        <f t="shared" si="17"/>
        <v>28.8855</v>
      </c>
    </row>
    <row r="89" spans="1:7" x14ac:dyDescent="0.25">
      <c r="A89" s="23" t="s">
        <v>530</v>
      </c>
      <c r="B89" s="23" t="s">
        <v>532</v>
      </c>
      <c r="C89">
        <v>95.789999999999992</v>
      </c>
      <c r="D89" s="19">
        <f t="shared" si="14"/>
        <v>76.631999999999991</v>
      </c>
      <c r="E89" s="19">
        <f t="shared" si="15"/>
        <v>57.473999999999997</v>
      </c>
      <c r="F89" s="19">
        <f t="shared" si="16"/>
        <v>47.894999999999996</v>
      </c>
      <c r="G89" s="19">
        <f t="shared" si="17"/>
        <v>43.105499999999999</v>
      </c>
    </row>
    <row r="90" spans="1:7" x14ac:dyDescent="0.25">
      <c r="A90" s="23" t="s">
        <v>110</v>
      </c>
      <c r="B90" s="23" t="s">
        <v>337</v>
      </c>
      <c r="C90">
        <v>16.29</v>
      </c>
      <c r="D90" s="19">
        <f t="shared" si="14"/>
        <v>13.032</v>
      </c>
      <c r="E90" s="19">
        <f t="shared" si="15"/>
        <v>9.7739999999999991</v>
      </c>
      <c r="F90" s="19">
        <f t="shared" si="16"/>
        <v>8.1449999999999996</v>
      </c>
      <c r="G90" s="19">
        <f t="shared" si="17"/>
        <v>7.3304999999999998</v>
      </c>
    </row>
    <row r="91" spans="1:7" x14ac:dyDescent="0.25">
      <c r="A91" s="23" t="s">
        <v>111</v>
      </c>
      <c r="B91" s="23" t="s">
        <v>338</v>
      </c>
      <c r="C91">
        <v>16.29</v>
      </c>
      <c r="D91" s="19">
        <f t="shared" si="14"/>
        <v>13.032</v>
      </c>
      <c r="E91" s="19">
        <f t="shared" si="15"/>
        <v>9.7739999999999991</v>
      </c>
      <c r="F91" s="19">
        <f t="shared" si="16"/>
        <v>8.1449999999999996</v>
      </c>
      <c r="G91" s="19">
        <f t="shared" si="17"/>
        <v>7.3304999999999998</v>
      </c>
    </row>
    <row r="92" spans="1:7" x14ac:dyDescent="0.25">
      <c r="A92" s="23" t="s">
        <v>112</v>
      </c>
      <c r="B92" s="23" t="s">
        <v>339</v>
      </c>
      <c r="C92">
        <v>17.29</v>
      </c>
      <c r="D92" s="19">
        <f t="shared" si="14"/>
        <v>13.832000000000001</v>
      </c>
      <c r="E92" s="19">
        <f t="shared" si="15"/>
        <v>10.373999999999999</v>
      </c>
      <c r="F92" s="19">
        <f t="shared" si="16"/>
        <v>8.6449999999999996</v>
      </c>
      <c r="G92" s="19">
        <f t="shared" si="17"/>
        <v>7.7805</v>
      </c>
    </row>
    <row r="93" spans="1:7" x14ac:dyDescent="0.25">
      <c r="A93" s="23" t="s">
        <v>113</v>
      </c>
      <c r="B93" s="23" t="s">
        <v>340</v>
      </c>
      <c r="C93">
        <v>17.29</v>
      </c>
      <c r="D93" s="19">
        <f t="shared" si="14"/>
        <v>13.832000000000001</v>
      </c>
      <c r="E93" s="19">
        <f t="shared" si="15"/>
        <v>10.373999999999999</v>
      </c>
      <c r="F93" s="19">
        <f t="shared" si="16"/>
        <v>8.6449999999999996</v>
      </c>
      <c r="G93" s="19">
        <f t="shared" si="17"/>
        <v>7.7805</v>
      </c>
    </row>
    <row r="94" spans="1:7" x14ac:dyDescent="0.25">
      <c r="A94" s="23" t="s">
        <v>114</v>
      </c>
      <c r="B94" s="23" t="s">
        <v>341</v>
      </c>
      <c r="C94">
        <v>18.29</v>
      </c>
      <c r="D94" s="19">
        <f t="shared" si="14"/>
        <v>14.632</v>
      </c>
      <c r="E94" s="19">
        <f t="shared" si="15"/>
        <v>10.973999999999998</v>
      </c>
      <c r="F94" s="19">
        <f t="shared" si="16"/>
        <v>9.1449999999999996</v>
      </c>
      <c r="G94" s="19">
        <f t="shared" si="17"/>
        <v>8.2304999999999993</v>
      </c>
    </row>
    <row r="95" spans="1:7" x14ac:dyDescent="0.25">
      <c r="A95" s="23" t="s">
        <v>115</v>
      </c>
      <c r="B95" s="23" t="s">
        <v>534</v>
      </c>
      <c r="C95">
        <v>31.59</v>
      </c>
      <c r="D95" s="19">
        <f t="shared" si="14"/>
        <v>25.272000000000002</v>
      </c>
      <c r="E95" s="19">
        <f t="shared" si="15"/>
        <v>18.954000000000001</v>
      </c>
      <c r="F95" s="19">
        <f t="shared" si="16"/>
        <v>15.795</v>
      </c>
      <c r="G95" s="19">
        <f t="shared" si="17"/>
        <v>14.2155</v>
      </c>
    </row>
    <row r="96" spans="1:7" x14ac:dyDescent="0.25">
      <c r="A96" s="23" t="s">
        <v>116</v>
      </c>
      <c r="B96" s="23" t="s">
        <v>342</v>
      </c>
      <c r="C96">
        <v>25.389999999999997</v>
      </c>
      <c r="D96" s="19">
        <f t="shared" si="14"/>
        <v>20.311999999999998</v>
      </c>
      <c r="E96" s="19">
        <f t="shared" si="15"/>
        <v>15.233999999999998</v>
      </c>
      <c r="F96" s="19">
        <f t="shared" si="16"/>
        <v>12.694999999999999</v>
      </c>
      <c r="G96" s="19">
        <f t="shared" si="17"/>
        <v>11.4255</v>
      </c>
    </row>
    <row r="97" spans="1:7" x14ac:dyDescent="0.25">
      <c r="A97" s="23" t="s">
        <v>117</v>
      </c>
      <c r="B97" s="23" t="s">
        <v>535</v>
      </c>
      <c r="C97">
        <v>37.690000000000005</v>
      </c>
      <c r="D97" s="19">
        <f t="shared" si="14"/>
        <v>30.152000000000005</v>
      </c>
      <c r="E97" s="19">
        <f t="shared" si="15"/>
        <v>22.614000000000001</v>
      </c>
      <c r="F97" s="19">
        <f t="shared" si="16"/>
        <v>18.845000000000002</v>
      </c>
      <c r="G97" s="19">
        <f t="shared" si="17"/>
        <v>16.960500000000003</v>
      </c>
    </row>
    <row r="98" spans="1:7" x14ac:dyDescent="0.25">
      <c r="A98" s="23" t="s">
        <v>118</v>
      </c>
      <c r="B98" s="23" t="s">
        <v>536</v>
      </c>
      <c r="C98">
        <v>16.29</v>
      </c>
      <c r="D98" s="19">
        <f t="shared" si="14"/>
        <v>13.032</v>
      </c>
      <c r="E98" s="19">
        <f t="shared" si="15"/>
        <v>9.7739999999999991</v>
      </c>
      <c r="F98" s="19">
        <f t="shared" si="16"/>
        <v>8.1449999999999996</v>
      </c>
      <c r="G98" s="19">
        <f t="shared" si="17"/>
        <v>7.3304999999999998</v>
      </c>
    </row>
    <row r="99" spans="1:7" x14ac:dyDescent="0.25">
      <c r="A99" s="23" t="s">
        <v>119</v>
      </c>
      <c r="B99" s="23" t="s">
        <v>537</v>
      </c>
      <c r="C99">
        <v>16.29</v>
      </c>
      <c r="D99" s="19">
        <f t="shared" si="14"/>
        <v>13.032</v>
      </c>
      <c r="E99" s="19">
        <f t="shared" si="15"/>
        <v>9.7739999999999991</v>
      </c>
      <c r="F99" s="19">
        <f t="shared" si="16"/>
        <v>8.1449999999999996</v>
      </c>
      <c r="G99" s="19">
        <f t="shared" si="17"/>
        <v>7.3304999999999998</v>
      </c>
    </row>
    <row r="100" spans="1:7" x14ac:dyDescent="0.25">
      <c r="A100" s="23" t="s">
        <v>120</v>
      </c>
      <c r="B100" s="23" t="s">
        <v>538</v>
      </c>
      <c r="C100">
        <v>17.29</v>
      </c>
      <c r="D100" s="19">
        <f t="shared" si="14"/>
        <v>13.832000000000001</v>
      </c>
      <c r="E100" s="19">
        <f t="shared" si="15"/>
        <v>10.373999999999999</v>
      </c>
      <c r="F100" s="19">
        <f t="shared" si="16"/>
        <v>8.6449999999999996</v>
      </c>
      <c r="G100" s="19">
        <f t="shared" si="17"/>
        <v>7.7805</v>
      </c>
    </row>
    <row r="101" spans="1:7" x14ac:dyDescent="0.25">
      <c r="A101" s="23" t="s">
        <v>121</v>
      </c>
      <c r="B101" s="23" t="s">
        <v>539</v>
      </c>
      <c r="C101">
        <v>16.29</v>
      </c>
      <c r="D101" s="19">
        <f t="shared" si="14"/>
        <v>13.032</v>
      </c>
      <c r="E101" s="19">
        <f t="shared" si="15"/>
        <v>9.7739999999999991</v>
      </c>
      <c r="F101" s="19">
        <f t="shared" si="16"/>
        <v>8.1449999999999996</v>
      </c>
      <c r="G101" s="19">
        <f t="shared" si="17"/>
        <v>7.3304999999999998</v>
      </c>
    </row>
    <row r="102" spans="1:7" x14ac:dyDescent="0.25">
      <c r="A102" s="23" t="s">
        <v>122</v>
      </c>
      <c r="B102" s="23" t="s">
        <v>542</v>
      </c>
      <c r="C102">
        <v>17.29</v>
      </c>
      <c r="D102" s="19">
        <f t="shared" si="14"/>
        <v>13.832000000000001</v>
      </c>
      <c r="E102" s="19">
        <f t="shared" si="15"/>
        <v>10.373999999999999</v>
      </c>
      <c r="F102" s="19">
        <f t="shared" si="16"/>
        <v>8.6449999999999996</v>
      </c>
      <c r="G102" s="19">
        <f t="shared" si="17"/>
        <v>7.7805</v>
      </c>
    </row>
    <row r="103" spans="1:7" x14ac:dyDescent="0.25">
      <c r="A103" s="23" t="s">
        <v>124</v>
      </c>
      <c r="B103" s="23" t="s">
        <v>543</v>
      </c>
      <c r="C103">
        <v>18.29</v>
      </c>
      <c r="D103" s="19">
        <f t="shared" si="14"/>
        <v>14.632</v>
      </c>
      <c r="E103" s="19">
        <f t="shared" si="15"/>
        <v>10.973999999999998</v>
      </c>
      <c r="F103" s="19">
        <f t="shared" si="16"/>
        <v>9.1449999999999996</v>
      </c>
      <c r="G103" s="19">
        <f t="shared" si="17"/>
        <v>8.2304999999999993</v>
      </c>
    </row>
    <row r="104" spans="1:7" x14ac:dyDescent="0.25">
      <c r="A104" s="23" t="s">
        <v>123</v>
      </c>
      <c r="B104" s="23" t="s">
        <v>540</v>
      </c>
      <c r="C104">
        <v>31.59</v>
      </c>
      <c r="D104" s="19">
        <f t="shared" si="14"/>
        <v>25.272000000000002</v>
      </c>
      <c r="E104" s="19">
        <f t="shared" si="15"/>
        <v>18.954000000000001</v>
      </c>
      <c r="F104" s="19">
        <f t="shared" si="16"/>
        <v>15.795</v>
      </c>
      <c r="G104" s="19">
        <f t="shared" si="17"/>
        <v>14.2155</v>
      </c>
    </row>
    <row r="105" spans="1:7" x14ac:dyDescent="0.25">
      <c r="A105" s="23" t="s">
        <v>125</v>
      </c>
      <c r="B105" s="23" t="s">
        <v>541</v>
      </c>
      <c r="C105">
        <v>38.690000000000005</v>
      </c>
      <c r="D105" s="19">
        <f t="shared" si="14"/>
        <v>30.952000000000005</v>
      </c>
      <c r="E105" s="19">
        <f t="shared" si="15"/>
        <v>23.214000000000002</v>
      </c>
      <c r="F105" s="19">
        <f t="shared" si="16"/>
        <v>19.345000000000002</v>
      </c>
      <c r="G105" s="19">
        <f t="shared" si="17"/>
        <v>17.410500000000003</v>
      </c>
    </row>
    <row r="106" spans="1:7" x14ac:dyDescent="0.25">
      <c r="A106" s="23"/>
      <c r="B106" s="23"/>
      <c r="C106" t="s">
        <v>725</v>
      </c>
      <c r="E106" s="19" t="str">
        <f>IFERROR(IF($C106*0.6=0,"",IF(F106="N/A",$C106*0.6,"")),"")</f>
        <v/>
      </c>
      <c r="F106" s="19" t="str">
        <f>IFERROR(IF($C106*0.5=0,"",IF(G106="N/A",$C106*0.5,"")),"")</f>
        <v/>
      </c>
      <c r="G106" s="19" t="str">
        <f>IFERROR(IF($C106*0.45=0,"",$C106*0.45),"")</f>
        <v/>
      </c>
    </row>
    <row r="107" spans="1:7" x14ac:dyDescent="0.25">
      <c r="A107" s="26" t="s">
        <v>587</v>
      </c>
      <c r="B107" s="26"/>
      <c r="C107" s="2" t="s">
        <v>3</v>
      </c>
      <c r="D107" s="2"/>
      <c r="E107" s="19" t="str">
        <f>IFERROR(IF($C107*0.6=0,"",IF(F107="N/A",$C107*0.6,"")),"")</f>
        <v/>
      </c>
      <c r="F107" s="19" t="str">
        <f>IFERROR(IF($C107*0.5=0,"",IF(G107="N/A",$C107*0.5,"")),"")</f>
        <v/>
      </c>
      <c r="G107" s="19" t="str">
        <f>IFERROR(IF($C107*0.45=0,"",$C107*0.45),"")</f>
        <v/>
      </c>
    </row>
    <row r="108" spans="1:7" x14ac:dyDescent="0.25">
      <c r="A108" s="23" t="s">
        <v>95</v>
      </c>
      <c r="B108" s="23" t="s">
        <v>5</v>
      </c>
      <c r="C108">
        <v>155.99</v>
      </c>
      <c r="D108" s="19">
        <f t="shared" ref="D108:D111" si="18">IFERROR(IF($C108*0.8=0,"",$C108*0.8),"")</f>
        <v>124.79200000000002</v>
      </c>
      <c r="E108" s="19">
        <f t="shared" ref="E108:E111" si="19">IFERROR(IF($C108*0.6=0,"",$C108*0.6),"")</f>
        <v>93.594000000000008</v>
      </c>
      <c r="F108" s="19">
        <f t="shared" ref="F108:F111" si="20">IFERROR(IF($C108*0.5=0,"",$C108*0.5),"")</f>
        <v>77.995000000000005</v>
      </c>
      <c r="G108" s="19">
        <f t="shared" ref="G108:G110" si="21">IFERROR(IF($C108*0.45=0,"",$C108*0.45),"")</f>
        <v>70.19550000000001</v>
      </c>
    </row>
    <row r="109" spans="1:7" x14ac:dyDescent="0.25">
      <c r="A109" s="23" t="s">
        <v>96</v>
      </c>
      <c r="B109" s="23" t="s">
        <v>6</v>
      </c>
      <c r="C109">
        <v>167.19</v>
      </c>
      <c r="D109" s="19">
        <f t="shared" si="18"/>
        <v>133.75200000000001</v>
      </c>
      <c r="E109" s="19">
        <f t="shared" si="19"/>
        <v>100.31399999999999</v>
      </c>
      <c r="F109" s="19">
        <f t="shared" si="20"/>
        <v>83.594999999999999</v>
      </c>
      <c r="G109" s="19">
        <f t="shared" si="21"/>
        <v>75.235500000000002</v>
      </c>
    </row>
    <row r="110" spans="1:7" x14ac:dyDescent="0.25">
      <c r="A110" s="23" t="s">
        <v>97</v>
      </c>
      <c r="B110" s="23" t="s">
        <v>7</v>
      </c>
      <c r="C110">
        <v>213.09</v>
      </c>
      <c r="D110" s="19">
        <f t="shared" si="18"/>
        <v>170.47200000000001</v>
      </c>
      <c r="E110" s="19">
        <f t="shared" si="19"/>
        <v>127.854</v>
      </c>
      <c r="F110" s="19">
        <f t="shared" si="20"/>
        <v>106.545</v>
      </c>
      <c r="G110" s="19">
        <f t="shared" si="21"/>
        <v>95.890500000000003</v>
      </c>
    </row>
    <row r="111" spans="1:7" x14ac:dyDescent="0.25">
      <c r="A111" s="23" t="s">
        <v>98</v>
      </c>
      <c r="B111" s="23" t="s">
        <v>8</v>
      </c>
      <c r="C111">
        <v>359.99</v>
      </c>
      <c r="D111" s="19">
        <f t="shared" si="18"/>
        <v>287.99200000000002</v>
      </c>
      <c r="E111" s="19">
        <f t="shared" si="19"/>
        <v>215.994</v>
      </c>
      <c r="F111" s="19">
        <f t="shared" si="20"/>
        <v>179.995</v>
      </c>
      <c r="G111" s="19" t="s">
        <v>702</v>
      </c>
    </row>
    <row r="112" spans="1:7" x14ac:dyDescent="0.25">
      <c r="A112" s="23"/>
      <c r="B112" s="23"/>
      <c r="C112" t="s">
        <v>725</v>
      </c>
      <c r="E112" s="19"/>
      <c r="F112" s="19"/>
      <c r="G112" s="19"/>
    </row>
    <row r="113" spans="1:7" x14ac:dyDescent="0.25">
      <c r="A113" s="26" t="s">
        <v>586</v>
      </c>
      <c r="B113" s="26"/>
      <c r="C113" s="2" t="s">
        <v>3</v>
      </c>
      <c r="D113" s="2"/>
      <c r="E113" s="19"/>
      <c r="F113" s="19"/>
      <c r="G113" s="19"/>
    </row>
    <row r="114" spans="1:7" x14ac:dyDescent="0.25">
      <c r="A114" s="23" t="s">
        <v>181</v>
      </c>
      <c r="B114" s="23" t="s">
        <v>28</v>
      </c>
      <c r="C114">
        <v>174.39000000000001</v>
      </c>
      <c r="D114" s="19">
        <f t="shared" ref="D114:D115" si="22">IFERROR(IF($C114*0.8=0,"",$C114*0.8),"")</f>
        <v>139.51200000000003</v>
      </c>
      <c r="E114" s="19">
        <f t="shared" ref="E114:E115" si="23">IFERROR(IF($C114*0.6=0,"",$C114*0.6),"")</f>
        <v>104.634</v>
      </c>
      <c r="F114" s="19">
        <f t="shared" ref="F114:F115" si="24">IFERROR(IF($C114*0.5=0,"",$C114*0.5),"")</f>
        <v>87.195000000000007</v>
      </c>
      <c r="G114" s="19">
        <f t="shared" ref="G114:G115" si="25">IFERROR(IF($C114*0.45=0,"",$C114*0.45),"")</f>
        <v>78.475500000000011</v>
      </c>
    </row>
    <row r="115" spans="1:7" x14ac:dyDescent="0.25">
      <c r="A115" s="23" t="s">
        <v>182</v>
      </c>
      <c r="B115" s="23" t="s">
        <v>29</v>
      </c>
      <c r="C115">
        <v>203.89000000000001</v>
      </c>
      <c r="D115" s="19">
        <f t="shared" si="22"/>
        <v>163.11200000000002</v>
      </c>
      <c r="E115" s="19">
        <f t="shared" si="23"/>
        <v>122.334</v>
      </c>
      <c r="F115" s="19">
        <f t="shared" si="24"/>
        <v>101.94500000000001</v>
      </c>
      <c r="G115" s="19">
        <f t="shared" si="25"/>
        <v>91.750500000000002</v>
      </c>
    </row>
    <row r="116" spans="1:7" x14ac:dyDescent="0.25">
      <c r="A116" s="23"/>
      <c r="B116" s="23"/>
      <c r="C116" t="s">
        <v>725</v>
      </c>
      <c r="E116" s="19" t="str">
        <f>IFERROR(IF($C116*0.6=0,"",IF(F116="N/A",$C116*0.6,"")),"")</f>
        <v/>
      </c>
      <c r="F116" s="19" t="str">
        <f>IFERROR(IF($C116*0.5=0,"",IF(G116="N/A",$C116*0.5,"")),"")</f>
        <v/>
      </c>
      <c r="G116" s="19" t="str">
        <f>IFERROR(IF($C116*0.45=0,"",$C116*0.45),"")</f>
        <v/>
      </c>
    </row>
    <row r="117" spans="1:7" x14ac:dyDescent="0.25">
      <c r="A117" s="26" t="s">
        <v>692</v>
      </c>
      <c r="B117" s="26"/>
      <c r="C117" s="2" t="s">
        <v>3</v>
      </c>
      <c r="D117" s="2"/>
      <c r="E117" s="19" t="str">
        <f>IFERROR(IF($C117*0.6=0,"",IF(F117="N/A",$C117*0.6,"")),"")</f>
        <v/>
      </c>
      <c r="F117" s="19" t="str">
        <f>IFERROR(IF($C117*0.5=0,"",IF(G117="N/A",$C117*0.5,"")),"")</f>
        <v/>
      </c>
      <c r="G117" s="19" t="str">
        <f>IFERROR(IF($C117*0.45=0,"",$C117*0.45),"")</f>
        <v/>
      </c>
    </row>
    <row r="118" spans="1:7" x14ac:dyDescent="0.25">
      <c r="A118" s="23" t="s">
        <v>178</v>
      </c>
      <c r="B118" s="23" t="s">
        <v>25</v>
      </c>
      <c r="C118">
        <v>218.19</v>
      </c>
      <c r="D118" s="19">
        <f t="shared" ref="D118:D125" si="26">IFERROR(IF($C118*0.8=0,"",$C118*0.8),"")</f>
        <v>174.55200000000002</v>
      </c>
      <c r="E118" s="19">
        <f t="shared" ref="E118:E125" si="27">IFERROR(IF($C118*0.6=0,"",$C118*0.6),"")</f>
        <v>130.91399999999999</v>
      </c>
      <c r="F118" s="19">
        <f t="shared" ref="F118:F124" si="28">IFERROR(IF($C118*0.5=0,"",$C118*0.5),"")</f>
        <v>109.095</v>
      </c>
      <c r="G118" s="19">
        <f t="shared" ref="G118:G124" si="29">IFERROR(IF($C118*0.45=0,"",$C118*0.45),"")</f>
        <v>98.185500000000005</v>
      </c>
    </row>
    <row r="119" spans="1:7" x14ac:dyDescent="0.25">
      <c r="A119" s="23" t="s">
        <v>179</v>
      </c>
      <c r="B119" s="23" t="s">
        <v>26</v>
      </c>
      <c r="C119">
        <v>271.29000000000002</v>
      </c>
      <c r="D119" s="19">
        <f t="shared" si="26"/>
        <v>217.03200000000004</v>
      </c>
      <c r="E119" s="19">
        <f t="shared" si="27"/>
        <v>162.774</v>
      </c>
      <c r="F119" s="19">
        <f t="shared" si="28"/>
        <v>135.64500000000001</v>
      </c>
      <c r="G119" s="19">
        <f t="shared" si="29"/>
        <v>122.08050000000001</v>
      </c>
    </row>
    <row r="120" spans="1:7" x14ac:dyDescent="0.25">
      <c r="A120" s="23" t="s">
        <v>180</v>
      </c>
      <c r="B120" s="23" t="s">
        <v>27</v>
      </c>
      <c r="C120">
        <v>473.19</v>
      </c>
      <c r="D120" s="19">
        <f t="shared" si="26"/>
        <v>378.55200000000002</v>
      </c>
      <c r="E120" s="19">
        <f t="shared" si="27"/>
        <v>283.91399999999999</v>
      </c>
      <c r="F120" s="19">
        <f t="shared" si="28"/>
        <v>236.595</v>
      </c>
      <c r="G120" s="19">
        <f t="shared" si="29"/>
        <v>212.93549999999999</v>
      </c>
    </row>
    <row r="121" spans="1:7" x14ac:dyDescent="0.25">
      <c r="A121" s="23"/>
      <c r="B121" s="23"/>
      <c r="C121" t="s">
        <v>725</v>
      </c>
      <c r="D121" s="19" t="str">
        <f t="shared" si="26"/>
        <v/>
      </c>
      <c r="E121" s="19" t="str">
        <f t="shared" si="27"/>
        <v/>
      </c>
      <c r="F121" s="19" t="str">
        <f t="shared" si="28"/>
        <v/>
      </c>
      <c r="G121" s="19" t="str">
        <f t="shared" si="29"/>
        <v/>
      </c>
    </row>
    <row r="122" spans="1:7" x14ac:dyDescent="0.25">
      <c r="A122" s="26" t="s">
        <v>693</v>
      </c>
      <c r="B122" s="26"/>
      <c r="C122" s="2" t="s">
        <v>3</v>
      </c>
      <c r="D122" s="19" t="str">
        <f t="shared" si="26"/>
        <v/>
      </c>
      <c r="E122" s="19" t="str">
        <f t="shared" si="27"/>
        <v/>
      </c>
      <c r="F122" s="19" t="str">
        <f t="shared" si="28"/>
        <v/>
      </c>
      <c r="G122" s="19" t="str">
        <f t="shared" si="29"/>
        <v/>
      </c>
    </row>
    <row r="123" spans="1:7" x14ac:dyDescent="0.25">
      <c r="A123" s="23" t="s">
        <v>109</v>
      </c>
      <c r="B123" s="9" t="s">
        <v>660</v>
      </c>
      <c r="C123">
        <v>41.79</v>
      </c>
      <c r="D123" s="19">
        <f t="shared" si="26"/>
        <v>33.432000000000002</v>
      </c>
      <c r="E123" s="19">
        <f t="shared" si="27"/>
        <v>25.073999999999998</v>
      </c>
      <c r="F123" s="19">
        <f t="shared" si="28"/>
        <v>20.895</v>
      </c>
      <c r="G123" s="19">
        <f t="shared" si="29"/>
        <v>18.805499999999999</v>
      </c>
    </row>
    <row r="124" spans="1:7" x14ac:dyDescent="0.25">
      <c r="A124" s="23" t="s">
        <v>674</v>
      </c>
      <c r="B124" s="9" t="s">
        <v>661</v>
      </c>
      <c r="C124">
        <v>44.79</v>
      </c>
      <c r="D124" s="19">
        <f t="shared" si="26"/>
        <v>35.832000000000001</v>
      </c>
      <c r="E124" s="19">
        <f t="shared" si="27"/>
        <v>26.873999999999999</v>
      </c>
      <c r="F124" s="19">
        <f t="shared" si="28"/>
        <v>22.395</v>
      </c>
      <c r="G124" s="19">
        <f t="shared" si="29"/>
        <v>20.1555</v>
      </c>
    </row>
    <row r="125" spans="1:7" x14ac:dyDescent="0.25">
      <c r="A125" s="23" t="s">
        <v>183</v>
      </c>
      <c r="B125" s="23" t="s">
        <v>30</v>
      </c>
      <c r="C125">
        <v>404.89</v>
      </c>
      <c r="D125" s="19">
        <f t="shared" si="26"/>
        <v>323.91200000000003</v>
      </c>
      <c r="E125" s="19">
        <f t="shared" si="27"/>
        <v>242.93399999999997</v>
      </c>
      <c r="F125" s="19" t="s">
        <v>702</v>
      </c>
      <c r="G125" s="19" t="s">
        <v>702</v>
      </c>
    </row>
    <row r="126" spans="1:7" x14ac:dyDescent="0.25">
      <c r="A126" s="23"/>
      <c r="B126" s="23"/>
      <c r="C126" t="s">
        <v>725</v>
      </c>
      <c r="E126" s="19"/>
      <c r="F126" s="19"/>
      <c r="G126" s="19"/>
    </row>
    <row r="127" spans="1:7" x14ac:dyDescent="0.25">
      <c r="A127" s="26" t="s">
        <v>487</v>
      </c>
      <c r="B127" s="26"/>
      <c r="C127" s="2" t="s">
        <v>3</v>
      </c>
      <c r="D127" s="2"/>
      <c r="E127" s="19"/>
      <c r="F127" s="19"/>
      <c r="G127" s="19"/>
    </row>
    <row r="128" spans="1:7" x14ac:dyDescent="0.25">
      <c r="A128" s="23" t="s">
        <v>488</v>
      </c>
      <c r="B128" s="23" t="s">
        <v>491</v>
      </c>
      <c r="C128">
        <v>919.99</v>
      </c>
      <c r="D128" s="19">
        <f t="shared" ref="D128:D130" si="30">IFERROR(IF($C128*0.8=0,"",$C128*0.8),"")</f>
        <v>735.99200000000008</v>
      </c>
      <c r="E128" s="19">
        <f t="shared" ref="E128:E130" si="31">IFERROR(IF($C128*0.6=0,"",$C128*0.6),"")</f>
        <v>551.99400000000003</v>
      </c>
      <c r="F128" s="19" t="s">
        <v>702</v>
      </c>
      <c r="G128" s="19" t="s">
        <v>702</v>
      </c>
    </row>
    <row r="129" spans="1:7" x14ac:dyDescent="0.25">
      <c r="A129" s="23" t="s">
        <v>489</v>
      </c>
      <c r="B129" s="23" t="s">
        <v>492</v>
      </c>
      <c r="C129">
        <v>961.79</v>
      </c>
      <c r="D129" s="19">
        <f t="shared" si="30"/>
        <v>769.43200000000002</v>
      </c>
      <c r="E129" s="19">
        <f t="shared" si="31"/>
        <v>577.07399999999996</v>
      </c>
      <c r="F129" s="19" t="s">
        <v>702</v>
      </c>
      <c r="G129" s="19" t="s">
        <v>702</v>
      </c>
    </row>
    <row r="130" spans="1:7" x14ac:dyDescent="0.25">
      <c r="A130" s="23" t="s">
        <v>490</v>
      </c>
      <c r="B130" s="23" t="s">
        <v>493</v>
      </c>
      <c r="C130">
        <v>2006.29</v>
      </c>
      <c r="D130" s="19">
        <f t="shared" si="30"/>
        <v>1605.0320000000002</v>
      </c>
      <c r="E130" s="19">
        <f t="shared" si="31"/>
        <v>1203.7739999999999</v>
      </c>
      <c r="F130" s="19" t="s">
        <v>702</v>
      </c>
      <c r="G130" s="19" t="s">
        <v>702</v>
      </c>
    </row>
    <row r="131" spans="1:7" x14ac:dyDescent="0.25">
      <c r="A131" s="23"/>
      <c r="B131" s="23"/>
      <c r="C131" t="s">
        <v>725</v>
      </c>
      <c r="E131" s="19"/>
      <c r="F131" s="19"/>
      <c r="G131" s="19"/>
    </row>
    <row r="132" spans="1:7" x14ac:dyDescent="0.25">
      <c r="A132" s="26" t="s">
        <v>494</v>
      </c>
      <c r="B132" s="26"/>
      <c r="C132" s="2" t="s">
        <v>3</v>
      </c>
      <c r="D132" s="2"/>
      <c r="E132" s="19"/>
      <c r="F132" s="19"/>
      <c r="G132" s="19"/>
    </row>
    <row r="133" spans="1:7" x14ac:dyDescent="0.25">
      <c r="A133" s="23" t="s">
        <v>495</v>
      </c>
      <c r="B133" s="23" t="s">
        <v>497</v>
      </c>
      <c r="C133">
        <v>329.95</v>
      </c>
      <c r="D133" s="19">
        <f t="shared" ref="D133:D134" si="32">IFERROR(IF($C133*0.8=0,"",$C133*0.8),"")</f>
        <v>263.95999999999998</v>
      </c>
      <c r="E133" s="19">
        <f t="shared" ref="E133:E134" si="33">IFERROR(IF($C133*0.6=0,"",$C133*0.6),"")</f>
        <v>197.97</v>
      </c>
      <c r="F133" s="19" t="s">
        <v>702</v>
      </c>
      <c r="G133" s="19" t="s">
        <v>702</v>
      </c>
    </row>
    <row r="134" spans="1:7" x14ac:dyDescent="0.25">
      <c r="A134" s="23" t="s">
        <v>496</v>
      </c>
      <c r="B134" s="23" t="s">
        <v>498</v>
      </c>
      <c r="C134">
        <v>349.95</v>
      </c>
      <c r="D134" s="19">
        <f t="shared" si="32"/>
        <v>279.95999999999998</v>
      </c>
      <c r="E134" s="19">
        <f t="shared" si="33"/>
        <v>209.97</v>
      </c>
      <c r="F134" s="19" t="s">
        <v>702</v>
      </c>
      <c r="G134" s="19" t="s">
        <v>702</v>
      </c>
    </row>
    <row r="135" spans="1:7" x14ac:dyDescent="0.25">
      <c r="A135" s="23"/>
      <c r="B135" s="23"/>
      <c r="C135" t="s">
        <v>725</v>
      </c>
      <c r="E135" s="19"/>
      <c r="F135" s="19"/>
      <c r="G135" s="19"/>
    </row>
    <row r="136" spans="1:7" x14ac:dyDescent="0.25">
      <c r="A136" s="26" t="s">
        <v>513</v>
      </c>
      <c r="B136" s="26"/>
      <c r="C136" s="2" t="s">
        <v>3</v>
      </c>
      <c r="D136" s="2"/>
      <c r="E136" s="19"/>
      <c r="F136" s="19"/>
      <c r="G136" s="19"/>
    </row>
    <row r="137" spans="1:7" x14ac:dyDescent="0.25">
      <c r="A137" s="23" t="s">
        <v>99</v>
      </c>
      <c r="B137" s="23" t="s">
        <v>9</v>
      </c>
      <c r="C137">
        <v>127.39</v>
      </c>
      <c r="D137" s="19">
        <f t="shared" ref="D137:D206" si="34">IFERROR(IF($C137*0.8=0,"",$C137*0.8),"")</f>
        <v>101.91200000000001</v>
      </c>
      <c r="E137" s="19">
        <f t="shared" ref="E137:E206" si="35">IFERROR(IF($C137*0.6=0,"",$C137*0.6),"")</f>
        <v>76.433999999999997</v>
      </c>
      <c r="F137" s="19">
        <f t="shared" ref="F137:F204" si="36">IFERROR(IF($C137*0.5=0,"",$C137*0.5),"")</f>
        <v>63.695</v>
      </c>
      <c r="G137" s="19">
        <f t="shared" ref="G137:G204" si="37">IFERROR(IF($C137*0.45=0,"",$C137*0.45),"")</f>
        <v>57.325499999999998</v>
      </c>
    </row>
    <row r="138" spans="1:7" x14ac:dyDescent="0.25">
      <c r="A138" s="23" t="s">
        <v>100</v>
      </c>
      <c r="B138" s="23" t="s">
        <v>10</v>
      </c>
      <c r="C138">
        <v>137.59</v>
      </c>
      <c r="D138" s="19">
        <f t="shared" si="34"/>
        <v>110.072</v>
      </c>
      <c r="E138" s="19">
        <f t="shared" si="35"/>
        <v>82.554000000000002</v>
      </c>
      <c r="F138" s="19">
        <f t="shared" si="36"/>
        <v>68.795000000000002</v>
      </c>
      <c r="G138" s="19">
        <f t="shared" si="37"/>
        <v>61.915500000000002</v>
      </c>
    </row>
    <row r="139" spans="1:7" x14ac:dyDescent="0.25">
      <c r="A139" s="23" t="s">
        <v>101</v>
      </c>
      <c r="B139" s="23" t="s">
        <v>11</v>
      </c>
      <c r="C139">
        <v>173.29000000000002</v>
      </c>
      <c r="D139" s="19">
        <f t="shared" si="34"/>
        <v>138.63200000000003</v>
      </c>
      <c r="E139" s="19">
        <f t="shared" si="35"/>
        <v>103.974</v>
      </c>
      <c r="F139" s="19">
        <f t="shared" si="36"/>
        <v>86.64500000000001</v>
      </c>
      <c r="G139" s="19">
        <f t="shared" si="37"/>
        <v>77.980500000000006</v>
      </c>
    </row>
    <row r="140" spans="1:7" x14ac:dyDescent="0.25">
      <c r="A140" s="23" t="s">
        <v>102</v>
      </c>
      <c r="B140" s="23" t="s">
        <v>12</v>
      </c>
      <c r="C140">
        <v>268.19</v>
      </c>
      <c r="D140" s="19">
        <f t="shared" si="34"/>
        <v>214.55200000000002</v>
      </c>
      <c r="E140" s="19">
        <f t="shared" si="35"/>
        <v>160.91399999999999</v>
      </c>
      <c r="F140" s="19">
        <f t="shared" si="36"/>
        <v>134.095</v>
      </c>
      <c r="G140" s="19">
        <f t="shared" si="37"/>
        <v>120.6855</v>
      </c>
    </row>
    <row r="141" spans="1:7" x14ac:dyDescent="0.25">
      <c r="A141" s="23"/>
      <c r="B141" s="23"/>
      <c r="C141" t="s">
        <v>725</v>
      </c>
      <c r="D141" s="19" t="str">
        <f t="shared" si="34"/>
        <v/>
      </c>
      <c r="E141" s="19" t="str">
        <f t="shared" si="35"/>
        <v/>
      </c>
      <c r="F141" s="19" t="str">
        <f t="shared" si="36"/>
        <v/>
      </c>
      <c r="G141" s="19" t="str">
        <f t="shared" si="37"/>
        <v/>
      </c>
    </row>
    <row r="142" spans="1:7" x14ac:dyDescent="0.25">
      <c r="A142" s="23" t="s">
        <v>103</v>
      </c>
      <c r="B142" s="23" t="s">
        <v>515</v>
      </c>
      <c r="C142">
        <v>178.39000000000001</v>
      </c>
      <c r="D142" s="19">
        <f t="shared" si="34"/>
        <v>142.71200000000002</v>
      </c>
      <c r="E142" s="19">
        <f t="shared" si="35"/>
        <v>107.03400000000001</v>
      </c>
      <c r="F142" s="19">
        <f t="shared" si="36"/>
        <v>89.195000000000007</v>
      </c>
      <c r="G142" s="19">
        <f t="shared" si="37"/>
        <v>80.275500000000008</v>
      </c>
    </row>
    <row r="143" spans="1:7" x14ac:dyDescent="0.25">
      <c r="A143" s="23" t="s">
        <v>104</v>
      </c>
      <c r="B143" s="23" t="s">
        <v>516</v>
      </c>
      <c r="C143">
        <v>190.69</v>
      </c>
      <c r="D143" s="19">
        <f t="shared" si="34"/>
        <v>152.55199999999999</v>
      </c>
      <c r="E143" s="19">
        <f t="shared" si="35"/>
        <v>114.414</v>
      </c>
      <c r="F143" s="19">
        <f t="shared" si="36"/>
        <v>95.344999999999999</v>
      </c>
      <c r="G143" s="19">
        <f t="shared" si="37"/>
        <v>85.810500000000005</v>
      </c>
    </row>
    <row r="144" spans="1:7" x14ac:dyDescent="0.25">
      <c r="A144" s="23" t="s">
        <v>107</v>
      </c>
      <c r="B144" s="23" t="s">
        <v>517</v>
      </c>
      <c r="C144">
        <v>230.49</v>
      </c>
      <c r="D144" s="19">
        <f t="shared" si="34"/>
        <v>184.39200000000002</v>
      </c>
      <c r="E144" s="19">
        <f t="shared" si="35"/>
        <v>138.29400000000001</v>
      </c>
      <c r="F144" s="19">
        <f t="shared" si="36"/>
        <v>115.245</v>
      </c>
      <c r="G144" s="19">
        <f t="shared" si="37"/>
        <v>103.7205</v>
      </c>
    </row>
    <row r="145" spans="1:7" x14ac:dyDescent="0.25">
      <c r="A145" s="23" t="s">
        <v>108</v>
      </c>
      <c r="B145" s="23" t="s">
        <v>518</v>
      </c>
      <c r="C145">
        <v>349.79</v>
      </c>
      <c r="D145" s="19">
        <f t="shared" si="34"/>
        <v>279.83200000000005</v>
      </c>
      <c r="E145" s="19">
        <f t="shared" si="35"/>
        <v>209.874</v>
      </c>
      <c r="F145" s="19">
        <f t="shared" si="36"/>
        <v>174.89500000000001</v>
      </c>
      <c r="G145" s="19">
        <f t="shared" si="37"/>
        <v>157.40550000000002</v>
      </c>
    </row>
    <row r="146" spans="1:7" x14ac:dyDescent="0.25">
      <c r="A146" s="23"/>
      <c r="B146" s="23"/>
      <c r="C146" t="s">
        <v>725</v>
      </c>
      <c r="D146" s="19" t="str">
        <f t="shared" si="34"/>
        <v/>
      </c>
      <c r="E146" s="19" t="str">
        <f t="shared" si="35"/>
        <v/>
      </c>
      <c r="F146" s="19" t="str">
        <f t="shared" si="36"/>
        <v/>
      </c>
      <c r="G146" s="19" t="str">
        <f t="shared" si="37"/>
        <v/>
      </c>
    </row>
    <row r="147" spans="1:7" x14ac:dyDescent="0.25">
      <c r="A147" s="23" t="s">
        <v>105</v>
      </c>
      <c r="B147" s="23" t="s">
        <v>729</v>
      </c>
      <c r="C147">
        <v>201.89000000000001</v>
      </c>
      <c r="D147" s="19">
        <f t="shared" si="34"/>
        <v>161.51200000000003</v>
      </c>
      <c r="E147" s="19">
        <f t="shared" si="35"/>
        <v>121.134</v>
      </c>
      <c r="F147" s="19">
        <f t="shared" si="36"/>
        <v>100.94500000000001</v>
      </c>
      <c r="G147" s="19">
        <f t="shared" si="37"/>
        <v>90.850500000000011</v>
      </c>
    </row>
    <row r="148" spans="1:7" x14ac:dyDescent="0.25">
      <c r="A148" s="23" t="s">
        <v>106</v>
      </c>
      <c r="B148" s="23" t="s">
        <v>730</v>
      </c>
      <c r="C148">
        <v>245.79000000000002</v>
      </c>
      <c r="D148" s="19">
        <f t="shared" si="34"/>
        <v>196.63200000000003</v>
      </c>
      <c r="E148" s="19">
        <f t="shared" si="35"/>
        <v>147.47400000000002</v>
      </c>
      <c r="F148" s="19">
        <f t="shared" si="36"/>
        <v>122.89500000000001</v>
      </c>
      <c r="G148" s="19">
        <f t="shared" si="37"/>
        <v>110.60550000000001</v>
      </c>
    </row>
    <row r="149" spans="1:7" x14ac:dyDescent="0.25">
      <c r="A149" s="23"/>
      <c r="B149" s="23"/>
      <c r="C149" t="s">
        <v>725</v>
      </c>
      <c r="D149" s="19" t="str">
        <f t="shared" si="34"/>
        <v/>
      </c>
      <c r="E149" s="19" t="str">
        <f t="shared" si="35"/>
        <v/>
      </c>
      <c r="F149" s="19" t="str">
        <f t="shared" si="36"/>
        <v/>
      </c>
      <c r="G149" s="19" t="str">
        <f t="shared" si="37"/>
        <v/>
      </c>
    </row>
    <row r="150" spans="1:7" x14ac:dyDescent="0.25">
      <c r="A150" s="26" t="s">
        <v>13</v>
      </c>
      <c r="B150" s="26"/>
      <c r="C150" s="2" t="s">
        <v>3</v>
      </c>
      <c r="D150" s="19" t="str">
        <f t="shared" si="34"/>
        <v/>
      </c>
      <c r="E150" s="19" t="str">
        <f t="shared" si="35"/>
        <v/>
      </c>
      <c r="F150" s="19" t="str">
        <f t="shared" si="36"/>
        <v/>
      </c>
      <c r="G150" s="19" t="str">
        <f t="shared" si="37"/>
        <v/>
      </c>
    </row>
    <row r="151" spans="1:7" x14ac:dyDescent="0.25">
      <c r="A151" s="23" t="s">
        <v>126</v>
      </c>
      <c r="B151" s="23" t="s">
        <v>14</v>
      </c>
      <c r="C151">
        <v>19.389999999999997</v>
      </c>
      <c r="D151" s="19">
        <f t="shared" si="34"/>
        <v>15.511999999999999</v>
      </c>
      <c r="E151" s="19">
        <f t="shared" si="35"/>
        <v>11.633999999999999</v>
      </c>
      <c r="F151" s="19">
        <f t="shared" si="36"/>
        <v>9.6949999999999985</v>
      </c>
      <c r="G151" s="19">
        <f t="shared" si="37"/>
        <v>8.7254999999999985</v>
      </c>
    </row>
    <row r="152" spans="1:7" x14ac:dyDescent="0.25">
      <c r="A152" s="23" t="s">
        <v>127</v>
      </c>
      <c r="B152" s="23" t="s">
        <v>15</v>
      </c>
      <c r="C152">
        <v>20.29</v>
      </c>
      <c r="D152" s="19">
        <f t="shared" si="34"/>
        <v>16.231999999999999</v>
      </c>
      <c r="E152" s="19">
        <f t="shared" si="35"/>
        <v>12.173999999999999</v>
      </c>
      <c r="F152" s="19">
        <f t="shared" si="36"/>
        <v>10.145</v>
      </c>
      <c r="G152" s="19">
        <f t="shared" si="37"/>
        <v>9.1304999999999996</v>
      </c>
    </row>
    <row r="153" spans="1:7" x14ac:dyDescent="0.25">
      <c r="A153" s="23" t="s">
        <v>128</v>
      </c>
      <c r="B153" s="23" t="s">
        <v>16</v>
      </c>
      <c r="C153">
        <v>22.389999999999997</v>
      </c>
      <c r="D153" s="19">
        <f t="shared" si="34"/>
        <v>17.911999999999999</v>
      </c>
      <c r="E153" s="19">
        <f t="shared" si="35"/>
        <v>13.433999999999997</v>
      </c>
      <c r="F153" s="19">
        <f t="shared" si="36"/>
        <v>11.194999999999999</v>
      </c>
      <c r="G153" s="19">
        <f t="shared" si="37"/>
        <v>10.075499999999998</v>
      </c>
    </row>
    <row r="154" spans="1:7" x14ac:dyDescent="0.25">
      <c r="A154" s="23" t="s">
        <v>129</v>
      </c>
      <c r="B154" s="23" t="s">
        <v>17</v>
      </c>
      <c r="C154">
        <v>23.389999999999997</v>
      </c>
      <c r="D154" s="19">
        <f t="shared" si="34"/>
        <v>18.712</v>
      </c>
      <c r="E154" s="19">
        <f t="shared" si="35"/>
        <v>14.033999999999997</v>
      </c>
      <c r="F154" s="19">
        <f t="shared" si="36"/>
        <v>11.694999999999999</v>
      </c>
      <c r="G154" s="19">
        <f t="shared" si="37"/>
        <v>10.525499999999999</v>
      </c>
    </row>
    <row r="155" spans="1:7" x14ac:dyDescent="0.25">
      <c r="A155" s="23" t="s">
        <v>130</v>
      </c>
      <c r="B155" s="23" t="s">
        <v>18</v>
      </c>
      <c r="C155">
        <v>34.590000000000003</v>
      </c>
      <c r="D155" s="19">
        <f t="shared" si="34"/>
        <v>27.672000000000004</v>
      </c>
      <c r="E155" s="19">
        <f t="shared" si="35"/>
        <v>20.754000000000001</v>
      </c>
      <c r="F155" s="19">
        <f t="shared" si="36"/>
        <v>17.295000000000002</v>
      </c>
      <c r="G155" s="19">
        <f t="shared" si="37"/>
        <v>15.565500000000002</v>
      </c>
    </row>
    <row r="156" spans="1:7" x14ac:dyDescent="0.25">
      <c r="A156" s="23" t="s">
        <v>131</v>
      </c>
      <c r="B156" s="23" t="s">
        <v>19</v>
      </c>
      <c r="C156">
        <v>45.79</v>
      </c>
      <c r="D156" s="19">
        <f t="shared" si="34"/>
        <v>36.631999999999998</v>
      </c>
      <c r="E156" s="19">
        <f t="shared" si="35"/>
        <v>27.474</v>
      </c>
      <c r="F156" s="19">
        <f t="shared" si="36"/>
        <v>22.895</v>
      </c>
      <c r="G156" s="19">
        <f t="shared" si="37"/>
        <v>20.605499999999999</v>
      </c>
    </row>
    <row r="157" spans="1:7" x14ac:dyDescent="0.25">
      <c r="A157" s="23" t="s">
        <v>132</v>
      </c>
      <c r="B157" s="23" t="s">
        <v>20</v>
      </c>
      <c r="C157">
        <v>61.09</v>
      </c>
      <c r="D157" s="19">
        <f t="shared" si="34"/>
        <v>48.872000000000007</v>
      </c>
      <c r="E157" s="19">
        <f t="shared" si="35"/>
        <v>36.654000000000003</v>
      </c>
      <c r="F157" s="19">
        <f t="shared" si="36"/>
        <v>30.545000000000002</v>
      </c>
      <c r="G157" s="19" t="s">
        <v>702</v>
      </c>
    </row>
    <row r="158" spans="1:7" x14ac:dyDescent="0.25">
      <c r="A158" s="23" t="s">
        <v>133</v>
      </c>
      <c r="B158" s="23" t="s">
        <v>21</v>
      </c>
      <c r="C158">
        <v>17.29</v>
      </c>
      <c r="D158" s="19">
        <f t="shared" si="34"/>
        <v>13.832000000000001</v>
      </c>
      <c r="E158" s="19">
        <f t="shared" si="35"/>
        <v>10.373999999999999</v>
      </c>
      <c r="F158" s="19">
        <f t="shared" si="36"/>
        <v>8.6449999999999996</v>
      </c>
      <c r="G158" s="19">
        <f t="shared" si="37"/>
        <v>7.7805</v>
      </c>
    </row>
    <row r="159" spans="1:7" x14ac:dyDescent="0.25">
      <c r="A159" s="23"/>
      <c r="B159" s="23"/>
      <c r="C159" t="s">
        <v>725</v>
      </c>
      <c r="D159" s="19" t="str">
        <f t="shared" si="34"/>
        <v/>
      </c>
      <c r="E159" s="19" t="str">
        <f t="shared" si="35"/>
        <v/>
      </c>
      <c r="F159" s="19" t="str">
        <f t="shared" si="36"/>
        <v/>
      </c>
      <c r="G159" s="19" t="str">
        <f t="shared" si="37"/>
        <v/>
      </c>
    </row>
    <row r="160" spans="1:7" x14ac:dyDescent="0.25">
      <c r="A160" s="26" t="s">
        <v>617</v>
      </c>
      <c r="B160" s="26"/>
      <c r="C160" s="2" t="s">
        <v>3</v>
      </c>
      <c r="D160" s="19" t="str">
        <f t="shared" si="34"/>
        <v/>
      </c>
      <c r="E160" s="19" t="str">
        <f t="shared" si="35"/>
        <v/>
      </c>
      <c r="F160" s="19" t="str">
        <f t="shared" si="36"/>
        <v/>
      </c>
      <c r="G160" s="19" t="str">
        <f t="shared" si="37"/>
        <v/>
      </c>
    </row>
    <row r="161" spans="1:7" x14ac:dyDescent="0.25">
      <c r="A161" s="23" t="s">
        <v>194</v>
      </c>
      <c r="B161" s="9" t="s">
        <v>605</v>
      </c>
      <c r="C161">
        <v>9.9499999999999993</v>
      </c>
      <c r="D161" s="19">
        <f t="shared" si="34"/>
        <v>7.96</v>
      </c>
      <c r="E161" s="19">
        <f t="shared" si="35"/>
        <v>5.97</v>
      </c>
      <c r="F161" s="19">
        <f t="shared" si="36"/>
        <v>4.9749999999999996</v>
      </c>
      <c r="G161" s="19">
        <f t="shared" si="37"/>
        <v>4.4775</v>
      </c>
    </row>
    <row r="162" spans="1:7" x14ac:dyDescent="0.25">
      <c r="A162" s="23" t="s">
        <v>195</v>
      </c>
      <c r="B162" s="23" t="s">
        <v>606</v>
      </c>
      <c r="C162">
        <v>10.95</v>
      </c>
      <c r="D162" s="19">
        <f t="shared" si="34"/>
        <v>8.76</v>
      </c>
      <c r="E162" s="19">
        <f t="shared" si="35"/>
        <v>6.5699999999999994</v>
      </c>
      <c r="F162" s="19">
        <f t="shared" si="36"/>
        <v>5.4749999999999996</v>
      </c>
      <c r="G162" s="19">
        <f t="shared" si="37"/>
        <v>4.9275000000000002</v>
      </c>
    </row>
    <row r="163" spans="1:7" x14ac:dyDescent="0.25">
      <c r="A163" s="23" t="s">
        <v>704</v>
      </c>
      <c r="B163" s="23" t="s">
        <v>705</v>
      </c>
      <c r="C163">
        <v>14.95</v>
      </c>
      <c r="D163" s="19">
        <f t="shared" si="34"/>
        <v>11.96</v>
      </c>
      <c r="E163" s="19">
        <f t="shared" si="35"/>
        <v>8.9699999999999989</v>
      </c>
      <c r="F163" s="19">
        <f t="shared" si="36"/>
        <v>7.4749999999999996</v>
      </c>
      <c r="G163" s="19">
        <f t="shared" si="37"/>
        <v>6.7275</v>
      </c>
    </row>
    <row r="164" spans="1:7" x14ac:dyDescent="0.25">
      <c r="A164" s="23" t="s">
        <v>196</v>
      </c>
      <c r="B164" s="23" t="s">
        <v>607</v>
      </c>
      <c r="C164">
        <v>11.95</v>
      </c>
      <c r="D164" s="19">
        <f t="shared" si="34"/>
        <v>9.56</v>
      </c>
      <c r="E164" s="19">
        <f t="shared" si="35"/>
        <v>7.169999999999999</v>
      </c>
      <c r="F164" s="19">
        <f t="shared" si="36"/>
        <v>5.9749999999999996</v>
      </c>
      <c r="G164" s="19">
        <f t="shared" si="37"/>
        <v>5.3774999999999995</v>
      </c>
    </row>
    <row r="165" spans="1:7" x14ac:dyDescent="0.25">
      <c r="A165" s="23" t="s">
        <v>197</v>
      </c>
      <c r="B165" s="23" t="s">
        <v>608</v>
      </c>
      <c r="C165">
        <v>13.95</v>
      </c>
      <c r="D165" s="19">
        <f t="shared" si="34"/>
        <v>11.16</v>
      </c>
      <c r="E165" s="19">
        <f t="shared" si="35"/>
        <v>8.3699999999999992</v>
      </c>
      <c r="F165" s="19">
        <f t="shared" si="36"/>
        <v>6.9749999999999996</v>
      </c>
      <c r="G165" s="19">
        <f t="shared" si="37"/>
        <v>6.2774999999999999</v>
      </c>
    </row>
    <row r="166" spans="1:7" x14ac:dyDescent="0.25">
      <c r="A166" s="23" t="s">
        <v>664</v>
      </c>
      <c r="B166" s="23" t="s">
        <v>665</v>
      </c>
      <c r="C166">
        <v>15.95</v>
      </c>
      <c r="D166" s="19">
        <f t="shared" si="34"/>
        <v>12.76</v>
      </c>
      <c r="E166" s="19">
        <f t="shared" si="35"/>
        <v>9.5699999999999985</v>
      </c>
      <c r="F166" s="19">
        <f t="shared" si="36"/>
        <v>7.9749999999999996</v>
      </c>
      <c r="G166" s="19">
        <f t="shared" si="37"/>
        <v>7.1775000000000002</v>
      </c>
    </row>
    <row r="167" spans="1:7" x14ac:dyDescent="0.25">
      <c r="A167" s="23" t="s">
        <v>198</v>
      </c>
      <c r="B167" s="23" t="s">
        <v>609</v>
      </c>
      <c r="C167">
        <v>15.95</v>
      </c>
      <c r="D167" s="19">
        <f t="shared" si="34"/>
        <v>12.76</v>
      </c>
      <c r="E167" s="19">
        <f t="shared" si="35"/>
        <v>9.5699999999999985</v>
      </c>
      <c r="F167" s="19">
        <f t="shared" si="36"/>
        <v>7.9749999999999996</v>
      </c>
      <c r="G167" s="19">
        <f t="shared" si="37"/>
        <v>7.1775000000000002</v>
      </c>
    </row>
    <row r="168" spans="1:7" x14ac:dyDescent="0.25">
      <c r="A168" s="23" t="s">
        <v>199</v>
      </c>
      <c r="B168" s="23" t="s">
        <v>610</v>
      </c>
      <c r="C168">
        <v>17.95</v>
      </c>
      <c r="D168" s="19">
        <f t="shared" si="34"/>
        <v>14.36</v>
      </c>
      <c r="E168" s="19">
        <f t="shared" si="35"/>
        <v>10.77</v>
      </c>
      <c r="F168" s="19">
        <f t="shared" si="36"/>
        <v>8.9749999999999996</v>
      </c>
      <c r="G168" s="19">
        <f t="shared" si="37"/>
        <v>8.0775000000000006</v>
      </c>
    </row>
    <row r="169" spans="1:7" x14ac:dyDescent="0.25">
      <c r="A169" s="23" t="s">
        <v>200</v>
      </c>
      <c r="B169" s="23" t="s">
        <v>611</v>
      </c>
      <c r="C169">
        <v>19.95</v>
      </c>
      <c r="D169" s="19">
        <f t="shared" si="34"/>
        <v>15.96</v>
      </c>
      <c r="E169" s="19">
        <f t="shared" si="35"/>
        <v>11.969999999999999</v>
      </c>
      <c r="F169" s="19">
        <f t="shared" si="36"/>
        <v>9.9749999999999996</v>
      </c>
      <c r="G169" s="19">
        <f t="shared" si="37"/>
        <v>8.9774999999999991</v>
      </c>
    </row>
    <row r="170" spans="1:7" x14ac:dyDescent="0.25">
      <c r="A170" s="23" t="s">
        <v>343</v>
      </c>
      <c r="B170" s="23" t="s">
        <v>612</v>
      </c>
      <c r="C170">
        <v>24.95</v>
      </c>
      <c r="D170" s="19">
        <f t="shared" si="34"/>
        <v>19.96</v>
      </c>
      <c r="E170" s="19">
        <f t="shared" si="35"/>
        <v>14.969999999999999</v>
      </c>
      <c r="F170" s="19">
        <f t="shared" si="36"/>
        <v>12.475</v>
      </c>
      <c r="G170" s="19">
        <f t="shared" si="37"/>
        <v>11.227499999999999</v>
      </c>
    </row>
    <row r="171" spans="1:7" x14ac:dyDescent="0.25">
      <c r="A171" s="23" t="s">
        <v>201</v>
      </c>
      <c r="B171" s="23" t="s">
        <v>613</v>
      </c>
      <c r="C171">
        <v>29.95</v>
      </c>
      <c r="D171" s="19">
        <f t="shared" si="34"/>
        <v>23.96</v>
      </c>
      <c r="E171" s="19">
        <f t="shared" si="35"/>
        <v>17.97</v>
      </c>
      <c r="F171" s="19">
        <f t="shared" si="36"/>
        <v>14.975</v>
      </c>
      <c r="G171" s="19">
        <f t="shared" si="37"/>
        <v>13.477499999999999</v>
      </c>
    </row>
    <row r="172" spans="1:7" x14ac:dyDescent="0.25">
      <c r="A172" s="23" t="s">
        <v>202</v>
      </c>
      <c r="B172" s="23" t="s">
        <v>614</v>
      </c>
      <c r="C172">
        <v>34.950000000000003</v>
      </c>
      <c r="D172" s="19">
        <f t="shared" si="34"/>
        <v>27.960000000000004</v>
      </c>
      <c r="E172" s="19">
        <f t="shared" si="35"/>
        <v>20.970000000000002</v>
      </c>
      <c r="F172" s="19">
        <f t="shared" si="36"/>
        <v>17.475000000000001</v>
      </c>
      <c r="G172" s="19">
        <f t="shared" si="37"/>
        <v>15.727500000000001</v>
      </c>
    </row>
    <row r="173" spans="1:7" x14ac:dyDescent="0.25">
      <c r="A173" s="23" t="s">
        <v>203</v>
      </c>
      <c r="B173" s="23" t="s">
        <v>615</v>
      </c>
      <c r="C173">
        <v>49.95</v>
      </c>
      <c r="D173" s="19">
        <f t="shared" si="34"/>
        <v>39.960000000000008</v>
      </c>
      <c r="E173" s="19">
        <f t="shared" si="35"/>
        <v>29.97</v>
      </c>
      <c r="F173" s="19">
        <f t="shared" si="36"/>
        <v>24.975000000000001</v>
      </c>
      <c r="G173" s="19">
        <f t="shared" si="37"/>
        <v>22.477500000000003</v>
      </c>
    </row>
    <row r="174" spans="1:7" x14ac:dyDescent="0.25">
      <c r="A174" s="23" t="s">
        <v>204</v>
      </c>
      <c r="B174" s="23" t="s">
        <v>616</v>
      </c>
      <c r="C174">
        <v>79.95</v>
      </c>
      <c r="D174" s="19">
        <f t="shared" si="34"/>
        <v>63.960000000000008</v>
      </c>
      <c r="E174" s="19">
        <f t="shared" si="35"/>
        <v>47.97</v>
      </c>
      <c r="F174" s="19">
        <f t="shared" si="36"/>
        <v>39.975000000000001</v>
      </c>
      <c r="G174" s="19">
        <f t="shared" si="37"/>
        <v>35.977499999999999</v>
      </c>
    </row>
    <row r="175" spans="1:7" x14ac:dyDescent="0.25">
      <c r="A175" s="23"/>
      <c r="B175" s="23"/>
      <c r="D175" s="19"/>
      <c r="E175" s="19"/>
      <c r="F175" s="19"/>
      <c r="G175" s="19"/>
    </row>
    <row r="176" spans="1:7" x14ac:dyDescent="0.25">
      <c r="A176" s="26" t="s">
        <v>715</v>
      </c>
      <c r="B176" s="26"/>
      <c r="C176" s="2" t="s">
        <v>3</v>
      </c>
      <c r="D176" s="19" t="str">
        <f t="shared" si="34"/>
        <v/>
      </c>
      <c r="E176" s="19" t="str">
        <f t="shared" si="35"/>
        <v/>
      </c>
      <c r="F176" s="19" t="str">
        <f t="shared" si="36"/>
        <v/>
      </c>
      <c r="G176" s="19" t="str">
        <f t="shared" si="37"/>
        <v/>
      </c>
    </row>
    <row r="177" spans="1:7" x14ac:dyDescent="0.25">
      <c r="A177" s="23" t="s">
        <v>716</v>
      </c>
      <c r="B177" s="9" t="s">
        <v>719</v>
      </c>
      <c r="C177">
        <v>34.950000000000003</v>
      </c>
      <c r="D177" s="19">
        <f t="shared" si="34"/>
        <v>27.960000000000004</v>
      </c>
      <c r="E177" s="19">
        <f t="shared" si="35"/>
        <v>20.970000000000002</v>
      </c>
      <c r="F177" s="19">
        <f t="shared" si="36"/>
        <v>17.475000000000001</v>
      </c>
      <c r="G177" s="24" t="s">
        <v>702</v>
      </c>
    </row>
    <row r="178" spans="1:7" x14ac:dyDescent="0.25">
      <c r="A178" s="23" t="s">
        <v>717</v>
      </c>
      <c r="B178" s="9" t="s">
        <v>720</v>
      </c>
      <c r="C178">
        <v>44.95</v>
      </c>
      <c r="D178" s="19">
        <f t="shared" si="34"/>
        <v>35.96</v>
      </c>
      <c r="E178" s="19">
        <f t="shared" si="35"/>
        <v>26.970000000000002</v>
      </c>
      <c r="F178" s="19">
        <f t="shared" si="36"/>
        <v>22.475000000000001</v>
      </c>
      <c r="G178" s="24" t="s">
        <v>702</v>
      </c>
    </row>
    <row r="179" spans="1:7" x14ac:dyDescent="0.25">
      <c r="A179" s="23" t="s">
        <v>718</v>
      </c>
      <c r="B179" s="9" t="s">
        <v>721</v>
      </c>
      <c r="C179">
        <v>76.95</v>
      </c>
      <c r="D179" s="19">
        <f t="shared" si="34"/>
        <v>61.56</v>
      </c>
      <c r="E179" s="19">
        <f t="shared" si="35"/>
        <v>46.17</v>
      </c>
      <c r="F179" s="19">
        <f t="shared" si="36"/>
        <v>38.475000000000001</v>
      </c>
      <c r="G179" s="24" t="s">
        <v>702</v>
      </c>
    </row>
    <row r="180" spans="1:7" x14ac:dyDescent="0.25">
      <c r="A180" s="23"/>
      <c r="B180" s="9"/>
      <c r="C180" t="s">
        <v>725</v>
      </c>
      <c r="D180" s="19"/>
      <c r="E180" s="19"/>
      <c r="F180" s="19"/>
      <c r="G180" s="19"/>
    </row>
    <row r="181" spans="1:7" x14ac:dyDescent="0.25">
      <c r="A181" s="26" t="s">
        <v>53</v>
      </c>
      <c r="B181" s="26"/>
      <c r="C181" s="2" t="s">
        <v>3</v>
      </c>
      <c r="D181" s="19" t="str">
        <f t="shared" si="34"/>
        <v/>
      </c>
      <c r="E181" s="19" t="str">
        <f t="shared" si="35"/>
        <v/>
      </c>
      <c r="F181" s="19" t="str">
        <f t="shared" si="36"/>
        <v/>
      </c>
      <c r="G181" s="19" t="str">
        <f t="shared" si="37"/>
        <v/>
      </c>
    </row>
    <row r="182" spans="1:7" x14ac:dyDescent="0.25">
      <c r="A182" s="23" t="s">
        <v>215</v>
      </c>
      <c r="B182" s="9" t="s">
        <v>590</v>
      </c>
      <c r="C182">
        <v>13.95</v>
      </c>
      <c r="D182" s="19">
        <f t="shared" si="34"/>
        <v>11.16</v>
      </c>
      <c r="E182" s="19">
        <f t="shared" si="35"/>
        <v>8.3699999999999992</v>
      </c>
      <c r="F182" s="19">
        <f t="shared" si="36"/>
        <v>6.9749999999999996</v>
      </c>
      <c r="G182" s="19">
        <f t="shared" si="37"/>
        <v>6.2774999999999999</v>
      </c>
    </row>
    <row r="183" spans="1:7" x14ac:dyDescent="0.25">
      <c r="A183" s="23" t="s">
        <v>216</v>
      </c>
      <c r="B183" s="23" t="s">
        <v>591</v>
      </c>
      <c r="C183">
        <v>15.95</v>
      </c>
      <c r="D183" s="19">
        <f t="shared" si="34"/>
        <v>12.76</v>
      </c>
      <c r="E183" s="19">
        <f t="shared" si="35"/>
        <v>9.5699999999999985</v>
      </c>
      <c r="F183" s="19">
        <f t="shared" si="36"/>
        <v>7.9749999999999996</v>
      </c>
      <c r="G183" s="19">
        <f t="shared" si="37"/>
        <v>7.1775000000000002</v>
      </c>
    </row>
    <row r="184" spans="1:7" x14ac:dyDescent="0.25">
      <c r="A184" s="23" t="s">
        <v>217</v>
      </c>
      <c r="B184" s="23" t="s">
        <v>592</v>
      </c>
      <c r="C184">
        <v>16.95</v>
      </c>
      <c r="D184" s="19">
        <f t="shared" si="34"/>
        <v>13.56</v>
      </c>
      <c r="E184" s="19">
        <f t="shared" si="35"/>
        <v>10.17</v>
      </c>
      <c r="F184" s="19">
        <f t="shared" si="36"/>
        <v>8.4749999999999996</v>
      </c>
      <c r="G184" s="19">
        <f t="shared" si="37"/>
        <v>7.6274999999999995</v>
      </c>
    </row>
    <row r="185" spans="1:7" x14ac:dyDescent="0.25">
      <c r="A185" s="23" t="s">
        <v>218</v>
      </c>
      <c r="B185" s="23" t="s">
        <v>593</v>
      </c>
      <c r="C185">
        <v>17.95</v>
      </c>
      <c r="D185" s="19">
        <f t="shared" si="34"/>
        <v>14.36</v>
      </c>
      <c r="E185" s="19">
        <f t="shared" si="35"/>
        <v>10.77</v>
      </c>
      <c r="F185" s="19">
        <f t="shared" si="36"/>
        <v>8.9749999999999996</v>
      </c>
      <c r="G185" s="19">
        <f t="shared" si="37"/>
        <v>8.0775000000000006</v>
      </c>
    </row>
    <row r="186" spans="1:7" x14ac:dyDescent="0.25">
      <c r="A186" s="23" t="s">
        <v>219</v>
      </c>
      <c r="B186" s="23" t="s">
        <v>594</v>
      </c>
      <c r="C186">
        <v>18.95</v>
      </c>
      <c r="D186" s="19">
        <f t="shared" si="34"/>
        <v>15.16</v>
      </c>
      <c r="E186" s="19">
        <f t="shared" si="35"/>
        <v>11.37</v>
      </c>
      <c r="F186" s="19">
        <f t="shared" si="36"/>
        <v>9.4749999999999996</v>
      </c>
      <c r="G186" s="19">
        <f t="shared" si="37"/>
        <v>8.5274999999999999</v>
      </c>
    </row>
    <row r="187" spans="1:7" x14ac:dyDescent="0.25">
      <c r="A187" s="23" t="s">
        <v>220</v>
      </c>
      <c r="B187" s="23" t="s">
        <v>595</v>
      </c>
      <c r="C187">
        <v>20.95</v>
      </c>
      <c r="D187" s="19">
        <f t="shared" si="34"/>
        <v>16.760000000000002</v>
      </c>
      <c r="E187" s="19">
        <f t="shared" si="35"/>
        <v>12.569999999999999</v>
      </c>
      <c r="F187" s="19">
        <f t="shared" si="36"/>
        <v>10.475</v>
      </c>
      <c r="G187" s="19">
        <f t="shared" si="37"/>
        <v>9.4275000000000002</v>
      </c>
    </row>
    <row r="188" spans="1:7" x14ac:dyDescent="0.25">
      <c r="A188" s="23" t="s">
        <v>221</v>
      </c>
      <c r="B188" s="23" t="s">
        <v>596</v>
      </c>
      <c r="C188">
        <v>23.95</v>
      </c>
      <c r="D188" s="19">
        <f t="shared" si="34"/>
        <v>19.16</v>
      </c>
      <c r="E188" s="19">
        <f t="shared" si="35"/>
        <v>14.37</v>
      </c>
      <c r="F188" s="19">
        <f t="shared" si="36"/>
        <v>11.975</v>
      </c>
      <c r="G188" s="19">
        <f t="shared" si="37"/>
        <v>10.7775</v>
      </c>
    </row>
    <row r="189" spans="1:7" x14ac:dyDescent="0.25">
      <c r="A189" s="23"/>
      <c r="B189" s="23"/>
      <c r="D189" s="19" t="str">
        <f t="shared" si="34"/>
        <v/>
      </c>
      <c r="E189" s="19" t="str">
        <f t="shared" si="35"/>
        <v/>
      </c>
      <c r="F189" s="19" t="str">
        <f t="shared" si="36"/>
        <v/>
      </c>
      <c r="G189" s="19" t="str">
        <f t="shared" si="37"/>
        <v/>
      </c>
    </row>
    <row r="190" spans="1:7" x14ac:dyDescent="0.25">
      <c r="A190" s="26" t="s">
        <v>54</v>
      </c>
      <c r="B190" s="26"/>
      <c r="C190" s="2" t="s">
        <v>3</v>
      </c>
      <c r="D190" s="19" t="str">
        <f t="shared" si="34"/>
        <v/>
      </c>
      <c r="E190" s="19" t="str">
        <f t="shared" si="35"/>
        <v/>
      </c>
      <c r="F190" s="19" t="str">
        <f t="shared" si="36"/>
        <v/>
      </c>
      <c r="G190" s="19" t="str">
        <f t="shared" si="37"/>
        <v/>
      </c>
    </row>
    <row r="191" spans="1:7" x14ac:dyDescent="0.25">
      <c r="A191" s="23" t="s">
        <v>222</v>
      </c>
      <c r="B191" s="9" t="s">
        <v>597</v>
      </c>
      <c r="C191">
        <v>17.95</v>
      </c>
      <c r="D191" s="19">
        <f t="shared" si="34"/>
        <v>14.36</v>
      </c>
      <c r="E191" s="19">
        <f t="shared" si="35"/>
        <v>10.77</v>
      </c>
      <c r="F191" s="19">
        <f t="shared" si="36"/>
        <v>8.9749999999999996</v>
      </c>
      <c r="G191" s="19">
        <f t="shared" si="37"/>
        <v>8.0775000000000006</v>
      </c>
    </row>
    <row r="192" spans="1:7" x14ac:dyDescent="0.25">
      <c r="A192" s="23" t="s">
        <v>223</v>
      </c>
      <c r="B192" s="23" t="s">
        <v>598</v>
      </c>
      <c r="C192">
        <v>19.95</v>
      </c>
      <c r="D192" s="19">
        <f t="shared" si="34"/>
        <v>15.96</v>
      </c>
      <c r="E192" s="19">
        <f t="shared" si="35"/>
        <v>11.969999999999999</v>
      </c>
      <c r="F192" s="19">
        <f t="shared" si="36"/>
        <v>9.9749999999999996</v>
      </c>
      <c r="G192" s="19">
        <f t="shared" si="37"/>
        <v>8.9774999999999991</v>
      </c>
    </row>
    <row r="193" spans="1:7" x14ac:dyDescent="0.25">
      <c r="A193" s="23" t="s">
        <v>224</v>
      </c>
      <c r="B193" s="23" t="s">
        <v>599</v>
      </c>
      <c r="C193">
        <v>21.95</v>
      </c>
      <c r="D193" s="19">
        <f t="shared" si="34"/>
        <v>17.559999999999999</v>
      </c>
      <c r="E193" s="19">
        <f t="shared" si="35"/>
        <v>13.17</v>
      </c>
      <c r="F193" s="19">
        <f t="shared" si="36"/>
        <v>10.975</v>
      </c>
      <c r="G193" s="19">
        <f t="shared" si="37"/>
        <v>9.8774999999999995</v>
      </c>
    </row>
    <row r="194" spans="1:7" x14ac:dyDescent="0.25">
      <c r="A194" s="23" t="s">
        <v>225</v>
      </c>
      <c r="B194" s="23" t="s">
        <v>600</v>
      </c>
      <c r="C194">
        <v>23.95</v>
      </c>
      <c r="D194" s="19">
        <f t="shared" si="34"/>
        <v>19.16</v>
      </c>
      <c r="E194" s="19">
        <f t="shared" si="35"/>
        <v>14.37</v>
      </c>
      <c r="F194" s="19">
        <f t="shared" si="36"/>
        <v>11.975</v>
      </c>
      <c r="G194" s="19">
        <f t="shared" si="37"/>
        <v>10.7775</v>
      </c>
    </row>
    <row r="195" spans="1:7" x14ac:dyDescent="0.25">
      <c r="A195" s="23" t="s">
        <v>226</v>
      </c>
      <c r="B195" s="23" t="s">
        <v>601</v>
      </c>
      <c r="C195">
        <v>26.95</v>
      </c>
      <c r="D195" s="19">
        <f t="shared" si="34"/>
        <v>21.560000000000002</v>
      </c>
      <c r="E195" s="19">
        <f t="shared" si="35"/>
        <v>16.169999999999998</v>
      </c>
      <c r="F195" s="19">
        <f t="shared" si="36"/>
        <v>13.475</v>
      </c>
      <c r="G195" s="19">
        <f t="shared" si="37"/>
        <v>12.1275</v>
      </c>
    </row>
    <row r="196" spans="1:7" x14ac:dyDescent="0.25">
      <c r="A196" s="23" t="s">
        <v>227</v>
      </c>
      <c r="B196" s="23" t="s">
        <v>602</v>
      </c>
      <c r="C196">
        <v>30.95</v>
      </c>
      <c r="D196" s="19">
        <f t="shared" si="34"/>
        <v>24.76</v>
      </c>
      <c r="E196" s="19">
        <f t="shared" si="35"/>
        <v>18.57</v>
      </c>
      <c r="F196" s="19">
        <f t="shared" si="36"/>
        <v>15.475</v>
      </c>
      <c r="G196" s="19">
        <f t="shared" si="37"/>
        <v>13.9275</v>
      </c>
    </row>
    <row r="197" spans="1:7" x14ac:dyDescent="0.25">
      <c r="A197" s="23" t="s">
        <v>228</v>
      </c>
      <c r="B197" s="23" t="s">
        <v>603</v>
      </c>
      <c r="C197">
        <v>35.950000000000003</v>
      </c>
      <c r="D197" s="19">
        <f t="shared" si="34"/>
        <v>28.760000000000005</v>
      </c>
      <c r="E197" s="19">
        <f t="shared" si="35"/>
        <v>21.57</v>
      </c>
      <c r="F197" s="19">
        <f t="shared" si="36"/>
        <v>17.975000000000001</v>
      </c>
      <c r="G197" s="19">
        <f t="shared" si="37"/>
        <v>16.177500000000002</v>
      </c>
    </row>
    <row r="198" spans="1:7" x14ac:dyDescent="0.25">
      <c r="A198" s="23" t="s">
        <v>229</v>
      </c>
      <c r="B198" s="23" t="s">
        <v>604</v>
      </c>
      <c r="C198">
        <v>91.95</v>
      </c>
      <c r="D198" s="19">
        <f t="shared" si="34"/>
        <v>73.56</v>
      </c>
      <c r="E198" s="19">
        <f t="shared" si="35"/>
        <v>55.17</v>
      </c>
      <c r="F198" s="19">
        <f t="shared" si="36"/>
        <v>45.975000000000001</v>
      </c>
      <c r="G198" s="19">
        <f t="shared" si="37"/>
        <v>41.377500000000005</v>
      </c>
    </row>
    <row r="199" spans="1:7" x14ac:dyDescent="0.25">
      <c r="A199" s="23"/>
      <c r="B199" s="9"/>
      <c r="C199" t="s">
        <v>725</v>
      </c>
      <c r="D199" s="19" t="str">
        <f t="shared" si="34"/>
        <v/>
      </c>
      <c r="E199" s="19" t="str">
        <f t="shared" si="35"/>
        <v/>
      </c>
      <c r="F199" s="19" t="str">
        <f t="shared" si="36"/>
        <v/>
      </c>
      <c r="G199" s="19" t="str">
        <f t="shared" si="37"/>
        <v/>
      </c>
    </row>
    <row r="200" spans="1:7" x14ac:dyDescent="0.25">
      <c r="A200" s="26" t="s">
        <v>344</v>
      </c>
      <c r="B200" s="26"/>
      <c r="C200" s="2" t="s">
        <v>3</v>
      </c>
      <c r="D200" s="19" t="str">
        <f t="shared" si="34"/>
        <v/>
      </c>
      <c r="E200" s="19" t="str">
        <f t="shared" si="35"/>
        <v/>
      </c>
      <c r="F200" s="19" t="str">
        <f t="shared" si="36"/>
        <v/>
      </c>
      <c r="G200" s="19" t="str">
        <f t="shared" si="37"/>
        <v/>
      </c>
    </row>
    <row r="201" spans="1:7" x14ac:dyDescent="0.25">
      <c r="A201" s="23" t="s">
        <v>345</v>
      </c>
      <c r="B201" s="9" t="s">
        <v>588</v>
      </c>
      <c r="C201">
        <v>59.95</v>
      </c>
      <c r="D201" s="19">
        <f t="shared" si="34"/>
        <v>47.960000000000008</v>
      </c>
      <c r="E201" s="19">
        <f t="shared" si="35"/>
        <v>35.97</v>
      </c>
      <c r="F201" s="19">
        <f t="shared" si="36"/>
        <v>29.975000000000001</v>
      </c>
      <c r="G201" s="19">
        <f t="shared" si="37"/>
        <v>26.977500000000003</v>
      </c>
    </row>
    <row r="202" spans="1:7" x14ac:dyDescent="0.25">
      <c r="A202" s="23" t="s">
        <v>675</v>
      </c>
      <c r="B202" s="9" t="s">
        <v>589</v>
      </c>
      <c r="C202">
        <v>69.95</v>
      </c>
      <c r="D202" s="19">
        <f t="shared" si="34"/>
        <v>55.960000000000008</v>
      </c>
      <c r="E202" s="19">
        <f t="shared" si="35"/>
        <v>41.97</v>
      </c>
      <c r="F202" s="19">
        <f t="shared" si="36"/>
        <v>34.975000000000001</v>
      </c>
      <c r="G202" s="19">
        <f t="shared" si="37"/>
        <v>31.477500000000003</v>
      </c>
    </row>
    <row r="203" spans="1:7" x14ac:dyDescent="0.25">
      <c r="A203" s="23"/>
      <c r="B203" s="23"/>
      <c r="C203" t="s">
        <v>725</v>
      </c>
      <c r="D203" s="19" t="str">
        <f t="shared" si="34"/>
        <v/>
      </c>
      <c r="E203" s="19" t="str">
        <f t="shared" si="35"/>
        <v/>
      </c>
      <c r="F203" s="19" t="str">
        <f t="shared" si="36"/>
        <v/>
      </c>
      <c r="G203" s="19" t="str">
        <f t="shared" si="37"/>
        <v/>
      </c>
    </row>
    <row r="204" spans="1:7" x14ac:dyDescent="0.25">
      <c r="A204" s="26" t="s">
        <v>519</v>
      </c>
      <c r="B204" s="26"/>
      <c r="C204" s="2" t="s">
        <v>3</v>
      </c>
      <c r="D204" s="19" t="str">
        <f t="shared" si="34"/>
        <v/>
      </c>
      <c r="E204" s="19" t="str">
        <f t="shared" si="35"/>
        <v/>
      </c>
      <c r="F204" s="19" t="str">
        <f t="shared" si="36"/>
        <v/>
      </c>
      <c r="G204" s="19" t="str">
        <f t="shared" si="37"/>
        <v/>
      </c>
    </row>
    <row r="205" spans="1:7" x14ac:dyDescent="0.25">
      <c r="A205" s="23" t="s">
        <v>184</v>
      </c>
      <c r="B205" s="23" t="s">
        <v>507</v>
      </c>
      <c r="C205">
        <v>1181.0899999999999</v>
      </c>
      <c r="D205" s="19">
        <f t="shared" si="34"/>
        <v>944.87199999999996</v>
      </c>
      <c r="E205" s="19">
        <f t="shared" si="35"/>
        <v>708.65399999999988</v>
      </c>
      <c r="F205" s="19" t="s">
        <v>702</v>
      </c>
      <c r="G205" s="19" t="s">
        <v>702</v>
      </c>
    </row>
    <row r="206" spans="1:7" x14ac:dyDescent="0.25">
      <c r="A206" s="23" t="s">
        <v>504</v>
      </c>
      <c r="B206" s="23" t="s">
        <v>506</v>
      </c>
      <c r="C206">
        <v>1181.0899999999999</v>
      </c>
      <c r="D206" s="19">
        <f t="shared" si="34"/>
        <v>944.87199999999996</v>
      </c>
      <c r="E206" s="19">
        <f t="shared" si="35"/>
        <v>708.65399999999988</v>
      </c>
      <c r="F206" s="19" t="s">
        <v>702</v>
      </c>
      <c r="G206" s="19" t="s">
        <v>702</v>
      </c>
    </row>
    <row r="207" spans="1:7" x14ac:dyDescent="0.25">
      <c r="A207" s="23" t="s">
        <v>185</v>
      </c>
      <c r="B207" s="23" t="s">
        <v>508</v>
      </c>
      <c r="C207">
        <v>542.59</v>
      </c>
      <c r="D207" s="19">
        <f t="shared" ref="D207:D216" si="38">IFERROR(IF($C207*0.8=0,"",$C207*0.8),"")</f>
        <v>434.07200000000006</v>
      </c>
      <c r="E207" s="19">
        <f t="shared" ref="E207:E216" si="39">IFERROR(IF($C207*0.6=0,"",$C207*0.6),"")</f>
        <v>325.55400000000003</v>
      </c>
      <c r="F207" s="19" t="s">
        <v>702</v>
      </c>
      <c r="G207" s="19" t="s">
        <v>702</v>
      </c>
    </row>
    <row r="208" spans="1:7" x14ac:dyDescent="0.25">
      <c r="A208" s="23" t="s">
        <v>186</v>
      </c>
      <c r="B208" s="23" t="s">
        <v>509</v>
      </c>
      <c r="C208">
        <v>766.99</v>
      </c>
      <c r="D208" s="19">
        <f t="shared" si="38"/>
        <v>613.59199999999998</v>
      </c>
      <c r="E208" s="19">
        <f t="shared" si="39"/>
        <v>460.19400000000002</v>
      </c>
      <c r="F208" s="19" t="s">
        <v>702</v>
      </c>
      <c r="G208" s="19" t="s">
        <v>702</v>
      </c>
    </row>
    <row r="209" spans="1:7" x14ac:dyDescent="0.25">
      <c r="A209" s="23" t="s">
        <v>505</v>
      </c>
      <c r="B209" s="23" t="s">
        <v>512</v>
      </c>
      <c r="C209">
        <v>766.99</v>
      </c>
      <c r="D209" s="19">
        <f t="shared" si="38"/>
        <v>613.59199999999998</v>
      </c>
      <c r="E209" s="19">
        <f t="shared" si="39"/>
        <v>460.19400000000002</v>
      </c>
      <c r="F209" s="19" t="s">
        <v>702</v>
      </c>
      <c r="G209" s="19" t="s">
        <v>702</v>
      </c>
    </row>
    <row r="210" spans="1:7" x14ac:dyDescent="0.25">
      <c r="A210" s="23" t="s">
        <v>187</v>
      </c>
      <c r="B210" s="23" t="s">
        <v>511</v>
      </c>
      <c r="C210">
        <v>377.29</v>
      </c>
      <c r="D210" s="19">
        <f t="shared" si="38"/>
        <v>301.83200000000005</v>
      </c>
      <c r="E210" s="19">
        <f t="shared" si="39"/>
        <v>226.374</v>
      </c>
      <c r="F210" s="19" t="s">
        <v>702</v>
      </c>
      <c r="G210" s="19" t="s">
        <v>702</v>
      </c>
    </row>
    <row r="211" spans="1:7" x14ac:dyDescent="0.25">
      <c r="A211" s="23" t="s">
        <v>188</v>
      </c>
      <c r="B211" s="23" t="s">
        <v>510</v>
      </c>
      <c r="C211">
        <v>544.59</v>
      </c>
      <c r="D211" s="19">
        <f t="shared" si="38"/>
        <v>435.67200000000003</v>
      </c>
      <c r="E211" s="19">
        <f t="shared" si="39"/>
        <v>326.75400000000002</v>
      </c>
      <c r="F211" s="19" t="s">
        <v>702</v>
      </c>
      <c r="G211" s="19" t="s">
        <v>702</v>
      </c>
    </row>
    <row r="212" spans="1:7" x14ac:dyDescent="0.25">
      <c r="A212" s="23" t="s">
        <v>189</v>
      </c>
      <c r="B212" s="23" t="s">
        <v>31</v>
      </c>
      <c r="C212">
        <v>165.19</v>
      </c>
      <c r="D212" s="19">
        <f t="shared" si="38"/>
        <v>132.15200000000002</v>
      </c>
      <c r="E212" s="19">
        <f t="shared" si="39"/>
        <v>99.11399999999999</v>
      </c>
      <c r="F212" s="19" t="s">
        <v>702</v>
      </c>
      <c r="G212" s="19" t="s">
        <v>702</v>
      </c>
    </row>
    <row r="213" spans="1:7" x14ac:dyDescent="0.25">
      <c r="A213" s="23" t="s">
        <v>192</v>
      </c>
      <c r="B213" s="23" t="s">
        <v>32</v>
      </c>
      <c r="C213">
        <v>160.09</v>
      </c>
      <c r="D213" s="19">
        <f t="shared" si="38"/>
        <v>128.072</v>
      </c>
      <c r="E213" s="19">
        <f t="shared" si="39"/>
        <v>96.054000000000002</v>
      </c>
      <c r="F213" s="19" t="s">
        <v>702</v>
      </c>
      <c r="G213" s="19" t="s">
        <v>702</v>
      </c>
    </row>
    <row r="214" spans="1:7" x14ac:dyDescent="0.25">
      <c r="A214" s="23" t="s">
        <v>193</v>
      </c>
      <c r="B214" s="23" t="s">
        <v>33</v>
      </c>
      <c r="C214">
        <v>160.09</v>
      </c>
      <c r="D214" s="19">
        <f t="shared" si="38"/>
        <v>128.072</v>
      </c>
      <c r="E214" s="19">
        <f t="shared" si="39"/>
        <v>96.054000000000002</v>
      </c>
      <c r="F214" s="19" t="s">
        <v>702</v>
      </c>
      <c r="G214" s="19" t="s">
        <v>702</v>
      </c>
    </row>
    <row r="215" spans="1:7" x14ac:dyDescent="0.25">
      <c r="A215" s="23" t="s">
        <v>190</v>
      </c>
      <c r="B215" s="23" t="s">
        <v>34</v>
      </c>
      <c r="C215">
        <v>356.89</v>
      </c>
      <c r="D215" s="19">
        <f t="shared" si="38"/>
        <v>285.512</v>
      </c>
      <c r="E215" s="19">
        <f t="shared" si="39"/>
        <v>214.13399999999999</v>
      </c>
      <c r="F215" s="19" t="s">
        <v>702</v>
      </c>
      <c r="G215" s="19" t="s">
        <v>702</v>
      </c>
    </row>
    <row r="216" spans="1:7" x14ac:dyDescent="0.25">
      <c r="A216" s="23" t="s">
        <v>191</v>
      </c>
      <c r="B216" s="23" t="s">
        <v>35</v>
      </c>
      <c r="C216">
        <v>356.89</v>
      </c>
      <c r="D216" s="19">
        <f t="shared" si="38"/>
        <v>285.512</v>
      </c>
      <c r="E216" s="19">
        <f t="shared" si="39"/>
        <v>214.13399999999999</v>
      </c>
      <c r="F216" s="19" t="s">
        <v>702</v>
      </c>
      <c r="G216" s="19" t="s">
        <v>702</v>
      </c>
    </row>
    <row r="217" spans="1:7" x14ac:dyDescent="0.25">
      <c r="A217" s="23"/>
      <c r="B217" s="23"/>
      <c r="C217" t="s">
        <v>725</v>
      </c>
      <c r="E217" s="19"/>
      <c r="F217" s="19"/>
      <c r="G217" s="19"/>
    </row>
    <row r="218" spans="1:7" ht="15" customHeight="1" x14ac:dyDescent="0.25">
      <c r="A218" s="26" t="s">
        <v>24</v>
      </c>
      <c r="B218" s="26"/>
      <c r="C218" s="2" t="s">
        <v>3</v>
      </c>
      <c r="D218" s="2"/>
      <c r="E218" s="19"/>
      <c r="F218" s="19"/>
      <c r="G218" s="19"/>
    </row>
    <row r="219" spans="1:7" x14ac:dyDescent="0.25">
      <c r="A219" s="23" t="s">
        <v>136</v>
      </c>
      <c r="B219" s="23" t="s">
        <v>618</v>
      </c>
      <c r="C219">
        <v>108.08999999999999</v>
      </c>
      <c r="D219" s="19">
        <f t="shared" ref="D219:D260" si="40">IFERROR(IF($C219*0.8=0,"",$C219*0.8),"")</f>
        <v>86.471999999999994</v>
      </c>
      <c r="E219" s="19">
        <f t="shared" ref="E219:E260" si="41">IFERROR(IF($C219*0.6=0,"",$C219*0.6),"")</f>
        <v>64.853999999999985</v>
      </c>
      <c r="F219" s="19">
        <f t="shared" ref="F219:F248" si="42">IFERROR(IF($C219*0.5=0,"",$C219*0.5),"")</f>
        <v>54.044999999999995</v>
      </c>
      <c r="G219" s="19">
        <f t="shared" ref="G219:G242" si="43">IFERROR(IF($C219*0.45=0,"",$C219*0.45),"")</f>
        <v>48.640499999999996</v>
      </c>
    </row>
    <row r="220" spans="1:7" x14ac:dyDescent="0.25">
      <c r="A220" s="23" t="s">
        <v>137</v>
      </c>
      <c r="B220" s="23" t="s">
        <v>619</v>
      </c>
      <c r="C220">
        <v>116.19</v>
      </c>
      <c r="D220" s="19">
        <f t="shared" si="40"/>
        <v>92.951999999999998</v>
      </c>
      <c r="E220" s="19">
        <f t="shared" si="41"/>
        <v>69.713999999999999</v>
      </c>
      <c r="F220" s="19">
        <f t="shared" si="42"/>
        <v>58.094999999999999</v>
      </c>
      <c r="G220" s="19">
        <f t="shared" si="43"/>
        <v>52.285499999999999</v>
      </c>
    </row>
    <row r="221" spans="1:7" x14ac:dyDescent="0.25">
      <c r="A221" s="23" t="s">
        <v>138</v>
      </c>
      <c r="B221" s="23" t="s">
        <v>620</v>
      </c>
      <c r="C221">
        <v>124.39</v>
      </c>
      <c r="D221" s="19">
        <f t="shared" si="40"/>
        <v>99.512</v>
      </c>
      <c r="E221" s="19">
        <f t="shared" si="41"/>
        <v>74.634</v>
      </c>
      <c r="F221" s="19">
        <f t="shared" si="42"/>
        <v>62.195</v>
      </c>
      <c r="G221" s="19">
        <f t="shared" si="43"/>
        <v>55.975500000000004</v>
      </c>
    </row>
    <row r="222" spans="1:7" x14ac:dyDescent="0.25">
      <c r="A222" s="23" t="s">
        <v>139</v>
      </c>
      <c r="B222" s="23" t="s">
        <v>621</v>
      </c>
      <c r="C222">
        <v>125.39</v>
      </c>
      <c r="D222" s="19">
        <f t="shared" si="40"/>
        <v>100.31200000000001</v>
      </c>
      <c r="E222" s="19">
        <f t="shared" si="41"/>
        <v>75.233999999999995</v>
      </c>
      <c r="F222" s="19">
        <f t="shared" si="42"/>
        <v>62.695</v>
      </c>
      <c r="G222" s="19">
        <f t="shared" si="43"/>
        <v>56.4255</v>
      </c>
    </row>
    <row r="223" spans="1:7" x14ac:dyDescent="0.25">
      <c r="A223" s="23" t="s">
        <v>140</v>
      </c>
      <c r="B223" s="23" t="s">
        <v>622</v>
      </c>
      <c r="C223">
        <v>140.69</v>
      </c>
      <c r="D223" s="19">
        <f t="shared" si="40"/>
        <v>112.55200000000001</v>
      </c>
      <c r="E223" s="19">
        <f t="shared" si="41"/>
        <v>84.414000000000001</v>
      </c>
      <c r="F223" s="19">
        <f t="shared" si="42"/>
        <v>70.344999999999999</v>
      </c>
      <c r="G223" s="19">
        <f t="shared" si="43"/>
        <v>63.310499999999998</v>
      </c>
    </row>
    <row r="224" spans="1:7" x14ac:dyDescent="0.25">
      <c r="A224" s="23" t="s">
        <v>141</v>
      </c>
      <c r="B224" s="23" t="s">
        <v>623</v>
      </c>
      <c r="C224">
        <v>133.59</v>
      </c>
      <c r="D224" s="19">
        <f t="shared" si="40"/>
        <v>106.87200000000001</v>
      </c>
      <c r="E224" s="19">
        <f t="shared" si="41"/>
        <v>80.153999999999996</v>
      </c>
      <c r="F224" s="19">
        <f t="shared" si="42"/>
        <v>66.795000000000002</v>
      </c>
      <c r="G224" s="19">
        <f t="shared" si="43"/>
        <v>60.115500000000004</v>
      </c>
    </row>
    <row r="225" spans="1:7" x14ac:dyDescent="0.25">
      <c r="A225" s="23" t="s">
        <v>142</v>
      </c>
      <c r="B225" s="23" t="s">
        <v>624</v>
      </c>
      <c r="C225">
        <v>119.28999999999999</v>
      </c>
      <c r="D225" s="19">
        <f t="shared" si="40"/>
        <v>95.432000000000002</v>
      </c>
      <c r="E225" s="19">
        <f t="shared" si="41"/>
        <v>71.573999999999998</v>
      </c>
      <c r="F225" s="19">
        <f t="shared" si="42"/>
        <v>59.644999999999996</v>
      </c>
      <c r="G225" s="19">
        <f t="shared" si="43"/>
        <v>53.680499999999995</v>
      </c>
    </row>
    <row r="226" spans="1:7" x14ac:dyDescent="0.25">
      <c r="A226" s="23" t="s">
        <v>143</v>
      </c>
      <c r="B226" s="23" t="s">
        <v>625</v>
      </c>
      <c r="C226">
        <v>127.39</v>
      </c>
      <c r="D226" s="19">
        <f t="shared" si="40"/>
        <v>101.91200000000001</v>
      </c>
      <c r="E226" s="19">
        <f t="shared" si="41"/>
        <v>76.433999999999997</v>
      </c>
      <c r="F226" s="19">
        <f t="shared" si="42"/>
        <v>63.695</v>
      </c>
      <c r="G226" s="19">
        <f t="shared" si="43"/>
        <v>57.325499999999998</v>
      </c>
    </row>
    <row r="227" spans="1:7" x14ac:dyDescent="0.25">
      <c r="A227" s="23" t="s">
        <v>144</v>
      </c>
      <c r="B227" s="23" t="s">
        <v>626</v>
      </c>
      <c r="C227">
        <v>134.59</v>
      </c>
      <c r="D227" s="19">
        <f t="shared" si="40"/>
        <v>107.67200000000001</v>
      </c>
      <c r="E227" s="19">
        <f t="shared" si="41"/>
        <v>80.754000000000005</v>
      </c>
      <c r="F227" s="19">
        <f t="shared" si="42"/>
        <v>67.295000000000002</v>
      </c>
      <c r="G227" s="19">
        <f t="shared" si="43"/>
        <v>60.5655</v>
      </c>
    </row>
    <row r="228" spans="1:7" x14ac:dyDescent="0.25">
      <c r="A228" s="23" t="s">
        <v>145</v>
      </c>
      <c r="B228" s="23" t="s">
        <v>627</v>
      </c>
      <c r="C228">
        <v>137.59</v>
      </c>
      <c r="D228" s="19">
        <f t="shared" si="40"/>
        <v>110.072</v>
      </c>
      <c r="E228" s="19">
        <f t="shared" si="41"/>
        <v>82.554000000000002</v>
      </c>
      <c r="F228" s="19">
        <f t="shared" si="42"/>
        <v>68.795000000000002</v>
      </c>
      <c r="G228" s="19">
        <f t="shared" si="43"/>
        <v>61.915500000000002</v>
      </c>
    </row>
    <row r="229" spans="1:7" x14ac:dyDescent="0.25">
      <c r="A229" s="23" t="s">
        <v>146</v>
      </c>
      <c r="B229" s="23" t="s">
        <v>628</v>
      </c>
      <c r="C229">
        <v>154.99</v>
      </c>
      <c r="D229" s="19">
        <f t="shared" si="40"/>
        <v>123.99200000000002</v>
      </c>
      <c r="E229" s="19">
        <f t="shared" si="41"/>
        <v>92.994</v>
      </c>
      <c r="F229" s="19">
        <f t="shared" si="42"/>
        <v>77.495000000000005</v>
      </c>
      <c r="G229" s="19">
        <f t="shared" si="43"/>
        <v>69.745500000000007</v>
      </c>
    </row>
    <row r="230" spans="1:7" x14ac:dyDescent="0.25">
      <c r="A230" s="23" t="s">
        <v>147</v>
      </c>
      <c r="B230" s="23" t="s">
        <v>629</v>
      </c>
      <c r="C230">
        <v>143.79000000000002</v>
      </c>
      <c r="D230" s="19">
        <f t="shared" si="40"/>
        <v>115.03200000000002</v>
      </c>
      <c r="E230" s="19">
        <f t="shared" si="41"/>
        <v>86.274000000000015</v>
      </c>
      <c r="F230" s="19">
        <f t="shared" si="42"/>
        <v>71.89500000000001</v>
      </c>
      <c r="G230" s="19">
        <f t="shared" si="43"/>
        <v>64.705500000000015</v>
      </c>
    </row>
    <row r="231" spans="1:7" x14ac:dyDescent="0.25">
      <c r="A231" s="23" t="s">
        <v>148</v>
      </c>
      <c r="B231" s="23" t="s">
        <v>630</v>
      </c>
      <c r="C231">
        <v>134.59</v>
      </c>
      <c r="D231" s="19">
        <f t="shared" si="40"/>
        <v>107.67200000000001</v>
      </c>
      <c r="E231" s="19">
        <f t="shared" si="41"/>
        <v>80.754000000000005</v>
      </c>
      <c r="F231" s="19">
        <f t="shared" si="42"/>
        <v>67.295000000000002</v>
      </c>
      <c r="G231" s="19">
        <f t="shared" si="43"/>
        <v>60.5655</v>
      </c>
    </row>
    <row r="232" spans="1:7" x14ac:dyDescent="0.25">
      <c r="A232" s="23" t="s">
        <v>149</v>
      </c>
      <c r="B232" s="23" t="s">
        <v>631</v>
      </c>
      <c r="C232">
        <v>146.79000000000002</v>
      </c>
      <c r="D232" s="19">
        <f t="shared" si="40"/>
        <v>117.43200000000002</v>
      </c>
      <c r="E232" s="19">
        <f t="shared" si="41"/>
        <v>88.074000000000012</v>
      </c>
      <c r="F232" s="19">
        <f t="shared" si="42"/>
        <v>73.39500000000001</v>
      </c>
      <c r="G232" s="19">
        <f t="shared" si="43"/>
        <v>66.055500000000009</v>
      </c>
    </row>
    <row r="233" spans="1:7" x14ac:dyDescent="0.25">
      <c r="A233" s="23" t="s">
        <v>150</v>
      </c>
      <c r="B233" s="23" t="s">
        <v>632</v>
      </c>
      <c r="C233">
        <v>162.09</v>
      </c>
      <c r="D233" s="19">
        <f t="shared" si="40"/>
        <v>129.672</v>
      </c>
      <c r="E233" s="19">
        <f t="shared" si="41"/>
        <v>97.254000000000005</v>
      </c>
      <c r="F233" s="19">
        <f t="shared" si="42"/>
        <v>81.045000000000002</v>
      </c>
      <c r="G233" s="19">
        <f t="shared" si="43"/>
        <v>72.9405</v>
      </c>
    </row>
    <row r="234" spans="1:7" x14ac:dyDescent="0.25">
      <c r="A234" s="23" t="s">
        <v>151</v>
      </c>
      <c r="B234" s="23" t="s">
        <v>633</v>
      </c>
      <c r="C234">
        <v>157.99</v>
      </c>
      <c r="D234" s="19">
        <f t="shared" si="40"/>
        <v>126.39200000000001</v>
      </c>
      <c r="E234" s="19">
        <f t="shared" si="41"/>
        <v>94.793999999999997</v>
      </c>
      <c r="F234" s="19">
        <f t="shared" si="42"/>
        <v>78.995000000000005</v>
      </c>
      <c r="G234" s="19">
        <f t="shared" si="43"/>
        <v>71.095500000000001</v>
      </c>
    </row>
    <row r="235" spans="1:7" x14ac:dyDescent="0.25">
      <c r="A235" s="23" t="s">
        <v>152</v>
      </c>
      <c r="B235" s="23" t="s">
        <v>634</v>
      </c>
      <c r="C235">
        <v>177.39000000000001</v>
      </c>
      <c r="D235" s="19">
        <f t="shared" si="40"/>
        <v>141.91200000000001</v>
      </c>
      <c r="E235" s="19">
        <f t="shared" si="41"/>
        <v>106.43400000000001</v>
      </c>
      <c r="F235" s="19">
        <f t="shared" si="42"/>
        <v>88.695000000000007</v>
      </c>
      <c r="G235" s="19">
        <f t="shared" si="43"/>
        <v>79.825500000000005</v>
      </c>
    </row>
    <row r="236" spans="1:7" x14ac:dyDescent="0.25">
      <c r="A236" s="23" t="s">
        <v>153</v>
      </c>
      <c r="B236" s="23" t="s">
        <v>635</v>
      </c>
      <c r="C236">
        <v>169.29000000000002</v>
      </c>
      <c r="D236" s="19">
        <f t="shared" si="40"/>
        <v>135.43200000000002</v>
      </c>
      <c r="E236" s="19">
        <f t="shared" si="41"/>
        <v>101.57400000000001</v>
      </c>
      <c r="F236" s="19">
        <f t="shared" si="42"/>
        <v>84.64500000000001</v>
      </c>
      <c r="G236" s="19">
        <f t="shared" si="43"/>
        <v>76.180500000000009</v>
      </c>
    </row>
    <row r="237" spans="1:7" x14ac:dyDescent="0.25">
      <c r="A237" s="23" t="s">
        <v>154</v>
      </c>
      <c r="B237" s="23" t="s">
        <v>636</v>
      </c>
      <c r="C237">
        <v>169.29000000000002</v>
      </c>
      <c r="D237" s="19">
        <f t="shared" si="40"/>
        <v>135.43200000000002</v>
      </c>
      <c r="E237" s="19">
        <f t="shared" si="41"/>
        <v>101.57400000000001</v>
      </c>
      <c r="F237" s="19">
        <f t="shared" si="42"/>
        <v>84.64500000000001</v>
      </c>
      <c r="G237" s="19">
        <f t="shared" si="43"/>
        <v>76.180500000000009</v>
      </c>
    </row>
    <row r="238" spans="1:7" x14ac:dyDescent="0.25">
      <c r="A238" s="23" t="s">
        <v>155</v>
      </c>
      <c r="B238" s="23" t="s">
        <v>637</v>
      </c>
      <c r="C238">
        <v>180.49</v>
      </c>
      <c r="D238" s="19">
        <f t="shared" si="40"/>
        <v>144.39200000000002</v>
      </c>
      <c r="E238" s="19">
        <f t="shared" si="41"/>
        <v>108.294</v>
      </c>
      <c r="F238" s="19">
        <f t="shared" si="42"/>
        <v>90.245000000000005</v>
      </c>
      <c r="G238" s="19">
        <f t="shared" si="43"/>
        <v>81.220500000000001</v>
      </c>
    </row>
    <row r="239" spans="1:7" x14ac:dyDescent="0.25">
      <c r="A239" s="23" t="s">
        <v>156</v>
      </c>
      <c r="B239" s="23" t="s">
        <v>638</v>
      </c>
      <c r="C239">
        <v>199.89000000000001</v>
      </c>
      <c r="D239" s="19">
        <f t="shared" si="40"/>
        <v>159.91200000000003</v>
      </c>
      <c r="E239" s="19">
        <f t="shared" si="41"/>
        <v>119.934</v>
      </c>
      <c r="F239" s="19">
        <f t="shared" si="42"/>
        <v>99.945000000000007</v>
      </c>
      <c r="G239" s="19">
        <f t="shared" si="43"/>
        <v>89.950500000000005</v>
      </c>
    </row>
    <row r="240" spans="1:7" x14ac:dyDescent="0.25">
      <c r="A240" s="23" t="s">
        <v>157</v>
      </c>
      <c r="B240" s="23" t="s">
        <v>639</v>
      </c>
      <c r="C240">
        <v>196.79000000000002</v>
      </c>
      <c r="D240" s="19">
        <f t="shared" si="40"/>
        <v>157.43200000000002</v>
      </c>
      <c r="E240" s="19">
        <f t="shared" si="41"/>
        <v>118.07400000000001</v>
      </c>
      <c r="F240" s="19">
        <f t="shared" si="42"/>
        <v>98.39500000000001</v>
      </c>
      <c r="G240" s="19">
        <f t="shared" si="43"/>
        <v>88.555500000000009</v>
      </c>
    </row>
    <row r="241" spans="1:7" x14ac:dyDescent="0.25">
      <c r="A241" s="23" t="s">
        <v>158</v>
      </c>
      <c r="B241" s="23" t="s">
        <v>640</v>
      </c>
      <c r="C241">
        <v>229.39000000000001</v>
      </c>
      <c r="D241" s="19">
        <f t="shared" si="40"/>
        <v>183.51200000000003</v>
      </c>
      <c r="E241" s="19">
        <f t="shared" si="41"/>
        <v>137.63400000000001</v>
      </c>
      <c r="F241" s="19">
        <f t="shared" si="42"/>
        <v>114.69500000000001</v>
      </c>
      <c r="G241" s="19">
        <f t="shared" si="43"/>
        <v>103.22550000000001</v>
      </c>
    </row>
    <row r="242" spans="1:7" x14ac:dyDescent="0.25">
      <c r="A242" s="23" t="s">
        <v>159</v>
      </c>
      <c r="B242" s="23" t="s">
        <v>641</v>
      </c>
      <c r="C242">
        <v>214.09</v>
      </c>
      <c r="D242" s="19">
        <f t="shared" si="40"/>
        <v>171.27200000000002</v>
      </c>
      <c r="E242" s="19">
        <f t="shared" si="41"/>
        <v>128.45400000000001</v>
      </c>
      <c r="F242" s="19">
        <f t="shared" si="42"/>
        <v>107.045</v>
      </c>
      <c r="G242" s="19">
        <f t="shared" si="43"/>
        <v>96.340500000000006</v>
      </c>
    </row>
    <row r="243" spans="1:7" x14ac:dyDescent="0.25">
      <c r="A243" s="23" t="s">
        <v>160</v>
      </c>
      <c r="B243" s="23" t="s">
        <v>642</v>
      </c>
      <c r="C243">
        <v>229.39000000000001</v>
      </c>
      <c r="D243" s="19">
        <f t="shared" si="40"/>
        <v>183.51200000000003</v>
      </c>
      <c r="E243" s="19">
        <f t="shared" si="41"/>
        <v>137.63400000000001</v>
      </c>
      <c r="F243" s="19">
        <f t="shared" si="42"/>
        <v>114.69500000000001</v>
      </c>
      <c r="G243" s="19" t="s">
        <v>702</v>
      </c>
    </row>
    <row r="244" spans="1:7" x14ac:dyDescent="0.25">
      <c r="A244" s="23" t="s">
        <v>161</v>
      </c>
      <c r="B244" s="23" t="s">
        <v>643</v>
      </c>
      <c r="C244">
        <v>259.99</v>
      </c>
      <c r="D244" s="19">
        <f t="shared" si="40"/>
        <v>207.99200000000002</v>
      </c>
      <c r="E244" s="19">
        <f t="shared" si="41"/>
        <v>155.994</v>
      </c>
      <c r="F244" s="19">
        <f t="shared" si="42"/>
        <v>129.995</v>
      </c>
      <c r="G244" s="19" t="s">
        <v>702</v>
      </c>
    </row>
    <row r="245" spans="1:7" x14ac:dyDescent="0.25">
      <c r="A245" s="23" t="s">
        <v>162</v>
      </c>
      <c r="B245" s="23" t="s">
        <v>644</v>
      </c>
      <c r="C245">
        <v>293.69</v>
      </c>
      <c r="D245" s="19">
        <f t="shared" si="40"/>
        <v>234.952</v>
      </c>
      <c r="E245" s="19">
        <f t="shared" si="41"/>
        <v>176.214</v>
      </c>
      <c r="F245" s="19">
        <f t="shared" si="42"/>
        <v>146.845</v>
      </c>
      <c r="G245" s="19" t="s">
        <v>702</v>
      </c>
    </row>
    <row r="246" spans="1:7" x14ac:dyDescent="0.25">
      <c r="A246" s="23" t="s">
        <v>163</v>
      </c>
      <c r="B246" s="23" t="s">
        <v>645</v>
      </c>
      <c r="C246">
        <v>274.29000000000002</v>
      </c>
      <c r="D246" s="19">
        <f t="shared" si="40"/>
        <v>219.43200000000002</v>
      </c>
      <c r="E246" s="19">
        <f t="shared" si="41"/>
        <v>164.57400000000001</v>
      </c>
      <c r="F246" s="19">
        <f t="shared" si="42"/>
        <v>137.14500000000001</v>
      </c>
      <c r="G246" s="19" t="s">
        <v>702</v>
      </c>
    </row>
    <row r="247" spans="1:7" x14ac:dyDescent="0.25">
      <c r="A247" s="23" t="s">
        <v>164</v>
      </c>
      <c r="B247" s="23" t="s">
        <v>646</v>
      </c>
      <c r="C247">
        <v>318.19</v>
      </c>
      <c r="D247" s="19">
        <f t="shared" si="40"/>
        <v>254.55200000000002</v>
      </c>
      <c r="E247" s="19">
        <f t="shared" si="41"/>
        <v>190.91399999999999</v>
      </c>
      <c r="F247" s="19">
        <f t="shared" si="42"/>
        <v>159.095</v>
      </c>
      <c r="G247" s="19" t="s">
        <v>702</v>
      </c>
    </row>
    <row r="248" spans="1:7" x14ac:dyDescent="0.25">
      <c r="A248" s="23" t="s">
        <v>165</v>
      </c>
      <c r="B248" s="23" t="s">
        <v>647</v>
      </c>
      <c r="C248">
        <v>303.89</v>
      </c>
      <c r="D248" s="19">
        <f t="shared" si="40"/>
        <v>243.11199999999999</v>
      </c>
      <c r="E248" s="19">
        <f t="shared" si="41"/>
        <v>182.33399999999997</v>
      </c>
      <c r="F248" s="19">
        <f t="shared" si="42"/>
        <v>151.94499999999999</v>
      </c>
      <c r="G248" s="19" t="s">
        <v>702</v>
      </c>
    </row>
    <row r="249" spans="1:7" x14ac:dyDescent="0.25">
      <c r="A249" s="23" t="s">
        <v>166</v>
      </c>
      <c r="B249" s="23" t="s">
        <v>648</v>
      </c>
      <c r="C249">
        <v>428.29</v>
      </c>
      <c r="D249" s="19">
        <f t="shared" si="40"/>
        <v>342.63200000000006</v>
      </c>
      <c r="E249" s="19">
        <f t="shared" si="41"/>
        <v>256.97399999999999</v>
      </c>
      <c r="F249" s="19" t="s">
        <v>702</v>
      </c>
      <c r="G249" s="19" t="s">
        <v>702</v>
      </c>
    </row>
    <row r="250" spans="1:7" x14ac:dyDescent="0.25">
      <c r="A250" s="23" t="s">
        <v>167</v>
      </c>
      <c r="B250" s="23" t="s">
        <v>649</v>
      </c>
      <c r="C250">
        <v>442.59000000000003</v>
      </c>
      <c r="D250" s="19">
        <f t="shared" si="40"/>
        <v>354.07200000000006</v>
      </c>
      <c r="E250" s="19">
        <f t="shared" si="41"/>
        <v>265.55400000000003</v>
      </c>
      <c r="F250" s="19" t="s">
        <v>702</v>
      </c>
      <c r="G250" s="19" t="s">
        <v>702</v>
      </c>
    </row>
    <row r="251" spans="1:7" x14ac:dyDescent="0.25">
      <c r="A251" s="23" t="s">
        <v>168</v>
      </c>
      <c r="B251" s="23" t="s">
        <v>650</v>
      </c>
      <c r="C251">
        <v>455.89</v>
      </c>
      <c r="D251" s="19">
        <f t="shared" si="40"/>
        <v>364.71199999999999</v>
      </c>
      <c r="E251" s="19">
        <f t="shared" si="41"/>
        <v>273.53399999999999</v>
      </c>
      <c r="F251" s="19" t="s">
        <v>702</v>
      </c>
      <c r="G251" s="19" t="s">
        <v>702</v>
      </c>
    </row>
    <row r="252" spans="1:7" x14ac:dyDescent="0.25">
      <c r="A252" s="23" t="s">
        <v>169</v>
      </c>
      <c r="B252" s="23" t="s">
        <v>651</v>
      </c>
      <c r="C252">
        <v>437.49</v>
      </c>
      <c r="D252" s="19">
        <f t="shared" si="40"/>
        <v>349.99200000000002</v>
      </c>
      <c r="E252" s="19">
        <f t="shared" si="41"/>
        <v>262.49399999999997</v>
      </c>
      <c r="F252" s="19" t="s">
        <v>702</v>
      </c>
      <c r="G252" s="19" t="s">
        <v>702</v>
      </c>
    </row>
    <row r="253" spans="1:7" x14ac:dyDescent="0.25">
      <c r="A253" s="23" t="s">
        <v>170</v>
      </c>
      <c r="B253" s="23" t="s">
        <v>652</v>
      </c>
      <c r="C253">
        <v>476.29</v>
      </c>
      <c r="D253" s="19">
        <f t="shared" si="40"/>
        <v>381.03200000000004</v>
      </c>
      <c r="E253" s="19">
        <f t="shared" si="41"/>
        <v>285.774</v>
      </c>
      <c r="F253" s="19" t="s">
        <v>702</v>
      </c>
      <c r="G253" s="19" t="s">
        <v>702</v>
      </c>
    </row>
    <row r="254" spans="1:7" x14ac:dyDescent="0.25">
      <c r="A254" s="23" t="s">
        <v>171</v>
      </c>
      <c r="B254" s="23" t="s">
        <v>653</v>
      </c>
      <c r="C254">
        <v>451.79</v>
      </c>
      <c r="D254" s="19">
        <f t="shared" si="40"/>
        <v>361.43200000000002</v>
      </c>
      <c r="E254" s="19">
        <f t="shared" si="41"/>
        <v>271.07400000000001</v>
      </c>
      <c r="F254" s="19" t="s">
        <v>702</v>
      </c>
      <c r="G254" s="19" t="s">
        <v>702</v>
      </c>
    </row>
    <row r="255" spans="1:7" x14ac:dyDescent="0.25">
      <c r="A255" s="23" t="s">
        <v>172</v>
      </c>
      <c r="B255" s="23" t="s">
        <v>654</v>
      </c>
      <c r="C255">
        <v>509.89</v>
      </c>
      <c r="D255" s="19">
        <f t="shared" si="40"/>
        <v>407.91200000000003</v>
      </c>
      <c r="E255" s="19">
        <f t="shared" si="41"/>
        <v>305.93399999999997</v>
      </c>
      <c r="F255" s="19" t="s">
        <v>702</v>
      </c>
      <c r="G255" s="19" t="s">
        <v>702</v>
      </c>
    </row>
    <row r="256" spans="1:7" x14ac:dyDescent="0.25">
      <c r="A256" s="23" t="s">
        <v>173</v>
      </c>
      <c r="B256" s="23" t="s">
        <v>655</v>
      </c>
      <c r="C256">
        <v>584.39</v>
      </c>
      <c r="D256" s="19">
        <f t="shared" si="40"/>
        <v>467.512</v>
      </c>
      <c r="E256" s="19">
        <f t="shared" si="41"/>
        <v>350.63399999999996</v>
      </c>
      <c r="F256" s="19" t="s">
        <v>702</v>
      </c>
      <c r="G256" s="19" t="s">
        <v>702</v>
      </c>
    </row>
    <row r="257" spans="1:7" x14ac:dyDescent="0.25">
      <c r="A257" s="23" t="s">
        <v>174</v>
      </c>
      <c r="B257" s="23" t="s">
        <v>656</v>
      </c>
      <c r="C257">
        <v>655.79</v>
      </c>
      <c r="D257" s="19">
        <f t="shared" si="40"/>
        <v>524.63199999999995</v>
      </c>
      <c r="E257" s="19">
        <f t="shared" si="41"/>
        <v>393.47399999999999</v>
      </c>
      <c r="F257" s="19" t="s">
        <v>702</v>
      </c>
      <c r="G257" s="19" t="s">
        <v>702</v>
      </c>
    </row>
    <row r="258" spans="1:7" x14ac:dyDescent="0.25">
      <c r="A258" s="23" t="s">
        <v>175</v>
      </c>
      <c r="B258" s="23" t="s">
        <v>657</v>
      </c>
      <c r="C258">
        <v>607.89</v>
      </c>
      <c r="D258" s="19">
        <f t="shared" si="40"/>
        <v>486.31200000000001</v>
      </c>
      <c r="E258" s="19">
        <f t="shared" si="41"/>
        <v>364.73399999999998</v>
      </c>
      <c r="F258" s="19" t="s">
        <v>702</v>
      </c>
      <c r="G258" s="19" t="s">
        <v>702</v>
      </c>
    </row>
    <row r="259" spans="1:7" x14ac:dyDescent="0.25">
      <c r="A259" s="23" t="s">
        <v>176</v>
      </c>
      <c r="B259" s="23" t="s">
        <v>658</v>
      </c>
      <c r="C259">
        <v>704.79</v>
      </c>
      <c r="D259" s="19">
        <f t="shared" si="40"/>
        <v>563.83199999999999</v>
      </c>
      <c r="E259" s="19">
        <f t="shared" si="41"/>
        <v>422.87399999999997</v>
      </c>
      <c r="F259" s="19" t="s">
        <v>702</v>
      </c>
      <c r="G259" s="19" t="s">
        <v>702</v>
      </c>
    </row>
    <row r="260" spans="1:7" x14ac:dyDescent="0.25">
      <c r="A260" s="23" t="s">
        <v>177</v>
      </c>
      <c r="B260" s="23" t="s">
        <v>659</v>
      </c>
      <c r="C260">
        <v>681.29</v>
      </c>
      <c r="D260" s="19">
        <f t="shared" si="40"/>
        <v>545.03200000000004</v>
      </c>
      <c r="E260" s="19">
        <f t="shared" si="41"/>
        <v>408.77399999999994</v>
      </c>
      <c r="F260" s="19" t="s">
        <v>702</v>
      </c>
      <c r="G260" s="19" t="s">
        <v>702</v>
      </c>
    </row>
    <row r="261" spans="1:7" x14ac:dyDescent="0.25">
      <c r="A261" s="23"/>
      <c r="B261" s="23"/>
      <c r="C261" s="16" t="s">
        <v>725</v>
      </c>
      <c r="D261" s="16"/>
      <c r="E261" s="19"/>
      <c r="F261" s="19"/>
      <c r="G261" s="19"/>
    </row>
    <row r="262" spans="1:7" x14ac:dyDescent="0.25">
      <c r="A262" s="26" t="s">
        <v>36</v>
      </c>
      <c r="B262" s="26"/>
      <c r="C262" s="2" t="s">
        <v>3</v>
      </c>
      <c r="D262" s="2"/>
      <c r="E262" s="19"/>
      <c r="F262" s="19"/>
      <c r="G262" s="19"/>
    </row>
    <row r="263" spans="1:7" x14ac:dyDescent="0.25">
      <c r="A263" s="23" t="s">
        <v>205</v>
      </c>
      <c r="B263" s="23" t="s">
        <v>37</v>
      </c>
      <c r="C263">
        <v>35.590000000000003</v>
      </c>
      <c r="D263" s="19">
        <f t="shared" ref="D263:D326" si="44">IFERROR(IF($C263*0.8=0,"",$C263*0.8),"")</f>
        <v>28.472000000000005</v>
      </c>
      <c r="E263" s="19">
        <f t="shared" ref="E263:E326" si="45">IFERROR(IF($C263*0.6=0,"",$C263*0.6),"")</f>
        <v>21.354000000000003</v>
      </c>
      <c r="F263" s="19">
        <f t="shared" ref="F263:F326" si="46">IFERROR(IF($C263*0.5=0,"",$C263*0.5),"")</f>
        <v>17.795000000000002</v>
      </c>
      <c r="G263" s="19">
        <f t="shared" ref="G263:G326" si="47">IFERROR(IF($C263*0.45=0,"",$C263*0.45),"")</f>
        <v>16.015500000000003</v>
      </c>
    </row>
    <row r="264" spans="1:7" x14ac:dyDescent="0.25">
      <c r="A264" s="23" t="s">
        <v>206</v>
      </c>
      <c r="B264" s="23" t="s">
        <v>38</v>
      </c>
      <c r="C264">
        <v>38.690000000000005</v>
      </c>
      <c r="D264" s="19">
        <f t="shared" si="44"/>
        <v>30.952000000000005</v>
      </c>
      <c r="E264" s="19">
        <f t="shared" si="45"/>
        <v>23.214000000000002</v>
      </c>
      <c r="F264" s="19">
        <f t="shared" si="46"/>
        <v>19.345000000000002</v>
      </c>
      <c r="G264" s="19">
        <f t="shared" si="47"/>
        <v>17.410500000000003</v>
      </c>
    </row>
    <row r="265" spans="1:7" x14ac:dyDescent="0.25">
      <c r="A265" s="23" t="s">
        <v>207</v>
      </c>
      <c r="B265" s="23" t="s">
        <v>39</v>
      </c>
      <c r="C265">
        <v>39.690000000000005</v>
      </c>
      <c r="D265" s="19">
        <f t="shared" si="44"/>
        <v>31.752000000000006</v>
      </c>
      <c r="E265" s="19">
        <f t="shared" si="45"/>
        <v>23.814000000000004</v>
      </c>
      <c r="F265" s="19">
        <f t="shared" si="46"/>
        <v>19.845000000000002</v>
      </c>
      <c r="G265" s="19">
        <f t="shared" si="47"/>
        <v>17.860500000000002</v>
      </c>
    </row>
    <row r="266" spans="1:7" x14ac:dyDescent="0.25">
      <c r="A266" s="23" t="s">
        <v>208</v>
      </c>
      <c r="B266" s="23" t="s">
        <v>40</v>
      </c>
      <c r="C266">
        <v>41.79</v>
      </c>
      <c r="D266" s="19">
        <f t="shared" si="44"/>
        <v>33.432000000000002</v>
      </c>
      <c r="E266" s="19">
        <f t="shared" si="45"/>
        <v>25.073999999999998</v>
      </c>
      <c r="F266" s="19">
        <f t="shared" si="46"/>
        <v>20.895</v>
      </c>
      <c r="G266" s="19">
        <f t="shared" si="47"/>
        <v>18.805499999999999</v>
      </c>
    </row>
    <row r="267" spans="1:7" x14ac:dyDescent="0.25">
      <c r="A267" s="23" t="s">
        <v>209</v>
      </c>
      <c r="B267" s="23" t="s">
        <v>41</v>
      </c>
      <c r="C267">
        <v>46.89</v>
      </c>
      <c r="D267" s="19">
        <f t="shared" si="44"/>
        <v>37.512</v>
      </c>
      <c r="E267" s="19">
        <f t="shared" si="45"/>
        <v>28.134</v>
      </c>
      <c r="F267" s="19">
        <f t="shared" si="46"/>
        <v>23.445</v>
      </c>
      <c r="G267" s="19">
        <f t="shared" si="47"/>
        <v>21.1005</v>
      </c>
    </row>
    <row r="268" spans="1:7" x14ac:dyDescent="0.25">
      <c r="A268" s="23"/>
      <c r="B268" s="23"/>
      <c r="C268" t="s">
        <v>725</v>
      </c>
      <c r="D268" s="19" t="str">
        <f t="shared" si="44"/>
        <v/>
      </c>
      <c r="E268" s="19" t="str">
        <f t="shared" si="45"/>
        <v/>
      </c>
      <c r="F268" s="19" t="str">
        <f t="shared" si="46"/>
        <v/>
      </c>
      <c r="G268" s="19" t="str">
        <f t="shared" si="47"/>
        <v/>
      </c>
    </row>
    <row r="269" spans="1:7" x14ac:dyDescent="0.25">
      <c r="A269" s="23" t="s">
        <v>210</v>
      </c>
      <c r="B269" s="23" t="s">
        <v>42</v>
      </c>
      <c r="C269">
        <v>42.79</v>
      </c>
      <c r="D269" s="19">
        <f t="shared" si="44"/>
        <v>34.231999999999999</v>
      </c>
      <c r="E269" s="19">
        <f t="shared" si="45"/>
        <v>25.673999999999999</v>
      </c>
      <c r="F269" s="19">
        <f t="shared" si="46"/>
        <v>21.395</v>
      </c>
      <c r="G269" s="19">
        <f t="shared" si="47"/>
        <v>19.255500000000001</v>
      </c>
    </row>
    <row r="270" spans="1:7" x14ac:dyDescent="0.25">
      <c r="A270" s="23"/>
      <c r="B270" s="23"/>
      <c r="C270" t="s">
        <v>725</v>
      </c>
      <c r="D270" s="19" t="str">
        <f t="shared" si="44"/>
        <v/>
      </c>
      <c r="E270" s="19" t="str">
        <f t="shared" si="45"/>
        <v/>
      </c>
      <c r="F270" s="19" t="str">
        <f t="shared" si="46"/>
        <v/>
      </c>
      <c r="G270" s="19" t="str">
        <f t="shared" si="47"/>
        <v/>
      </c>
    </row>
    <row r="271" spans="1:7" x14ac:dyDescent="0.25">
      <c r="A271" s="23" t="s">
        <v>211</v>
      </c>
      <c r="B271" s="23" t="s">
        <v>43</v>
      </c>
      <c r="C271">
        <v>46.89</v>
      </c>
      <c r="D271" s="19">
        <f t="shared" si="44"/>
        <v>37.512</v>
      </c>
      <c r="E271" s="19">
        <f t="shared" si="45"/>
        <v>28.134</v>
      </c>
      <c r="F271" s="19">
        <f t="shared" si="46"/>
        <v>23.445</v>
      </c>
      <c r="G271" s="19">
        <f t="shared" si="47"/>
        <v>21.1005</v>
      </c>
    </row>
    <row r="272" spans="1:7" x14ac:dyDescent="0.25">
      <c r="A272" s="23" t="s">
        <v>212</v>
      </c>
      <c r="B272" s="23" t="s">
        <v>44</v>
      </c>
      <c r="C272">
        <v>49.89</v>
      </c>
      <c r="D272" s="19">
        <f t="shared" si="44"/>
        <v>39.912000000000006</v>
      </c>
      <c r="E272" s="19">
        <f t="shared" si="45"/>
        <v>29.933999999999997</v>
      </c>
      <c r="F272" s="19">
        <f t="shared" si="46"/>
        <v>24.945</v>
      </c>
      <c r="G272" s="19">
        <f t="shared" si="47"/>
        <v>22.450500000000002</v>
      </c>
    </row>
    <row r="273" spans="1:7" x14ac:dyDescent="0.25">
      <c r="A273" s="23" t="s">
        <v>213</v>
      </c>
      <c r="B273" s="23" t="s">
        <v>45</v>
      </c>
      <c r="C273">
        <v>54.99</v>
      </c>
      <c r="D273" s="19">
        <f t="shared" si="44"/>
        <v>43.992000000000004</v>
      </c>
      <c r="E273" s="19">
        <f t="shared" si="45"/>
        <v>32.994</v>
      </c>
      <c r="F273" s="19">
        <f t="shared" si="46"/>
        <v>27.495000000000001</v>
      </c>
      <c r="G273" s="19">
        <f t="shared" si="47"/>
        <v>24.7455</v>
      </c>
    </row>
    <row r="274" spans="1:7" x14ac:dyDescent="0.25">
      <c r="A274" s="23" t="s">
        <v>214</v>
      </c>
      <c r="B274" s="23" t="s">
        <v>46</v>
      </c>
      <c r="C274">
        <v>59.09</v>
      </c>
      <c r="D274" s="19">
        <f t="shared" si="44"/>
        <v>47.272000000000006</v>
      </c>
      <c r="E274" s="19">
        <f t="shared" si="45"/>
        <v>35.454000000000001</v>
      </c>
      <c r="F274" s="19">
        <f t="shared" si="46"/>
        <v>29.545000000000002</v>
      </c>
      <c r="G274" s="19">
        <f t="shared" si="47"/>
        <v>26.590500000000002</v>
      </c>
    </row>
    <row r="275" spans="1:7" x14ac:dyDescent="0.25">
      <c r="A275" s="23"/>
      <c r="B275" s="23"/>
      <c r="C275" t="s">
        <v>725</v>
      </c>
      <c r="D275" s="19" t="str">
        <f t="shared" si="44"/>
        <v/>
      </c>
      <c r="E275" s="19" t="str">
        <f t="shared" si="45"/>
        <v/>
      </c>
      <c r="F275" s="19" t="str">
        <f t="shared" si="46"/>
        <v/>
      </c>
      <c r="G275" s="19" t="str">
        <f t="shared" si="47"/>
        <v/>
      </c>
    </row>
    <row r="276" spans="1:7" x14ac:dyDescent="0.25">
      <c r="A276" s="26" t="s">
        <v>55</v>
      </c>
      <c r="B276" s="26"/>
      <c r="C276" s="2" t="s">
        <v>3</v>
      </c>
      <c r="D276" s="19" t="str">
        <f t="shared" si="44"/>
        <v/>
      </c>
      <c r="E276" s="19" t="str">
        <f t="shared" si="45"/>
        <v/>
      </c>
      <c r="F276" s="19" t="str">
        <f t="shared" si="46"/>
        <v/>
      </c>
      <c r="G276" s="19" t="str">
        <f t="shared" si="47"/>
        <v/>
      </c>
    </row>
    <row r="277" spans="1:7" x14ac:dyDescent="0.25">
      <c r="A277" s="23" t="s">
        <v>230</v>
      </c>
      <c r="B277" s="23" t="s">
        <v>352</v>
      </c>
      <c r="C277">
        <v>3.5900000000000003</v>
      </c>
      <c r="D277" s="19">
        <f t="shared" si="44"/>
        <v>2.8720000000000003</v>
      </c>
      <c r="E277" s="19">
        <f t="shared" si="45"/>
        <v>2.1539999999999999</v>
      </c>
      <c r="F277" s="19">
        <f t="shared" si="46"/>
        <v>1.7950000000000002</v>
      </c>
      <c r="G277" s="19">
        <f t="shared" si="47"/>
        <v>1.6155000000000002</v>
      </c>
    </row>
    <row r="278" spans="1:7" x14ac:dyDescent="0.25">
      <c r="A278" s="23" t="s">
        <v>350</v>
      </c>
      <c r="B278" s="23" t="s">
        <v>351</v>
      </c>
      <c r="C278">
        <v>3.6900000000000004</v>
      </c>
      <c r="D278" s="19">
        <f t="shared" si="44"/>
        <v>2.9520000000000004</v>
      </c>
      <c r="E278" s="19">
        <f t="shared" si="45"/>
        <v>2.214</v>
      </c>
      <c r="F278" s="19">
        <f t="shared" si="46"/>
        <v>1.8450000000000002</v>
      </c>
      <c r="G278" s="19">
        <f t="shared" si="47"/>
        <v>1.6605000000000003</v>
      </c>
    </row>
    <row r="279" spans="1:7" x14ac:dyDescent="0.25">
      <c r="A279" s="23"/>
      <c r="B279" s="23"/>
      <c r="C279" t="s">
        <v>725</v>
      </c>
      <c r="D279" s="19" t="str">
        <f t="shared" si="44"/>
        <v/>
      </c>
      <c r="E279" s="19" t="str">
        <f t="shared" si="45"/>
        <v/>
      </c>
      <c r="F279" s="19" t="str">
        <f t="shared" si="46"/>
        <v/>
      </c>
      <c r="G279" s="19" t="str">
        <f t="shared" si="47"/>
        <v/>
      </c>
    </row>
    <row r="280" spans="1:7" x14ac:dyDescent="0.25">
      <c r="A280" s="23" t="s">
        <v>231</v>
      </c>
      <c r="B280" s="23" t="s">
        <v>353</v>
      </c>
      <c r="C280">
        <v>3.6900000000000004</v>
      </c>
      <c r="D280" s="19">
        <f t="shared" si="44"/>
        <v>2.9520000000000004</v>
      </c>
      <c r="E280" s="19">
        <f t="shared" si="45"/>
        <v>2.214</v>
      </c>
      <c r="F280" s="19">
        <f t="shared" si="46"/>
        <v>1.8450000000000002</v>
      </c>
      <c r="G280" s="19">
        <f t="shared" si="47"/>
        <v>1.6605000000000003</v>
      </c>
    </row>
    <row r="281" spans="1:7" x14ac:dyDescent="0.25">
      <c r="A281" s="23" t="s">
        <v>232</v>
      </c>
      <c r="B281" s="23" t="s">
        <v>354</v>
      </c>
      <c r="C281">
        <v>3.89</v>
      </c>
      <c r="D281" s="19">
        <f t="shared" si="44"/>
        <v>3.1120000000000001</v>
      </c>
      <c r="E281" s="19">
        <f t="shared" si="45"/>
        <v>2.3340000000000001</v>
      </c>
      <c r="F281" s="19">
        <f t="shared" si="46"/>
        <v>1.9450000000000001</v>
      </c>
      <c r="G281" s="19">
        <f t="shared" si="47"/>
        <v>1.7505000000000002</v>
      </c>
    </row>
    <row r="282" spans="1:7" x14ac:dyDescent="0.25">
      <c r="A282" s="23"/>
      <c r="B282" s="23"/>
      <c r="C282" t="s">
        <v>725</v>
      </c>
      <c r="D282" s="19" t="str">
        <f t="shared" si="44"/>
        <v/>
      </c>
      <c r="E282" s="19" t="str">
        <f t="shared" si="45"/>
        <v/>
      </c>
      <c r="F282" s="19" t="str">
        <f t="shared" si="46"/>
        <v/>
      </c>
      <c r="G282" s="19" t="str">
        <f t="shared" si="47"/>
        <v/>
      </c>
    </row>
    <row r="283" spans="1:7" x14ac:dyDescent="0.25">
      <c r="A283" s="23" t="s">
        <v>233</v>
      </c>
      <c r="B283" s="23" t="s">
        <v>355</v>
      </c>
      <c r="C283">
        <v>3.5900000000000003</v>
      </c>
      <c r="D283" s="19">
        <f t="shared" si="44"/>
        <v>2.8720000000000003</v>
      </c>
      <c r="E283" s="19">
        <f t="shared" si="45"/>
        <v>2.1539999999999999</v>
      </c>
      <c r="F283" s="19">
        <f t="shared" si="46"/>
        <v>1.7950000000000002</v>
      </c>
      <c r="G283" s="19">
        <f t="shared" si="47"/>
        <v>1.6155000000000002</v>
      </c>
    </row>
    <row r="284" spans="1:7" x14ac:dyDescent="0.25">
      <c r="A284" s="23" t="s">
        <v>234</v>
      </c>
      <c r="B284" s="23" t="s">
        <v>356</v>
      </c>
      <c r="C284">
        <v>3.79</v>
      </c>
      <c r="D284" s="19">
        <f t="shared" si="44"/>
        <v>3.032</v>
      </c>
      <c r="E284" s="19">
        <f t="shared" si="45"/>
        <v>2.274</v>
      </c>
      <c r="F284" s="19">
        <f t="shared" si="46"/>
        <v>1.895</v>
      </c>
      <c r="G284" s="19">
        <f t="shared" si="47"/>
        <v>1.7055</v>
      </c>
    </row>
    <row r="285" spans="1:7" x14ac:dyDescent="0.25">
      <c r="A285" s="23" t="s">
        <v>235</v>
      </c>
      <c r="B285" s="23" t="s">
        <v>357</v>
      </c>
      <c r="C285">
        <v>3.89</v>
      </c>
      <c r="D285" s="19">
        <f t="shared" si="44"/>
        <v>3.1120000000000001</v>
      </c>
      <c r="E285" s="19">
        <f t="shared" si="45"/>
        <v>2.3340000000000001</v>
      </c>
      <c r="F285" s="19">
        <f t="shared" si="46"/>
        <v>1.9450000000000001</v>
      </c>
      <c r="G285" s="19">
        <f t="shared" si="47"/>
        <v>1.7505000000000002</v>
      </c>
    </row>
    <row r="286" spans="1:7" x14ac:dyDescent="0.25">
      <c r="A286" s="23" t="s">
        <v>236</v>
      </c>
      <c r="B286" s="23" t="s">
        <v>358</v>
      </c>
      <c r="C286">
        <v>3.99</v>
      </c>
      <c r="D286" s="19">
        <f t="shared" si="44"/>
        <v>3.1920000000000002</v>
      </c>
      <c r="E286" s="19">
        <f t="shared" si="45"/>
        <v>2.3940000000000001</v>
      </c>
      <c r="F286" s="19">
        <f t="shared" si="46"/>
        <v>1.9950000000000001</v>
      </c>
      <c r="G286" s="19">
        <f t="shared" si="47"/>
        <v>1.7955000000000001</v>
      </c>
    </row>
    <row r="287" spans="1:7" x14ac:dyDescent="0.25">
      <c r="A287" s="23" t="s">
        <v>237</v>
      </c>
      <c r="B287" s="23" t="s">
        <v>359</v>
      </c>
      <c r="C287">
        <v>4.49</v>
      </c>
      <c r="D287" s="19">
        <f t="shared" si="44"/>
        <v>3.5920000000000005</v>
      </c>
      <c r="E287" s="19">
        <f t="shared" si="45"/>
        <v>2.694</v>
      </c>
      <c r="F287" s="19">
        <f t="shared" si="46"/>
        <v>2.2450000000000001</v>
      </c>
      <c r="G287" s="19">
        <f t="shared" si="47"/>
        <v>2.0205000000000002</v>
      </c>
    </row>
    <row r="288" spans="1:7" x14ac:dyDescent="0.25">
      <c r="A288" s="23"/>
      <c r="B288" s="23"/>
      <c r="C288" t="s">
        <v>725</v>
      </c>
      <c r="D288" s="19" t="str">
        <f t="shared" si="44"/>
        <v/>
      </c>
      <c r="E288" s="19" t="str">
        <f t="shared" si="45"/>
        <v/>
      </c>
      <c r="F288" s="19" t="str">
        <f t="shared" si="46"/>
        <v/>
      </c>
      <c r="G288" s="19" t="str">
        <f t="shared" si="47"/>
        <v/>
      </c>
    </row>
    <row r="289" spans="1:7" x14ac:dyDescent="0.25">
      <c r="A289" s="23" t="s">
        <v>238</v>
      </c>
      <c r="B289" s="23" t="s">
        <v>360</v>
      </c>
      <c r="C289">
        <v>3.99</v>
      </c>
      <c r="D289" s="19">
        <f t="shared" si="44"/>
        <v>3.1920000000000002</v>
      </c>
      <c r="E289" s="19">
        <f t="shared" si="45"/>
        <v>2.3940000000000001</v>
      </c>
      <c r="F289" s="19">
        <f t="shared" si="46"/>
        <v>1.9950000000000001</v>
      </c>
      <c r="G289" s="19">
        <f t="shared" si="47"/>
        <v>1.7955000000000001</v>
      </c>
    </row>
    <row r="290" spans="1:7" x14ac:dyDescent="0.25">
      <c r="A290" s="23" t="s">
        <v>239</v>
      </c>
      <c r="B290" s="23" t="s">
        <v>361</v>
      </c>
      <c r="C290">
        <v>4.1900000000000004</v>
      </c>
      <c r="D290" s="19">
        <f t="shared" si="44"/>
        <v>3.3520000000000003</v>
      </c>
      <c r="E290" s="19">
        <f t="shared" si="45"/>
        <v>2.5140000000000002</v>
      </c>
      <c r="F290" s="19">
        <f t="shared" si="46"/>
        <v>2.0950000000000002</v>
      </c>
      <c r="G290" s="19">
        <f t="shared" si="47"/>
        <v>1.8855000000000002</v>
      </c>
    </row>
    <row r="291" spans="1:7" x14ac:dyDescent="0.25">
      <c r="A291" s="23" t="s">
        <v>240</v>
      </c>
      <c r="B291" s="23" t="s">
        <v>362</v>
      </c>
      <c r="C291">
        <v>4.49</v>
      </c>
      <c r="D291" s="19">
        <f t="shared" si="44"/>
        <v>3.5920000000000005</v>
      </c>
      <c r="E291" s="19">
        <f t="shared" si="45"/>
        <v>2.694</v>
      </c>
      <c r="F291" s="19">
        <f t="shared" si="46"/>
        <v>2.2450000000000001</v>
      </c>
      <c r="G291" s="19">
        <f t="shared" si="47"/>
        <v>2.0205000000000002</v>
      </c>
    </row>
    <row r="292" spans="1:7" x14ac:dyDescent="0.25">
      <c r="A292" s="23" t="s">
        <v>241</v>
      </c>
      <c r="B292" s="23" t="s">
        <v>363</v>
      </c>
      <c r="C292">
        <v>4.6900000000000004</v>
      </c>
      <c r="D292" s="19">
        <f t="shared" si="44"/>
        <v>3.7520000000000007</v>
      </c>
      <c r="E292" s="19">
        <f t="shared" si="45"/>
        <v>2.8140000000000001</v>
      </c>
      <c r="F292" s="19">
        <f t="shared" si="46"/>
        <v>2.3450000000000002</v>
      </c>
      <c r="G292" s="19">
        <f t="shared" si="47"/>
        <v>2.1105</v>
      </c>
    </row>
    <row r="293" spans="1:7" x14ac:dyDescent="0.25">
      <c r="A293" s="23" t="s">
        <v>242</v>
      </c>
      <c r="B293" s="23" t="s">
        <v>364</v>
      </c>
      <c r="C293">
        <v>4.8900000000000006</v>
      </c>
      <c r="D293" s="19">
        <f t="shared" si="44"/>
        <v>3.9120000000000008</v>
      </c>
      <c r="E293" s="19">
        <f t="shared" si="45"/>
        <v>2.9340000000000002</v>
      </c>
      <c r="F293" s="19">
        <f t="shared" si="46"/>
        <v>2.4450000000000003</v>
      </c>
      <c r="G293" s="19">
        <f t="shared" si="47"/>
        <v>2.2005000000000003</v>
      </c>
    </row>
    <row r="294" spans="1:7" x14ac:dyDescent="0.25">
      <c r="A294" s="23" t="s">
        <v>243</v>
      </c>
      <c r="B294" s="23" t="s">
        <v>365</v>
      </c>
      <c r="C294">
        <v>5.19</v>
      </c>
      <c r="D294" s="19">
        <f t="shared" si="44"/>
        <v>4.1520000000000001</v>
      </c>
      <c r="E294" s="19">
        <f t="shared" si="45"/>
        <v>3.1140000000000003</v>
      </c>
      <c r="F294" s="19">
        <f t="shared" si="46"/>
        <v>2.5950000000000002</v>
      </c>
      <c r="G294" s="19">
        <f t="shared" si="47"/>
        <v>2.3355000000000001</v>
      </c>
    </row>
    <row r="295" spans="1:7" x14ac:dyDescent="0.25">
      <c r="A295" s="23" t="s">
        <v>244</v>
      </c>
      <c r="B295" s="23" t="s">
        <v>366</v>
      </c>
      <c r="C295">
        <v>5.59</v>
      </c>
      <c r="D295" s="19">
        <f t="shared" si="44"/>
        <v>4.4720000000000004</v>
      </c>
      <c r="E295" s="19">
        <f t="shared" si="45"/>
        <v>3.3539999999999996</v>
      </c>
      <c r="F295" s="19">
        <f t="shared" si="46"/>
        <v>2.7949999999999999</v>
      </c>
      <c r="G295" s="19">
        <f t="shared" si="47"/>
        <v>2.5154999999999998</v>
      </c>
    </row>
    <row r="296" spans="1:7" x14ac:dyDescent="0.25">
      <c r="A296" s="23"/>
      <c r="B296" s="23"/>
      <c r="D296" s="19" t="str">
        <f t="shared" si="44"/>
        <v/>
      </c>
      <c r="E296" s="19" t="str">
        <f t="shared" si="45"/>
        <v/>
      </c>
      <c r="F296" s="19" t="str">
        <f t="shared" si="46"/>
        <v/>
      </c>
      <c r="G296" s="19" t="str">
        <f t="shared" si="47"/>
        <v/>
      </c>
    </row>
    <row r="297" spans="1:7" x14ac:dyDescent="0.25">
      <c r="A297" s="23" t="s">
        <v>245</v>
      </c>
      <c r="B297" s="4" t="s">
        <v>367</v>
      </c>
      <c r="C297" s="5">
        <v>4.79</v>
      </c>
      <c r="D297" s="19">
        <f t="shared" si="44"/>
        <v>3.8320000000000003</v>
      </c>
      <c r="E297" s="19">
        <f t="shared" si="45"/>
        <v>2.8740000000000001</v>
      </c>
      <c r="F297" s="19">
        <f t="shared" si="46"/>
        <v>2.395</v>
      </c>
      <c r="G297" s="19">
        <f t="shared" si="47"/>
        <v>2.1555</v>
      </c>
    </row>
    <row r="298" spans="1:7" x14ac:dyDescent="0.25">
      <c r="A298" s="23" t="s">
        <v>246</v>
      </c>
      <c r="B298" s="4" t="s">
        <v>368</v>
      </c>
      <c r="C298" s="5">
        <v>4.8900000000000006</v>
      </c>
      <c r="D298" s="19">
        <f t="shared" si="44"/>
        <v>3.9120000000000008</v>
      </c>
      <c r="E298" s="19">
        <f t="shared" si="45"/>
        <v>2.9340000000000002</v>
      </c>
      <c r="F298" s="19">
        <f t="shared" si="46"/>
        <v>2.4450000000000003</v>
      </c>
      <c r="G298" s="19">
        <f t="shared" si="47"/>
        <v>2.2005000000000003</v>
      </c>
    </row>
    <row r="299" spans="1:7" x14ac:dyDescent="0.25">
      <c r="A299" s="23" t="s">
        <v>247</v>
      </c>
      <c r="B299" s="4" t="s">
        <v>369</v>
      </c>
      <c r="C299" s="5">
        <v>5.09</v>
      </c>
      <c r="D299" s="19">
        <f t="shared" si="44"/>
        <v>4.0720000000000001</v>
      </c>
      <c r="E299" s="19">
        <f t="shared" si="45"/>
        <v>3.0539999999999998</v>
      </c>
      <c r="F299" s="19">
        <f t="shared" si="46"/>
        <v>2.5449999999999999</v>
      </c>
      <c r="G299" s="19">
        <f t="shared" si="47"/>
        <v>2.2905000000000002</v>
      </c>
    </row>
    <row r="300" spans="1:7" x14ac:dyDescent="0.25">
      <c r="A300" s="23" t="s">
        <v>248</v>
      </c>
      <c r="B300" s="4" t="s">
        <v>370</v>
      </c>
      <c r="C300" s="5">
        <v>5.49</v>
      </c>
      <c r="D300" s="19">
        <f t="shared" si="44"/>
        <v>4.3920000000000003</v>
      </c>
      <c r="E300" s="19">
        <f t="shared" si="45"/>
        <v>3.294</v>
      </c>
      <c r="F300" s="19">
        <f t="shared" si="46"/>
        <v>2.7450000000000001</v>
      </c>
      <c r="G300" s="19">
        <f t="shared" si="47"/>
        <v>2.4705000000000004</v>
      </c>
    </row>
    <row r="301" spans="1:7" x14ac:dyDescent="0.25">
      <c r="A301" s="23" t="s">
        <v>249</v>
      </c>
      <c r="B301" s="4" t="s">
        <v>371</v>
      </c>
      <c r="C301" s="5">
        <v>5.99</v>
      </c>
      <c r="D301" s="19">
        <f t="shared" si="44"/>
        <v>4.7920000000000007</v>
      </c>
      <c r="E301" s="19">
        <f t="shared" si="45"/>
        <v>3.5939999999999999</v>
      </c>
      <c r="F301" s="19">
        <f t="shared" si="46"/>
        <v>2.9950000000000001</v>
      </c>
      <c r="G301" s="19">
        <f t="shared" si="47"/>
        <v>2.6955</v>
      </c>
    </row>
    <row r="302" spans="1:7" x14ac:dyDescent="0.25">
      <c r="A302" s="23"/>
      <c r="B302" s="9"/>
      <c r="C302" s="3"/>
      <c r="D302" s="19" t="str">
        <f t="shared" si="44"/>
        <v/>
      </c>
      <c r="E302" s="19" t="str">
        <f t="shared" si="45"/>
        <v/>
      </c>
      <c r="F302" s="19" t="str">
        <f t="shared" si="46"/>
        <v/>
      </c>
      <c r="G302" s="19" t="str">
        <f t="shared" si="47"/>
        <v/>
      </c>
    </row>
    <row r="303" spans="1:7" x14ac:dyDescent="0.25">
      <c r="A303" s="23" t="s">
        <v>250</v>
      </c>
      <c r="B303" s="4" t="s">
        <v>372</v>
      </c>
      <c r="C303" s="5">
        <v>5.8900000000000006</v>
      </c>
      <c r="D303" s="19">
        <f t="shared" si="44"/>
        <v>4.7120000000000006</v>
      </c>
      <c r="E303" s="19">
        <f t="shared" si="45"/>
        <v>3.5340000000000003</v>
      </c>
      <c r="F303" s="19">
        <f t="shared" si="46"/>
        <v>2.9450000000000003</v>
      </c>
      <c r="G303" s="19">
        <f t="shared" si="47"/>
        <v>2.6505000000000005</v>
      </c>
    </row>
    <row r="304" spans="1:7" x14ac:dyDescent="0.25">
      <c r="A304" s="23" t="s">
        <v>251</v>
      </c>
      <c r="B304" s="4" t="s">
        <v>373</v>
      </c>
      <c r="C304" s="5">
        <v>6.09</v>
      </c>
      <c r="D304" s="19">
        <f t="shared" si="44"/>
        <v>4.8719999999999999</v>
      </c>
      <c r="E304" s="19">
        <f t="shared" si="45"/>
        <v>3.6539999999999999</v>
      </c>
      <c r="F304" s="19">
        <f t="shared" si="46"/>
        <v>3.0449999999999999</v>
      </c>
      <c r="G304" s="19">
        <f t="shared" si="47"/>
        <v>2.7404999999999999</v>
      </c>
    </row>
    <row r="305" spans="1:7" x14ac:dyDescent="0.25">
      <c r="A305" s="23" t="s">
        <v>252</v>
      </c>
      <c r="B305" s="4" t="s">
        <v>374</v>
      </c>
      <c r="C305" s="5">
        <v>6.49</v>
      </c>
      <c r="D305" s="19">
        <f t="shared" si="44"/>
        <v>5.1920000000000002</v>
      </c>
      <c r="E305" s="19">
        <f t="shared" si="45"/>
        <v>3.8940000000000001</v>
      </c>
      <c r="F305" s="19">
        <f t="shared" si="46"/>
        <v>3.2450000000000001</v>
      </c>
      <c r="G305" s="19">
        <f t="shared" si="47"/>
        <v>2.9205000000000001</v>
      </c>
    </row>
    <row r="306" spans="1:7" x14ac:dyDescent="0.25">
      <c r="A306" s="23" t="s">
        <v>253</v>
      </c>
      <c r="B306" s="4" t="s">
        <v>375</v>
      </c>
      <c r="C306" s="5">
        <v>6.99</v>
      </c>
      <c r="D306" s="19">
        <f t="shared" si="44"/>
        <v>5.5920000000000005</v>
      </c>
      <c r="E306" s="19">
        <f t="shared" si="45"/>
        <v>4.194</v>
      </c>
      <c r="F306" s="19">
        <f t="shared" si="46"/>
        <v>3.4950000000000001</v>
      </c>
      <c r="G306" s="19">
        <f t="shared" si="47"/>
        <v>3.1455000000000002</v>
      </c>
    </row>
    <row r="307" spans="1:7" x14ac:dyDescent="0.25">
      <c r="A307" s="23" t="s">
        <v>254</v>
      </c>
      <c r="B307" s="4" t="s">
        <v>376</v>
      </c>
      <c r="C307" s="5">
        <v>7.49</v>
      </c>
      <c r="D307" s="19">
        <f t="shared" si="44"/>
        <v>5.9920000000000009</v>
      </c>
      <c r="E307" s="19">
        <f t="shared" si="45"/>
        <v>4.4939999999999998</v>
      </c>
      <c r="F307" s="19">
        <f t="shared" si="46"/>
        <v>3.7450000000000001</v>
      </c>
      <c r="G307" s="19">
        <f t="shared" si="47"/>
        <v>3.3705000000000003</v>
      </c>
    </row>
    <row r="308" spans="1:7" x14ac:dyDescent="0.25">
      <c r="A308" s="23"/>
      <c r="B308" s="9"/>
      <c r="C308" s="3" t="s">
        <v>725</v>
      </c>
      <c r="D308" s="19" t="str">
        <f t="shared" si="44"/>
        <v/>
      </c>
      <c r="E308" s="19" t="str">
        <f t="shared" si="45"/>
        <v/>
      </c>
      <c r="F308" s="19" t="str">
        <f t="shared" si="46"/>
        <v/>
      </c>
      <c r="G308" s="19" t="str">
        <f t="shared" si="47"/>
        <v/>
      </c>
    </row>
    <row r="309" spans="1:7" x14ac:dyDescent="0.25">
      <c r="A309" s="23" t="s">
        <v>255</v>
      </c>
      <c r="B309" s="4" t="s">
        <v>377</v>
      </c>
      <c r="C309" s="5">
        <v>7.09</v>
      </c>
      <c r="D309" s="19">
        <f t="shared" si="44"/>
        <v>5.6720000000000006</v>
      </c>
      <c r="E309" s="19">
        <f t="shared" si="45"/>
        <v>4.2539999999999996</v>
      </c>
      <c r="F309" s="19">
        <f t="shared" si="46"/>
        <v>3.5449999999999999</v>
      </c>
      <c r="G309" s="19">
        <f t="shared" si="47"/>
        <v>3.1905000000000001</v>
      </c>
    </row>
    <row r="310" spans="1:7" x14ac:dyDescent="0.25">
      <c r="A310" s="23" t="s">
        <v>256</v>
      </c>
      <c r="B310" s="4" t="s">
        <v>378</v>
      </c>
      <c r="C310" s="5">
        <v>7.49</v>
      </c>
      <c r="D310" s="19">
        <f t="shared" si="44"/>
        <v>5.9920000000000009</v>
      </c>
      <c r="E310" s="19">
        <f t="shared" si="45"/>
        <v>4.4939999999999998</v>
      </c>
      <c r="F310" s="19">
        <f t="shared" si="46"/>
        <v>3.7450000000000001</v>
      </c>
      <c r="G310" s="19">
        <f t="shared" si="47"/>
        <v>3.3705000000000003</v>
      </c>
    </row>
    <row r="311" spans="1:7" x14ac:dyDescent="0.25">
      <c r="A311" s="23" t="s">
        <v>257</v>
      </c>
      <c r="B311" s="4" t="s">
        <v>379</v>
      </c>
      <c r="C311" s="5">
        <v>7.79</v>
      </c>
      <c r="D311" s="19">
        <f t="shared" si="44"/>
        <v>6.2320000000000002</v>
      </c>
      <c r="E311" s="19">
        <f t="shared" si="45"/>
        <v>4.6739999999999995</v>
      </c>
      <c r="F311" s="19">
        <f t="shared" si="46"/>
        <v>3.895</v>
      </c>
      <c r="G311" s="19">
        <f t="shared" si="47"/>
        <v>3.5055000000000001</v>
      </c>
    </row>
    <row r="312" spans="1:7" x14ac:dyDescent="0.25">
      <c r="A312" s="23" t="s">
        <v>258</v>
      </c>
      <c r="B312" s="4" t="s">
        <v>380</v>
      </c>
      <c r="C312" s="5">
        <v>9.19</v>
      </c>
      <c r="D312" s="19">
        <f t="shared" si="44"/>
        <v>7.3520000000000003</v>
      </c>
      <c r="E312" s="19">
        <f t="shared" si="45"/>
        <v>5.5139999999999993</v>
      </c>
      <c r="F312" s="19">
        <f t="shared" si="46"/>
        <v>4.5949999999999998</v>
      </c>
      <c r="G312" s="19">
        <f t="shared" si="47"/>
        <v>4.1354999999999995</v>
      </c>
    </row>
    <row r="313" spans="1:7" x14ac:dyDescent="0.25">
      <c r="A313" s="23"/>
      <c r="B313" s="4"/>
      <c r="C313" s="5" t="s">
        <v>725</v>
      </c>
      <c r="D313" s="19" t="str">
        <f t="shared" si="44"/>
        <v/>
      </c>
      <c r="E313" s="19" t="str">
        <f t="shared" si="45"/>
        <v/>
      </c>
      <c r="F313" s="19" t="str">
        <f t="shared" si="46"/>
        <v/>
      </c>
      <c r="G313" s="19" t="str">
        <f t="shared" si="47"/>
        <v/>
      </c>
    </row>
    <row r="314" spans="1:7" x14ac:dyDescent="0.25">
      <c r="A314" s="23" t="s">
        <v>259</v>
      </c>
      <c r="B314" s="4" t="s">
        <v>381</v>
      </c>
      <c r="C314" s="5">
        <v>10.39</v>
      </c>
      <c r="D314" s="19">
        <f t="shared" si="44"/>
        <v>8.3120000000000012</v>
      </c>
      <c r="E314" s="19">
        <f t="shared" si="45"/>
        <v>6.234</v>
      </c>
      <c r="F314" s="19">
        <f t="shared" si="46"/>
        <v>5.1950000000000003</v>
      </c>
      <c r="G314" s="19">
        <f t="shared" si="47"/>
        <v>4.6755000000000004</v>
      </c>
    </row>
    <row r="315" spans="1:7" x14ac:dyDescent="0.25">
      <c r="A315" s="23" t="s">
        <v>260</v>
      </c>
      <c r="B315" s="4" t="s">
        <v>382</v>
      </c>
      <c r="C315" s="5">
        <v>10.790000000000001</v>
      </c>
      <c r="D315" s="19">
        <f t="shared" si="44"/>
        <v>8.6320000000000014</v>
      </c>
      <c r="E315" s="19">
        <f t="shared" si="45"/>
        <v>6.4740000000000002</v>
      </c>
      <c r="F315" s="19">
        <f t="shared" si="46"/>
        <v>5.3950000000000005</v>
      </c>
      <c r="G315" s="19">
        <f t="shared" si="47"/>
        <v>4.8555000000000001</v>
      </c>
    </row>
    <row r="316" spans="1:7" x14ac:dyDescent="0.25">
      <c r="A316" s="23" t="s">
        <v>261</v>
      </c>
      <c r="B316" s="4" t="s">
        <v>383</v>
      </c>
      <c r="C316" s="5">
        <v>11.19</v>
      </c>
      <c r="D316" s="19">
        <f t="shared" si="44"/>
        <v>8.952</v>
      </c>
      <c r="E316" s="19">
        <f t="shared" si="45"/>
        <v>6.7139999999999995</v>
      </c>
      <c r="F316" s="19">
        <f t="shared" si="46"/>
        <v>5.5949999999999998</v>
      </c>
      <c r="G316" s="19">
        <f t="shared" si="47"/>
        <v>5.0354999999999999</v>
      </c>
    </row>
    <row r="317" spans="1:7" x14ac:dyDescent="0.25">
      <c r="A317" s="23"/>
      <c r="B317" s="4"/>
      <c r="C317" s="5" t="s">
        <v>725</v>
      </c>
      <c r="D317" s="19" t="str">
        <f t="shared" si="44"/>
        <v/>
      </c>
      <c r="E317" s="19" t="str">
        <f t="shared" si="45"/>
        <v/>
      </c>
      <c r="F317" s="19" t="str">
        <f t="shared" si="46"/>
        <v/>
      </c>
      <c r="G317" s="19" t="str">
        <f t="shared" si="47"/>
        <v/>
      </c>
    </row>
    <row r="318" spans="1:7" x14ac:dyDescent="0.25">
      <c r="A318" s="23" t="s">
        <v>262</v>
      </c>
      <c r="B318" s="4" t="s">
        <v>384</v>
      </c>
      <c r="C318" s="5">
        <v>14.99</v>
      </c>
      <c r="D318" s="19">
        <f t="shared" si="44"/>
        <v>11.992000000000001</v>
      </c>
      <c r="E318" s="19">
        <f t="shared" si="45"/>
        <v>8.9939999999999998</v>
      </c>
      <c r="F318" s="19">
        <f t="shared" si="46"/>
        <v>7.4950000000000001</v>
      </c>
      <c r="G318" s="19">
        <f t="shared" si="47"/>
        <v>6.7454999999999998</v>
      </c>
    </row>
    <row r="319" spans="1:7" x14ac:dyDescent="0.25">
      <c r="A319" s="23" t="s">
        <v>263</v>
      </c>
      <c r="B319" s="4" t="s">
        <v>385</v>
      </c>
      <c r="C319" s="5">
        <v>16.189999999999998</v>
      </c>
      <c r="D319" s="19">
        <f t="shared" si="44"/>
        <v>12.951999999999998</v>
      </c>
      <c r="E319" s="19">
        <f t="shared" si="45"/>
        <v>9.7139999999999986</v>
      </c>
      <c r="F319" s="19">
        <f t="shared" si="46"/>
        <v>8.0949999999999989</v>
      </c>
      <c r="G319" s="19">
        <f t="shared" si="47"/>
        <v>7.285499999999999</v>
      </c>
    </row>
    <row r="320" spans="1:7" x14ac:dyDescent="0.25">
      <c r="A320" s="23" t="s">
        <v>264</v>
      </c>
      <c r="B320" s="4" t="s">
        <v>386</v>
      </c>
      <c r="C320" s="5">
        <v>17.59</v>
      </c>
      <c r="D320" s="19">
        <f t="shared" si="44"/>
        <v>14.072000000000001</v>
      </c>
      <c r="E320" s="19">
        <f t="shared" si="45"/>
        <v>10.554</v>
      </c>
      <c r="F320" s="19">
        <f t="shared" si="46"/>
        <v>8.7949999999999999</v>
      </c>
      <c r="G320" s="19">
        <f t="shared" si="47"/>
        <v>7.9154999999999998</v>
      </c>
    </row>
    <row r="321" spans="1:7" x14ac:dyDescent="0.25">
      <c r="A321" s="23"/>
      <c r="B321" s="4"/>
      <c r="C321" s="5" t="s">
        <v>725</v>
      </c>
      <c r="D321" s="19" t="str">
        <f t="shared" si="44"/>
        <v/>
      </c>
      <c r="E321" s="19" t="str">
        <f t="shared" si="45"/>
        <v/>
      </c>
      <c r="F321" s="19" t="str">
        <f t="shared" si="46"/>
        <v/>
      </c>
      <c r="G321" s="19" t="str">
        <f t="shared" si="47"/>
        <v/>
      </c>
    </row>
    <row r="322" spans="1:7" x14ac:dyDescent="0.25">
      <c r="A322" s="26" t="s">
        <v>690</v>
      </c>
      <c r="B322" s="26"/>
      <c r="C322" s="2" t="s">
        <v>3</v>
      </c>
      <c r="D322" s="19" t="str">
        <f t="shared" si="44"/>
        <v/>
      </c>
      <c r="E322" s="19" t="str">
        <f t="shared" si="45"/>
        <v/>
      </c>
      <c r="F322" s="19" t="str">
        <f t="shared" si="46"/>
        <v/>
      </c>
      <c r="G322" s="19" t="str">
        <f t="shared" si="47"/>
        <v/>
      </c>
    </row>
    <row r="323" spans="1:7" x14ac:dyDescent="0.25">
      <c r="A323" s="23" t="s">
        <v>265</v>
      </c>
      <c r="B323" s="6" t="s">
        <v>387</v>
      </c>
      <c r="C323" s="5">
        <v>5.3900000000000006</v>
      </c>
      <c r="D323" s="19">
        <f t="shared" si="44"/>
        <v>4.3120000000000003</v>
      </c>
      <c r="E323" s="19">
        <f t="shared" si="45"/>
        <v>3.2340000000000004</v>
      </c>
      <c r="F323" s="19">
        <f t="shared" si="46"/>
        <v>2.6950000000000003</v>
      </c>
      <c r="G323" s="19">
        <f t="shared" si="47"/>
        <v>2.4255000000000004</v>
      </c>
    </row>
    <row r="324" spans="1:7" x14ac:dyDescent="0.25">
      <c r="A324" s="23" t="s">
        <v>349</v>
      </c>
      <c r="B324" s="6" t="s">
        <v>388</v>
      </c>
      <c r="C324" s="5">
        <v>5.69</v>
      </c>
      <c r="D324" s="19">
        <f t="shared" si="44"/>
        <v>4.5520000000000005</v>
      </c>
      <c r="E324" s="19">
        <f t="shared" si="45"/>
        <v>3.4140000000000001</v>
      </c>
      <c r="F324" s="19">
        <f t="shared" si="46"/>
        <v>2.8450000000000002</v>
      </c>
      <c r="G324" s="19">
        <f t="shared" si="47"/>
        <v>2.5605000000000002</v>
      </c>
    </row>
    <row r="325" spans="1:7" x14ac:dyDescent="0.25">
      <c r="A325" s="23"/>
      <c r="B325" s="6"/>
      <c r="C325" s="5" t="s">
        <v>725</v>
      </c>
      <c r="D325" s="19" t="str">
        <f t="shared" si="44"/>
        <v/>
      </c>
      <c r="E325" s="19" t="str">
        <f t="shared" si="45"/>
        <v/>
      </c>
      <c r="F325" s="19" t="str">
        <f t="shared" si="46"/>
        <v/>
      </c>
      <c r="G325" s="19" t="str">
        <f t="shared" si="47"/>
        <v/>
      </c>
    </row>
    <row r="326" spans="1:7" x14ac:dyDescent="0.25">
      <c r="A326" s="23" t="s">
        <v>266</v>
      </c>
      <c r="B326" s="6" t="s">
        <v>389</v>
      </c>
      <c r="C326" s="5">
        <v>5.49</v>
      </c>
      <c r="D326" s="19">
        <f t="shared" si="44"/>
        <v>4.3920000000000003</v>
      </c>
      <c r="E326" s="19">
        <f t="shared" si="45"/>
        <v>3.294</v>
      </c>
      <c r="F326" s="19">
        <f t="shared" si="46"/>
        <v>2.7450000000000001</v>
      </c>
      <c r="G326" s="19">
        <f t="shared" si="47"/>
        <v>2.4705000000000004</v>
      </c>
    </row>
    <row r="327" spans="1:7" x14ac:dyDescent="0.25">
      <c r="A327" s="23" t="s">
        <v>267</v>
      </c>
      <c r="B327" s="6" t="s">
        <v>390</v>
      </c>
      <c r="C327" s="5">
        <v>5.79</v>
      </c>
      <c r="D327" s="19">
        <f t="shared" ref="D327:D390" si="48">IFERROR(IF($C327*0.8=0,"",$C327*0.8),"")</f>
        <v>4.6320000000000006</v>
      </c>
      <c r="E327" s="19">
        <f t="shared" ref="E327:E390" si="49">IFERROR(IF($C327*0.6=0,"",$C327*0.6),"")</f>
        <v>3.4739999999999998</v>
      </c>
      <c r="F327" s="19">
        <f t="shared" ref="F327:F390" si="50">IFERROR(IF($C327*0.5=0,"",$C327*0.5),"")</f>
        <v>2.895</v>
      </c>
      <c r="G327" s="19">
        <f t="shared" ref="G327:G390" si="51">IFERROR(IF($C327*0.45=0,"",$C327*0.45),"")</f>
        <v>2.6055000000000001</v>
      </c>
    </row>
    <row r="328" spans="1:7" x14ac:dyDescent="0.25">
      <c r="A328" s="23"/>
      <c r="B328" s="7"/>
      <c r="C328" s="5" t="s">
        <v>725</v>
      </c>
      <c r="D328" s="19" t="str">
        <f t="shared" si="48"/>
        <v/>
      </c>
      <c r="E328" s="19" t="str">
        <f t="shared" si="49"/>
        <v/>
      </c>
      <c r="F328" s="19" t="str">
        <f t="shared" si="50"/>
        <v/>
      </c>
      <c r="G328" s="19" t="str">
        <f t="shared" si="51"/>
        <v/>
      </c>
    </row>
    <row r="329" spans="1:7" x14ac:dyDescent="0.25">
      <c r="A329" s="23" t="s">
        <v>268</v>
      </c>
      <c r="B329" s="6" t="s">
        <v>391</v>
      </c>
      <c r="C329" s="5">
        <v>5.19</v>
      </c>
      <c r="D329" s="19">
        <f t="shared" si="48"/>
        <v>4.1520000000000001</v>
      </c>
      <c r="E329" s="19">
        <f t="shared" si="49"/>
        <v>3.1140000000000003</v>
      </c>
      <c r="F329" s="19">
        <f t="shared" si="50"/>
        <v>2.5950000000000002</v>
      </c>
      <c r="G329" s="19">
        <f t="shared" si="51"/>
        <v>2.3355000000000001</v>
      </c>
    </row>
    <row r="330" spans="1:7" x14ac:dyDescent="0.25">
      <c r="A330" s="23" t="s">
        <v>269</v>
      </c>
      <c r="B330" s="6" t="s">
        <v>392</v>
      </c>
      <c r="C330" s="5">
        <v>5.3900000000000006</v>
      </c>
      <c r="D330" s="19">
        <f t="shared" si="48"/>
        <v>4.3120000000000003</v>
      </c>
      <c r="E330" s="19">
        <f t="shared" si="49"/>
        <v>3.2340000000000004</v>
      </c>
      <c r="F330" s="19">
        <f t="shared" si="50"/>
        <v>2.6950000000000003</v>
      </c>
      <c r="G330" s="19">
        <f t="shared" si="51"/>
        <v>2.4255000000000004</v>
      </c>
    </row>
    <row r="331" spans="1:7" x14ac:dyDescent="0.25">
      <c r="A331" s="23" t="s">
        <v>270</v>
      </c>
      <c r="B331" s="6" t="s">
        <v>393</v>
      </c>
      <c r="C331" s="5">
        <v>5.69</v>
      </c>
      <c r="D331" s="19">
        <f t="shared" si="48"/>
        <v>4.5520000000000005</v>
      </c>
      <c r="E331" s="19">
        <f t="shared" si="49"/>
        <v>3.4140000000000001</v>
      </c>
      <c r="F331" s="19">
        <f t="shared" si="50"/>
        <v>2.8450000000000002</v>
      </c>
      <c r="G331" s="19">
        <f t="shared" si="51"/>
        <v>2.5605000000000002</v>
      </c>
    </row>
    <row r="332" spans="1:7" x14ac:dyDescent="0.25">
      <c r="A332" s="23" t="s">
        <v>271</v>
      </c>
      <c r="B332" s="6" t="s">
        <v>394</v>
      </c>
      <c r="C332" s="5">
        <v>5.99</v>
      </c>
      <c r="D332" s="19">
        <f t="shared" si="48"/>
        <v>4.7920000000000007</v>
      </c>
      <c r="E332" s="19">
        <f t="shared" si="49"/>
        <v>3.5939999999999999</v>
      </c>
      <c r="F332" s="19">
        <f t="shared" si="50"/>
        <v>2.9950000000000001</v>
      </c>
      <c r="G332" s="19">
        <f t="shared" si="51"/>
        <v>2.6955</v>
      </c>
    </row>
    <row r="333" spans="1:7" x14ac:dyDescent="0.25">
      <c r="A333" s="23" t="s">
        <v>272</v>
      </c>
      <c r="B333" s="6" t="s">
        <v>395</v>
      </c>
      <c r="C333" s="5">
        <v>6.29</v>
      </c>
      <c r="D333" s="19">
        <f t="shared" si="48"/>
        <v>5.032</v>
      </c>
      <c r="E333" s="19">
        <f t="shared" si="49"/>
        <v>3.774</v>
      </c>
      <c r="F333" s="19">
        <f t="shared" si="50"/>
        <v>3.145</v>
      </c>
      <c r="G333" s="19">
        <f t="shared" si="51"/>
        <v>2.8305000000000002</v>
      </c>
    </row>
    <row r="334" spans="1:7" x14ac:dyDescent="0.25">
      <c r="A334" s="23"/>
      <c r="B334" s="6"/>
      <c r="C334" s="5" t="s">
        <v>725</v>
      </c>
      <c r="D334" s="19" t="str">
        <f t="shared" si="48"/>
        <v/>
      </c>
      <c r="E334" s="19" t="str">
        <f t="shared" si="49"/>
        <v/>
      </c>
      <c r="F334" s="19" t="str">
        <f t="shared" si="50"/>
        <v/>
      </c>
      <c r="G334" s="19" t="str">
        <f t="shared" si="51"/>
        <v/>
      </c>
    </row>
    <row r="335" spans="1:7" x14ac:dyDescent="0.25">
      <c r="A335" s="23" t="s">
        <v>273</v>
      </c>
      <c r="B335" s="6" t="s">
        <v>396</v>
      </c>
      <c r="C335" s="5">
        <v>5.99</v>
      </c>
      <c r="D335" s="19">
        <f t="shared" si="48"/>
        <v>4.7920000000000007</v>
      </c>
      <c r="E335" s="19">
        <f t="shared" si="49"/>
        <v>3.5939999999999999</v>
      </c>
      <c r="F335" s="19">
        <f t="shared" si="50"/>
        <v>2.9950000000000001</v>
      </c>
      <c r="G335" s="19">
        <f t="shared" si="51"/>
        <v>2.6955</v>
      </c>
    </row>
    <row r="336" spans="1:7" x14ac:dyDescent="0.25">
      <c r="A336" s="23" t="s">
        <v>274</v>
      </c>
      <c r="B336" s="6" t="s">
        <v>397</v>
      </c>
      <c r="C336" s="5">
        <v>6.09</v>
      </c>
      <c r="D336" s="19">
        <f t="shared" si="48"/>
        <v>4.8719999999999999</v>
      </c>
      <c r="E336" s="19">
        <f t="shared" si="49"/>
        <v>3.6539999999999999</v>
      </c>
      <c r="F336" s="19">
        <f t="shared" si="50"/>
        <v>3.0449999999999999</v>
      </c>
      <c r="G336" s="19">
        <f t="shared" si="51"/>
        <v>2.7404999999999999</v>
      </c>
    </row>
    <row r="337" spans="1:7" x14ac:dyDescent="0.25">
      <c r="A337" s="23" t="s">
        <v>275</v>
      </c>
      <c r="B337" s="6" t="s">
        <v>398</v>
      </c>
      <c r="C337" s="5">
        <v>6.59</v>
      </c>
      <c r="D337" s="19">
        <f t="shared" si="48"/>
        <v>5.2720000000000002</v>
      </c>
      <c r="E337" s="19">
        <f t="shared" si="49"/>
        <v>3.9539999999999997</v>
      </c>
      <c r="F337" s="19">
        <f t="shared" si="50"/>
        <v>3.2949999999999999</v>
      </c>
      <c r="G337" s="19">
        <f t="shared" si="51"/>
        <v>2.9655</v>
      </c>
    </row>
    <row r="338" spans="1:7" x14ac:dyDescent="0.25">
      <c r="A338" s="23" t="s">
        <v>276</v>
      </c>
      <c r="B338" s="6" t="s">
        <v>399</v>
      </c>
      <c r="C338" s="5">
        <v>6.79</v>
      </c>
      <c r="D338" s="19">
        <f t="shared" si="48"/>
        <v>5.4320000000000004</v>
      </c>
      <c r="E338" s="19">
        <f t="shared" si="49"/>
        <v>4.0739999999999998</v>
      </c>
      <c r="F338" s="19">
        <f t="shared" si="50"/>
        <v>3.395</v>
      </c>
      <c r="G338" s="19">
        <f t="shared" si="51"/>
        <v>3.0554999999999999</v>
      </c>
    </row>
    <row r="339" spans="1:7" x14ac:dyDescent="0.25">
      <c r="A339" s="23" t="s">
        <v>277</v>
      </c>
      <c r="B339" s="6" t="s">
        <v>400</v>
      </c>
      <c r="C339" s="5">
        <v>6.99</v>
      </c>
      <c r="D339" s="19">
        <f t="shared" si="48"/>
        <v>5.5920000000000005</v>
      </c>
      <c r="E339" s="19">
        <f t="shared" si="49"/>
        <v>4.194</v>
      </c>
      <c r="F339" s="19">
        <f t="shared" si="50"/>
        <v>3.4950000000000001</v>
      </c>
      <c r="G339" s="19">
        <f t="shared" si="51"/>
        <v>3.1455000000000002</v>
      </c>
    </row>
    <row r="340" spans="1:7" x14ac:dyDescent="0.25">
      <c r="A340" s="23" t="s">
        <v>278</v>
      </c>
      <c r="B340" s="6" t="s">
        <v>401</v>
      </c>
      <c r="C340" s="5">
        <v>7.3900000000000006</v>
      </c>
      <c r="D340" s="19">
        <f t="shared" si="48"/>
        <v>5.9120000000000008</v>
      </c>
      <c r="E340" s="19">
        <f t="shared" si="49"/>
        <v>4.4340000000000002</v>
      </c>
      <c r="F340" s="19">
        <f t="shared" si="50"/>
        <v>3.6950000000000003</v>
      </c>
      <c r="G340" s="19">
        <f t="shared" si="51"/>
        <v>3.3255000000000003</v>
      </c>
    </row>
    <row r="341" spans="1:7" x14ac:dyDescent="0.25">
      <c r="A341" s="23" t="s">
        <v>279</v>
      </c>
      <c r="B341" s="6" t="s">
        <v>366</v>
      </c>
      <c r="C341" s="5">
        <v>7.69</v>
      </c>
      <c r="D341" s="19">
        <f t="shared" si="48"/>
        <v>6.152000000000001</v>
      </c>
      <c r="E341" s="19">
        <f t="shared" si="49"/>
        <v>4.6139999999999999</v>
      </c>
      <c r="F341" s="19">
        <f t="shared" si="50"/>
        <v>3.8450000000000002</v>
      </c>
      <c r="G341" s="19">
        <f t="shared" si="51"/>
        <v>3.4605000000000001</v>
      </c>
    </row>
    <row r="342" spans="1:7" x14ac:dyDescent="0.25">
      <c r="A342" s="23"/>
      <c r="B342" s="6"/>
      <c r="C342" s="5" t="s">
        <v>725</v>
      </c>
      <c r="D342" s="19" t="str">
        <f t="shared" si="48"/>
        <v/>
      </c>
      <c r="E342" s="19" t="str">
        <f t="shared" si="49"/>
        <v/>
      </c>
      <c r="F342" s="19" t="str">
        <f t="shared" si="50"/>
        <v/>
      </c>
      <c r="G342" s="19" t="str">
        <f t="shared" si="51"/>
        <v/>
      </c>
    </row>
    <row r="343" spans="1:7" x14ac:dyDescent="0.25">
      <c r="A343" s="23" t="s">
        <v>280</v>
      </c>
      <c r="B343" s="6" t="s">
        <v>367</v>
      </c>
      <c r="C343" s="5">
        <v>7.19</v>
      </c>
      <c r="D343" s="19">
        <f t="shared" si="48"/>
        <v>5.7520000000000007</v>
      </c>
      <c r="E343" s="19">
        <f t="shared" si="49"/>
        <v>4.3140000000000001</v>
      </c>
      <c r="F343" s="19">
        <f t="shared" si="50"/>
        <v>3.5950000000000002</v>
      </c>
      <c r="G343" s="19">
        <f t="shared" si="51"/>
        <v>3.2355</v>
      </c>
    </row>
    <row r="344" spans="1:7" x14ac:dyDescent="0.25">
      <c r="A344" s="23" t="s">
        <v>281</v>
      </c>
      <c r="B344" s="6" t="s">
        <v>368</v>
      </c>
      <c r="C344" s="5">
        <v>7.3900000000000006</v>
      </c>
      <c r="D344" s="19">
        <f t="shared" si="48"/>
        <v>5.9120000000000008</v>
      </c>
      <c r="E344" s="19">
        <f t="shared" si="49"/>
        <v>4.4340000000000002</v>
      </c>
      <c r="F344" s="19">
        <f t="shared" si="50"/>
        <v>3.6950000000000003</v>
      </c>
      <c r="G344" s="19">
        <f t="shared" si="51"/>
        <v>3.3255000000000003</v>
      </c>
    </row>
    <row r="345" spans="1:7" x14ac:dyDescent="0.25">
      <c r="A345" s="23" t="s">
        <v>282</v>
      </c>
      <c r="B345" s="6" t="s">
        <v>369</v>
      </c>
      <c r="C345" s="5">
        <v>7.69</v>
      </c>
      <c r="D345" s="19">
        <f t="shared" si="48"/>
        <v>6.152000000000001</v>
      </c>
      <c r="E345" s="19">
        <f t="shared" si="49"/>
        <v>4.6139999999999999</v>
      </c>
      <c r="F345" s="19">
        <f t="shared" si="50"/>
        <v>3.8450000000000002</v>
      </c>
      <c r="G345" s="19">
        <f t="shared" si="51"/>
        <v>3.4605000000000001</v>
      </c>
    </row>
    <row r="346" spans="1:7" x14ac:dyDescent="0.25">
      <c r="A346" s="23" t="s">
        <v>283</v>
      </c>
      <c r="B346" s="6" t="s">
        <v>370</v>
      </c>
      <c r="C346" s="5">
        <v>8.09</v>
      </c>
      <c r="D346" s="19">
        <f t="shared" si="48"/>
        <v>6.4720000000000004</v>
      </c>
      <c r="E346" s="19">
        <f t="shared" si="49"/>
        <v>4.8540000000000001</v>
      </c>
      <c r="F346" s="19">
        <f t="shared" si="50"/>
        <v>4.0449999999999999</v>
      </c>
      <c r="G346" s="19">
        <f t="shared" si="51"/>
        <v>3.6404999999999998</v>
      </c>
    </row>
    <row r="347" spans="1:7" x14ac:dyDescent="0.25">
      <c r="A347" s="23" t="s">
        <v>284</v>
      </c>
      <c r="B347" s="6" t="s">
        <v>402</v>
      </c>
      <c r="C347" s="5">
        <v>8.59</v>
      </c>
      <c r="D347" s="19">
        <f t="shared" si="48"/>
        <v>6.8719999999999999</v>
      </c>
      <c r="E347" s="19">
        <f t="shared" si="49"/>
        <v>5.1539999999999999</v>
      </c>
      <c r="F347" s="19">
        <f t="shared" si="50"/>
        <v>4.2949999999999999</v>
      </c>
      <c r="G347" s="19">
        <f t="shared" si="51"/>
        <v>3.8654999999999999</v>
      </c>
    </row>
    <row r="348" spans="1:7" x14ac:dyDescent="0.25">
      <c r="A348" s="23"/>
      <c r="B348" s="6"/>
      <c r="C348" s="5" t="s">
        <v>725</v>
      </c>
      <c r="D348" s="19" t="str">
        <f t="shared" si="48"/>
        <v/>
      </c>
      <c r="E348" s="19" t="str">
        <f t="shared" si="49"/>
        <v/>
      </c>
      <c r="F348" s="19" t="str">
        <f t="shared" si="50"/>
        <v/>
      </c>
      <c r="G348" s="19" t="str">
        <f t="shared" si="51"/>
        <v/>
      </c>
    </row>
    <row r="349" spans="1:7" x14ac:dyDescent="0.25">
      <c r="A349" s="23" t="s">
        <v>285</v>
      </c>
      <c r="B349" s="6" t="s">
        <v>403</v>
      </c>
      <c r="C349" s="5">
        <v>8.69</v>
      </c>
      <c r="D349" s="19">
        <f t="shared" si="48"/>
        <v>6.952</v>
      </c>
      <c r="E349" s="19">
        <f t="shared" si="49"/>
        <v>5.2139999999999995</v>
      </c>
      <c r="F349" s="19">
        <f t="shared" si="50"/>
        <v>4.3449999999999998</v>
      </c>
      <c r="G349" s="19">
        <f t="shared" si="51"/>
        <v>3.9104999999999999</v>
      </c>
    </row>
    <row r="350" spans="1:7" x14ac:dyDescent="0.25">
      <c r="A350" s="23" t="s">
        <v>286</v>
      </c>
      <c r="B350" s="6" t="s">
        <v>404</v>
      </c>
      <c r="C350" s="5">
        <v>8.89</v>
      </c>
      <c r="D350" s="19">
        <f t="shared" si="48"/>
        <v>7.112000000000001</v>
      </c>
      <c r="E350" s="19">
        <f t="shared" si="49"/>
        <v>5.3340000000000005</v>
      </c>
      <c r="F350" s="19">
        <f t="shared" si="50"/>
        <v>4.4450000000000003</v>
      </c>
      <c r="G350" s="19">
        <f t="shared" si="51"/>
        <v>4.0005000000000006</v>
      </c>
    </row>
    <row r="351" spans="1:7" x14ac:dyDescent="0.25">
      <c r="A351" s="23" t="s">
        <v>287</v>
      </c>
      <c r="B351" s="6" t="s">
        <v>405</v>
      </c>
      <c r="C351" s="5">
        <v>9.2900000000000009</v>
      </c>
      <c r="D351" s="19">
        <f t="shared" si="48"/>
        <v>7.4320000000000013</v>
      </c>
      <c r="E351" s="19">
        <f t="shared" si="49"/>
        <v>5.5740000000000007</v>
      </c>
      <c r="F351" s="19">
        <f t="shared" si="50"/>
        <v>4.6450000000000005</v>
      </c>
      <c r="G351" s="19">
        <f t="shared" si="51"/>
        <v>4.1805000000000003</v>
      </c>
    </row>
    <row r="352" spans="1:7" x14ac:dyDescent="0.25">
      <c r="A352" s="23" t="s">
        <v>288</v>
      </c>
      <c r="B352" s="6" t="s">
        <v>406</v>
      </c>
      <c r="C352" s="5">
        <v>9.89</v>
      </c>
      <c r="D352" s="19">
        <f t="shared" si="48"/>
        <v>7.9120000000000008</v>
      </c>
      <c r="E352" s="19">
        <f t="shared" si="49"/>
        <v>5.9340000000000002</v>
      </c>
      <c r="F352" s="19">
        <f t="shared" si="50"/>
        <v>4.9450000000000003</v>
      </c>
      <c r="G352" s="19">
        <f t="shared" si="51"/>
        <v>4.4505000000000008</v>
      </c>
    </row>
    <row r="353" spans="1:7" x14ac:dyDescent="0.25">
      <c r="A353" s="23" t="s">
        <v>289</v>
      </c>
      <c r="B353" s="6" t="s">
        <v>407</v>
      </c>
      <c r="C353" s="5">
        <v>10.49</v>
      </c>
      <c r="D353" s="19">
        <f t="shared" si="48"/>
        <v>8.3920000000000012</v>
      </c>
      <c r="E353" s="19">
        <f t="shared" si="49"/>
        <v>6.2939999999999996</v>
      </c>
      <c r="F353" s="19">
        <f t="shared" si="50"/>
        <v>5.2450000000000001</v>
      </c>
      <c r="G353" s="19">
        <f t="shared" si="51"/>
        <v>4.7205000000000004</v>
      </c>
    </row>
    <row r="354" spans="1:7" x14ac:dyDescent="0.25">
      <c r="A354" s="23"/>
      <c r="B354" s="6"/>
      <c r="C354" s="5" t="s">
        <v>725</v>
      </c>
      <c r="D354" s="19" t="str">
        <f t="shared" si="48"/>
        <v/>
      </c>
      <c r="E354" s="19" t="str">
        <f t="shared" si="49"/>
        <v/>
      </c>
      <c r="F354" s="19" t="str">
        <f t="shared" si="50"/>
        <v/>
      </c>
      <c r="G354" s="19" t="str">
        <f t="shared" si="51"/>
        <v/>
      </c>
    </row>
    <row r="355" spans="1:7" x14ac:dyDescent="0.25">
      <c r="A355" s="23" t="s">
        <v>290</v>
      </c>
      <c r="B355" s="6" t="s">
        <v>408</v>
      </c>
      <c r="C355" s="5">
        <v>10.790000000000001</v>
      </c>
      <c r="D355" s="19">
        <f t="shared" si="48"/>
        <v>8.6320000000000014</v>
      </c>
      <c r="E355" s="19">
        <f t="shared" si="49"/>
        <v>6.4740000000000002</v>
      </c>
      <c r="F355" s="19">
        <f t="shared" si="50"/>
        <v>5.3950000000000005</v>
      </c>
      <c r="G355" s="19">
        <f t="shared" si="51"/>
        <v>4.8555000000000001</v>
      </c>
    </row>
    <row r="356" spans="1:7" x14ac:dyDescent="0.25">
      <c r="A356" s="23" t="s">
        <v>291</v>
      </c>
      <c r="B356" s="6" t="s">
        <v>378</v>
      </c>
      <c r="C356" s="5">
        <v>11.19</v>
      </c>
      <c r="D356" s="19">
        <f t="shared" si="48"/>
        <v>8.952</v>
      </c>
      <c r="E356" s="19">
        <f t="shared" si="49"/>
        <v>6.7139999999999995</v>
      </c>
      <c r="F356" s="19">
        <f t="shared" si="50"/>
        <v>5.5949999999999998</v>
      </c>
      <c r="G356" s="19">
        <f t="shared" si="51"/>
        <v>5.0354999999999999</v>
      </c>
    </row>
    <row r="357" spans="1:7" x14ac:dyDescent="0.25">
      <c r="A357" s="23" t="s">
        <v>292</v>
      </c>
      <c r="B357" s="6" t="s">
        <v>379</v>
      </c>
      <c r="C357" s="5">
        <v>11.49</v>
      </c>
      <c r="D357" s="19">
        <f t="shared" si="48"/>
        <v>9.1920000000000002</v>
      </c>
      <c r="E357" s="19">
        <f t="shared" si="49"/>
        <v>6.8940000000000001</v>
      </c>
      <c r="F357" s="19">
        <f t="shared" si="50"/>
        <v>5.7450000000000001</v>
      </c>
      <c r="G357" s="19">
        <f t="shared" si="51"/>
        <v>5.1705000000000005</v>
      </c>
    </row>
    <row r="358" spans="1:7" x14ac:dyDescent="0.25">
      <c r="A358" s="23" t="s">
        <v>293</v>
      </c>
      <c r="B358" s="6" t="s">
        <v>380</v>
      </c>
      <c r="C358" s="5">
        <v>12.99</v>
      </c>
      <c r="D358" s="19">
        <f t="shared" si="48"/>
        <v>10.392000000000001</v>
      </c>
      <c r="E358" s="19">
        <f t="shared" si="49"/>
        <v>7.7939999999999996</v>
      </c>
      <c r="F358" s="19">
        <f t="shared" si="50"/>
        <v>6.4950000000000001</v>
      </c>
      <c r="G358" s="19">
        <f t="shared" si="51"/>
        <v>5.8455000000000004</v>
      </c>
    </row>
    <row r="359" spans="1:7" x14ac:dyDescent="0.25">
      <c r="A359" s="23"/>
      <c r="B359" s="6"/>
      <c r="C359" s="5" t="s">
        <v>725</v>
      </c>
      <c r="D359" s="19" t="str">
        <f t="shared" si="48"/>
        <v/>
      </c>
      <c r="E359" s="19" t="str">
        <f t="shared" si="49"/>
        <v/>
      </c>
      <c r="F359" s="19" t="str">
        <f t="shared" si="50"/>
        <v/>
      </c>
      <c r="G359" s="19" t="str">
        <f t="shared" si="51"/>
        <v/>
      </c>
    </row>
    <row r="360" spans="1:7" x14ac:dyDescent="0.25">
      <c r="A360" s="23" t="s">
        <v>294</v>
      </c>
      <c r="B360" s="6" t="s">
        <v>381</v>
      </c>
      <c r="C360" s="5">
        <v>15.39</v>
      </c>
      <c r="D360" s="19">
        <f t="shared" si="48"/>
        <v>12.312000000000001</v>
      </c>
      <c r="E360" s="19">
        <f t="shared" si="49"/>
        <v>9.234</v>
      </c>
      <c r="F360" s="19">
        <f t="shared" si="50"/>
        <v>7.6950000000000003</v>
      </c>
      <c r="G360" s="19">
        <f t="shared" si="51"/>
        <v>6.9255000000000004</v>
      </c>
    </row>
    <row r="361" spans="1:7" x14ac:dyDescent="0.25">
      <c r="A361" s="23" t="s">
        <v>295</v>
      </c>
      <c r="B361" s="6" t="s">
        <v>382</v>
      </c>
      <c r="C361" s="5">
        <v>15.89</v>
      </c>
      <c r="D361" s="19">
        <f t="shared" si="48"/>
        <v>12.712000000000002</v>
      </c>
      <c r="E361" s="19">
        <f t="shared" si="49"/>
        <v>9.5340000000000007</v>
      </c>
      <c r="F361" s="19">
        <f t="shared" si="50"/>
        <v>7.9450000000000003</v>
      </c>
      <c r="G361" s="19">
        <f t="shared" si="51"/>
        <v>7.1505000000000001</v>
      </c>
    </row>
    <row r="362" spans="1:7" x14ac:dyDescent="0.25">
      <c r="A362" s="23" t="s">
        <v>296</v>
      </c>
      <c r="B362" s="6" t="s">
        <v>383</v>
      </c>
      <c r="C362" s="5">
        <v>16.389999999999997</v>
      </c>
      <c r="D362" s="19">
        <f t="shared" si="48"/>
        <v>13.111999999999998</v>
      </c>
      <c r="E362" s="19">
        <f t="shared" si="49"/>
        <v>9.8339999999999979</v>
      </c>
      <c r="F362" s="19">
        <f t="shared" si="50"/>
        <v>8.1949999999999985</v>
      </c>
      <c r="G362" s="19">
        <f t="shared" si="51"/>
        <v>7.3754999999999988</v>
      </c>
    </row>
    <row r="363" spans="1:7" x14ac:dyDescent="0.25">
      <c r="A363" s="23"/>
      <c r="B363" s="6"/>
      <c r="C363" s="5" t="s">
        <v>725</v>
      </c>
      <c r="D363" s="19" t="str">
        <f t="shared" si="48"/>
        <v/>
      </c>
      <c r="E363" s="19" t="str">
        <f t="shared" si="49"/>
        <v/>
      </c>
      <c r="F363" s="19" t="str">
        <f t="shared" si="50"/>
        <v/>
      </c>
      <c r="G363" s="19" t="str">
        <f t="shared" si="51"/>
        <v/>
      </c>
    </row>
    <row r="364" spans="1:7" x14ac:dyDescent="0.25">
      <c r="A364" s="23" t="s">
        <v>297</v>
      </c>
      <c r="B364" s="6" t="s">
        <v>384</v>
      </c>
      <c r="C364" s="5">
        <v>21.389999999999997</v>
      </c>
      <c r="D364" s="19">
        <f t="shared" si="48"/>
        <v>17.111999999999998</v>
      </c>
      <c r="E364" s="19">
        <f t="shared" si="49"/>
        <v>12.833999999999998</v>
      </c>
      <c r="F364" s="19">
        <f t="shared" si="50"/>
        <v>10.694999999999999</v>
      </c>
      <c r="G364" s="19">
        <f t="shared" si="51"/>
        <v>9.6254999999999988</v>
      </c>
    </row>
    <row r="365" spans="1:7" x14ac:dyDescent="0.25">
      <c r="A365" s="23" t="s">
        <v>298</v>
      </c>
      <c r="B365" s="6" t="s">
        <v>385</v>
      </c>
      <c r="C365" s="5">
        <v>22.889999999999997</v>
      </c>
      <c r="D365" s="19">
        <f t="shared" si="48"/>
        <v>18.311999999999998</v>
      </c>
      <c r="E365" s="19">
        <f t="shared" si="49"/>
        <v>13.733999999999998</v>
      </c>
      <c r="F365" s="19">
        <f t="shared" si="50"/>
        <v>11.444999999999999</v>
      </c>
      <c r="G365" s="19">
        <f t="shared" si="51"/>
        <v>10.3005</v>
      </c>
    </row>
    <row r="366" spans="1:7" x14ac:dyDescent="0.25">
      <c r="A366" s="23" t="s">
        <v>299</v>
      </c>
      <c r="B366" s="6" t="s">
        <v>386</v>
      </c>
      <c r="C366" s="5">
        <v>24.59</v>
      </c>
      <c r="D366" s="19">
        <f t="shared" si="48"/>
        <v>19.672000000000001</v>
      </c>
      <c r="E366" s="19">
        <f t="shared" si="49"/>
        <v>14.754</v>
      </c>
      <c r="F366" s="19">
        <f t="shared" si="50"/>
        <v>12.295</v>
      </c>
      <c r="G366" s="19">
        <f t="shared" si="51"/>
        <v>11.0655</v>
      </c>
    </row>
    <row r="367" spans="1:7" x14ac:dyDescent="0.25">
      <c r="A367" s="23"/>
      <c r="B367" s="6"/>
      <c r="C367" s="5" t="s">
        <v>725</v>
      </c>
      <c r="D367" s="19" t="str">
        <f t="shared" si="48"/>
        <v/>
      </c>
      <c r="E367" s="19" t="str">
        <f t="shared" si="49"/>
        <v/>
      </c>
      <c r="F367" s="19" t="str">
        <f t="shared" si="50"/>
        <v/>
      </c>
      <c r="G367" s="19" t="str">
        <f t="shared" si="51"/>
        <v/>
      </c>
    </row>
    <row r="368" spans="1:7" x14ac:dyDescent="0.25">
      <c r="A368" s="26" t="s">
        <v>56</v>
      </c>
      <c r="B368" s="26"/>
      <c r="C368" s="2" t="s">
        <v>3</v>
      </c>
      <c r="D368" s="19" t="str">
        <f t="shared" si="48"/>
        <v/>
      </c>
      <c r="E368" s="19" t="str">
        <f t="shared" si="49"/>
        <v/>
      </c>
      <c r="F368" s="19" t="str">
        <f t="shared" si="50"/>
        <v/>
      </c>
      <c r="G368" s="19" t="str">
        <f t="shared" si="51"/>
        <v/>
      </c>
    </row>
    <row r="369" spans="1:7" x14ac:dyDescent="0.25">
      <c r="A369" s="23" t="s">
        <v>300</v>
      </c>
      <c r="B369" s="4" t="s">
        <v>409</v>
      </c>
      <c r="C369" s="5">
        <v>6.99</v>
      </c>
      <c r="D369" s="19">
        <f t="shared" si="48"/>
        <v>5.5920000000000005</v>
      </c>
      <c r="E369" s="19">
        <f t="shared" si="49"/>
        <v>4.194</v>
      </c>
      <c r="F369" s="19">
        <f t="shared" si="50"/>
        <v>3.4950000000000001</v>
      </c>
      <c r="G369" s="19">
        <f t="shared" si="51"/>
        <v>3.1455000000000002</v>
      </c>
    </row>
    <row r="370" spans="1:7" x14ac:dyDescent="0.25">
      <c r="A370" s="23" t="s">
        <v>302</v>
      </c>
      <c r="B370" s="4" t="s">
        <v>410</v>
      </c>
      <c r="C370" s="5">
        <v>7.49</v>
      </c>
      <c r="D370" s="19">
        <f t="shared" si="48"/>
        <v>5.9920000000000009</v>
      </c>
      <c r="E370" s="19">
        <f t="shared" si="49"/>
        <v>4.4939999999999998</v>
      </c>
      <c r="F370" s="19">
        <f t="shared" si="50"/>
        <v>3.7450000000000001</v>
      </c>
      <c r="G370" s="19">
        <f t="shared" si="51"/>
        <v>3.3705000000000003</v>
      </c>
    </row>
    <row r="371" spans="1:7" x14ac:dyDescent="0.25">
      <c r="A371" s="23" t="s">
        <v>303</v>
      </c>
      <c r="B371" s="4" t="s">
        <v>411</v>
      </c>
      <c r="C371" s="5">
        <v>8.19</v>
      </c>
      <c r="D371" s="19">
        <f t="shared" si="48"/>
        <v>6.5519999999999996</v>
      </c>
      <c r="E371" s="19">
        <f t="shared" si="49"/>
        <v>4.9139999999999997</v>
      </c>
      <c r="F371" s="19">
        <f t="shared" si="50"/>
        <v>4.0949999999999998</v>
      </c>
      <c r="G371" s="19">
        <f t="shared" si="51"/>
        <v>3.6854999999999998</v>
      </c>
    </row>
    <row r="372" spans="1:7" x14ac:dyDescent="0.25">
      <c r="A372" s="23" t="s">
        <v>304</v>
      </c>
      <c r="B372" s="4" t="s">
        <v>412</v>
      </c>
      <c r="C372" s="5">
        <v>8.89</v>
      </c>
      <c r="D372" s="19">
        <f t="shared" si="48"/>
        <v>7.112000000000001</v>
      </c>
      <c r="E372" s="19">
        <f t="shared" si="49"/>
        <v>5.3340000000000005</v>
      </c>
      <c r="F372" s="19">
        <f t="shared" si="50"/>
        <v>4.4450000000000003</v>
      </c>
      <c r="G372" s="19">
        <f t="shared" si="51"/>
        <v>4.0005000000000006</v>
      </c>
    </row>
    <row r="373" spans="1:7" x14ac:dyDescent="0.25">
      <c r="A373" s="23" t="s">
        <v>301</v>
      </c>
      <c r="B373" s="4" t="s">
        <v>413</v>
      </c>
      <c r="C373" s="8">
        <v>9.7900000000000009</v>
      </c>
      <c r="D373" s="19">
        <f t="shared" si="48"/>
        <v>7.8320000000000007</v>
      </c>
      <c r="E373" s="19">
        <f t="shared" si="49"/>
        <v>5.8740000000000006</v>
      </c>
      <c r="F373" s="19">
        <f t="shared" si="50"/>
        <v>4.8950000000000005</v>
      </c>
      <c r="G373" s="19">
        <f t="shared" si="51"/>
        <v>4.4055000000000009</v>
      </c>
    </row>
    <row r="374" spans="1:7" x14ac:dyDescent="0.25">
      <c r="A374" s="23"/>
      <c r="B374" s="9"/>
      <c r="C374" s="5" t="s">
        <v>725</v>
      </c>
      <c r="D374" s="19" t="str">
        <f t="shared" si="48"/>
        <v/>
      </c>
      <c r="E374" s="19" t="str">
        <f t="shared" si="49"/>
        <v/>
      </c>
      <c r="F374" s="19" t="str">
        <f t="shared" si="50"/>
        <v/>
      </c>
      <c r="G374" s="19" t="str">
        <f t="shared" si="51"/>
        <v/>
      </c>
    </row>
    <row r="375" spans="1:7" x14ac:dyDescent="0.25">
      <c r="A375" s="23" t="s">
        <v>306</v>
      </c>
      <c r="B375" s="4" t="s">
        <v>414</v>
      </c>
      <c r="C375" s="5">
        <v>7.79</v>
      </c>
      <c r="D375" s="19">
        <f t="shared" si="48"/>
        <v>6.2320000000000002</v>
      </c>
      <c r="E375" s="19">
        <f t="shared" si="49"/>
        <v>4.6739999999999995</v>
      </c>
      <c r="F375" s="19">
        <f t="shared" si="50"/>
        <v>3.895</v>
      </c>
      <c r="G375" s="19">
        <f t="shared" si="51"/>
        <v>3.5055000000000001</v>
      </c>
    </row>
    <row r="376" spans="1:7" x14ac:dyDescent="0.25">
      <c r="A376" s="23" t="s">
        <v>307</v>
      </c>
      <c r="B376" s="4" t="s">
        <v>415</v>
      </c>
      <c r="C376" s="5">
        <v>8.49</v>
      </c>
      <c r="D376" s="19">
        <f t="shared" si="48"/>
        <v>6.7920000000000007</v>
      </c>
      <c r="E376" s="19">
        <f t="shared" si="49"/>
        <v>5.0940000000000003</v>
      </c>
      <c r="F376" s="19">
        <f t="shared" si="50"/>
        <v>4.2450000000000001</v>
      </c>
      <c r="G376" s="19">
        <f t="shared" si="51"/>
        <v>3.8205</v>
      </c>
    </row>
    <row r="377" spans="1:7" x14ac:dyDescent="0.25">
      <c r="A377" s="23" t="s">
        <v>308</v>
      </c>
      <c r="B377" s="4" t="s">
        <v>416</v>
      </c>
      <c r="C377" s="5">
        <v>9.19</v>
      </c>
      <c r="D377" s="19">
        <f t="shared" si="48"/>
        <v>7.3520000000000003</v>
      </c>
      <c r="E377" s="19">
        <f t="shared" si="49"/>
        <v>5.5139999999999993</v>
      </c>
      <c r="F377" s="19">
        <f t="shared" si="50"/>
        <v>4.5949999999999998</v>
      </c>
      <c r="G377" s="19">
        <f t="shared" si="51"/>
        <v>4.1354999999999995</v>
      </c>
    </row>
    <row r="378" spans="1:7" x14ac:dyDescent="0.25">
      <c r="A378" s="23" t="s">
        <v>309</v>
      </c>
      <c r="B378" s="4" t="s">
        <v>417</v>
      </c>
      <c r="C378" s="5">
        <v>9.7900000000000009</v>
      </c>
      <c r="D378" s="19">
        <f t="shared" si="48"/>
        <v>7.8320000000000007</v>
      </c>
      <c r="E378" s="19">
        <f t="shared" si="49"/>
        <v>5.8740000000000006</v>
      </c>
      <c r="F378" s="19">
        <f t="shared" si="50"/>
        <v>4.8950000000000005</v>
      </c>
      <c r="G378" s="19">
        <f t="shared" si="51"/>
        <v>4.4055000000000009</v>
      </c>
    </row>
    <row r="379" spans="1:7" x14ac:dyDescent="0.25">
      <c r="A379" s="23" t="s">
        <v>305</v>
      </c>
      <c r="B379" s="4" t="s">
        <v>418</v>
      </c>
      <c r="C379" s="5">
        <v>10.49</v>
      </c>
      <c r="D379" s="19">
        <f t="shared" si="48"/>
        <v>8.3920000000000012</v>
      </c>
      <c r="E379" s="19">
        <f t="shared" si="49"/>
        <v>6.2939999999999996</v>
      </c>
      <c r="F379" s="19">
        <f t="shared" si="50"/>
        <v>5.2450000000000001</v>
      </c>
      <c r="G379" s="19">
        <f t="shared" si="51"/>
        <v>4.7205000000000004</v>
      </c>
    </row>
    <row r="380" spans="1:7" x14ac:dyDescent="0.25">
      <c r="A380" s="23"/>
      <c r="B380" s="4"/>
      <c r="C380" s="5" t="s">
        <v>725</v>
      </c>
      <c r="D380" s="19" t="str">
        <f t="shared" si="48"/>
        <v/>
      </c>
      <c r="E380" s="19" t="str">
        <f t="shared" si="49"/>
        <v/>
      </c>
      <c r="F380" s="19" t="str">
        <f t="shared" si="50"/>
        <v/>
      </c>
      <c r="G380" s="19" t="str">
        <f t="shared" si="51"/>
        <v/>
      </c>
    </row>
    <row r="381" spans="1:7" x14ac:dyDescent="0.25">
      <c r="A381" s="23" t="s">
        <v>311</v>
      </c>
      <c r="B381" s="4" t="s">
        <v>407</v>
      </c>
      <c r="C381" s="5">
        <v>8.69</v>
      </c>
      <c r="D381" s="19">
        <f t="shared" si="48"/>
        <v>6.952</v>
      </c>
      <c r="E381" s="19">
        <f t="shared" si="49"/>
        <v>5.2139999999999995</v>
      </c>
      <c r="F381" s="19">
        <f t="shared" si="50"/>
        <v>4.3449999999999998</v>
      </c>
      <c r="G381" s="19">
        <f t="shared" si="51"/>
        <v>3.9104999999999999</v>
      </c>
    </row>
    <row r="382" spans="1:7" x14ac:dyDescent="0.25">
      <c r="A382" s="23" t="s">
        <v>312</v>
      </c>
      <c r="B382" s="4" t="s">
        <v>419</v>
      </c>
      <c r="C382" s="5">
        <v>9.39</v>
      </c>
      <c r="D382" s="19">
        <f t="shared" si="48"/>
        <v>7.5120000000000005</v>
      </c>
      <c r="E382" s="19">
        <f t="shared" si="49"/>
        <v>5.6340000000000003</v>
      </c>
      <c r="F382" s="19">
        <f t="shared" si="50"/>
        <v>4.6950000000000003</v>
      </c>
      <c r="G382" s="19">
        <f t="shared" si="51"/>
        <v>4.2255000000000003</v>
      </c>
    </row>
    <row r="383" spans="1:7" x14ac:dyDescent="0.25">
      <c r="A383" s="23" t="s">
        <v>313</v>
      </c>
      <c r="B383" s="4" t="s">
        <v>420</v>
      </c>
      <c r="C383" s="5">
        <v>10.19</v>
      </c>
      <c r="D383" s="19">
        <f t="shared" si="48"/>
        <v>8.1519999999999992</v>
      </c>
      <c r="E383" s="19">
        <f t="shared" si="49"/>
        <v>6.1139999999999999</v>
      </c>
      <c r="F383" s="19">
        <f t="shared" si="50"/>
        <v>5.0949999999999998</v>
      </c>
      <c r="G383" s="19">
        <f t="shared" si="51"/>
        <v>4.5854999999999997</v>
      </c>
    </row>
    <row r="384" spans="1:7" x14ac:dyDescent="0.25">
      <c r="A384" s="23" t="s">
        <v>314</v>
      </c>
      <c r="B384" s="4" t="s">
        <v>421</v>
      </c>
      <c r="C384" s="5">
        <v>11.09</v>
      </c>
      <c r="D384" s="19">
        <f t="shared" si="48"/>
        <v>8.8719999999999999</v>
      </c>
      <c r="E384" s="19">
        <f t="shared" si="49"/>
        <v>6.6539999999999999</v>
      </c>
      <c r="F384" s="19">
        <f t="shared" si="50"/>
        <v>5.5449999999999999</v>
      </c>
      <c r="G384" s="19">
        <f t="shared" si="51"/>
        <v>4.9904999999999999</v>
      </c>
    </row>
    <row r="385" spans="1:7" x14ac:dyDescent="0.25">
      <c r="A385" s="23" t="s">
        <v>310</v>
      </c>
      <c r="B385" s="4" t="s">
        <v>422</v>
      </c>
      <c r="C385" s="5">
        <v>11.89</v>
      </c>
      <c r="D385" s="19">
        <f t="shared" si="48"/>
        <v>9.5120000000000005</v>
      </c>
      <c r="E385" s="19">
        <f t="shared" si="49"/>
        <v>7.1340000000000003</v>
      </c>
      <c r="F385" s="19">
        <f t="shared" si="50"/>
        <v>5.9450000000000003</v>
      </c>
      <c r="G385" s="19">
        <f t="shared" si="51"/>
        <v>5.3505000000000003</v>
      </c>
    </row>
    <row r="386" spans="1:7" x14ac:dyDescent="0.25">
      <c r="A386" s="23"/>
      <c r="B386" s="4"/>
      <c r="C386" s="5" t="s">
        <v>725</v>
      </c>
      <c r="D386" s="19" t="str">
        <f t="shared" si="48"/>
        <v/>
      </c>
      <c r="E386" s="19" t="str">
        <f t="shared" si="49"/>
        <v/>
      </c>
      <c r="F386" s="19" t="str">
        <f t="shared" si="50"/>
        <v/>
      </c>
      <c r="G386" s="19" t="str">
        <f t="shared" si="51"/>
        <v/>
      </c>
    </row>
    <row r="387" spans="1:7" x14ac:dyDescent="0.25">
      <c r="A387" s="23" t="s">
        <v>316</v>
      </c>
      <c r="B387" s="4" t="s">
        <v>423</v>
      </c>
      <c r="C387" s="5">
        <v>9.2900000000000009</v>
      </c>
      <c r="D387" s="19">
        <f t="shared" si="48"/>
        <v>7.4320000000000013</v>
      </c>
      <c r="E387" s="19">
        <f t="shared" si="49"/>
        <v>5.5740000000000007</v>
      </c>
      <c r="F387" s="19">
        <f t="shared" si="50"/>
        <v>4.6450000000000005</v>
      </c>
      <c r="G387" s="19">
        <f t="shared" si="51"/>
        <v>4.1805000000000003</v>
      </c>
    </row>
    <row r="388" spans="1:7" x14ac:dyDescent="0.25">
      <c r="A388" s="23" t="s">
        <v>317</v>
      </c>
      <c r="B388" s="4" t="s">
        <v>424</v>
      </c>
      <c r="C388" s="5">
        <v>10.19</v>
      </c>
      <c r="D388" s="19">
        <f t="shared" si="48"/>
        <v>8.1519999999999992</v>
      </c>
      <c r="E388" s="19">
        <f t="shared" si="49"/>
        <v>6.1139999999999999</v>
      </c>
      <c r="F388" s="19">
        <f t="shared" si="50"/>
        <v>5.0949999999999998</v>
      </c>
      <c r="G388" s="19">
        <f t="shared" si="51"/>
        <v>4.5854999999999997</v>
      </c>
    </row>
    <row r="389" spans="1:7" x14ac:dyDescent="0.25">
      <c r="A389" s="23" t="s">
        <v>318</v>
      </c>
      <c r="B389" s="4" t="s">
        <v>425</v>
      </c>
      <c r="C389" s="5">
        <v>10.99</v>
      </c>
      <c r="D389" s="19">
        <f t="shared" si="48"/>
        <v>8.7919999999999998</v>
      </c>
      <c r="E389" s="19">
        <f t="shared" si="49"/>
        <v>6.5940000000000003</v>
      </c>
      <c r="F389" s="19">
        <f t="shared" si="50"/>
        <v>5.4950000000000001</v>
      </c>
      <c r="G389" s="19">
        <f t="shared" si="51"/>
        <v>4.9455</v>
      </c>
    </row>
    <row r="390" spans="1:7" x14ac:dyDescent="0.25">
      <c r="A390" s="23" t="s">
        <v>319</v>
      </c>
      <c r="B390" s="4" t="s">
        <v>426</v>
      </c>
      <c r="C390" s="5">
        <v>11.89</v>
      </c>
      <c r="D390" s="19">
        <f t="shared" si="48"/>
        <v>9.5120000000000005</v>
      </c>
      <c r="E390" s="19">
        <f t="shared" si="49"/>
        <v>7.1340000000000003</v>
      </c>
      <c r="F390" s="19">
        <f t="shared" si="50"/>
        <v>5.9450000000000003</v>
      </c>
      <c r="G390" s="19">
        <f t="shared" si="51"/>
        <v>5.3505000000000003</v>
      </c>
    </row>
    <row r="391" spans="1:7" x14ac:dyDescent="0.25">
      <c r="A391" s="23" t="s">
        <v>315</v>
      </c>
      <c r="B391" s="4" t="s">
        <v>427</v>
      </c>
      <c r="C391" s="5">
        <v>12.790000000000001</v>
      </c>
      <c r="D391" s="19">
        <f t="shared" ref="D391:D445" si="52">IFERROR(IF($C391*0.8=0,"",$C391*0.8),"")</f>
        <v>10.232000000000001</v>
      </c>
      <c r="E391" s="19">
        <f t="shared" ref="E391:E445" si="53">IFERROR(IF($C391*0.6=0,"",$C391*0.6),"")</f>
        <v>7.6740000000000004</v>
      </c>
      <c r="F391" s="19">
        <f t="shared" ref="F391:F442" si="54">IFERROR(IF($C391*0.5=0,"",$C391*0.5),"")</f>
        <v>6.3950000000000005</v>
      </c>
      <c r="G391" s="19">
        <f t="shared" ref="G391:G442" si="55">IFERROR(IF($C391*0.45=0,"",$C391*0.45),"")</f>
        <v>5.7555000000000005</v>
      </c>
    </row>
    <row r="392" spans="1:7" x14ac:dyDescent="0.25">
      <c r="A392" s="23"/>
      <c r="B392" s="4"/>
      <c r="C392" s="5" t="s">
        <v>725</v>
      </c>
      <c r="D392" s="19" t="str">
        <f t="shared" si="52"/>
        <v/>
      </c>
      <c r="E392" s="19" t="str">
        <f t="shared" si="53"/>
        <v/>
      </c>
      <c r="F392" s="19" t="str">
        <f t="shared" si="54"/>
        <v/>
      </c>
      <c r="G392" s="19" t="str">
        <f t="shared" si="55"/>
        <v/>
      </c>
    </row>
    <row r="393" spans="1:7" x14ac:dyDescent="0.25">
      <c r="A393" s="23" t="s">
        <v>321</v>
      </c>
      <c r="B393" s="4" t="s">
        <v>380</v>
      </c>
      <c r="C393" s="5">
        <v>10.290000000000001</v>
      </c>
      <c r="D393" s="19">
        <f t="shared" si="52"/>
        <v>8.2320000000000011</v>
      </c>
      <c r="E393" s="19">
        <f t="shared" si="53"/>
        <v>6.1740000000000004</v>
      </c>
      <c r="F393" s="19">
        <f t="shared" si="54"/>
        <v>5.1450000000000005</v>
      </c>
      <c r="G393" s="19">
        <f t="shared" si="55"/>
        <v>4.6305000000000005</v>
      </c>
    </row>
    <row r="394" spans="1:7" x14ac:dyDescent="0.25">
      <c r="A394" s="23" t="s">
        <v>322</v>
      </c>
      <c r="B394" s="4" t="s">
        <v>428</v>
      </c>
      <c r="C394" s="5">
        <v>11.290000000000001</v>
      </c>
      <c r="D394" s="19">
        <f t="shared" si="52"/>
        <v>9.0320000000000018</v>
      </c>
      <c r="E394" s="19">
        <f t="shared" si="53"/>
        <v>6.774</v>
      </c>
      <c r="F394" s="19">
        <f t="shared" si="54"/>
        <v>5.6450000000000005</v>
      </c>
      <c r="G394" s="19">
        <f t="shared" si="55"/>
        <v>5.0805000000000007</v>
      </c>
    </row>
    <row r="395" spans="1:7" x14ac:dyDescent="0.25">
      <c r="A395" s="23" t="s">
        <v>323</v>
      </c>
      <c r="B395" s="4" t="s">
        <v>429</v>
      </c>
      <c r="C395" s="5">
        <v>12.290000000000001</v>
      </c>
      <c r="D395" s="19">
        <f t="shared" si="52"/>
        <v>9.8320000000000007</v>
      </c>
      <c r="E395" s="19">
        <f t="shared" si="53"/>
        <v>7.3740000000000006</v>
      </c>
      <c r="F395" s="19">
        <f t="shared" si="54"/>
        <v>6.1450000000000005</v>
      </c>
      <c r="G395" s="19">
        <f t="shared" si="55"/>
        <v>5.5305000000000009</v>
      </c>
    </row>
    <row r="396" spans="1:7" x14ac:dyDescent="0.25">
      <c r="A396" s="23" t="s">
        <v>324</v>
      </c>
      <c r="B396" s="4" t="s">
        <v>430</v>
      </c>
      <c r="C396" s="5">
        <v>13.19</v>
      </c>
      <c r="D396" s="19">
        <f t="shared" si="52"/>
        <v>10.552</v>
      </c>
      <c r="E396" s="19">
        <f t="shared" si="53"/>
        <v>7.9139999999999997</v>
      </c>
      <c r="F396" s="19">
        <f t="shared" si="54"/>
        <v>6.5949999999999998</v>
      </c>
      <c r="G396" s="19">
        <f t="shared" si="55"/>
        <v>5.9355000000000002</v>
      </c>
    </row>
    <row r="397" spans="1:7" x14ac:dyDescent="0.25">
      <c r="A397" s="23" t="s">
        <v>320</v>
      </c>
      <c r="B397" s="4" t="s">
        <v>431</v>
      </c>
      <c r="C397" s="5">
        <v>14.290000000000001</v>
      </c>
      <c r="D397" s="19">
        <f t="shared" si="52"/>
        <v>11.432000000000002</v>
      </c>
      <c r="E397" s="19">
        <f t="shared" si="53"/>
        <v>8.5739999999999998</v>
      </c>
      <c r="F397" s="19">
        <f t="shared" si="54"/>
        <v>7.1450000000000005</v>
      </c>
      <c r="G397" s="19">
        <f t="shared" si="55"/>
        <v>6.4305000000000003</v>
      </c>
    </row>
    <row r="398" spans="1:7" x14ac:dyDescent="0.25">
      <c r="A398" s="23"/>
      <c r="B398" s="4"/>
      <c r="C398" s="5" t="s">
        <v>725</v>
      </c>
      <c r="D398" s="19" t="str">
        <f t="shared" si="52"/>
        <v/>
      </c>
      <c r="E398" s="19" t="str">
        <f t="shared" si="53"/>
        <v/>
      </c>
      <c r="F398" s="19" t="str">
        <f t="shared" si="54"/>
        <v/>
      </c>
      <c r="G398" s="19" t="str">
        <f t="shared" si="55"/>
        <v/>
      </c>
    </row>
    <row r="399" spans="1:7" x14ac:dyDescent="0.25">
      <c r="A399" s="23" t="s">
        <v>326</v>
      </c>
      <c r="B399" s="4" t="s">
        <v>432</v>
      </c>
      <c r="C399" s="5">
        <v>12.790000000000001</v>
      </c>
      <c r="D399" s="19">
        <f t="shared" si="52"/>
        <v>10.232000000000001</v>
      </c>
      <c r="E399" s="19">
        <f t="shared" si="53"/>
        <v>7.6740000000000004</v>
      </c>
      <c r="F399" s="19">
        <f t="shared" si="54"/>
        <v>6.3950000000000005</v>
      </c>
      <c r="G399" s="19">
        <f t="shared" si="55"/>
        <v>5.7555000000000005</v>
      </c>
    </row>
    <row r="400" spans="1:7" x14ac:dyDescent="0.25">
      <c r="A400" s="23" t="s">
        <v>327</v>
      </c>
      <c r="B400" s="4" t="s">
        <v>433</v>
      </c>
      <c r="C400" s="5">
        <v>14.19</v>
      </c>
      <c r="D400" s="19">
        <f t="shared" si="52"/>
        <v>11.352</v>
      </c>
      <c r="E400" s="19">
        <f t="shared" si="53"/>
        <v>8.5139999999999993</v>
      </c>
      <c r="F400" s="19">
        <f t="shared" si="54"/>
        <v>7.0949999999999998</v>
      </c>
      <c r="G400" s="19">
        <f t="shared" si="55"/>
        <v>6.3854999999999995</v>
      </c>
    </row>
    <row r="401" spans="1:7" x14ac:dyDescent="0.25">
      <c r="A401" s="23" t="s">
        <v>328</v>
      </c>
      <c r="B401" s="4" t="s">
        <v>434</v>
      </c>
      <c r="C401" s="5">
        <v>15.49</v>
      </c>
      <c r="D401" s="19">
        <f t="shared" si="52"/>
        <v>12.392000000000001</v>
      </c>
      <c r="E401" s="19">
        <f t="shared" si="53"/>
        <v>9.2940000000000005</v>
      </c>
      <c r="F401" s="19">
        <f t="shared" si="54"/>
        <v>7.7450000000000001</v>
      </c>
      <c r="G401" s="19">
        <f t="shared" si="55"/>
        <v>6.9705000000000004</v>
      </c>
    </row>
    <row r="402" spans="1:7" x14ac:dyDescent="0.25">
      <c r="A402" s="23" t="s">
        <v>329</v>
      </c>
      <c r="B402" s="4" t="s">
        <v>435</v>
      </c>
      <c r="C402" s="5">
        <v>16.889999999999997</v>
      </c>
      <c r="D402" s="19">
        <f t="shared" si="52"/>
        <v>13.511999999999999</v>
      </c>
      <c r="E402" s="19">
        <f t="shared" si="53"/>
        <v>10.133999999999999</v>
      </c>
      <c r="F402" s="19">
        <f t="shared" si="54"/>
        <v>8.4449999999999985</v>
      </c>
      <c r="G402" s="19">
        <f t="shared" si="55"/>
        <v>7.6004999999999985</v>
      </c>
    </row>
    <row r="403" spans="1:7" x14ac:dyDescent="0.25">
      <c r="A403" s="23" t="s">
        <v>325</v>
      </c>
      <c r="B403" s="4" t="s">
        <v>436</v>
      </c>
      <c r="C403" s="5">
        <v>18.29</v>
      </c>
      <c r="D403" s="19">
        <f t="shared" si="52"/>
        <v>14.632</v>
      </c>
      <c r="E403" s="19">
        <f t="shared" si="53"/>
        <v>10.973999999999998</v>
      </c>
      <c r="F403" s="19">
        <f t="shared" si="54"/>
        <v>9.1449999999999996</v>
      </c>
      <c r="G403" s="19">
        <f t="shared" si="55"/>
        <v>8.2304999999999993</v>
      </c>
    </row>
    <row r="404" spans="1:7" x14ac:dyDescent="0.25">
      <c r="A404" s="23"/>
      <c r="B404" s="4"/>
      <c r="C404" s="5" t="s">
        <v>725</v>
      </c>
      <c r="D404" s="19" t="str">
        <f t="shared" si="52"/>
        <v/>
      </c>
      <c r="E404" s="19" t="str">
        <f t="shared" si="53"/>
        <v/>
      </c>
      <c r="F404" s="19" t="str">
        <f t="shared" si="54"/>
        <v/>
      </c>
      <c r="G404" s="19" t="str">
        <f t="shared" si="55"/>
        <v/>
      </c>
    </row>
    <row r="405" spans="1:7" x14ac:dyDescent="0.25">
      <c r="A405" s="23" t="s">
        <v>726</v>
      </c>
      <c r="B405" s="4" t="s">
        <v>437</v>
      </c>
      <c r="C405" s="5">
        <v>15.790000000000001</v>
      </c>
      <c r="D405" s="19">
        <f t="shared" si="52"/>
        <v>12.632000000000001</v>
      </c>
      <c r="E405" s="19">
        <f t="shared" si="53"/>
        <v>9.4740000000000002</v>
      </c>
      <c r="F405" s="19">
        <f t="shared" si="54"/>
        <v>7.8950000000000005</v>
      </c>
      <c r="G405" s="19">
        <f t="shared" si="55"/>
        <v>7.1055000000000001</v>
      </c>
    </row>
    <row r="406" spans="1:7" x14ac:dyDescent="0.25">
      <c r="A406" s="23" t="s">
        <v>331</v>
      </c>
      <c r="B406" s="4" t="s">
        <v>438</v>
      </c>
      <c r="C406" s="5">
        <v>17.59</v>
      </c>
      <c r="D406" s="19">
        <f t="shared" si="52"/>
        <v>14.072000000000001</v>
      </c>
      <c r="E406" s="19">
        <f t="shared" si="53"/>
        <v>10.554</v>
      </c>
      <c r="F406" s="19">
        <f t="shared" si="54"/>
        <v>8.7949999999999999</v>
      </c>
      <c r="G406" s="19">
        <f t="shared" si="55"/>
        <v>7.9154999999999998</v>
      </c>
    </row>
    <row r="407" spans="1:7" x14ac:dyDescent="0.25">
      <c r="A407" s="23" t="s">
        <v>332</v>
      </c>
      <c r="B407" s="4" t="s">
        <v>439</v>
      </c>
      <c r="C407" s="5">
        <v>19.489999999999998</v>
      </c>
      <c r="D407" s="19">
        <f t="shared" si="52"/>
        <v>15.591999999999999</v>
      </c>
      <c r="E407" s="19">
        <f t="shared" si="53"/>
        <v>11.693999999999999</v>
      </c>
      <c r="F407" s="19">
        <f t="shared" si="54"/>
        <v>9.7449999999999992</v>
      </c>
      <c r="G407" s="19">
        <f t="shared" si="55"/>
        <v>8.7705000000000002</v>
      </c>
    </row>
    <row r="408" spans="1:7" x14ac:dyDescent="0.25">
      <c r="A408" s="23" t="s">
        <v>333</v>
      </c>
      <c r="B408" s="4" t="s">
        <v>440</v>
      </c>
      <c r="C408" s="5">
        <v>21.389999999999997</v>
      </c>
      <c r="D408" s="19">
        <f t="shared" si="52"/>
        <v>17.111999999999998</v>
      </c>
      <c r="E408" s="19">
        <f t="shared" si="53"/>
        <v>12.833999999999998</v>
      </c>
      <c r="F408" s="19">
        <f t="shared" si="54"/>
        <v>10.694999999999999</v>
      </c>
      <c r="G408" s="19">
        <f t="shared" si="55"/>
        <v>9.6254999999999988</v>
      </c>
    </row>
    <row r="409" spans="1:7" x14ac:dyDescent="0.25">
      <c r="A409" s="23" t="s">
        <v>330</v>
      </c>
      <c r="B409" s="4" t="s">
        <v>441</v>
      </c>
      <c r="C409" s="13">
        <v>23.189999999999998</v>
      </c>
      <c r="D409" s="19">
        <f t="shared" si="52"/>
        <v>18.552</v>
      </c>
      <c r="E409" s="19">
        <f t="shared" si="53"/>
        <v>13.913999999999998</v>
      </c>
      <c r="F409" s="19">
        <f t="shared" si="54"/>
        <v>11.594999999999999</v>
      </c>
      <c r="G409" s="19">
        <f t="shared" si="55"/>
        <v>10.435499999999999</v>
      </c>
    </row>
    <row r="410" spans="1:7" x14ac:dyDescent="0.25">
      <c r="A410" s="23"/>
      <c r="B410" s="23"/>
      <c r="C410" s="14" t="s">
        <v>725</v>
      </c>
      <c r="D410" s="19" t="str">
        <f t="shared" si="52"/>
        <v/>
      </c>
      <c r="E410" s="19" t="str">
        <f t="shared" si="53"/>
        <v/>
      </c>
      <c r="F410" s="19" t="str">
        <f t="shared" si="54"/>
        <v/>
      </c>
      <c r="G410" s="19" t="str">
        <f t="shared" si="55"/>
        <v/>
      </c>
    </row>
    <row r="411" spans="1:7" x14ac:dyDescent="0.25">
      <c r="A411" s="28" t="s">
        <v>712</v>
      </c>
      <c r="B411" s="28"/>
      <c r="C411" s="2" t="s">
        <v>3</v>
      </c>
      <c r="D411" s="19" t="str">
        <f t="shared" si="52"/>
        <v/>
      </c>
      <c r="E411" s="19" t="str">
        <f t="shared" si="53"/>
        <v/>
      </c>
      <c r="F411" s="19" t="str">
        <f t="shared" si="54"/>
        <v/>
      </c>
      <c r="G411" s="19" t="str">
        <f t="shared" si="55"/>
        <v/>
      </c>
    </row>
    <row r="412" spans="1:7" x14ac:dyDescent="0.25">
      <c r="A412" s="23" t="s">
        <v>442</v>
      </c>
      <c r="B412" s="12" t="s">
        <v>480</v>
      </c>
      <c r="C412" s="14">
        <v>8.69</v>
      </c>
      <c r="D412" s="19">
        <f t="shared" si="52"/>
        <v>6.952</v>
      </c>
      <c r="E412" s="19">
        <f t="shared" si="53"/>
        <v>5.2139999999999995</v>
      </c>
      <c r="F412" s="19">
        <f t="shared" si="54"/>
        <v>4.3449999999999998</v>
      </c>
      <c r="G412" s="19">
        <f t="shared" si="55"/>
        <v>3.9104999999999999</v>
      </c>
    </row>
    <row r="413" spans="1:7" x14ac:dyDescent="0.25">
      <c r="A413" s="23" t="s">
        <v>443</v>
      </c>
      <c r="B413" s="12" t="s">
        <v>479</v>
      </c>
      <c r="C413" s="14">
        <v>8.7900000000000009</v>
      </c>
      <c r="D413" s="19">
        <f t="shared" si="52"/>
        <v>7.0320000000000009</v>
      </c>
      <c r="E413" s="19">
        <f t="shared" si="53"/>
        <v>5.274</v>
      </c>
      <c r="F413" s="19">
        <f t="shared" si="54"/>
        <v>4.3950000000000005</v>
      </c>
      <c r="G413" s="19">
        <f t="shared" si="55"/>
        <v>3.9555000000000007</v>
      </c>
    </row>
    <row r="414" spans="1:7" x14ac:dyDescent="0.25">
      <c r="A414" s="23" t="s">
        <v>444</v>
      </c>
      <c r="B414" s="12" t="s">
        <v>478</v>
      </c>
      <c r="C414" s="14">
        <v>8.89</v>
      </c>
      <c r="D414" s="19">
        <f t="shared" si="52"/>
        <v>7.112000000000001</v>
      </c>
      <c r="E414" s="19">
        <f t="shared" si="53"/>
        <v>5.3340000000000005</v>
      </c>
      <c r="F414" s="19">
        <f t="shared" si="54"/>
        <v>4.4450000000000003</v>
      </c>
      <c r="G414" s="19">
        <f t="shared" si="55"/>
        <v>4.0005000000000006</v>
      </c>
    </row>
    <row r="415" spans="1:7" x14ac:dyDescent="0.25">
      <c r="A415" s="23" t="s">
        <v>445</v>
      </c>
      <c r="B415" s="12" t="s">
        <v>477</v>
      </c>
      <c r="C415" s="14">
        <v>8.89</v>
      </c>
      <c r="D415" s="19">
        <f t="shared" si="52"/>
        <v>7.112000000000001</v>
      </c>
      <c r="E415" s="19">
        <f t="shared" si="53"/>
        <v>5.3340000000000005</v>
      </c>
      <c r="F415" s="19">
        <f t="shared" si="54"/>
        <v>4.4450000000000003</v>
      </c>
      <c r="G415" s="19">
        <f t="shared" si="55"/>
        <v>4.0005000000000006</v>
      </c>
    </row>
    <row r="416" spans="1:7" x14ac:dyDescent="0.25">
      <c r="A416" s="23" t="s">
        <v>446</v>
      </c>
      <c r="B416" s="12" t="s">
        <v>476</v>
      </c>
      <c r="C416" s="14">
        <v>8.99</v>
      </c>
      <c r="D416" s="19">
        <f t="shared" si="52"/>
        <v>7.1920000000000002</v>
      </c>
      <c r="E416" s="19">
        <f t="shared" si="53"/>
        <v>5.3940000000000001</v>
      </c>
      <c r="F416" s="19">
        <f t="shared" si="54"/>
        <v>4.4950000000000001</v>
      </c>
      <c r="G416" s="19">
        <f t="shared" si="55"/>
        <v>4.0455000000000005</v>
      </c>
    </row>
    <row r="417" spans="1:7" x14ac:dyDescent="0.25">
      <c r="A417" s="23" t="s">
        <v>447</v>
      </c>
      <c r="B417" s="12" t="s">
        <v>475</v>
      </c>
      <c r="C417" s="14">
        <v>9.09</v>
      </c>
      <c r="D417" s="19">
        <f t="shared" si="52"/>
        <v>7.2720000000000002</v>
      </c>
      <c r="E417" s="19">
        <f t="shared" si="53"/>
        <v>5.4539999999999997</v>
      </c>
      <c r="F417" s="19">
        <f t="shared" si="54"/>
        <v>4.5449999999999999</v>
      </c>
      <c r="G417" s="19">
        <f t="shared" si="55"/>
        <v>4.0905000000000005</v>
      </c>
    </row>
    <row r="418" spans="1:7" x14ac:dyDescent="0.25">
      <c r="A418" s="23" t="s">
        <v>448</v>
      </c>
      <c r="B418" s="12" t="s">
        <v>474</v>
      </c>
      <c r="C418" s="14">
        <v>10.290000000000001</v>
      </c>
      <c r="D418" s="19">
        <f t="shared" si="52"/>
        <v>8.2320000000000011</v>
      </c>
      <c r="E418" s="19">
        <f t="shared" si="53"/>
        <v>6.1740000000000004</v>
      </c>
      <c r="F418" s="19">
        <f t="shared" si="54"/>
        <v>5.1450000000000005</v>
      </c>
      <c r="G418" s="19">
        <f t="shared" si="55"/>
        <v>4.6305000000000005</v>
      </c>
    </row>
    <row r="419" spans="1:7" x14ac:dyDescent="0.25">
      <c r="A419" s="23" t="s">
        <v>449</v>
      </c>
      <c r="B419" s="12" t="s">
        <v>473</v>
      </c>
      <c r="C419" s="14">
        <v>14.290000000000001</v>
      </c>
      <c r="D419" s="19">
        <f t="shared" si="52"/>
        <v>11.432000000000002</v>
      </c>
      <c r="E419" s="19">
        <f t="shared" si="53"/>
        <v>8.5739999999999998</v>
      </c>
      <c r="F419" s="19">
        <f t="shared" si="54"/>
        <v>7.1450000000000005</v>
      </c>
      <c r="G419" s="19">
        <f t="shared" si="55"/>
        <v>6.4305000000000003</v>
      </c>
    </row>
    <row r="420" spans="1:7" x14ac:dyDescent="0.25">
      <c r="A420" s="23" t="s">
        <v>450</v>
      </c>
      <c r="B420" s="12" t="s">
        <v>472</v>
      </c>
      <c r="C420" s="14">
        <v>14.99</v>
      </c>
      <c r="D420" s="19">
        <f t="shared" si="52"/>
        <v>11.992000000000001</v>
      </c>
      <c r="E420" s="19">
        <f t="shared" si="53"/>
        <v>8.9939999999999998</v>
      </c>
      <c r="F420" s="19">
        <f t="shared" si="54"/>
        <v>7.4950000000000001</v>
      </c>
      <c r="G420" s="19">
        <f t="shared" si="55"/>
        <v>6.7454999999999998</v>
      </c>
    </row>
    <row r="421" spans="1:7" x14ac:dyDescent="0.25">
      <c r="A421" s="23" t="s">
        <v>451</v>
      </c>
      <c r="B421" s="12" t="s">
        <v>471</v>
      </c>
      <c r="C421" s="14">
        <v>36.89</v>
      </c>
      <c r="D421" s="19">
        <f t="shared" si="52"/>
        <v>29.512</v>
      </c>
      <c r="E421" s="19">
        <f t="shared" si="53"/>
        <v>22.134</v>
      </c>
      <c r="F421" s="19">
        <f t="shared" si="54"/>
        <v>18.445</v>
      </c>
      <c r="G421" s="19">
        <f t="shared" si="55"/>
        <v>16.6005</v>
      </c>
    </row>
    <row r="422" spans="1:7" x14ac:dyDescent="0.25">
      <c r="A422" s="23" t="s">
        <v>452</v>
      </c>
      <c r="B422" s="12" t="s">
        <v>470</v>
      </c>
      <c r="C422" s="14">
        <v>31.29</v>
      </c>
      <c r="D422" s="19">
        <f t="shared" si="52"/>
        <v>25.032</v>
      </c>
      <c r="E422" s="19">
        <f t="shared" si="53"/>
        <v>18.773999999999997</v>
      </c>
      <c r="F422" s="19">
        <f t="shared" si="54"/>
        <v>15.645</v>
      </c>
      <c r="G422" s="19">
        <f t="shared" si="55"/>
        <v>14.080500000000001</v>
      </c>
    </row>
    <row r="423" spans="1:7" x14ac:dyDescent="0.25">
      <c r="A423" s="23" t="s">
        <v>453</v>
      </c>
      <c r="B423" s="12" t="s">
        <v>469</v>
      </c>
      <c r="C423" s="14">
        <v>31.29</v>
      </c>
      <c r="D423" s="19">
        <f t="shared" si="52"/>
        <v>25.032</v>
      </c>
      <c r="E423" s="19">
        <f t="shared" si="53"/>
        <v>18.773999999999997</v>
      </c>
      <c r="F423" s="19">
        <f t="shared" si="54"/>
        <v>15.645</v>
      </c>
      <c r="G423" s="19">
        <f t="shared" si="55"/>
        <v>14.080500000000001</v>
      </c>
    </row>
    <row r="424" spans="1:7" x14ac:dyDescent="0.25">
      <c r="A424" s="23" t="s">
        <v>454</v>
      </c>
      <c r="B424" s="12" t="s">
        <v>468</v>
      </c>
      <c r="C424" s="14">
        <v>39.89</v>
      </c>
      <c r="D424" s="19">
        <f t="shared" si="52"/>
        <v>31.912000000000003</v>
      </c>
      <c r="E424" s="19">
        <f t="shared" si="53"/>
        <v>23.934000000000001</v>
      </c>
      <c r="F424" s="19">
        <f t="shared" si="54"/>
        <v>19.945</v>
      </c>
      <c r="G424" s="19">
        <f t="shared" si="55"/>
        <v>17.950500000000002</v>
      </c>
    </row>
    <row r="425" spans="1:7" x14ac:dyDescent="0.25">
      <c r="A425" s="23"/>
      <c r="B425" s="23"/>
      <c r="C425" s="14" t="s">
        <v>725</v>
      </c>
      <c r="D425" s="19"/>
      <c r="E425" s="19"/>
      <c r="F425" s="19"/>
      <c r="G425" s="19"/>
    </row>
    <row r="426" spans="1:7" x14ac:dyDescent="0.25">
      <c r="A426" s="28" t="s">
        <v>713</v>
      </c>
      <c r="B426" s="28"/>
      <c r="C426" s="2" t="s">
        <v>3</v>
      </c>
      <c r="D426" s="19" t="str">
        <f t="shared" si="52"/>
        <v/>
      </c>
      <c r="E426" s="19" t="str">
        <f t="shared" si="53"/>
        <v/>
      </c>
      <c r="F426" s="19" t="str">
        <f t="shared" si="54"/>
        <v/>
      </c>
      <c r="G426" s="19" t="str">
        <f t="shared" si="55"/>
        <v/>
      </c>
    </row>
    <row r="427" spans="1:7" x14ac:dyDescent="0.25">
      <c r="A427" s="23" t="s">
        <v>455</v>
      </c>
      <c r="B427" s="12" t="s">
        <v>462</v>
      </c>
      <c r="C427" s="14">
        <v>8.7900000000000009</v>
      </c>
      <c r="D427" s="19">
        <f t="shared" si="52"/>
        <v>7.0320000000000009</v>
      </c>
      <c r="E427" s="19">
        <f t="shared" si="53"/>
        <v>5.274</v>
      </c>
      <c r="F427" s="19">
        <f t="shared" si="54"/>
        <v>4.3950000000000005</v>
      </c>
      <c r="G427" s="19">
        <f t="shared" si="55"/>
        <v>3.9555000000000007</v>
      </c>
    </row>
    <row r="428" spans="1:7" x14ac:dyDescent="0.25">
      <c r="A428" s="23" t="s">
        <v>456</v>
      </c>
      <c r="B428" s="12" t="s">
        <v>463</v>
      </c>
      <c r="C428" s="14">
        <v>8.89</v>
      </c>
      <c r="D428" s="19">
        <f t="shared" si="52"/>
        <v>7.112000000000001</v>
      </c>
      <c r="E428" s="19">
        <f t="shared" si="53"/>
        <v>5.3340000000000005</v>
      </c>
      <c r="F428" s="19">
        <f t="shared" si="54"/>
        <v>4.4450000000000003</v>
      </c>
      <c r="G428" s="19">
        <f t="shared" si="55"/>
        <v>4.0005000000000006</v>
      </c>
    </row>
    <row r="429" spans="1:7" x14ac:dyDescent="0.25">
      <c r="A429" s="23" t="s">
        <v>457</v>
      </c>
      <c r="B429" s="12" t="s">
        <v>464</v>
      </c>
      <c r="C429" s="14">
        <v>9.09</v>
      </c>
      <c r="D429" s="19">
        <f t="shared" si="52"/>
        <v>7.2720000000000002</v>
      </c>
      <c r="E429" s="19">
        <f t="shared" si="53"/>
        <v>5.4539999999999997</v>
      </c>
      <c r="F429" s="19">
        <f t="shared" si="54"/>
        <v>4.5449999999999999</v>
      </c>
      <c r="G429" s="19">
        <f t="shared" si="55"/>
        <v>4.0905000000000005</v>
      </c>
    </row>
    <row r="430" spans="1:7" x14ac:dyDescent="0.25">
      <c r="A430" s="23" t="s">
        <v>458</v>
      </c>
      <c r="B430" s="12" t="s">
        <v>465</v>
      </c>
      <c r="C430" s="14">
        <v>10.290000000000001</v>
      </c>
      <c r="D430" s="19">
        <f t="shared" si="52"/>
        <v>8.2320000000000011</v>
      </c>
      <c r="E430" s="19">
        <f t="shared" si="53"/>
        <v>6.1740000000000004</v>
      </c>
      <c r="F430" s="19">
        <f t="shared" si="54"/>
        <v>5.1450000000000005</v>
      </c>
      <c r="G430" s="19">
        <f t="shared" si="55"/>
        <v>4.6305000000000005</v>
      </c>
    </row>
    <row r="431" spans="1:7" x14ac:dyDescent="0.25">
      <c r="A431" s="23" t="s">
        <v>459</v>
      </c>
      <c r="B431" s="12" t="s">
        <v>466</v>
      </c>
      <c r="C431" s="14">
        <v>14.99</v>
      </c>
      <c r="D431" s="19">
        <f t="shared" si="52"/>
        <v>11.992000000000001</v>
      </c>
      <c r="E431" s="19">
        <f t="shared" si="53"/>
        <v>8.9939999999999998</v>
      </c>
      <c r="F431" s="19">
        <f t="shared" si="54"/>
        <v>7.4950000000000001</v>
      </c>
      <c r="G431" s="19">
        <f t="shared" si="55"/>
        <v>6.7454999999999998</v>
      </c>
    </row>
    <row r="432" spans="1:7" x14ac:dyDescent="0.25">
      <c r="A432" s="23" t="s">
        <v>460</v>
      </c>
      <c r="B432" s="12" t="s">
        <v>467</v>
      </c>
      <c r="C432" s="14">
        <v>31.29</v>
      </c>
      <c r="D432" s="19">
        <f t="shared" si="52"/>
        <v>25.032</v>
      </c>
      <c r="E432" s="19">
        <f t="shared" si="53"/>
        <v>18.773999999999997</v>
      </c>
      <c r="F432" s="19">
        <f t="shared" si="54"/>
        <v>15.645</v>
      </c>
      <c r="G432" s="19">
        <f t="shared" si="55"/>
        <v>14.080500000000001</v>
      </c>
    </row>
    <row r="433" spans="1:7" x14ac:dyDescent="0.25">
      <c r="A433" s="23" t="s">
        <v>461</v>
      </c>
      <c r="B433" s="12" t="s">
        <v>727</v>
      </c>
      <c r="C433" s="14">
        <v>47.39</v>
      </c>
      <c r="D433" s="19">
        <f t="shared" si="52"/>
        <v>37.911999999999999</v>
      </c>
      <c r="E433" s="19">
        <f t="shared" si="53"/>
        <v>28.434000000000001</v>
      </c>
      <c r="F433" s="19">
        <f t="shared" si="54"/>
        <v>23.695</v>
      </c>
      <c r="G433" s="19">
        <f t="shared" si="55"/>
        <v>21.325500000000002</v>
      </c>
    </row>
    <row r="434" spans="1:7" x14ac:dyDescent="0.25">
      <c r="A434" s="23"/>
      <c r="B434" s="23"/>
      <c r="C434" s="14" t="s">
        <v>725</v>
      </c>
      <c r="D434" s="19" t="str">
        <f t="shared" si="52"/>
        <v/>
      </c>
      <c r="E434" s="19" t="str">
        <f t="shared" si="53"/>
        <v/>
      </c>
      <c r="F434" s="19" t="str">
        <f t="shared" si="54"/>
        <v/>
      </c>
      <c r="G434" s="19" t="str">
        <f t="shared" si="55"/>
        <v/>
      </c>
    </row>
    <row r="435" spans="1:7" x14ac:dyDescent="0.25">
      <c r="A435" s="28" t="s">
        <v>714</v>
      </c>
      <c r="B435" s="28"/>
      <c r="C435" s="2" t="s">
        <v>3</v>
      </c>
      <c r="D435" s="19" t="str">
        <f t="shared" si="52"/>
        <v/>
      </c>
      <c r="E435" s="19" t="str">
        <f t="shared" si="53"/>
        <v/>
      </c>
      <c r="F435" s="19" t="str">
        <f t="shared" si="54"/>
        <v/>
      </c>
      <c r="G435" s="19" t="str">
        <f t="shared" si="55"/>
        <v/>
      </c>
    </row>
    <row r="436" spans="1:7" x14ac:dyDescent="0.25">
      <c r="A436" s="23" t="s">
        <v>502</v>
      </c>
      <c r="B436" s="12" t="s">
        <v>503</v>
      </c>
      <c r="C436" s="14">
        <v>8.7900000000000009</v>
      </c>
      <c r="D436" s="19">
        <f t="shared" si="52"/>
        <v>7.0320000000000009</v>
      </c>
      <c r="E436" s="19">
        <f t="shared" si="53"/>
        <v>5.274</v>
      </c>
      <c r="F436" s="19">
        <f t="shared" si="54"/>
        <v>4.3950000000000005</v>
      </c>
      <c r="G436" s="19">
        <f t="shared" si="55"/>
        <v>3.9555000000000007</v>
      </c>
    </row>
    <row r="437" spans="1:7" x14ac:dyDescent="0.25">
      <c r="A437" s="23"/>
      <c r="B437" s="23"/>
      <c r="C437" t="s">
        <v>725</v>
      </c>
      <c r="D437" s="19" t="str">
        <f t="shared" si="52"/>
        <v/>
      </c>
      <c r="E437" s="19" t="str">
        <f t="shared" si="53"/>
        <v/>
      </c>
      <c r="F437" s="19" t="str">
        <f t="shared" si="54"/>
        <v/>
      </c>
      <c r="G437" s="19" t="str">
        <f t="shared" si="55"/>
        <v/>
      </c>
    </row>
    <row r="438" spans="1:7" x14ac:dyDescent="0.25">
      <c r="A438" s="26" t="s">
        <v>22</v>
      </c>
      <c r="B438" s="26"/>
      <c r="C438" s="2" t="s">
        <v>3</v>
      </c>
      <c r="D438" s="19" t="str">
        <f t="shared" si="52"/>
        <v/>
      </c>
      <c r="E438" s="19" t="str">
        <f t="shared" si="53"/>
        <v/>
      </c>
      <c r="F438" s="19" t="str">
        <f t="shared" si="54"/>
        <v/>
      </c>
      <c r="G438" s="19" t="str">
        <f t="shared" si="55"/>
        <v/>
      </c>
    </row>
    <row r="439" spans="1:7" x14ac:dyDescent="0.25">
      <c r="A439" s="23" t="s">
        <v>134</v>
      </c>
      <c r="B439" s="23" t="s">
        <v>23</v>
      </c>
      <c r="C439">
        <v>34.950000000000003</v>
      </c>
      <c r="D439" s="19">
        <f t="shared" si="52"/>
        <v>27.960000000000004</v>
      </c>
      <c r="E439" s="19">
        <f t="shared" si="53"/>
        <v>20.970000000000002</v>
      </c>
      <c r="F439" s="19">
        <f t="shared" si="54"/>
        <v>17.475000000000001</v>
      </c>
      <c r="G439" s="19">
        <f t="shared" si="55"/>
        <v>15.727500000000001</v>
      </c>
    </row>
    <row r="440" spans="1:7" x14ac:dyDescent="0.25">
      <c r="A440" s="23" t="s">
        <v>135</v>
      </c>
      <c r="B440" s="23" t="s">
        <v>52</v>
      </c>
      <c r="C440">
        <v>49.95</v>
      </c>
      <c r="D440" s="19">
        <f t="shared" si="52"/>
        <v>39.960000000000008</v>
      </c>
      <c r="E440" s="19">
        <f t="shared" si="53"/>
        <v>29.97</v>
      </c>
      <c r="F440" s="19">
        <f t="shared" si="54"/>
        <v>24.975000000000001</v>
      </c>
      <c r="G440" s="19">
        <f t="shared" si="55"/>
        <v>22.477500000000003</v>
      </c>
    </row>
    <row r="441" spans="1:7" x14ac:dyDescent="0.25">
      <c r="A441" s="23"/>
      <c r="B441" s="23"/>
      <c r="C441" t="s">
        <v>725</v>
      </c>
      <c r="D441" s="19" t="str">
        <f t="shared" si="52"/>
        <v/>
      </c>
      <c r="E441" s="19" t="str">
        <f t="shared" si="53"/>
        <v/>
      </c>
      <c r="F441" s="19" t="str">
        <f t="shared" si="54"/>
        <v/>
      </c>
      <c r="G441" s="19" t="str">
        <f t="shared" si="55"/>
        <v/>
      </c>
    </row>
    <row r="442" spans="1:7" x14ac:dyDescent="0.25">
      <c r="A442" s="26" t="s">
        <v>662</v>
      </c>
      <c r="B442" s="26"/>
      <c r="C442" s="2" t="s">
        <v>3</v>
      </c>
      <c r="D442" s="19" t="str">
        <f t="shared" si="52"/>
        <v/>
      </c>
      <c r="E442" s="19" t="str">
        <f t="shared" si="53"/>
        <v/>
      </c>
      <c r="F442" s="19" t="str">
        <f t="shared" si="54"/>
        <v/>
      </c>
      <c r="G442" s="19" t="str">
        <f t="shared" si="55"/>
        <v/>
      </c>
    </row>
    <row r="443" spans="1:7" x14ac:dyDescent="0.25">
      <c r="A443" s="23" t="s">
        <v>499</v>
      </c>
      <c r="B443" s="9" t="s">
        <v>500</v>
      </c>
      <c r="C443" s="21">
        <v>20.95</v>
      </c>
      <c r="D443" s="19">
        <f t="shared" si="52"/>
        <v>16.760000000000002</v>
      </c>
      <c r="E443" s="19">
        <f t="shared" si="53"/>
        <v>12.569999999999999</v>
      </c>
      <c r="F443" s="19" t="s">
        <v>702</v>
      </c>
      <c r="G443" s="19" t="s">
        <v>702</v>
      </c>
    </row>
    <row r="444" spans="1:7" x14ac:dyDescent="0.25">
      <c r="A444" s="23" t="s">
        <v>666</v>
      </c>
      <c r="B444" s="9" t="s">
        <v>501</v>
      </c>
      <c r="C444" s="21">
        <v>22.95</v>
      </c>
      <c r="D444" s="19">
        <f t="shared" si="52"/>
        <v>18.36</v>
      </c>
      <c r="E444" s="19">
        <f t="shared" si="53"/>
        <v>13.77</v>
      </c>
      <c r="F444" s="19" t="s">
        <v>702</v>
      </c>
      <c r="G444" s="19" t="s">
        <v>702</v>
      </c>
    </row>
    <row r="445" spans="1:7" x14ac:dyDescent="0.25">
      <c r="A445" s="23" t="s">
        <v>722</v>
      </c>
      <c r="B445" s="9" t="s">
        <v>723</v>
      </c>
      <c r="C445" s="21">
        <v>12.95</v>
      </c>
      <c r="D445" s="19">
        <f t="shared" si="52"/>
        <v>10.36</v>
      </c>
      <c r="E445" s="19">
        <f t="shared" si="53"/>
        <v>7.77</v>
      </c>
      <c r="F445" s="17" t="s">
        <v>702</v>
      </c>
      <c r="G445" s="17" t="s">
        <v>702</v>
      </c>
    </row>
    <row r="446" spans="1:7" x14ac:dyDescent="0.25">
      <c r="C446" s="21"/>
      <c r="D446" s="21"/>
      <c r="E446" s="22"/>
    </row>
    <row r="447" spans="1:7" x14ac:dyDescent="0.25">
      <c r="C447" s="21"/>
      <c r="D447" s="21"/>
      <c r="E447" s="22"/>
    </row>
    <row r="448" spans="1:7" x14ac:dyDescent="0.25">
      <c r="C448" s="21"/>
      <c r="D448" s="21"/>
      <c r="E448" s="22"/>
    </row>
    <row r="449" spans="3:5" x14ac:dyDescent="0.25">
      <c r="C449" s="21"/>
      <c r="D449" s="21"/>
      <c r="E449" s="22"/>
    </row>
    <row r="450" spans="3:5" x14ac:dyDescent="0.25">
      <c r="C450" s="21"/>
      <c r="D450" s="21"/>
      <c r="E450" s="22"/>
    </row>
    <row r="451" spans="3:5" x14ac:dyDescent="0.25">
      <c r="C451" s="21"/>
      <c r="D451" s="21"/>
      <c r="E451" s="22"/>
    </row>
    <row r="452" spans="3:5" x14ac:dyDescent="0.25">
      <c r="C452" s="21"/>
      <c r="D452" s="21"/>
      <c r="E452" s="22"/>
    </row>
    <row r="453" spans="3:5" x14ac:dyDescent="0.25">
      <c r="C453" s="21"/>
      <c r="D453" s="21"/>
      <c r="E453" s="22"/>
    </row>
    <row r="454" spans="3:5" x14ac:dyDescent="0.25">
      <c r="C454" s="21"/>
      <c r="D454" s="21"/>
      <c r="E454" s="22"/>
    </row>
    <row r="455" spans="3:5" x14ac:dyDescent="0.25">
      <c r="C455" s="21"/>
      <c r="D455" s="21"/>
      <c r="E455" s="22"/>
    </row>
    <row r="456" spans="3:5" x14ac:dyDescent="0.25">
      <c r="C456" s="21"/>
      <c r="D456" s="21"/>
      <c r="E456" s="22"/>
    </row>
    <row r="457" spans="3:5" x14ac:dyDescent="0.25">
      <c r="C457" s="21"/>
      <c r="D457" s="21"/>
      <c r="E457" s="22"/>
    </row>
    <row r="458" spans="3:5" x14ac:dyDescent="0.25">
      <c r="C458" s="21"/>
      <c r="D458" s="21"/>
      <c r="E458" s="22"/>
    </row>
    <row r="459" spans="3:5" x14ac:dyDescent="0.25">
      <c r="C459" s="21"/>
      <c r="D459" s="21"/>
      <c r="E459" s="22"/>
    </row>
    <row r="460" spans="3:5" x14ac:dyDescent="0.25">
      <c r="C460" s="21"/>
      <c r="D460" s="21"/>
      <c r="E460" s="22"/>
    </row>
    <row r="461" spans="3:5" x14ac:dyDescent="0.25">
      <c r="C461" s="21"/>
      <c r="D461" s="21"/>
      <c r="E461" s="22"/>
    </row>
    <row r="462" spans="3:5" x14ac:dyDescent="0.25">
      <c r="C462" s="21"/>
      <c r="D462" s="21"/>
      <c r="E462" s="22"/>
    </row>
    <row r="463" spans="3:5" x14ac:dyDescent="0.25">
      <c r="C463" s="21"/>
      <c r="D463" s="21"/>
      <c r="E463" s="22"/>
    </row>
    <row r="464" spans="3:5" x14ac:dyDescent="0.25">
      <c r="C464" s="21"/>
      <c r="D464" s="21"/>
      <c r="E464" s="22"/>
    </row>
    <row r="465" spans="3:5" x14ac:dyDescent="0.25">
      <c r="C465" s="21"/>
      <c r="D465" s="21"/>
      <c r="E465" s="22"/>
    </row>
    <row r="466" spans="3:5" x14ac:dyDescent="0.25">
      <c r="C466" s="21"/>
      <c r="D466" s="21"/>
      <c r="E466" s="22"/>
    </row>
    <row r="467" spans="3:5" x14ac:dyDescent="0.25">
      <c r="C467" s="21"/>
      <c r="D467" s="21"/>
      <c r="E467" s="22"/>
    </row>
    <row r="468" spans="3:5" x14ac:dyDescent="0.25">
      <c r="C468" s="21"/>
      <c r="D468" s="21"/>
      <c r="E468" s="22"/>
    </row>
    <row r="469" spans="3:5" x14ac:dyDescent="0.25">
      <c r="C469" s="21"/>
      <c r="D469" s="21"/>
      <c r="E469" s="22"/>
    </row>
    <row r="470" spans="3:5" x14ac:dyDescent="0.25">
      <c r="C470" s="21"/>
      <c r="D470" s="21"/>
      <c r="E470" s="22"/>
    </row>
    <row r="471" spans="3:5" x14ac:dyDescent="0.25">
      <c r="C471" s="21"/>
      <c r="D471" s="21"/>
      <c r="E471" s="22"/>
    </row>
    <row r="472" spans="3:5" x14ac:dyDescent="0.25">
      <c r="C472" s="21"/>
      <c r="D472" s="21"/>
      <c r="E472" s="22"/>
    </row>
    <row r="473" spans="3:5" x14ac:dyDescent="0.25">
      <c r="C473" s="21"/>
      <c r="D473" s="21"/>
      <c r="E473" s="22"/>
    </row>
    <row r="474" spans="3:5" x14ac:dyDescent="0.25">
      <c r="C474" s="21"/>
      <c r="D474" s="21"/>
      <c r="E474" s="22"/>
    </row>
    <row r="475" spans="3:5" x14ac:dyDescent="0.25">
      <c r="C475" s="21"/>
      <c r="D475" s="21"/>
      <c r="E475" s="22"/>
    </row>
    <row r="476" spans="3:5" x14ac:dyDescent="0.25">
      <c r="C476" s="21"/>
      <c r="D476" s="21"/>
      <c r="E476" s="22"/>
    </row>
    <row r="477" spans="3:5" x14ac:dyDescent="0.25">
      <c r="C477" s="21"/>
      <c r="D477" s="21"/>
      <c r="E477" s="22"/>
    </row>
    <row r="478" spans="3:5" x14ac:dyDescent="0.25">
      <c r="C478" s="21"/>
      <c r="D478" s="21"/>
      <c r="E478" s="22"/>
    </row>
    <row r="479" spans="3:5" x14ac:dyDescent="0.25">
      <c r="C479" s="21"/>
      <c r="D479" s="21"/>
      <c r="E479" s="22"/>
    </row>
    <row r="480" spans="3:5" x14ac:dyDescent="0.25">
      <c r="C480" s="21"/>
      <c r="D480" s="21"/>
      <c r="E480" s="22"/>
    </row>
    <row r="481" spans="3:5" x14ac:dyDescent="0.25">
      <c r="C481" s="21"/>
      <c r="D481" s="21"/>
      <c r="E481" s="22"/>
    </row>
    <row r="482" spans="3:5" x14ac:dyDescent="0.25">
      <c r="C482" s="21"/>
      <c r="D482" s="21"/>
      <c r="E482" s="22"/>
    </row>
  </sheetData>
  <mergeCells count="34">
    <mergeCell ref="A150:B150"/>
    <mergeCell ref="A8:B8"/>
    <mergeCell ref="A40:B40"/>
    <mergeCell ref="A48:B48"/>
    <mergeCell ref="A57:B57"/>
    <mergeCell ref="A107:B107"/>
    <mergeCell ref="A65:B65"/>
    <mergeCell ref="A80:B80"/>
    <mergeCell ref="A127:B127"/>
    <mergeCell ref="A442:B442"/>
    <mergeCell ref="A190:B190"/>
    <mergeCell ref="A181:B181"/>
    <mergeCell ref="A160:B160"/>
    <mergeCell ref="A204:B204"/>
    <mergeCell ref="A438:B438"/>
    <mergeCell ref="A218:B218"/>
    <mergeCell ref="A322:B322"/>
    <mergeCell ref="A276:B276"/>
    <mergeCell ref="A262:B262"/>
    <mergeCell ref="A200:B200"/>
    <mergeCell ref="A435:B435"/>
    <mergeCell ref="A426:B426"/>
    <mergeCell ref="A411:B411"/>
    <mergeCell ref="A368:B368"/>
    <mergeCell ref="A176:B176"/>
    <mergeCell ref="D2:G2"/>
    <mergeCell ref="A136:B136"/>
    <mergeCell ref="A72:B72"/>
    <mergeCell ref="A85:B85"/>
    <mergeCell ref="A117:B117"/>
    <mergeCell ref="A113:B113"/>
    <mergeCell ref="A122:B122"/>
    <mergeCell ref="A2:C2"/>
    <mergeCell ref="A132:B132"/>
  </mergeCells>
  <hyperlinks>
    <hyperlink ref="A5" r:id="rId1"/>
  </hyperlinks>
  <pageMargins left="0.7" right="0.7" top="0.75" bottom="0.75" header="0.3" footer="0.3"/>
  <pageSetup scale="62" fitToHeight="0" orientation="portrait" r:id="rId2"/>
  <rowBreaks count="2" manualBreakCount="2">
    <brk id="243" min="1" max="6" man="1"/>
    <brk id="2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Tylask</dc:creator>
  <cp:lastModifiedBy>Thomas</cp:lastModifiedBy>
  <cp:lastPrinted>2019-10-02T18:14:47Z</cp:lastPrinted>
  <dcterms:created xsi:type="dcterms:W3CDTF">2012-03-01T20:44:58Z</dcterms:created>
  <dcterms:modified xsi:type="dcterms:W3CDTF">2020-07-07T19:26:15Z</dcterms:modified>
</cp:coreProperties>
</file>