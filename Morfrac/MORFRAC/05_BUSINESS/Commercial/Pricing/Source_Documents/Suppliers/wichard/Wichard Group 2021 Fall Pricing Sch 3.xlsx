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vannote\Documents\1 - Wichard Group\Pricing\2021 Covid\FINAL 2021 Fall\"/>
    </mc:Choice>
  </mc:AlternateContent>
  <bookViews>
    <workbookView xWindow="0" yWindow="0" windowWidth="28800" windowHeight="12480"/>
  </bookViews>
  <sheets>
    <sheet name="Wichard Sch 3" sheetId="1" r:id="rId1"/>
    <sheet name="Profurl Sch 3" sheetId="2" r:id="rId2"/>
    <sheet name="Facnor Sch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43" i="3" l="1"/>
  <c r="C1443" i="3" s="1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D140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D14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D7" i="3"/>
  <c r="B7" i="3"/>
  <c r="A7" i="3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</calcChain>
</file>

<file path=xl/sharedStrings.xml><?xml version="1.0" encoding="utf-8"?>
<sst xmlns="http://schemas.openxmlformats.org/spreadsheetml/2006/main" count="12" uniqueCount="6">
  <si>
    <t>Product</t>
  </si>
  <si>
    <t>Description</t>
  </si>
  <si>
    <t>MSRP</t>
  </si>
  <si>
    <t>Schedule 3</t>
  </si>
  <si>
    <t>Furling Schedule 3</t>
  </si>
  <si>
    <t>Facnor Installing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</si>
</sst>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44" fontId="0" fillId="0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4</xdr:row>
      <xdr:rowOff>142874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200" cy="904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276225</xdr:colOff>
      <xdr:row>4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2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619125</xdr:colOff>
      <xdr:row>4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200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113"/>
  <sheetViews>
    <sheetView tabSelected="1" workbookViewId="0">
      <selection activeCell="B14" sqref="B14"/>
    </sheetView>
  </sheetViews>
  <sheetFormatPr defaultRowHeight="15" x14ac:dyDescent="0.25"/>
  <cols>
    <col min="1" max="1" width="19.42578125" style="2" bestFit="1" customWidth="1"/>
    <col min="2" max="2" width="43.5703125" style="2" bestFit="1" customWidth="1"/>
    <col min="3" max="4" width="10.5703125" style="2" bestFit="1" customWidth="1"/>
    <col min="5" max="16384" width="9.140625" style="2"/>
  </cols>
  <sheetData>
    <row r="6" spans="1:4" x14ac:dyDescent="0.25">
      <c r="A6" s="1" t="s">
        <v>0</v>
      </c>
      <c r="B6" s="1" t="s">
        <v>1</v>
      </c>
      <c r="C6" s="1" t="s">
        <v>2</v>
      </c>
      <c r="D6" s="1" t="s">
        <v>3</v>
      </c>
    </row>
    <row r="7" spans="1:4" x14ac:dyDescent="0.25">
      <c r="A7" s="3" t="str">
        <f>"01201"</f>
        <v>01201</v>
      </c>
      <c r="B7" s="3" t="str">
        <f>"5/32 SELF LOCKING D SHACKLE"</f>
        <v>5/32 SELF LOCKING D SHACKLE</v>
      </c>
      <c r="C7" s="4">
        <v>12.8</v>
      </c>
      <c r="D7" s="5">
        <v>5.18</v>
      </c>
    </row>
    <row r="8" spans="1:4" x14ac:dyDescent="0.25">
      <c r="A8" s="3" t="str">
        <f>"01202"</f>
        <v>01202</v>
      </c>
      <c r="B8" s="3" t="str">
        <f>"3/16 SELF LOCKING D SHACKLE"</f>
        <v>3/16 SELF LOCKING D SHACKLE</v>
      </c>
      <c r="C8" s="4">
        <v>14.9</v>
      </c>
      <c r="D8" s="5">
        <v>6.03</v>
      </c>
    </row>
    <row r="9" spans="1:4" x14ac:dyDescent="0.25">
      <c r="A9" s="3" t="str">
        <f>"01203"</f>
        <v>01203</v>
      </c>
      <c r="B9" s="3" t="str">
        <f>"1/4 SELF LOCKING D SHACKLE"</f>
        <v>1/4 SELF LOCKING D SHACKLE</v>
      </c>
      <c r="C9" s="4">
        <v>19.100000000000001</v>
      </c>
      <c r="D9" s="5">
        <v>7.74</v>
      </c>
    </row>
    <row r="10" spans="1:4" x14ac:dyDescent="0.25">
      <c r="A10" s="3" t="str">
        <f>"01204"</f>
        <v>01204</v>
      </c>
      <c r="B10" s="3" t="str">
        <f>"5/16 SELF LOCKING D SHACKLE"</f>
        <v>5/16 SELF LOCKING D SHACKLE</v>
      </c>
      <c r="C10" s="4">
        <v>30.1</v>
      </c>
      <c r="D10" s="5">
        <v>12.19</v>
      </c>
    </row>
    <row r="11" spans="1:4" x14ac:dyDescent="0.25">
      <c r="A11" s="3" t="str">
        <f>"01205"</f>
        <v>01205</v>
      </c>
      <c r="B11" s="3" t="str">
        <f>"13/32 SELF LOCKING D SHACKLE"</f>
        <v>13/32 SELF LOCKING D SHACKLE</v>
      </c>
      <c r="C11" s="4">
        <v>48.6</v>
      </c>
      <c r="D11" s="5">
        <v>19.68</v>
      </c>
    </row>
    <row r="12" spans="1:4" x14ac:dyDescent="0.25">
      <c r="A12" s="3" t="str">
        <f>"01206"</f>
        <v>01206</v>
      </c>
      <c r="B12" s="3" t="str">
        <f>"15/32 SELF LOCKING D SHACKLE"</f>
        <v>15/32 SELF LOCKING D SHACKLE</v>
      </c>
      <c r="C12" s="4">
        <v>84</v>
      </c>
      <c r="D12" s="5">
        <v>34.020000000000003</v>
      </c>
    </row>
    <row r="13" spans="1:4" x14ac:dyDescent="0.25">
      <c r="A13" s="3" t="str">
        <f>"01207"</f>
        <v>01207</v>
      </c>
      <c r="B13" s="3" t="str">
        <f>"9/16 D SHACKLE NOT SELFLOCKING"</f>
        <v>9/16 D SHACKLE NOT SELFLOCKING</v>
      </c>
      <c r="C13" s="4">
        <v>171.6</v>
      </c>
      <c r="D13" s="5">
        <v>69.5</v>
      </c>
    </row>
    <row r="14" spans="1:4" x14ac:dyDescent="0.25">
      <c r="A14" s="2" t="str">
        <f>"01211"</f>
        <v>01211</v>
      </c>
      <c r="B14" s="2" t="str">
        <f>"5/32 SELF LOCKING LONG SHACKLE"</f>
        <v>5/32 SELF LOCKING LONG SHACKLE</v>
      </c>
      <c r="C14" s="4">
        <v>15.1</v>
      </c>
      <c r="D14" s="5">
        <v>6.12</v>
      </c>
    </row>
    <row r="15" spans="1:4" x14ac:dyDescent="0.25">
      <c r="A15" s="2" t="str">
        <f>"01213"</f>
        <v>01213</v>
      </c>
      <c r="B15" s="2" t="str">
        <f>"1/4 SELF LOCKING LONG SHACKLE"</f>
        <v>1/4 SELF LOCKING LONG SHACKLE</v>
      </c>
      <c r="C15" s="4">
        <v>23.4</v>
      </c>
      <c r="D15" s="5">
        <v>9.48</v>
      </c>
    </row>
    <row r="16" spans="1:4" x14ac:dyDescent="0.25">
      <c r="A16" s="2" t="str">
        <f>"01214"</f>
        <v>01214</v>
      </c>
      <c r="B16" s="2" t="str">
        <f>"5/16 SELF LOCKING LONG SHACKLE"</f>
        <v>5/16 SELF LOCKING LONG SHACKLE</v>
      </c>
      <c r="C16" s="4">
        <v>36.4</v>
      </c>
      <c r="D16" s="5">
        <v>14.74</v>
      </c>
    </row>
    <row r="17" spans="1:4" x14ac:dyDescent="0.25">
      <c r="A17" s="2" t="str">
        <f>"01215"</f>
        <v>01215</v>
      </c>
      <c r="B17" s="2" t="str">
        <f>"13/32 SELF LOCKING LONG SHACKLE"</f>
        <v>13/32 SELF LOCKING LONG SHACKLE</v>
      </c>
      <c r="C17" s="4">
        <v>60.5</v>
      </c>
      <c r="D17" s="5">
        <v>24.5</v>
      </c>
    </row>
    <row r="18" spans="1:4" x14ac:dyDescent="0.25">
      <c r="A18" s="2" t="str">
        <f>"01212"</f>
        <v>01212</v>
      </c>
      <c r="B18" s="2" t="str">
        <f>"3/16 SELF LOCKING LONG SHACKLE"</f>
        <v>3/16 SELF LOCKING LONG SHACKLE</v>
      </c>
      <c r="C18" s="4">
        <v>18</v>
      </c>
      <c r="D18" s="5">
        <v>7.29</v>
      </c>
    </row>
    <row r="19" spans="1:4" x14ac:dyDescent="0.25">
      <c r="A19" s="2" t="str">
        <f>"01222"</f>
        <v>01222</v>
      </c>
      <c r="B19" s="2" t="str">
        <f>"3/16 SELF LOCKING TWISTED SHACKLE"</f>
        <v>3/16 SELF LOCKING TWISTED SHACKLE</v>
      </c>
      <c r="C19" s="4">
        <v>22.4</v>
      </c>
      <c r="D19" s="5">
        <v>9.07</v>
      </c>
    </row>
    <row r="20" spans="1:4" x14ac:dyDescent="0.25">
      <c r="A20" s="2" t="str">
        <f>"01223"</f>
        <v>01223</v>
      </c>
      <c r="B20" s="2" t="str">
        <f>"1/4 SELF LOCKING TWISTED SHACKLE"</f>
        <v>1/4 SELF LOCKING TWISTED SHACKLE</v>
      </c>
      <c r="C20" s="4">
        <v>25</v>
      </c>
      <c r="D20" s="5">
        <v>10.130000000000001</v>
      </c>
    </row>
    <row r="21" spans="1:4" x14ac:dyDescent="0.25">
      <c r="A21" s="2" t="str">
        <f>"01224"</f>
        <v>01224</v>
      </c>
      <c r="B21" s="2" t="str">
        <f>"5/16 SELF LOCKING TWISTED SHACKLE"</f>
        <v>5/16 SELF LOCKING TWISTED SHACKLE</v>
      </c>
      <c r="C21" s="4">
        <v>40.299999999999997</v>
      </c>
      <c r="D21" s="5">
        <v>16.32</v>
      </c>
    </row>
    <row r="22" spans="1:4" x14ac:dyDescent="0.25">
      <c r="A22" s="2" t="str">
        <f>"01225"</f>
        <v>01225</v>
      </c>
      <c r="B22" s="2" t="str">
        <f>"13/32 SELF LOCKING TWISTED SHACKLE"</f>
        <v>13/32 SELF LOCKING TWISTED SHACKLE</v>
      </c>
      <c r="C22" s="4">
        <v>63.6</v>
      </c>
      <c r="D22" s="5">
        <v>25.76</v>
      </c>
    </row>
    <row r="23" spans="1:4" x14ac:dyDescent="0.25">
      <c r="A23" s="2" t="str">
        <f>"01241"</f>
        <v>01241</v>
      </c>
      <c r="B23" s="2" t="str">
        <f>"5/32 SELF LOCKING BOW SHACKLE"</f>
        <v>5/32 SELF LOCKING BOW SHACKLE</v>
      </c>
      <c r="C23" s="4">
        <v>15.7</v>
      </c>
      <c r="D23" s="5">
        <v>6.36</v>
      </c>
    </row>
    <row r="24" spans="1:4" x14ac:dyDescent="0.25">
      <c r="A24" s="2" t="str">
        <f>"01242"</f>
        <v>01242</v>
      </c>
      <c r="B24" s="2" t="str">
        <f>"3/16 SELF LOCKING BOW SHACKLE"</f>
        <v>3/16 SELF LOCKING BOW SHACKLE</v>
      </c>
      <c r="C24" s="4">
        <v>17.399999999999999</v>
      </c>
      <c r="D24" s="5">
        <v>7.05</v>
      </c>
    </row>
    <row r="25" spans="1:4" x14ac:dyDescent="0.25">
      <c r="A25" s="2" t="str">
        <f>"01243"</f>
        <v>01243</v>
      </c>
      <c r="B25" s="2" t="str">
        <f>"1/4 SELF LOCKING BOW SHACKLE"</f>
        <v>1/4 SELF LOCKING BOW SHACKLE</v>
      </c>
      <c r="C25" s="4">
        <v>22.1</v>
      </c>
      <c r="D25" s="5">
        <v>8.9499999999999993</v>
      </c>
    </row>
    <row r="26" spans="1:4" x14ac:dyDescent="0.25">
      <c r="A26" s="2" t="str">
        <f>"01245"</f>
        <v>01245</v>
      </c>
      <c r="B26" s="2" t="str">
        <f>"13/32 SELF LOCKING BOW SHACKLE"</f>
        <v>13/32 SELF LOCKING BOW SHACKLE</v>
      </c>
      <c r="C26" s="4">
        <v>56.8</v>
      </c>
      <c r="D26" s="5">
        <v>23</v>
      </c>
    </row>
    <row r="27" spans="1:4" x14ac:dyDescent="0.25">
      <c r="A27" s="2" t="str">
        <f>"01246"</f>
        <v>01246</v>
      </c>
      <c r="B27" s="2" t="str">
        <f>"15/32 SELF LOCKING BOW SHACKLE"</f>
        <v>15/32 SELF LOCKING BOW SHACKLE</v>
      </c>
      <c r="C27" s="4">
        <v>89.9</v>
      </c>
      <c r="D27" s="5">
        <v>36.409999999999997</v>
      </c>
    </row>
    <row r="28" spans="1:4" x14ac:dyDescent="0.25">
      <c r="A28" s="2" t="str">
        <f>"01247"</f>
        <v>01247</v>
      </c>
      <c r="B28" s="2" t="str">
        <f>"5/8 BOW SHACKLE NOT SELF LOCKING"</f>
        <v>5/8 BOW SHACKLE NOT SELF LOCKING</v>
      </c>
      <c r="C28" s="4">
        <v>232.4</v>
      </c>
      <c r="D28" s="5">
        <v>94.12</v>
      </c>
    </row>
    <row r="29" spans="1:4" x14ac:dyDescent="0.25">
      <c r="A29" s="2" t="str">
        <f>"01248"</f>
        <v>01248</v>
      </c>
      <c r="B29" s="2" t="str">
        <f>"25/32 BOW SHACKLE NOT SELF LOCKING"</f>
        <v>25/32 BOW SHACKLE NOT SELF LOCKING</v>
      </c>
      <c r="C29" s="4">
        <v>389.3</v>
      </c>
      <c r="D29" s="5">
        <v>157.66999999999999</v>
      </c>
    </row>
    <row r="30" spans="1:4" x14ac:dyDescent="0.25">
      <c r="A30" s="2" t="str">
        <f>"01244"</f>
        <v>01244</v>
      </c>
      <c r="B30" s="2" t="str">
        <f>"5/16 SELF LOCKING BOW SHACKLE"</f>
        <v>5/16 SELF LOCKING BOW SHACKLE</v>
      </c>
      <c r="C30" s="4">
        <v>34.700000000000003</v>
      </c>
      <c r="D30" s="5">
        <v>14.05</v>
      </c>
    </row>
    <row r="31" spans="1:4" x14ac:dyDescent="0.25">
      <c r="A31" s="2" t="str">
        <f>"01262"</f>
        <v>01262</v>
      </c>
      <c r="B31" s="2" t="str">
        <f>"3/16 SELF LOCKING LARGE OPENING SHA"</f>
        <v>3/16 SELF LOCKING LARGE OPENING SHA</v>
      </c>
      <c r="C31" s="4">
        <v>27.1</v>
      </c>
      <c r="D31" s="5">
        <v>10.98</v>
      </c>
    </row>
    <row r="32" spans="1:4" x14ac:dyDescent="0.25">
      <c r="A32" s="2" t="str">
        <f>"01263"</f>
        <v>01263</v>
      </c>
      <c r="B32" s="2" t="str">
        <f>"1/4 SELF LOCKING LARGE OPENING SHAC"</f>
        <v>1/4 SELF LOCKING LARGE OPENING SHAC</v>
      </c>
      <c r="C32" s="4">
        <v>35.799999999999997</v>
      </c>
      <c r="D32" s="5">
        <v>14.5</v>
      </c>
    </row>
    <row r="33" spans="1:4" x14ac:dyDescent="0.25">
      <c r="A33" s="2" t="str">
        <f>"01264"</f>
        <v>01264</v>
      </c>
      <c r="B33" s="2" t="str">
        <f>"5/16 SELF LOCKING LARGE OPENING SHA"</f>
        <v>5/16 SELF LOCKING LARGE OPENING SHA</v>
      </c>
      <c r="C33" s="4">
        <v>55.8</v>
      </c>
      <c r="D33" s="5">
        <v>22.6</v>
      </c>
    </row>
    <row r="34" spans="1:4" x14ac:dyDescent="0.25">
      <c r="A34" s="2" t="str">
        <f>"01265"</f>
        <v>01265</v>
      </c>
      <c r="B34" s="2" t="str">
        <f>"13/32 SELF LOCKING LARGE OPENING SH"</f>
        <v>13/32 SELF LOCKING LARGE OPENING SH</v>
      </c>
      <c r="C34" s="4">
        <v>88.8</v>
      </c>
      <c r="D34" s="5">
        <v>35.96</v>
      </c>
    </row>
    <row r="35" spans="1:4" x14ac:dyDescent="0.25">
      <c r="A35" s="2" t="str">
        <f>"01233"</f>
        <v>01233</v>
      </c>
      <c r="B35" s="2" t="str">
        <f>"1/4 TACK SHACKLE"</f>
        <v>1/4 TACK SHACKLE</v>
      </c>
      <c r="C35" s="4">
        <v>49.8</v>
      </c>
      <c r="D35" s="5">
        <v>20.170000000000002</v>
      </c>
    </row>
    <row r="36" spans="1:4" x14ac:dyDescent="0.25">
      <c r="A36" s="2" t="str">
        <f>"01234"</f>
        <v>01234</v>
      </c>
      <c r="B36" s="2" t="str">
        <f>"5/16 TACK SHACKLE"</f>
        <v>5/16 TACK SHACKLE</v>
      </c>
      <c r="C36" s="4">
        <v>63.4</v>
      </c>
      <c r="D36" s="5">
        <v>25.68</v>
      </c>
    </row>
    <row r="37" spans="1:4" x14ac:dyDescent="0.25">
      <c r="A37" s="2" t="str">
        <f>"01303"</f>
        <v>01303</v>
      </c>
      <c r="B37" s="2" t="str">
        <f>"1/4 ALLEN HEAD D SHACKLE"</f>
        <v>1/4 ALLEN HEAD D SHACKLE</v>
      </c>
      <c r="C37" s="4">
        <v>30.5</v>
      </c>
      <c r="D37" s="5">
        <v>12.35</v>
      </c>
    </row>
    <row r="38" spans="1:4" x14ac:dyDescent="0.25">
      <c r="A38" s="2" t="str">
        <f>"01304"</f>
        <v>01304</v>
      </c>
      <c r="B38" s="2" t="str">
        <f>"5/16 ALLEN HEAD D SHACKLE"</f>
        <v>5/16 ALLEN HEAD D SHACKLE</v>
      </c>
      <c r="C38" s="4">
        <v>42.4</v>
      </c>
      <c r="D38" s="5">
        <v>17.170000000000002</v>
      </c>
    </row>
    <row r="39" spans="1:4" x14ac:dyDescent="0.25">
      <c r="A39" s="2" t="str">
        <f>"01305"</f>
        <v>01305</v>
      </c>
      <c r="B39" s="2" t="str">
        <f>"13/32 ALLEN HEAD D SHACKLE"</f>
        <v>13/32 ALLEN HEAD D SHACKLE</v>
      </c>
      <c r="C39" s="4">
        <v>68.7</v>
      </c>
      <c r="D39" s="5">
        <v>27.82</v>
      </c>
    </row>
    <row r="40" spans="1:4" x14ac:dyDescent="0.25">
      <c r="A40" s="2" t="str">
        <f>"01306"</f>
        <v>01306</v>
      </c>
      <c r="B40" s="2" t="str">
        <f>"15/32 ALLEN HEAD D SHACKLE"</f>
        <v>15/32 ALLEN HEAD D SHACKLE</v>
      </c>
      <c r="C40" s="4">
        <v>114</v>
      </c>
      <c r="D40" s="5">
        <v>46.17</v>
      </c>
    </row>
    <row r="41" spans="1:4" x14ac:dyDescent="0.25">
      <c r="A41" s="2" t="str">
        <f>"01343"</f>
        <v>01343</v>
      </c>
      <c r="B41" s="2" t="str">
        <f>"1/4 ALLEN HEAD BOW SHACKLE"</f>
        <v>1/4 ALLEN HEAD BOW SHACKLE</v>
      </c>
      <c r="C41" s="4">
        <v>34.799999999999997</v>
      </c>
      <c r="D41" s="5">
        <v>14.09</v>
      </c>
    </row>
    <row r="42" spans="1:4" x14ac:dyDescent="0.25">
      <c r="A42" s="2" t="str">
        <f>"01344"</f>
        <v>01344</v>
      </c>
      <c r="B42" s="2" t="str">
        <f>"5/16 ALLEN HEAD BOW SHACKLE"</f>
        <v>5/16 ALLEN HEAD BOW SHACKLE</v>
      </c>
      <c r="C42" s="4">
        <v>49.4</v>
      </c>
      <c r="D42" s="5">
        <v>20.010000000000002</v>
      </c>
    </row>
    <row r="43" spans="1:4" x14ac:dyDescent="0.25">
      <c r="A43" s="2" t="str">
        <f>"01345"</f>
        <v>01345</v>
      </c>
      <c r="B43" s="2" t="str">
        <f>"13/32 ALLEN HEAD BOW SHACKLE"</f>
        <v>13/32 ALLEN HEAD BOW SHACKLE</v>
      </c>
      <c r="C43" s="4">
        <v>75.2</v>
      </c>
      <c r="D43" s="5">
        <v>30.46</v>
      </c>
    </row>
    <row r="44" spans="1:4" x14ac:dyDescent="0.25">
      <c r="A44" s="2" t="str">
        <f>"01346"</f>
        <v>01346</v>
      </c>
      <c r="B44" s="2" t="str">
        <f>"15/32 ALLEN HEAD BOW SHACKLE"</f>
        <v>15/32 ALLEN HEAD BOW SHACKLE</v>
      </c>
      <c r="C44" s="4">
        <v>120.8</v>
      </c>
      <c r="D44" s="5">
        <v>48.92</v>
      </c>
    </row>
    <row r="45" spans="1:4" x14ac:dyDescent="0.25">
      <c r="A45" s="2" t="str">
        <f>"01401"</f>
        <v>01401</v>
      </c>
      <c r="B45" s="2" t="str">
        <f>"5/32 CAPTIVE D SHACKLE"</f>
        <v>5/32 CAPTIVE D SHACKLE</v>
      </c>
      <c r="C45" s="4">
        <v>19.8</v>
      </c>
      <c r="D45" s="5">
        <v>8.02</v>
      </c>
    </row>
    <row r="46" spans="1:4" x14ac:dyDescent="0.25">
      <c r="A46" s="2" t="str">
        <f>"01402"</f>
        <v>01402</v>
      </c>
      <c r="B46" s="2" t="str">
        <f>"3/16 CAPTIVE D SHACKLE"</f>
        <v>3/16 CAPTIVE D SHACKLE</v>
      </c>
      <c r="C46" s="4">
        <v>24.1</v>
      </c>
      <c r="D46" s="5">
        <v>9.76</v>
      </c>
    </row>
    <row r="47" spans="1:4" x14ac:dyDescent="0.25">
      <c r="A47" s="2" t="str">
        <f>"01403"</f>
        <v>01403</v>
      </c>
      <c r="B47" s="2" t="str">
        <f>"1/4 CAPTIVE D SHACKLE"</f>
        <v>1/4 CAPTIVE D SHACKLE</v>
      </c>
      <c r="C47" s="4">
        <v>30.7</v>
      </c>
      <c r="D47" s="5">
        <v>12.43</v>
      </c>
    </row>
    <row r="48" spans="1:4" x14ac:dyDescent="0.25">
      <c r="A48" s="2" t="str">
        <f>"01404"</f>
        <v>01404</v>
      </c>
      <c r="B48" s="2" t="str">
        <f>"5/16 CAPTIVE D SHACKLE"</f>
        <v>5/16 CAPTIVE D SHACKLE</v>
      </c>
      <c r="C48" s="4">
        <v>46.6</v>
      </c>
      <c r="D48" s="5">
        <v>18.87</v>
      </c>
    </row>
    <row r="49" spans="1:4" x14ac:dyDescent="0.25">
      <c r="A49" s="2" t="str">
        <f>"01405"</f>
        <v>01405</v>
      </c>
      <c r="B49" s="2" t="str">
        <f>"13/32 CAPTIVE D SHACKLE"</f>
        <v>13/32 CAPTIVE D SHACKLE</v>
      </c>
      <c r="C49" s="4">
        <v>72.400000000000006</v>
      </c>
      <c r="D49" s="5">
        <v>29.32</v>
      </c>
    </row>
    <row r="50" spans="1:4" x14ac:dyDescent="0.25">
      <c r="A50" s="2" t="str">
        <f>"01406"</f>
        <v>01406</v>
      </c>
      <c r="B50" s="2" t="str">
        <f>"15/32 CAPTIVE D SHACKLE"</f>
        <v>15/32 CAPTIVE D SHACKLE</v>
      </c>
      <c r="C50" s="4">
        <v>110.2</v>
      </c>
      <c r="D50" s="5">
        <v>44.63</v>
      </c>
    </row>
    <row r="51" spans="1:4" x14ac:dyDescent="0.25">
      <c r="A51" s="2" t="str">
        <f>"01411"</f>
        <v>01411</v>
      </c>
      <c r="B51" s="2" t="str">
        <f>"5/32 CAPTIVE LONG SHACKLE"</f>
        <v>5/32 CAPTIVE LONG SHACKLE</v>
      </c>
      <c r="C51" s="4">
        <v>24.1</v>
      </c>
      <c r="D51" s="5">
        <v>9.76</v>
      </c>
    </row>
    <row r="52" spans="1:4" x14ac:dyDescent="0.25">
      <c r="A52" s="2" t="str">
        <f>"01412"</f>
        <v>01412</v>
      </c>
      <c r="B52" s="2" t="str">
        <f>"3/16 CAPTIVE LONG SHACKLE"</f>
        <v>3/16 CAPTIVE LONG SHACKLE</v>
      </c>
      <c r="C52" s="4">
        <v>28.3</v>
      </c>
      <c r="D52" s="5">
        <v>11.46</v>
      </c>
    </row>
    <row r="53" spans="1:4" x14ac:dyDescent="0.25">
      <c r="A53" s="2" t="str">
        <f>"01413"</f>
        <v>01413</v>
      </c>
      <c r="B53" s="2" t="str">
        <f>"1/4 CAPTIVE LONG SHACKLE"</f>
        <v>1/4 CAPTIVE LONG SHACKLE</v>
      </c>
      <c r="C53" s="4">
        <v>38.299999999999997</v>
      </c>
      <c r="D53" s="5">
        <v>15.51</v>
      </c>
    </row>
    <row r="54" spans="1:4" x14ac:dyDescent="0.25">
      <c r="A54" s="2" t="str">
        <f>"01414"</f>
        <v>01414</v>
      </c>
      <c r="B54" s="2" t="str">
        <f>"5/16 CAPTIVE LONG SHACKLE"</f>
        <v>5/16 CAPTIVE LONG SHACKLE</v>
      </c>
      <c r="C54" s="4">
        <v>59.9</v>
      </c>
      <c r="D54" s="5">
        <v>24.26</v>
      </c>
    </row>
    <row r="55" spans="1:4" x14ac:dyDescent="0.25">
      <c r="A55" s="2" t="str">
        <f>"01415"</f>
        <v>01415</v>
      </c>
      <c r="B55" s="2" t="str">
        <f>"13/32 CAPTIVE LONG SHACKLE"</f>
        <v>13/32 CAPTIVE LONG SHACKLE</v>
      </c>
      <c r="C55" s="4">
        <v>96.3</v>
      </c>
      <c r="D55" s="5">
        <v>39</v>
      </c>
    </row>
    <row r="56" spans="1:4" x14ac:dyDescent="0.25">
      <c r="A56" s="2" t="str">
        <f>"81415"</f>
        <v>81415</v>
      </c>
      <c r="B56" s="2" t="str">
        <f>"13/32 CAPTIVE LONG SHACKLE W/BAR"</f>
        <v>13/32 CAPTIVE LONG SHACKLE W/BAR</v>
      </c>
      <c r="C56" s="4">
        <v>138</v>
      </c>
      <c r="D56" s="5">
        <v>55.89</v>
      </c>
    </row>
    <row r="57" spans="1:4" x14ac:dyDescent="0.25">
      <c r="A57" s="2" t="str">
        <f>"01422"</f>
        <v>01422</v>
      </c>
      <c r="B57" s="2" t="str">
        <f>"3/16 CAPTIVE TWISTED SHACKLE"</f>
        <v>3/16 CAPTIVE TWISTED SHACKLE</v>
      </c>
      <c r="C57" s="4">
        <v>31</v>
      </c>
      <c r="D57" s="5">
        <v>12.56</v>
      </c>
    </row>
    <row r="58" spans="1:4" x14ac:dyDescent="0.25">
      <c r="A58" s="2" t="str">
        <f>"01423"</f>
        <v>01423</v>
      </c>
      <c r="B58" s="2" t="str">
        <f>"1/4 CAPTIVE TWISTED SHACKLE"</f>
        <v>1/4 CAPTIVE TWISTED SHACKLE</v>
      </c>
      <c r="C58" s="4">
        <v>41.4</v>
      </c>
      <c r="D58" s="5">
        <v>16.77</v>
      </c>
    </row>
    <row r="59" spans="1:4" x14ac:dyDescent="0.25">
      <c r="A59" s="2" t="str">
        <f>"01424"</f>
        <v>01424</v>
      </c>
      <c r="B59" s="2" t="str">
        <f>"5/16 CAPTIVE TWISTED SHACKLE"</f>
        <v>5/16 CAPTIVE TWISTED SHACKLE</v>
      </c>
      <c r="C59" s="4">
        <v>63.4</v>
      </c>
      <c r="D59" s="5">
        <v>25.68</v>
      </c>
    </row>
    <row r="60" spans="1:4" x14ac:dyDescent="0.25">
      <c r="A60" s="2" t="str">
        <f>"01425"</f>
        <v>01425</v>
      </c>
      <c r="B60" s="2" t="str">
        <f>"13/32 CAPTIVE TWISTED SHACKLE"</f>
        <v>13/32 CAPTIVE TWISTED SHACKLE</v>
      </c>
      <c r="C60" s="4">
        <v>101.2</v>
      </c>
      <c r="D60" s="5">
        <v>40.99</v>
      </c>
    </row>
    <row r="61" spans="1:4" x14ac:dyDescent="0.25">
      <c r="A61" s="2" t="str">
        <f>"01441"</f>
        <v>01441</v>
      </c>
      <c r="B61" s="2" t="str">
        <f>"5/32 CAPTIVE BOW SHACKLE"</f>
        <v>5/32 CAPTIVE BOW SHACKLE</v>
      </c>
      <c r="C61" s="4">
        <v>22.4</v>
      </c>
      <c r="D61" s="5">
        <v>9.07</v>
      </c>
    </row>
    <row r="62" spans="1:4" x14ac:dyDescent="0.25">
      <c r="A62" s="2" t="str">
        <f>"01442"</f>
        <v>01442</v>
      </c>
      <c r="B62" s="2" t="str">
        <f>"3/16 CAPTIVE BOW SHACKLE"</f>
        <v>3/16 CAPTIVE BOW SHACKLE</v>
      </c>
      <c r="C62" s="4">
        <v>26.3</v>
      </c>
      <c r="D62" s="5">
        <v>10.65</v>
      </c>
    </row>
    <row r="63" spans="1:4" x14ac:dyDescent="0.25">
      <c r="A63" s="2" t="str">
        <f>"01443"</f>
        <v>01443</v>
      </c>
      <c r="B63" s="2" t="str">
        <f>"1/4 CAPTIVE BOW SHACKLE"</f>
        <v>1/4 CAPTIVE BOW SHACKLE</v>
      </c>
      <c r="C63" s="4">
        <v>34.200000000000003</v>
      </c>
      <c r="D63" s="5">
        <v>13.85</v>
      </c>
    </row>
    <row r="64" spans="1:4" x14ac:dyDescent="0.25">
      <c r="A64" s="2" t="str">
        <f>"01444"</f>
        <v>01444</v>
      </c>
      <c r="B64" s="2" t="str">
        <f>"5/16 CAPTIVE BOW SHACKLE"</f>
        <v>5/16 CAPTIVE BOW SHACKLE</v>
      </c>
      <c r="C64" s="4">
        <v>50.7</v>
      </c>
      <c r="D64" s="5">
        <v>20.53</v>
      </c>
    </row>
    <row r="65" spans="1:4" x14ac:dyDescent="0.25">
      <c r="A65" s="2" t="str">
        <f>"01445"</f>
        <v>01445</v>
      </c>
      <c r="B65" s="2" t="str">
        <f>"13/32 CAPTIVE BOW SHACKLE"</f>
        <v>13/32 CAPTIVE BOW SHACKLE</v>
      </c>
      <c r="C65" s="4">
        <v>80.900000000000006</v>
      </c>
      <c r="D65" s="5">
        <v>32.76</v>
      </c>
    </row>
    <row r="66" spans="1:4" x14ac:dyDescent="0.25">
      <c r="A66" s="2" t="str">
        <f>"01432"</f>
        <v>01432</v>
      </c>
      <c r="B66" s="2" t="str">
        <f>"3/16 KEY PIN SHACKLE"</f>
        <v>3/16 KEY PIN SHACKLE</v>
      </c>
      <c r="C66" s="4">
        <v>27.8</v>
      </c>
      <c r="D66" s="5">
        <v>11.26</v>
      </c>
    </row>
    <row r="67" spans="1:4" x14ac:dyDescent="0.25">
      <c r="A67" s="2" t="str">
        <f>"01433"</f>
        <v>01433</v>
      </c>
      <c r="B67" s="2" t="str">
        <f>"1/4 KEY PIN SHACKLE"</f>
        <v>1/4 KEY PIN SHACKLE</v>
      </c>
      <c r="C67" s="4">
        <v>37.200000000000003</v>
      </c>
      <c r="D67" s="5">
        <v>15.07</v>
      </c>
    </row>
    <row r="68" spans="1:4" x14ac:dyDescent="0.25">
      <c r="A68" s="2" t="str">
        <f>"01434"</f>
        <v>01434</v>
      </c>
      <c r="B68" s="2" t="str">
        <f>"5/16 KEY PIN SHACKLE"</f>
        <v>5/16 KEY PIN SHACKLE</v>
      </c>
      <c r="C68" s="4">
        <v>67.2</v>
      </c>
      <c r="D68" s="5">
        <v>27.22</v>
      </c>
    </row>
    <row r="69" spans="1:4" x14ac:dyDescent="0.25">
      <c r="A69" s="2" t="str">
        <f>"81432"</f>
        <v>81432</v>
      </c>
      <c r="B69" s="2" t="str">
        <f>"3/16 KEY PIN SHACKLE WITH BAR"</f>
        <v>3/16 KEY PIN SHACKLE WITH BAR</v>
      </c>
      <c r="C69" s="4">
        <v>39.6</v>
      </c>
      <c r="D69" s="5">
        <v>16.04</v>
      </c>
    </row>
    <row r="70" spans="1:4" x14ac:dyDescent="0.25">
      <c r="A70" s="2" t="str">
        <f>"81433"</f>
        <v>81433</v>
      </c>
      <c r="B70" s="2" t="str">
        <f>"1/4 KEY PIN SHACKLE WITH BAR"</f>
        <v>1/4 KEY PIN SHACKLE WITH BAR</v>
      </c>
      <c r="C70" s="4">
        <v>50.6</v>
      </c>
      <c r="D70" s="5">
        <v>20.49</v>
      </c>
    </row>
    <row r="71" spans="1:4" x14ac:dyDescent="0.25">
      <c r="A71" s="2" t="str">
        <f>"81434"</f>
        <v>81434</v>
      </c>
      <c r="B71" s="2" t="str">
        <f>"5/16 KEY PIN SHACKLE WITH BAR"</f>
        <v>5/16 KEY PIN SHACKLE WITH BAR</v>
      </c>
      <c r="C71" s="4">
        <v>80.900000000000006</v>
      </c>
      <c r="D71" s="5">
        <v>32.76</v>
      </c>
    </row>
    <row r="72" spans="1:4" x14ac:dyDescent="0.25">
      <c r="A72" s="2" t="str">
        <f>"11203"</f>
        <v>11203</v>
      </c>
      <c r="B72" s="2" t="str">
        <f>"1/4 HR D SHACKLE"</f>
        <v>1/4 HR D SHACKLE</v>
      </c>
      <c r="C72" s="4">
        <v>49.4</v>
      </c>
      <c r="D72" s="5">
        <v>20.010000000000002</v>
      </c>
    </row>
    <row r="73" spans="1:4" x14ac:dyDescent="0.25">
      <c r="A73" s="2" t="str">
        <f>"11204"</f>
        <v>11204</v>
      </c>
      <c r="B73" s="2" t="str">
        <f>"5/16 HR D SHACKLE"</f>
        <v>5/16 HR D SHACKLE</v>
      </c>
      <c r="C73" s="4">
        <v>68.2</v>
      </c>
      <c r="D73" s="5">
        <v>27.62</v>
      </c>
    </row>
    <row r="74" spans="1:4" x14ac:dyDescent="0.25">
      <c r="A74" s="2" t="str">
        <f>"11205"</f>
        <v>11205</v>
      </c>
      <c r="B74" s="2" t="str">
        <f>"13/32 HR D SHACKLE"</f>
        <v>13/32 HR D SHACKLE</v>
      </c>
      <c r="C74" s="4">
        <v>106</v>
      </c>
      <c r="D74" s="5">
        <v>42.93</v>
      </c>
    </row>
    <row r="75" spans="1:4" x14ac:dyDescent="0.25">
      <c r="A75" s="2" t="str">
        <f>"11206"</f>
        <v>11206</v>
      </c>
      <c r="B75" s="2" t="str">
        <f>"15/32 HR D SHACKLE"</f>
        <v>15/32 HR D SHACKLE</v>
      </c>
      <c r="C75" s="4">
        <v>159.4</v>
      </c>
      <c r="D75" s="5">
        <v>64.56</v>
      </c>
    </row>
    <row r="76" spans="1:4" x14ac:dyDescent="0.25">
      <c r="A76" s="2" t="str">
        <f>"11207"</f>
        <v>11207</v>
      </c>
      <c r="B76" s="2" t="str">
        <f>"9/16 HR D SHACKLE"</f>
        <v>9/16 HR D SHACKLE</v>
      </c>
      <c r="C76" s="4">
        <v>289.60000000000002</v>
      </c>
      <c r="D76" s="5">
        <v>117.29</v>
      </c>
    </row>
    <row r="77" spans="1:4" x14ac:dyDescent="0.25">
      <c r="A77" s="2" t="str">
        <f>"11208"</f>
        <v>11208</v>
      </c>
      <c r="B77" s="2" t="str">
        <f>"5/8 HR D SHACKLE"</f>
        <v>5/8 HR D SHACKLE</v>
      </c>
      <c r="C77" s="4">
        <v>333.2</v>
      </c>
      <c r="D77" s="5">
        <v>134.94999999999999</v>
      </c>
    </row>
    <row r="78" spans="1:4" x14ac:dyDescent="0.25">
      <c r="A78" s="2" t="str">
        <f>"11209"</f>
        <v>11209</v>
      </c>
      <c r="B78" s="2" t="str">
        <f>"25/32 HR D SHACKLE"</f>
        <v>25/32 HR D SHACKLE</v>
      </c>
      <c r="C78" s="4">
        <v>550.29999999999995</v>
      </c>
      <c r="D78" s="5">
        <v>222.87</v>
      </c>
    </row>
    <row r="79" spans="1:4" x14ac:dyDescent="0.25">
      <c r="A79" s="2" t="str">
        <f>"11215"</f>
        <v>11215</v>
      </c>
      <c r="B79" s="2" t="str">
        <f>"13/32 HR LONG SHACKLE"</f>
        <v>13/32 HR LONG SHACKLE</v>
      </c>
      <c r="C79" s="4">
        <v>137.80000000000001</v>
      </c>
      <c r="D79" s="5">
        <v>55.81</v>
      </c>
    </row>
    <row r="80" spans="1:4" x14ac:dyDescent="0.25">
      <c r="A80" s="2" t="str">
        <f>"11240"</f>
        <v>11240</v>
      </c>
      <c r="B80" s="2" t="str">
        <f>"9/16 HR BOW SHACKLE"</f>
        <v>9/16 HR BOW SHACKLE</v>
      </c>
      <c r="C80" s="4">
        <v>347.5</v>
      </c>
      <c r="D80" s="5">
        <v>140.74</v>
      </c>
    </row>
    <row r="81" spans="1:4" x14ac:dyDescent="0.25">
      <c r="A81" s="2" t="str">
        <f>"11244"</f>
        <v>11244</v>
      </c>
      <c r="B81" s="2" t="str">
        <f>"5/16 HR BOW SHACKLE"</f>
        <v>5/16 HR BOW SHACKLE</v>
      </c>
      <c r="C81" s="4">
        <v>87.1</v>
      </c>
      <c r="D81" s="5">
        <v>35.28</v>
      </c>
    </row>
    <row r="82" spans="1:4" x14ac:dyDescent="0.25">
      <c r="A82" s="2" t="str">
        <f>"11245"</f>
        <v>11245</v>
      </c>
      <c r="B82" s="2" t="str">
        <f>"13/32 HR BOW SHACKLE"</f>
        <v>13/32 HR BOW SHACKLE</v>
      </c>
      <c r="C82" s="4">
        <v>116.1</v>
      </c>
      <c r="D82" s="5">
        <v>47.02</v>
      </c>
    </row>
    <row r="83" spans="1:4" x14ac:dyDescent="0.25">
      <c r="A83" s="2" t="str">
        <f>"11246"</f>
        <v>11246</v>
      </c>
      <c r="B83" s="2" t="str">
        <f>"15/32 HR BOW SHACKLE"</f>
        <v>15/32 HR BOW SHACKLE</v>
      </c>
      <c r="C83" s="4">
        <v>188.2</v>
      </c>
      <c r="D83" s="5">
        <v>76.22</v>
      </c>
    </row>
    <row r="84" spans="1:4" x14ac:dyDescent="0.25">
      <c r="A84" s="2" t="str">
        <f>"11247"</f>
        <v>11247</v>
      </c>
      <c r="B84" s="2" t="str">
        <f>"5/8 HR BOW SHACKLE"</f>
        <v>5/8 HR BOW SHACKLE</v>
      </c>
      <c r="C84" s="4">
        <v>392.3</v>
      </c>
      <c r="D84" s="5">
        <v>158.88</v>
      </c>
    </row>
    <row r="85" spans="1:4" x14ac:dyDescent="0.25">
      <c r="A85" s="2" t="str">
        <f>"11248"</f>
        <v>11248</v>
      </c>
      <c r="B85" s="2" t="str">
        <f>"25/32 HR BOW SHACKLE"</f>
        <v>25/32 HR BOW SHACKLE</v>
      </c>
      <c r="C85" s="4">
        <v>651.5</v>
      </c>
      <c r="D85" s="5">
        <v>263.86</v>
      </c>
    </row>
    <row r="86" spans="1:4" x14ac:dyDescent="0.25">
      <c r="A86" s="2" t="str">
        <f>"11249"</f>
        <v>11249</v>
      </c>
      <c r="B86" s="2" t="str">
        <f>"15/16 HR BOW SHACKLE"</f>
        <v>15/16 HR BOW SHACKLE</v>
      </c>
      <c r="C86" s="4">
        <v>940.9</v>
      </c>
      <c r="D86" s="5">
        <v>381.06</v>
      </c>
    </row>
    <row r="87" spans="1:4" x14ac:dyDescent="0.25">
      <c r="A87" s="2" t="str">
        <f>"01394"</f>
        <v>01394</v>
      </c>
      <c r="B87" s="2" t="str">
        <f>"5/16 ALLEN HEAD THIMBLE SHACKLE"</f>
        <v>5/16 ALLEN HEAD THIMBLE SHACKLE</v>
      </c>
      <c r="C87" s="4">
        <v>91.8</v>
      </c>
      <c r="D87" s="5">
        <v>37.18</v>
      </c>
    </row>
    <row r="88" spans="1:4" x14ac:dyDescent="0.25">
      <c r="A88" s="2" t="str">
        <f>"01395"</f>
        <v>01395</v>
      </c>
      <c r="B88" s="2" t="str">
        <f>"13/32 ALLEN HEAD THIMBLE SHACKLE"</f>
        <v>13/32 ALLEN HEAD THIMBLE SHACKLE</v>
      </c>
      <c r="C88" s="4">
        <v>141.4</v>
      </c>
      <c r="D88" s="5">
        <v>57.27</v>
      </c>
    </row>
    <row r="89" spans="1:4" x14ac:dyDescent="0.25">
      <c r="A89" s="2" t="str">
        <f>"01494"</f>
        <v>01494</v>
      </c>
      <c r="B89" s="2" t="str">
        <f>"5/16 CAPTIVE THIMBLE SHACKLE"</f>
        <v>5/16 CAPTIVE THIMBLE SHACKLE</v>
      </c>
      <c r="C89" s="4">
        <v>80.400000000000006</v>
      </c>
      <c r="D89" s="5">
        <v>32.56</v>
      </c>
    </row>
    <row r="90" spans="1:4" x14ac:dyDescent="0.25">
      <c r="A90" s="2" t="str">
        <f>"01495"</f>
        <v>01495</v>
      </c>
      <c r="B90" s="2" t="str">
        <f>"13/32 CAPTIVE THIMBLE SHACKLE"</f>
        <v>13/32 CAPTIVE THIMBLE SHACKLE</v>
      </c>
      <c r="C90" s="4">
        <v>124.6</v>
      </c>
      <c r="D90" s="5">
        <v>50.46</v>
      </c>
    </row>
    <row r="91" spans="1:4" x14ac:dyDescent="0.25">
      <c r="A91" s="2" t="str">
        <f>"07322"</f>
        <v>07322</v>
      </c>
      <c r="B91" s="2" t="str">
        <f>"CLAMP - 11MM TORSION CABLE"</f>
        <v>CLAMP - 11MM TORSION CABLE</v>
      </c>
      <c r="C91" s="4">
        <v>115.6</v>
      </c>
      <c r="D91" s="5">
        <v>46.82</v>
      </c>
    </row>
    <row r="92" spans="1:4" x14ac:dyDescent="0.25">
      <c r="A92" s="2" t="str">
        <f>"07323"</f>
        <v>07323</v>
      </c>
      <c r="B92" s="2" t="str">
        <f>"CLAMP - 13MM TORSION CABLE"</f>
        <v>CLAMP - 13MM TORSION CABLE</v>
      </c>
      <c r="C92" s="4">
        <v>136.30000000000001</v>
      </c>
      <c r="D92" s="5">
        <v>55.2</v>
      </c>
    </row>
    <row r="93" spans="1:4" x14ac:dyDescent="0.25">
      <c r="A93" s="2" t="str">
        <f>"11513"</f>
        <v>11513</v>
      </c>
      <c r="B93" s="2" t="str">
        <f>"1/4 MX-6 ALLEN HEAD PIN MAX 5/16 ROPE"</f>
        <v>1/4 MX-6 ALLEN HEAD PIN MAX 5/16 ROPE</v>
      </c>
      <c r="C93" s="4">
        <v>166.4</v>
      </c>
      <c r="D93" s="5">
        <v>67.39</v>
      </c>
    </row>
    <row r="94" spans="1:4" x14ac:dyDescent="0.25">
      <c r="A94" s="2" t="str">
        <f>"11514"</f>
        <v>11514</v>
      </c>
      <c r="B94" s="2" t="str">
        <f>"5/16 MX-8 ALLEN HEAD PIN MAX 3/8 ROPE"</f>
        <v>5/16 MX-8 ALLEN HEAD PIN MAX 3/8 ROPE</v>
      </c>
      <c r="C94" s="4">
        <v>206.4</v>
      </c>
      <c r="D94" s="5">
        <v>83.59</v>
      </c>
    </row>
    <row r="95" spans="1:4" x14ac:dyDescent="0.25">
      <c r="A95" s="2" t="str">
        <f>"11515"</f>
        <v>11515</v>
      </c>
      <c r="B95" s="2" t="str">
        <f>"3/8 MX-10 ALLEN HEAD PIN MAX 9/16 ROPE"</f>
        <v>3/8 MX-10 ALLEN HEAD PIN MAX 9/16 ROPE</v>
      </c>
      <c r="C95" s="4">
        <v>275.3</v>
      </c>
      <c r="D95" s="5">
        <v>111.5</v>
      </c>
    </row>
    <row r="96" spans="1:4" x14ac:dyDescent="0.25">
      <c r="A96" s="2" t="str">
        <f>"11604"</f>
        <v>11604</v>
      </c>
      <c r="B96" s="2" t="str">
        <f>"5/16 MXE8 HALYARD SHKLE MAX 3/8 ROPE"</f>
        <v>5/16 MXE8 HALYARD SHKLE MAX 3/8 ROPE</v>
      </c>
      <c r="C96" s="4">
        <v>175.7</v>
      </c>
      <c r="D96" s="5">
        <v>71.16</v>
      </c>
    </row>
    <row r="97" spans="1:4" x14ac:dyDescent="0.25">
      <c r="A97" s="2" t="str">
        <f>"11605"</f>
        <v>11605</v>
      </c>
      <c r="B97" s="2" t="str">
        <f>"3/8 MXE10 HALYARD SHKLE MAX 9/16 ROPE"</f>
        <v>3/8 MXE10 HALYARD SHKLE MAX 9/16 ROPE</v>
      </c>
      <c r="C97" s="4">
        <v>251.8</v>
      </c>
      <c r="D97" s="5">
        <v>101.98</v>
      </c>
    </row>
    <row r="98" spans="1:4" x14ac:dyDescent="0.25">
      <c r="A98" s="2" t="str">
        <f>"11613"</f>
        <v>11613</v>
      </c>
      <c r="B98" s="2" t="str">
        <f>"1/4 MXE6 ALLEN H SHKLE MAX 5/16 ROPE"</f>
        <v>1/4 MXE6 ALLEN H SHKLE MAX 5/16 ROPE</v>
      </c>
      <c r="C98" s="4">
        <v>163.9</v>
      </c>
      <c r="D98" s="5">
        <v>66.38</v>
      </c>
    </row>
    <row r="99" spans="1:4" x14ac:dyDescent="0.25">
      <c r="A99" s="2" t="str">
        <f>"11614"</f>
        <v>11614</v>
      </c>
      <c r="B99" s="2" t="str">
        <f>"5/16 MXE8 ALLEN H SHKLE MAX 3/8 ROPE"</f>
        <v>5/16 MXE8 ALLEN H SHKLE MAX 3/8 ROPE</v>
      </c>
      <c r="C99" s="4">
        <v>210.6</v>
      </c>
      <c r="D99" s="5">
        <v>85.29</v>
      </c>
    </row>
    <row r="100" spans="1:4" x14ac:dyDescent="0.25">
      <c r="A100" s="2" t="str">
        <f>"11615"</f>
        <v>11615</v>
      </c>
      <c r="B100" s="2" t="str">
        <f>"3/8 MXE10 ALLEN H SHKLE MAX 9/16 ROPE"</f>
        <v>3/8 MXE10 ALLEN H SHKLE MAX 9/16 ROPE</v>
      </c>
      <c r="C100" s="4">
        <v>280.89999999999998</v>
      </c>
      <c r="D100" s="5">
        <v>113.76</v>
      </c>
    </row>
    <row r="101" spans="1:4" x14ac:dyDescent="0.25">
      <c r="A101" s="2" t="str">
        <f>"11806"</f>
        <v>11806</v>
      </c>
      <c r="B101" s="2" t="str">
        <f>"15/32 HR THIMBLE SHACKLE"</f>
        <v>15/32 HR THIMBLE SHACKLE</v>
      </c>
      <c r="C101" s="4">
        <v>620.29999999999995</v>
      </c>
      <c r="D101" s="5">
        <v>251.22</v>
      </c>
    </row>
    <row r="102" spans="1:4" x14ac:dyDescent="0.25">
      <c r="A102" s="2" t="str">
        <f>"11816"</f>
        <v>11816</v>
      </c>
      <c r="B102" s="2" t="str">
        <f>"15/32 HR THIMBLE SHACKLE W/FLAT HEA"</f>
        <v>15/32 HR THIMBLE SHACKLE W/FLAT HEA</v>
      </c>
      <c r="C102" s="4">
        <v>579.20000000000005</v>
      </c>
      <c r="D102" s="5">
        <v>234.58</v>
      </c>
    </row>
    <row r="103" spans="1:4" x14ac:dyDescent="0.25">
      <c r="A103" s="2" t="str">
        <f>"91432"</f>
        <v>91432</v>
      </c>
      <c r="B103" s="2" t="str">
        <f>"3/16 KEY PIN HR SHACKLE WITH BAR"</f>
        <v>3/16 KEY PIN HR SHACKLE WITH BAR</v>
      </c>
      <c r="C103" s="4">
        <v>52.5</v>
      </c>
      <c r="D103" s="5">
        <v>21.26</v>
      </c>
    </row>
    <row r="104" spans="1:4" x14ac:dyDescent="0.25">
      <c r="A104" s="2" t="str">
        <f>"91433"</f>
        <v>91433</v>
      </c>
      <c r="B104" s="2" t="str">
        <f>"1/4 KEY PIN HR SHACKLE WITH BAR"</f>
        <v>1/4 KEY PIN HR SHACKLE WITH BAR</v>
      </c>
      <c r="C104" s="4">
        <v>66.7</v>
      </c>
      <c r="D104" s="5">
        <v>27.01</v>
      </c>
    </row>
    <row r="105" spans="1:4" x14ac:dyDescent="0.25">
      <c r="A105" s="2" t="str">
        <f>"91434"</f>
        <v>91434</v>
      </c>
      <c r="B105" s="2" t="str">
        <f>"5/16 KEY PIN HR SHACKLE WITH BAR"</f>
        <v>5/16 KEY PIN HR SHACKLE WITH BAR</v>
      </c>
      <c r="C105" s="4">
        <v>108.8</v>
      </c>
      <c r="D105" s="5">
        <v>44.06</v>
      </c>
    </row>
    <row r="106" spans="1:4" x14ac:dyDescent="0.25">
      <c r="A106" s="2" t="str">
        <f>"11603"</f>
        <v>11603</v>
      </c>
      <c r="B106" s="2" t="str">
        <f>"1/4 MXE6 HALYARD SHKLE MAX 5/16 ROPE"</f>
        <v>1/4 MXE6 HALYARD SHKLE MAX 5/16 ROPE</v>
      </c>
      <c r="C106" s="4">
        <v>149.9</v>
      </c>
      <c r="D106" s="5">
        <v>60.71</v>
      </c>
    </row>
    <row r="107" spans="1:4" x14ac:dyDescent="0.25">
      <c r="A107" s="2" t="str">
        <f>"07321"</f>
        <v>07321</v>
      </c>
      <c r="B107" s="2" t="str">
        <f>"CLAMP - 9MM TORSION CABLE"</f>
        <v>CLAMP - 9MM TORSION CABLE</v>
      </c>
      <c r="C107" s="4">
        <v>89.7</v>
      </c>
      <c r="D107" s="5">
        <v>36.33</v>
      </c>
    </row>
    <row r="108" spans="1:4" x14ac:dyDescent="0.25">
      <c r="A108" s="2" t="str">
        <f>"51203"</f>
        <v>51203</v>
      </c>
      <c r="B108" s="2" t="str">
        <f>"1/4 TITANIUM D SHACKLE"</f>
        <v>1/4 TITANIUM D SHACKLE</v>
      </c>
      <c r="C108" s="4">
        <v>267.3</v>
      </c>
      <c r="D108" s="5">
        <v>108.26</v>
      </c>
    </row>
    <row r="109" spans="1:4" x14ac:dyDescent="0.25">
      <c r="A109" s="2" t="str">
        <f>"51204"</f>
        <v>51204</v>
      </c>
      <c r="B109" s="2" t="str">
        <f>"5/16 TITANIUM D SHACKLE"</f>
        <v>5/16 TITANIUM D SHACKLE</v>
      </c>
      <c r="C109" s="4">
        <v>376.6</v>
      </c>
      <c r="D109" s="5">
        <v>152.52000000000001</v>
      </c>
    </row>
    <row r="110" spans="1:4" x14ac:dyDescent="0.25">
      <c r="A110" s="2" t="str">
        <f>"51245"</f>
        <v>51245</v>
      </c>
      <c r="B110" s="2" t="str">
        <f>"13/32 TITANIUM BOW SHACKLE"</f>
        <v>13/32 TITANIUM BOW SHACKLE</v>
      </c>
      <c r="C110" s="4">
        <v>550.29999999999995</v>
      </c>
      <c r="D110" s="5">
        <v>222.87</v>
      </c>
    </row>
    <row r="111" spans="1:4" x14ac:dyDescent="0.25">
      <c r="A111" s="2" t="str">
        <f>"51246"</f>
        <v>51246</v>
      </c>
      <c r="B111" s="2" t="str">
        <f>"15/32 TITANIUM BOW SHACKLE"</f>
        <v>15/32 TITANIUM BOW SHACKLE</v>
      </c>
      <c r="C111" s="4">
        <v>796</v>
      </c>
      <c r="D111" s="5">
        <v>322.38</v>
      </c>
    </row>
    <row r="112" spans="1:4" x14ac:dyDescent="0.25">
      <c r="A112" s="2" t="str">
        <f>"511806"</f>
        <v>511806</v>
      </c>
      <c r="B112" s="2" t="str">
        <f>"15/32 TITANIUM THIMBLE SHACKLE"</f>
        <v>15/32 TITANIUM THIMBLE SHACKLE</v>
      </c>
      <c r="C112" s="4">
        <v>825.8</v>
      </c>
      <c r="D112" s="5">
        <v>334.45</v>
      </c>
    </row>
    <row r="113" spans="1:4" x14ac:dyDescent="0.25">
      <c r="A113" s="2" t="str">
        <f>"581433"</f>
        <v>581433</v>
      </c>
      <c r="B113" s="2" t="str">
        <f>"1/4 KEY PIN TITANIUM SHACKLE WITH B"</f>
        <v>1/4 KEY PIN TITANIUM SHACKLE WITH B</v>
      </c>
      <c r="C113" s="4">
        <v>227</v>
      </c>
      <c r="D113" s="5">
        <v>91.94</v>
      </c>
    </row>
    <row r="114" spans="1:4" x14ac:dyDescent="0.25">
      <c r="A114" s="2" t="str">
        <f>"21203"</f>
        <v>21203</v>
      </c>
      <c r="B114" s="2" t="str">
        <f>"LINK FOR #3 SOFTLINK"</f>
        <v>LINK FOR #3 SOFTLINK</v>
      </c>
      <c r="C114" s="4">
        <v>19.899999999999999</v>
      </c>
      <c r="D114" s="5">
        <v>8.06</v>
      </c>
    </row>
    <row r="115" spans="1:4" x14ac:dyDescent="0.25">
      <c r="A115" s="2" t="str">
        <f>"21204"</f>
        <v>21204</v>
      </c>
      <c r="B115" s="2" t="str">
        <f>"LINK FOR #4 SOFTLINK"</f>
        <v>LINK FOR #4 SOFTLINK</v>
      </c>
      <c r="C115" s="4">
        <v>25.8</v>
      </c>
      <c r="D115" s="5">
        <v>10.45</v>
      </c>
    </row>
    <row r="116" spans="1:4" x14ac:dyDescent="0.25">
      <c r="A116" s="2" t="str">
        <f>"21205"</f>
        <v>21205</v>
      </c>
      <c r="B116" s="2" t="str">
        <f>"LINK FOR #5 SOFTLINK"</f>
        <v>LINK FOR #5 SOFTLINK</v>
      </c>
      <c r="C116" s="4">
        <v>31.6</v>
      </c>
      <c r="D116" s="5">
        <v>12.8</v>
      </c>
    </row>
    <row r="117" spans="1:4" x14ac:dyDescent="0.25">
      <c r="A117" s="2" t="str">
        <f>"21223"</f>
        <v>21223</v>
      </c>
      <c r="B117" s="2" t="str">
        <f>"SOFTLINK 3.0"</f>
        <v>SOFTLINK 3.0</v>
      </c>
      <c r="C117" s="4">
        <v>39.9</v>
      </c>
      <c r="D117" s="5">
        <v>16.16</v>
      </c>
    </row>
    <row r="118" spans="1:4" x14ac:dyDescent="0.25">
      <c r="A118" s="2" t="str">
        <f>"21224"</f>
        <v>21224</v>
      </c>
      <c r="B118" s="2" t="str">
        <f>"SOFTLINK 4.0"</f>
        <v>SOFTLINK 4.0</v>
      </c>
      <c r="C118" s="4">
        <v>51.3</v>
      </c>
      <c r="D118" s="5">
        <v>20.78</v>
      </c>
    </row>
    <row r="119" spans="1:4" x14ac:dyDescent="0.25">
      <c r="A119" s="2" t="str">
        <f>"21225"</f>
        <v>21225</v>
      </c>
      <c r="B119" s="2" t="str">
        <f>"SOFTLINK 5.0"</f>
        <v>SOFTLINK 5.0</v>
      </c>
      <c r="C119" s="4">
        <v>62.7</v>
      </c>
      <c r="D119" s="5">
        <v>25.39</v>
      </c>
    </row>
    <row r="120" spans="1:4" x14ac:dyDescent="0.25">
      <c r="A120" s="2" t="str">
        <f>"01363"</f>
        <v>01363</v>
      </c>
      <c r="B120" s="2" t="str">
        <f>"1/4 ALLEN HEAD LARGE OPENING D SHAC"</f>
        <v>1/4 ALLEN HEAD LARGE OPENING D SHAC</v>
      </c>
      <c r="C120" s="4">
        <v>44.8</v>
      </c>
      <c r="D120" s="5">
        <v>18.14</v>
      </c>
    </row>
    <row r="121" spans="1:4" x14ac:dyDescent="0.25">
      <c r="A121" s="2" t="str">
        <f>"01252"</f>
        <v>01252</v>
      </c>
      <c r="B121" s="2" t="str">
        <f>"3/16 PIN FOR SHACKLE"</f>
        <v>3/16 PIN FOR SHACKLE</v>
      </c>
      <c r="C121" s="4">
        <v>4.5</v>
      </c>
      <c r="D121" s="5">
        <v>1.82</v>
      </c>
    </row>
    <row r="122" spans="1:4" x14ac:dyDescent="0.25">
      <c r="A122" s="2" t="str">
        <f>"01253"</f>
        <v>01253</v>
      </c>
      <c r="B122" s="2" t="str">
        <f>"1/4 PIN FOR SHACKLE"</f>
        <v>1/4 PIN FOR SHACKLE</v>
      </c>
      <c r="C122" s="4">
        <v>6.2</v>
      </c>
      <c r="D122" s="5">
        <v>2.5099999999999998</v>
      </c>
    </row>
    <row r="123" spans="1:4" x14ac:dyDescent="0.25">
      <c r="A123" s="2" t="str">
        <f>"01254"</f>
        <v>01254</v>
      </c>
      <c r="B123" s="2" t="str">
        <f>"5/16 PIN FOR SHACKLE"</f>
        <v>5/16 PIN FOR SHACKLE</v>
      </c>
      <c r="C123" s="4">
        <v>9</v>
      </c>
      <c r="D123" s="5">
        <v>3.65</v>
      </c>
    </row>
    <row r="124" spans="1:4" x14ac:dyDescent="0.25">
      <c r="A124" s="2" t="str">
        <f>"01255"</f>
        <v>01255</v>
      </c>
      <c r="B124" s="2" t="str">
        <f>"13/32 PIN FOR SHACKLE"</f>
        <v>13/32 PIN FOR SHACKLE</v>
      </c>
      <c r="C124" s="4">
        <v>14.1</v>
      </c>
      <c r="D124" s="5">
        <v>5.71</v>
      </c>
    </row>
    <row r="125" spans="1:4" x14ac:dyDescent="0.25">
      <c r="A125" s="2" t="str">
        <f>"01256"</f>
        <v>01256</v>
      </c>
      <c r="B125" s="2" t="str">
        <f>"15/32 PIN FOR SHACKLE"</f>
        <v>15/32 PIN FOR SHACKLE</v>
      </c>
      <c r="C125" s="4">
        <v>24</v>
      </c>
      <c r="D125" s="5">
        <v>9.7200000000000006</v>
      </c>
    </row>
    <row r="126" spans="1:4" x14ac:dyDescent="0.25">
      <c r="A126" s="2" t="str">
        <f>"11253"</f>
        <v>11253</v>
      </c>
      <c r="B126" s="2" t="str">
        <f>"1/4 HR PIN FOR SHACKLE"</f>
        <v>1/4 HR PIN FOR SHACKLE</v>
      </c>
      <c r="C126" s="4">
        <v>63</v>
      </c>
      <c r="D126" s="5">
        <v>25.52</v>
      </c>
    </row>
    <row r="127" spans="1:4" x14ac:dyDescent="0.25">
      <c r="A127" s="2" t="str">
        <f>"11254"</f>
        <v>11254</v>
      </c>
      <c r="B127" s="2" t="str">
        <f>"5/16 HR PIN FOR SHACKLE"</f>
        <v>5/16 HR PIN FOR SHACKLE</v>
      </c>
      <c r="C127" s="4">
        <v>61.7</v>
      </c>
      <c r="D127" s="5">
        <v>24.99</v>
      </c>
    </row>
    <row r="128" spans="1:4" x14ac:dyDescent="0.25">
      <c r="A128" s="2" t="str">
        <f>"11255"</f>
        <v>11255</v>
      </c>
      <c r="B128" s="2" t="str">
        <f>"13/32 HR PIN FOR SHACKLE"</f>
        <v>13/32 HR PIN FOR SHACKLE</v>
      </c>
      <c r="C128" s="4">
        <v>63</v>
      </c>
      <c r="D128" s="5">
        <v>25.52</v>
      </c>
    </row>
    <row r="129" spans="1:4" x14ac:dyDescent="0.25">
      <c r="A129" s="2" t="str">
        <f>"11256"</f>
        <v>11256</v>
      </c>
      <c r="B129" s="2" t="str">
        <f>"15/32 HR PIN FOR SHACKLE"</f>
        <v>15/32 HR PIN FOR SHACKLE</v>
      </c>
      <c r="C129" s="4">
        <v>61.7</v>
      </c>
      <c r="D129" s="5">
        <v>24.99</v>
      </c>
    </row>
    <row r="130" spans="1:4" x14ac:dyDescent="0.25">
      <c r="A130" s="2" t="str">
        <f>"11257"</f>
        <v>11257</v>
      </c>
      <c r="B130" s="2" t="str">
        <f>"9/16 HR PIN"</f>
        <v>9/16 HR PIN</v>
      </c>
      <c r="C130" s="4">
        <v>63</v>
      </c>
      <c r="D130" s="5">
        <v>25.52</v>
      </c>
    </row>
    <row r="131" spans="1:4" x14ac:dyDescent="0.25">
      <c r="A131" s="2" t="str">
        <f>"11259"</f>
        <v>11259</v>
      </c>
      <c r="B131" s="2" t="str">
        <f>"15/16 HR PIN FOR SHACKLE"</f>
        <v>15/16 HR PIN FOR SHACKLE</v>
      </c>
      <c r="C131" s="4">
        <v>63</v>
      </c>
      <c r="D131" s="5">
        <v>25.52</v>
      </c>
    </row>
    <row r="132" spans="1:4" x14ac:dyDescent="0.25">
      <c r="A132" s="2" t="str">
        <f>"02270"</f>
        <v>02270</v>
      </c>
      <c r="B132" s="2" t="str">
        <f>"1 3/8 SNAP - WEBBING LADDER LOCK S/S"</f>
        <v>1 3/8 SNAP - WEBBING LADDER LOCK S/S</v>
      </c>
      <c r="C132" s="4">
        <v>99.5</v>
      </c>
      <c r="D132" s="5">
        <v>40.299999999999997</v>
      </c>
    </row>
    <row r="133" spans="1:4" x14ac:dyDescent="0.25">
      <c r="A133" s="2" t="str">
        <f>"02270-ALU"</f>
        <v>02270-ALU</v>
      </c>
      <c r="B133" s="2" t="str">
        <f>"1 3/8 SNAP - WEBBING LADDER LOCK ALUM."</f>
        <v>1 3/8 SNAP - WEBBING LADDER LOCK ALUM.</v>
      </c>
      <c r="C133" s="4">
        <v>105.3</v>
      </c>
      <c r="D133" s="5">
        <v>42.65</v>
      </c>
    </row>
    <row r="134" spans="1:4" x14ac:dyDescent="0.25">
      <c r="A134" s="2" t="str">
        <f>"02470"</f>
        <v>02470</v>
      </c>
      <c r="B134" s="2" t="str">
        <f>"1 3/8 SNAP - FIXED EYE"</f>
        <v>1 3/8 SNAP - FIXED EYE</v>
      </c>
      <c r="C134" s="4">
        <v>58.2</v>
      </c>
      <c r="D134" s="5">
        <v>23.57</v>
      </c>
    </row>
    <row r="135" spans="1:4" x14ac:dyDescent="0.25">
      <c r="A135" s="2" t="str">
        <f>"02471"</f>
        <v>02471</v>
      </c>
      <c r="B135" s="2" t="str">
        <f>"2 SNAP - FIXED EYE"</f>
        <v>2 SNAP - FIXED EYE</v>
      </c>
      <c r="C135" s="4">
        <v>65.5</v>
      </c>
      <c r="D135" s="5">
        <v>26.53</v>
      </c>
    </row>
    <row r="136" spans="1:4" x14ac:dyDescent="0.25">
      <c r="A136" s="2" t="str">
        <f>"02472"</f>
        <v>02472</v>
      </c>
      <c r="B136" s="2" t="str">
        <f>"2 3/4 SNAP - FIXED EYE"</f>
        <v>2 3/4 SNAP - FIXED EYE</v>
      </c>
      <c r="C136" s="4">
        <v>98.6</v>
      </c>
      <c r="D136" s="5">
        <v>39.93</v>
      </c>
    </row>
    <row r="137" spans="1:4" x14ac:dyDescent="0.25">
      <c r="A137" s="2" t="str">
        <f>"2470BS"</f>
        <v>2470BS</v>
      </c>
      <c r="B137" s="2" t="str">
        <f>"1 3/8 SNAP FIXED EYE SHINY BLACK"</f>
        <v>1 3/8 SNAP FIXED EYE SHINY BLACK</v>
      </c>
      <c r="C137" s="4">
        <v>83</v>
      </c>
      <c r="D137" s="5">
        <v>33.619999999999997</v>
      </c>
    </row>
    <row r="138" spans="1:4" x14ac:dyDescent="0.25">
      <c r="A138" s="2" t="str">
        <f>"02295"</f>
        <v>02295</v>
      </c>
      <c r="B138" s="2" t="str">
        <f>"2 1/8 CLEVIS PIN SNAP SHACKLE"</f>
        <v>2 1/8 CLEVIS PIN SNAP SHACKLE</v>
      </c>
      <c r="C138" s="4">
        <v>124.5</v>
      </c>
      <c r="D138" s="5">
        <v>50.42</v>
      </c>
    </row>
    <row r="139" spans="1:4" x14ac:dyDescent="0.25">
      <c r="A139" s="2" t="str">
        <f>"02297"</f>
        <v>02297</v>
      </c>
      <c r="B139" s="2" t="str">
        <f>"3 3/8 CLEVIS PIN SNAP SHACKLE"</f>
        <v>3 3/8 CLEVIS PIN SNAP SHACKLE</v>
      </c>
      <c r="C139" s="4">
        <v>149.5</v>
      </c>
      <c r="D139" s="5">
        <v>60.55</v>
      </c>
    </row>
    <row r="140" spans="1:4" x14ac:dyDescent="0.25">
      <c r="A140" s="2" t="str">
        <f>"02293"</f>
        <v>02293</v>
      </c>
      <c r="B140" s="2" t="str">
        <f>"2 CLEVIS PIN SNAP SHACKLE(52MM)"</f>
        <v>2 CLEVIS PIN SNAP SHACKLE(52MM)</v>
      </c>
      <c r="C140" s="4">
        <v>97.3</v>
      </c>
      <c r="D140" s="5">
        <v>39.409999999999997</v>
      </c>
    </row>
    <row r="141" spans="1:4" x14ac:dyDescent="0.25">
      <c r="A141" s="2" t="str">
        <f>"72473"</f>
        <v>72473</v>
      </c>
      <c r="B141" s="2" t="str">
        <f>"3 1/8 SNAP W/O BAIL  W/INDENT (NO H"</f>
        <v>3 1/8 SNAP W/O BAIL  W/INDENT (NO H</v>
      </c>
      <c r="C141" s="4">
        <v>72.400000000000006</v>
      </c>
      <c r="D141" s="5">
        <v>29.32</v>
      </c>
    </row>
    <row r="142" spans="1:4" x14ac:dyDescent="0.25">
      <c r="A142" s="2" t="str">
        <f>"72473A"</f>
        <v>72473A</v>
      </c>
      <c r="B142" s="2" t="str">
        <f>"3 1/8 SNAP W/O BAIL  W/HOLE"</f>
        <v>3 1/8 SNAP W/O BAIL  W/HOLE</v>
      </c>
      <c r="C142" s="4">
        <v>74.900000000000006</v>
      </c>
      <c r="D142" s="5">
        <v>30.33</v>
      </c>
    </row>
    <row r="143" spans="1:4" x14ac:dyDescent="0.25">
      <c r="A143" s="2" t="str">
        <f>"72475"</f>
        <v>72475</v>
      </c>
      <c r="B143" s="2" t="str">
        <f>"SNAP W/O SWIVEL"</f>
        <v>SNAP W/O SWIVEL</v>
      </c>
      <c r="C143" s="4">
        <v>94.3</v>
      </c>
      <c r="D143" s="5">
        <v>38.19</v>
      </c>
    </row>
    <row r="144" spans="1:4" x14ac:dyDescent="0.25">
      <c r="A144" s="2" t="str">
        <f>"72477"</f>
        <v>72477</v>
      </c>
      <c r="B144" s="2" t="str">
        <f>"SNAP W/O SWIVEL"</f>
        <v>SNAP W/O SWIVEL</v>
      </c>
      <c r="C144" s="4">
        <v>163.80000000000001</v>
      </c>
      <c r="D144" s="5">
        <v>66.34</v>
      </c>
    </row>
    <row r="145" spans="1:4" x14ac:dyDescent="0.25">
      <c r="A145" s="2" t="str">
        <f>"02473"</f>
        <v>02473</v>
      </c>
      <c r="B145" s="2" t="str">
        <f>"2 3/4 SNAP - SWIVEL EYE"</f>
        <v>2 3/4 SNAP - SWIVEL EYE</v>
      </c>
      <c r="C145" s="4">
        <v>85.2</v>
      </c>
      <c r="D145" s="5">
        <v>34.51</v>
      </c>
    </row>
    <row r="146" spans="1:4" x14ac:dyDescent="0.25">
      <c r="A146" s="2" t="str">
        <f>"02475"</f>
        <v>02475</v>
      </c>
      <c r="B146" s="2" t="str">
        <f>"3 1/2 SNAP - SWIVEL EYE"</f>
        <v>3 1/2 SNAP - SWIVEL EYE</v>
      </c>
      <c r="C146" s="4">
        <v>100.2</v>
      </c>
      <c r="D146" s="5">
        <v>40.58</v>
      </c>
    </row>
    <row r="147" spans="1:4" x14ac:dyDescent="0.25">
      <c r="A147" s="2" t="str">
        <f>"02477"</f>
        <v>02477</v>
      </c>
      <c r="B147" s="2" t="str">
        <f>"4 3/4 SNAP - SWIVEL EYE"</f>
        <v>4 3/4 SNAP - SWIVEL EYE</v>
      </c>
      <c r="C147" s="4">
        <v>182.5</v>
      </c>
      <c r="D147" s="5">
        <v>73.91</v>
      </c>
    </row>
    <row r="148" spans="1:4" x14ac:dyDescent="0.25">
      <c r="A148" s="2" t="str">
        <f>"52475"</f>
        <v>52475</v>
      </c>
      <c r="B148" s="2" t="str">
        <f>"3 1/2 SNAP - SWIVEL EYE TITANIUM"</f>
        <v>3 1/2 SNAP - SWIVEL EYE TITANIUM</v>
      </c>
      <c r="C148" s="4">
        <v>747.2</v>
      </c>
      <c r="D148" s="5">
        <v>302.62</v>
      </c>
    </row>
    <row r="149" spans="1:4" x14ac:dyDescent="0.25">
      <c r="A149" s="2" t="str">
        <f>"82475"</f>
        <v>82475</v>
      </c>
      <c r="B149" s="2" t="str">
        <f>"3 1/2 SNAP - SWIVEL EYE - BALL BEAR"</f>
        <v>3 1/2 SNAP - SWIVEL EYE - BALL BEAR</v>
      </c>
      <c r="C149" s="4">
        <v>185</v>
      </c>
      <c r="D149" s="5">
        <v>74.930000000000007</v>
      </c>
    </row>
    <row r="150" spans="1:4" x14ac:dyDescent="0.25">
      <c r="A150" s="2" t="str">
        <f>"82477"</f>
        <v>82477</v>
      </c>
      <c r="B150" s="2" t="str">
        <f>"4 3/4 SNAP - SWIVEL EYE  - BALL BEA"</f>
        <v>4 3/4 SNAP - SWIVEL EYE  - BALL BEA</v>
      </c>
      <c r="C150" s="4">
        <v>302.60000000000002</v>
      </c>
      <c r="D150" s="5">
        <v>122.55</v>
      </c>
    </row>
    <row r="151" spans="1:4" x14ac:dyDescent="0.25">
      <c r="A151" s="2" t="str">
        <f>"02493"</f>
        <v>02493</v>
      </c>
      <c r="B151" s="2" t="str">
        <f>"3 3/4 SNAP SHACKLE WITH THIMBLE EYE"</f>
        <v>3 3/4 SNAP SHACKLE WITH THIMBLE EYE</v>
      </c>
      <c r="C151" s="4">
        <v>106.3</v>
      </c>
      <c r="D151" s="5">
        <v>43.05</v>
      </c>
    </row>
    <row r="152" spans="1:4" x14ac:dyDescent="0.25">
      <c r="A152" s="2" t="str">
        <f>"02495"</f>
        <v>02495</v>
      </c>
      <c r="B152" s="2" t="str">
        <f>"4 5/16 SNAP SHACKLE WITH THIMBLE EY"</f>
        <v>4 5/16 SNAP SHACKLE WITH THIMBLE EY</v>
      </c>
      <c r="C152" s="4">
        <v>121.3</v>
      </c>
      <c r="D152" s="5">
        <v>49.13</v>
      </c>
    </row>
    <row r="153" spans="1:4" x14ac:dyDescent="0.25">
      <c r="A153" s="2" t="str">
        <f>"02373"</f>
        <v>02373</v>
      </c>
      <c r="B153" s="2" t="str">
        <f>"3 1/8 SNAP - LARGE BAIL"</f>
        <v>3 1/8 SNAP - LARGE BAIL</v>
      </c>
      <c r="C153" s="4">
        <v>95.5</v>
      </c>
      <c r="D153" s="5">
        <v>38.68</v>
      </c>
    </row>
    <row r="154" spans="1:4" x14ac:dyDescent="0.25">
      <c r="A154" s="2" t="str">
        <f>"02375"</f>
        <v>02375</v>
      </c>
      <c r="B154" s="2" t="str">
        <f>"4 1/8 SNAP - LARGE BAIL"</f>
        <v>4 1/8 SNAP - LARGE BAIL</v>
      </c>
      <c r="C154" s="4">
        <v>136.4</v>
      </c>
      <c r="D154" s="5">
        <v>55.24</v>
      </c>
    </row>
    <row r="155" spans="1:4" x14ac:dyDescent="0.25">
      <c r="A155" s="2" t="str">
        <f>"02377"</f>
        <v>02377</v>
      </c>
      <c r="B155" s="2" t="str">
        <f>"5 1/2 SNAP - LARGE BAIL"</f>
        <v>5 1/2 SNAP - LARGE BAIL</v>
      </c>
      <c r="C155" s="4">
        <v>212.2</v>
      </c>
      <c r="D155" s="5">
        <v>85.94</v>
      </c>
    </row>
    <row r="156" spans="1:4" x14ac:dyDescent="0.25">
      <c r="A156" s="2" t="str">
        <f>"02374"</f>
        <v>02374</v>
      </c>
      <c r="B156" s="2" t="str">
        <f>"3 1/8 WEB SNAP SHACKLE"</f>
        <v>3 1/8 WEB SNAP SHACKLE</v>
      </c>
      <c r="C156" s="4">
        <v>121.3</v>
      </c>
      <c r="D156" s="5">
        <v>49.13</v>
      </c>
    </row>
    <row r="157" spans="1:4" x14ac:dyDescent="0.25">
      <c r="A157" s="2" t="str">
        <f>"02376"</f>
        <v>02376</v>
      </c>
      <c r="B157" s="2" t="str">
        <f>"4 WEB SNAP SHACKLE"</f>
        <v>4 WEB SNAP SHACKLE</v>
      </c>
      <c r="C157" s="4">
        <v>151.6</v>
      </c>
      <c r="D157" s="5">
        <v>61.4</v>
      </c>
    </row>
    <row r="158" spans="1:4" x14ac:dyDescent="0.25">
      <c r="A158" s="2" t="str">
        <f>"02474"</f>
        <v>02474</v>
      </c>
      <c r="B158" s="2" t="str">
        <f>"2 3/4 SNAP SWIVEL CLEVIS"</f>
        <v>2 3/4 SNAP SWIVEL CLEVIS</v>
      </c>
      <c r="C158" s="4">
        <v>91</v>
      </c>
      <c r="D158" s="5">
        <v>36.86</v>
      </c>
    </row>
    <row r="159" spans="1:4" x14ac:dyDescent="0.25">
      <c r="A159" s="2" t="str">
        <f>"02476"</f>
        <v>02476</v>
      </c>
      <c r="B159" s="2" t="str">
        <f>"3 7/8 SNAP SWIVEL CLEVIS"</f>
        <v>3 7/8 SNAP SWIVEL CLEVIS</v>
      </c>
      <c r="C159" s="4">
        <v>121.3</v>
      </c>
      <c r="D159" s="5">
        <v>49.13</v>
      </c>
    </row>
    <row r="160" spans="1:4" x14ac:dyDescent="0.25">
      <c r="A160" s="2" t="str">
        <f>"02478"</f>
        <v>02478</v>
      </c>
      <c r="B160" s="2" t="str">
        <f>"4 3/4 SNAP SWIVEL CLEVIS"</f>
        <v>4 3/4 SNAP SWIVEL CLEVIS</v>
      </c>
      <c r="C160" s="4">
        <v>227</v>
      </c>
      <c r="D160" s="5">
        <v>91.94</v>
      </c>
    </row>
    <row r="161" spans="1:4" x14ac:dyDescent="0.25">
      <c r="A161" s="2" t="str">
        <f>"02273"</f>
        <v>02273</v>
      </c>
      <c r="B161" s="2" t="str">
        <f>"3 11/32 SNAP SHACKLE W/ EYE TOGGLE"</f>
        <v>3 11/32 SNAP SHACKLE W/ EYE TOGGLE</v>
      </c>
      <c r="C161" s="4">
        <v>174.2</v>
      </c>
      <c r="D161" s="5">
        <v>70.55</v>
      </c>
    </row>
    <row r="162" spans="1:4" x14ac:dyDescent="0.25">
      <c r="A162" s="2" t="str">
        <f>"02275"</f>
        <v>02275</v>
      </c>
      <c r="B162" s="2" t="str">
        <f>"4 5/16 SNAP SHACKLE W/ EYE TOGGLE"</f>
        <v>4 5/16 SNAP SHACKLE W/ EYE TOGGLE</v>
      </c>
      <c r="C162" s="4">
        <v>204.3</v>
      </c>
      <c r="D162" s="5">
        <v>82.74</v>
      </c>
    </row>
    <row r="163" spans="1:4" x14ac:dyDescent="0.25">
      <c r="A163" s="2" t="str">
        <f>"02650"</f>
        <v>02650</v>
      </c>
      <c r="B163" s="2" t="str">
        <f>"2 11/12 TRIGGER SNAP SWIVEL (SPEEDLINK)"</f>
        <v>2 11/12 TRIGGER SNAP SWIVEL (SPEEDLINK)</v>
      </c>
      <c r="C163" s="4">
        <v>187.3</v>
      </c>
      <c r="D163" s="5">
        <v>75.86</v>
      </c>
    </row>
    <row r="164" spans="1:4" x14ac:dyDescent="0.25">
      <c r="A164" s="2" t="str">
        <f>"52653"</f>
        <v>52653</v>
      </c>
      <c r="B164" s="2" t="str">
        <f>"3 3/8 TRIGGER SNAP SWIVEL EYE TITAN"</f>
        <v>3 3/8 TRIGGER SNAP SWIVEL EYE TITAN</v>
      </c>
      <c r="C164" s="4">
        <v>560.6</v>
      </c>
      <c r="D164" s="5">
        <v>227.04</v>
      </c>
    </row>
    <row r="165" spans="1:4" x14ac:dyDescent="0.25">
      <c r="A165" s="2" t="str">
        <f>"52657"</f>
        <v>52657</v>
      </c>
      <c r="B165" s="2" t="str">
        <f>"5 TRIGGER SNAP SWIVEL EYE TITANIUM"</f>
        <v>5 TRIGGER SNAP SWIVEL EYE TITANIUM</v>
      </c>
      <c r="C165" s="4">
        <v>871.8</v>
      </c>
      <c r="D165" s="5">
        <v>353.08</v>
      </c>
    </row>
    <row r="166" spans="1:4" x14ac:dyDescent="0.25">
      <c r="A166" s="2" t="str">
        <f>"02652"</f>
        <v>02652</v>
      </c>
      <c r="B166" s="2" t="str">
        <f>"3 1/2 TRIGGER SNAP SWIVEL (SPEEDLINK)"</f>
        <v>3 1/2 TRIGGER SNAP SWIVEL (SPEEDLINK)</v>
      </c>
      <c r="C166" s="4">
        <v>210.7</v>
      </c>
      <c r="D166" s="5">
        <v>85.33</v>
      </c>
    </row>
    <row r="167" spans="1:4" x14ac:dyDescent="0.25">
      <c r="A167" s="2" t="str">
        <f>"02654"</f>
        <v>02654</v>
      </c>
      <c r="B167" s="2" t="str">
        <f>"4 1/4 TRIGGER SNAP SWIVEL (SPEEDLINK)"</f>
        <v>4 1/4 TRIGGER SNAP SWIVEL (SPEEDLINK)</v>
      </c>
      <c r="C167" s="4">
        <v>281</v>
      </c>
      <c r="D167" s="5">
        <v>113.81</v>
      </c>
    </row>
    <row r="168" spans="1:4" x14ac:dyDescent="0.25">
      <c r="A168" s="2" t="str">
        <f>"02656"</f>
        <v>02656</v>
      </c>
      <c r="B168" s="2" t="str">
        <f>"5 1/8 TRIGGER SNAP SWIVEL EYE(SPEEDLINK)"</f>
        <v>5 1/8 TRIGGER SNAP SWIVEL EYE(SPEEDLINK)</v>
      </c>
      <c r="C168" s="4">
        <v>339.6</v>
      </c>
      <c r="D168" s="5">
        <v>137.54</v>
      </c>
    </row>
    <row r="169" spans="1:4" x14ac:dyDescent="0.25">
      <c r="A169" s="2" t="str">
        <f>"02750"</f>
        <v>02750</v>
      </c>
      <c r="B169" s="2" t="str">
        <f>"2 3/4 TRIGGER SNAP WEBBING EYE(SPEEDLINK"</f>
        <v>2 3/4 TRIGGER SNAP WEBBING EYE(SPEEDLINK</v>
      </c>
      <c r="C169" s="4">
        <v>210.7</v>
      </c>
      <c r="D169" s="5">
        <v>85.33</v>
      </c>
    </row>
    <row r="170" spans="1:4" x14ac:dyDescent="0.25">
      <c r="A170" s="2" t="str">
        <f>"02752"</f>
        <v>02752</v>
      </c>
      <c r="B170" s="2" t="str">
        <f>"3 1/8 TRIGGER SNAP WEBBING EYE(SPEEDLINK"</f>
        <v>3 1/8 TRIGGER SNAP WEBBING EYE(SPEEDLINK</v>
      </c>
      <c r="C170" s="4">
        <v>234.1</v>
      </c>
      <c r="D170" s="5">
        <v>94.81</v>
      </c>
    </row>
    <row r="171" spans="1:4" x14ac:dyDescent="0.25">
      <c r="A171" s="2" t="str">
        <f>"02754"</f>
        <v>02754</v>
      </c>
      <c r="B171" s="2" t="str">
        <f>"4 TRIGGER SNAP WEBBING EYE (SPEEDLINK)"</f>
        <v>4 TRIGGER SNAP WEBBING EYE (SPEEDLINK)</v>
      </c>
      <c r="C171" s="4">
        <v>304.39999999999998</v>
      </c>
      <c r="D171" s="5">
        <v>123.28</v>
      </c>
    </row>
    <row r="172" spans="1:4" x14ac:dyDescent="0.25">
      <c r="A172" s="2" t="str">
        <f>"02756"</f>
        <v>02756</v>
      </c>
      <c r="B172" s="2" t="str">
        <f>"5 TRIGGER SNAP WEBBING EYE (SPEEDLINK)"</f>
        <v>5 TRIGGER SNAP WEBBING EYE (SPEEDLINK)</v>
      </c>
      <c r="C172" s="4">
        <v>363</v>
      </c>
      <c r="D172" s="5">
        <v>147.02000000000001</v>
      </c>
    </row>
    <row r="173" spans="1:4" x14ac:dyDescent="0.25">
      <c r="A173" s="2" t="str">
        <f>"02852"</f>
        <v>02852</v>
      </c>
      <c r="B173" s="2" t="str">
        <f>"4 1/8 TRIGGER SNAP SWIVEL CLEVIS"</f>
        <v>4 1/8 TRIGGER SNAP SWIVEL CLEVIS</v>
      </c>
      <c r="C173" s="4">
        <v>333.5</v>
      </c>
      <c r="D173" s="5">
        <v>135.07</v>
      </c>
    </row>
    <row r="174" spans="1:4" x14ac:dyDescent="0.25">
      <c r="A174" s="2" t="str">
        <f>"02855"</f>
        <v>02855</v>
      </c>
      <c r="B174" s="2" t="str">
        <f>"4 1/8 TRIGGER SNAP SWIVEL CLEVIS"</f>
        <v>4 1/8 TRIGGER SNAP SWIVEL CLEVIS</v>
      </c>
      <c r="C174" s="4">
        <v>348.9</v>
      </c>
      <c r="D174" s="5">
        <v>141.30000000000001</v>
      </c>
    </row>
    <row r="175" spans="1:4" x14ac:dyDescent="0.25">
      <c r="A175" s="2" t="str">
        <f>"02856"</f>
        <v>02856</v>
      </c>
      <c r="B175" s="2" t="str">
        <f>"5 5/16 TRIGGER SNAP SWIVEL CLEVIS"</f>
        <v>5 5/16 TRIGGER SNAP SWIVEL CLEVIS</v>
      </c>
      <c r="C175" s="4">
        <v>404.9</v>
      </c>
      <c r="D175" s="5">
        <v>163.98</v>
      </c>
    </row>
    <row r="176" spans="1:4" x14ac:dyDescent="0.25">
      <c r="A176" s="2" t="str">
        <f>"02857"</f>
        <v>02857</v>
      </c>
      <c r="B176" s="2" t="str">
        <f>"5 5/16 TRIGGER SNAP SWIVEL CLEVIS"</f>
        <v>5 5/16 TRIGGER SNAP SWIVEL CLEVIS</v>
      </c>
      <c r="C176" s="4">
        <v>423.5</v>
      </c>
      <c r="D176" s="5">
        <v>171.52</v>
      </c>
    </row>
    <row r="177" spans="1:4" x14ac:dyDescent="0.25">
      <c r="A177" s="2" t="str">
        <f>"10302"</f>
        <v>10302</v>
      </c>
      <c r="B177" s="2" t="str">
        <f>"RELEASE FID (ALUMINUM)"</f>
        <v>RELEASE FID (ALUMINUM)</v>
      </c>
      <c r="C177" s="4">
        <v>74.8</v>
      </c>
      <c r="D177" s="5">
        <v>30.29</v>
      </c>
    </row>
    <row r="178" spans="1:4" x14ac:dyDescent="0.25">
      <c r="A178" s="2" t="str">
        <f>"02673"</f>
        <v>02673</v>
      </c>
      <c r="B178" s="2" t="str">
        <f>"2 3/4 QUICK RELEASE SNAP SWIVEL EYE"</f>
        <v>2 3/4 QUICK RELEASE SNAP SWIVEL EYE</v>
      </c>
      <c r="C178" s="4">
        <v>117.1</v>
      </c>
      <c r="D178" s="5">
        <v>47.43</v>
      </c>
    </row>
    <row r="179" spans="1:4" x14ac:dyDescent="0.25">
      <c r="A179" s="2" t="str">
        <f>"02674"</f>
        <v>02674</v>
      </c>
      <c r="B179" s="2" t="str">
        <f>"3 5/32 QUICK RELEASE SNAP SWIVEL EY"</f>
        <v>3 5/32 QUICK RELEASE SNAP SWIVEL EY</v>
      </c>
      <c r="C179" s="4">
        <v>146.4</v>
      </c>
      <c r="D179" s="5">
        <v>59.29</v>
      </c>
    </row>
    <row r="180" spans="1:4" x14ac:dyDescent="0.25">
      <c r="A180" s="2" t="str">
        <f>"02675"</f>
        <v>02675</v>
      </c>
      <c r="B180" s="2" t="str">
        <f>"3 17/32 QUICK RELEASE SNAP SWIVEL E"</f>
        <v>3 17/32 QUICK RELEASE SNAP SWIVEL E</v>
      </c>
      <c r="C180" s="4">
        <v>181.5</v>
      </c>
      <c r="D180" s="5">
        <v>73.510000000000005</v>
      </c>
    </row>
    <row r="181" spans="1:4" x14ac:dyDescent="0.25">
      <c r="A181" s="2" t="str">
        <f>"02676"</f>
        <v>02676</v>
      </c>
      <c r="B181" s="2" t="str">
        <f>"4 5/16 QUICK RELEASE SNAP SWIVEL EY"</f>
        <v>4 5/16 QUICK RELEASE SNAP SWIVEL EY</v>
      </c>
      <c r="C181" s="4">
        <v>234.1</v>
      </c>
      <c r="D181" s="5">
        <v>94.81</v>
      </c>
    </row>
    <row r="182" spans="1:4" x14ac:dyDescent="0.25">
      <c r="A182" s="2" t="str">
        <f>"02677"</f>
        <v>02677</v>
      </c>
      <c r="B182" s="2" t="str">
        <f>"5 3/32 QUICK RELEASE SNAP SWIVEL EY"</f>
        <v>5 3/32 QUICK RELEASE SNAP SWIVEL EY</v>
      </c>
      <c r="C182" s="4">
        <v>363</v>
      </c>
      <c r="D182" s="5">
        <v>147.02000000000001</v>
      </c>
    </row>
    <row r="183" spans="1:4" x14ac:dyDescent="0.25">
      <c r="A183" s="2" t="str">
        <f>"02678"</f>
        <v>02678</v>
      </c>
      <c r="B183" s="2" t="str">
        <f>"5 15/16 QUICK RELEASE SNAP SWIVEL E"</f>
        <v>5 15/16 QUICK RELEASE SNAP SWIVEL E</v>
      </c>
      <c r="C183" s="4">
        <v>608.70000000000005</v>
      </c>
      <c r="D183" s="5">
        <v>246.52</v>
      </c>
    </row>
    <row r="184" spans="1:4" x14ac:dyDescent="0.25">
      <c r="A184" s="2" t="str">
        <f>"02773"</f>
        <v>02773</v>
      </c>
      <c r="B184" s="2" t="str">
        <f>"3 1/4 QUICK RELEASE LARGE EYE"</f>
        <v>3 1/4 QUICK RELEASE LARGE EYE</v>
      </c>
      <c r="C184" s="4">
        <v>128.9</v>
      </c>
      <c r="D184" s="5">
        <v>52.2</v>
      </c>
    </row>
    <row r="185" spans="1:4" x14ac:dyDescent="0.25">
      <c r="A185" s="2" t="str">
        <f>"02774"</f>
        <v>02774</v>
      </c>
      <c r="B185" s="2" t="str">
        <f>"3 1/2 QUICK RELEASE LARGE EYE"</f>
        <v>3 1/2 QUICK RELEASE LARGE EYE</v>
      </c>
      <c r="C185" s="4">
        <v>158.1</v>
      </c>
      <c r="D185" s="5">
        <v>64.03</v>
      </c>
    </row>
    <row r="186" spans="1:4" x14ac:dyDescent="0.25">
      <c r="A186" s="2" t="str">
        <f>"02775"</f>
        <v>02775</v>
      </c>
      <c r="B186" s="2" t="str">
        <f>"4 5/16 QUICK RELEASE LARGE EYE"</f>
        <v>4 5/16 QUICK RELEASE LARGE EYE</v>
      </c>
      <c r="C186" s="4">
        <v>193.2</v>
      </c>
      <c r="D186" s="5">
        <v>78.25</v>
      </c>
    </row>
    <row r="187" spans="1:4" x14ac:dyDescent="0.25">
      <c r="A187" s="2" t="str">
        <f>"02776"</f>
        <v>02776</v>
      </c>
      <c r="B187" s="2" t="str">
        <f>"4 3/4 QUICK RELEASE LARGE EYE"</f>
        <v>4 3/4 QUICK RELEASE LARGE EYE</v>
      </c>
      <c r="C187" s="4">
        <v>246</v>
      </c>
      <c r="D187" s="5">
        <v>99.63</v>
      </c>
    </row>
    <row r="188" spans="1:4" x14ac:dyDescent="0.25">
      <c r="A188" s="2" t="str">
        <f>"02777"</f>
        <v>02777</v>
      </c>
      <c r="B188" s="2" t="str">
        <f>"5 11/16 QUICK RELEASE LARGE EYE"</f>
        <v>5 11/16 QUICK RELEASE LARGE EYE</v>
      </c>
      <c r="C188" s="4">
        <v>386.4</v>
      </c>
      <c r="D188" s="5">
        <v>156.49</v>
      </c>
    </row>
    <row r="189" spans="1:4" x14ac:dyDescent="0.25">
      <c r="A189" s="2" t="str">
        <f>"02778"</f>
        <v>02778</v>
      </c>
      <c r="B189" s="2" t="str">
        <f>"6 1/4 QUICK RELEASE LARGE EYE"</f>
        <v>6 1/4 QUICK RELEASE LARGE EYE</v>
      </c>
      <c r="C189" s="4">
        <v>643.9</v>
      </c>
      <c r="D189" s="5">
        <v>260.77999999999997</v>
      </c>
    </row>
    <row r="190" spans="1:4" x14ac:dyDescent="0.25">
      <c r="A190" s="2" t="str">
        <f>"02575"</f>
        <v>02575</v>
      </c>
      <c r="B190" s="2" t="str">
        <f>"2 3/4 TACK SNAP SHACKLE"</f>
        <v>2 3/4 TACK SNAP SHACKLE</v>
      </c>
      <c r="C190" s="4">
        <v>162</v>
      </c>
      <c r="D190" s="5">
        <v>65.61</v>
      </c>
    </row>
    <row r="191" spans="1:4" x14ac:dyDescent="0.25">
      <c r="A191" s="2" t="str">
        <f>"02876"</f>
        <v>02876</v>
      </c>
      <c r="B191" s="2" t="str">
        <f>"4 3/4 QUICK RELEASE SNAP CLEVIS"</f>
        <v>4 3/4 QUICK RELEASE SNAP CLEVIS</v>
      </c>
      <c r="C191" s="4">
        <v>194.1</v>
      </c>
      <c r="D191" s="5">
        <v>78.61</v>
      </c>
    </row>
    <row r="192" spans="1:4" x14ac:dyDescent="0.25">
      <c r="A192" s="2" t="str">
        <f>"02384"</f>
        <v>02384</v>
      </c>
      <c r="B192" s="2" t="str">
        <f>"2 3/4 SWIVEL SNAP HOOK"</f>
        <v>2 3/4 SWIVEL SNAP HOOK</v>
      </c>
      <c r="C192" s="4">
        <v>70.599999999999994</v>
      </c>
      <c r="D192" s="5">
        <v>28.59</v>
      </c>
    </row>
    <row r="193" spans="1:4" x14ac:dyDescent="0.25">
      <c r="A193" s="2" t="str">
        <f>"02384B"</f>
        <v>02384B</v>
      </c>
      <c r="B193" s="2" t="str">
        <f>"2 3/4 SWIVEL SNAP HOOK BLACK"</f>
        <v>2 3/4 SWIVEL SNAP HOOK BLACK</v>
      </c>
      <c r="C193" s="4">
        <v>48.7</v>
      </c>
      <c r="D193" s="5">
        <v>19.72</v>
      </c>
    </row>
    <row r="194" spans="1:4" x14ac:dyDescent="0.25">
      <c r="A194" s="2" t="str">
        <f>"02385"</f>
        <v>02385</v>
      </c>
      <c r="B194" s="2" t="str">
        <f>"4 SWIVEL SNAP HOOK"</f>
        <v>4 SWIVEL SNAP HOOK</v>
      </c>
      <c r="C194" s="4">
        <v>106.7</v>
      </c>
      <c r="D194" s="5">
        <v>43.21</v>
      </c>
    </row>
    <row r="195" spans="1:4" x14ac:dyDescent="0.25">
      <c r="A195" s="2" t="str">
        <f>"02479"</f>
        <v>02479</v>
      </c>
      <c r="B195" s="2" t="str">
        <f>"1.5 SNAP HOOK"</f>
        <v>1.5 SNAP HOOK</v>
      </c>
      <c r="C195" s="4">
        <v>20</v>
      </c>
      <c r="D195" s="5">
        <v>8.1</v>
      </c>
    </row>
    <row r="196" spans="1:4" x14ac:dyDescent="0.25">
      <c r="A196" s="2" t="str">
        <f>"02480"</f>
        <v>02480</v>
      </c>
      <c r="B196" s="2" t="str">
        <f>"2 SNAP HOOK"</f>
        <v>2 SNAP HOOK</v>
      </c>
      <c r="C196" s="4">
        <v>27.8</v>
      </c>
      <c r="D196" s="5">
        <v>11.26</v>
      </c>
    </row>
    <row r="197" spans="1:4" x14ac:dyDescent="0.25">
      <c r="A197" s="2" t="str">
        <f>"02481"</f>
        <v>02481</v>
      </c>
      <c r="B197" s="2" t="str">
        <f>"3 SNAP HOOK"</f>
        <v>3 SNAP HOOK</v>
      </c>
      <c r="C197" s="4">
        <v>45.2</v>
      </c>
      <c r="D197" s="5">
        <v>18.309999999999999</v>
      </c>
    </row>
    <row r="198" spans="1:4" x14ac:dyDescent="0.25">
      <c r="A198" s="2" t="str">
        <f>"02482"</f>
        <v>02482</v>
      </c>
      <c r="B198" s="2" t="str">
        <f>"4 SNAP HOOK"</f>
        <v>4 SNAP HOOK</v>
      </c>
      <c r="C198" s="4">
        <v>84.1</v>
      </c>
      <c r="D198" s="5">
        <v>34.06</v>
      </c>
    </row>
    <row r="199" spans="1:4" x14ac:dyDescent="0.25">
      <c r="A199" s="2" t="str">
        <f>"02381"</f>
        <v>02381</v>
      </c>
      <c r="B199" s="2" t="str">
        <f>"3 SAFETY SNAP HOOK HR"</f>
        <v>3 SAFETY SNAP HOOK HR</v>
      </c>
      <c r="C199" s="4">
        <v>53.3</v>
      </c>
      <c r="D199" s="5">
        <v>21.59</v>
      </c>
    </row>
    <row r="200" spans="1:4" x14ac:dyDescent="0.25">
      <c r="A200" s="2" t="str">
        <f>"02382"</f>
        <v>02382</v>
      </c>
      <c r="B200" s="2" t="str">
        <f>"4 SAFETY SNAP HOOK HR"</f>
        <v>4 SAFETY SNAP HOOK HR</v>
      </c>
      <c r="C200" s="4">
        <v>103.3</v>
      </c>
      <c r="D200" s="5">
        <v>41.84</v>
      </c>
    </row>
    <row r="201" spans="1:4" x14ac:dyDescent="0.25">
      <c r="A201" s="2" t="str">
        <f>"02284"</f>
        <v>02284</v>
      </c>
      <c r="B201" s="2" t="str">
        <f>"WEBBING STRAP HOOK"</f>
        <v>WEBBING STRAP HOOK</v>
      </c>
      <c r="C201" s="4">
        <v>40.5</v>
      </c>
      <c r="D201" s="5">
        <v>16.399999999999999</v>
      </c>
    </row>
    <row r="202" spans="1:4" x14ac:dyDescent="0.25">
      <c r="A202" s="2" t="str">
        <f>"02452"</f>
        <v>02452</v>
      </c>
      <c r="B202" s="2" t="str">
        <f>"4 7/32 DOUBLE ACTION SAFETY HOOK FL"</f>
        <v>4 7/32 DOUBLE ACTION SAFETY HOOK FL</v>
      </c>
      <c r="C202" s="4">
        <v>76.2</v>
      </c>
      <c r="D202" s="5">
        <v>30.86</v>
      </c>
    </row>
    <row r="203" spans="1:4" x14ac:dyDescent="0.25">
      <c r="A203" s="2" t="str">
        <f>"02454"</f>
        <v>02454</v>
      </c>
      <c r="B203" s="2" t="str">
        <f>"4 7/32 DOUBLE ACTION SAFETY HOOK YE"</f>
        <v>4 7/32 DOUBLE ACTION SAFETY HOOK YE</v>
      </c>
      <c r="C203" s="4">
        <v>76.2</v>
      </c>
      <c r="D203" s="5">
        <v>30.86</v>
      </c>
    </row>
    <row r="204" spans="1:4" x14ac:dyDescent="0.25">
      <c r="A204" s="2" t="str">
        <f>"02455"</f>
        <v>02455</v>
      </c>
      <c r="B204" s="2" t="str">
        <f>"4 7/32 DOUBLE ACTION SAFETY HOOK BL"</f>
        <v>4 7/32 DOUBLE ACTION SAFETY HOOK BL</v>
      </c>
      <c r="C204" s="4">
        <v>76.2</v>
      </c>
      <c r="D204" s="5">
        <v>30.86</v>
      </c>
    </row>
    <row r="205" spans="1:4" x14ac:dyDescent="0.25">
      <c r="A205" s="2" t="str">
        <f>"02456"</f>
        <v>02456</v>
      </c>
      <c r="B205" s="2" t="str">
        <f>"5 15/16 DOUBLE ACTION SAFETY HOOK O"</f>
        <v>5 15/16 DOUBLE ACTION SAFETY HOOK O</v>
      </c>
      <c r="C205" s="4">
        <v>87.9</v>
      </c>
      <c r="D205" s="5">
        <v>35.6</v>
      </c>
    </row>
    <row r="206" spans="1:4" x14ac:dyDescent="0.25">
      <c r="A206" s="2" t="str">
        <f>"02448"</f>
        <v>02448</v>
      </c>
      <c r="B206" s="2" t="str">
        <f>"25MM SNAP HOOK"</f>
        <v>25MM SNAP HOOK</v>
      </c>
      <c r="C206" s="4">
        <v>20.8</v>
      </c>
      <c r="D206" s="5">
        <v>8.42</v>
      </c>
    </row>
    <row r="207" spans="1:4" x14ac:dyDescent="0.25">
      <c r="A207" s="2" t="str">
        <f>"02313"</f>
        <v>02313</v>
      </c>
      <c r="B207" s="2" t="str">
        <f>"1/4 STD. CARBINE"</f>
        <v>1/4 STD. CARBINE</v>
      </c>
      <c r="C207" s="4">
        <v>29.8</v>
      </c>
      <c r="D207" s="5">
        <v>12.07</v>
      </c>
    </row>
    <row r="208" spans="1:4" x14ac:dyDescent="0.25">
      <c r="A208" s="2" t="str">
        <f>"02315"</f>
        <v>02315</v>
      </c>
      <c r="B208" s="2" t="str">
        <f>"5/16 STD. CARBINE"</f>
        <v>5/16 STD. CARBINE</v>
      </c>
      <c r="C208" s="4">
        <v>38.700000000000003</v>
      </c>
      <c r="D208" s="5">
        <v>15.67</v>
      </c>
    </row>
    <row r="209" spans="1:4" x14ac:dyDescent="0.25">
      <c r="A209" s="2" t="str">
        <f>"02316"</f>
        <v>02316</v>
      </c>
      <c r="B209" s="2" t="str">
        <f>"13/32 STD. CARBINE"</f>
        <v>13/32 STD. CARBINE</v>
      </c>
      <c r="C209" s="4">
        <v>51.8</v>
      </c>
      <c r="D209" s="5">
        <v>20.98</v>
      </c>
    </row>
    <row r="210" spans="1:4" x14ac:dyDescent="0.25">
      <c r="A210" s="2" t="str">
        <f>"02317"</f>
        <v>02317</v>
      </c>
      <c r="B210" s="2" t="str">
        <f>"15/32 STD. CARBINE"</f>
        <v>15/32 STD. CARBINE</v>
      </c>
      <c r="C210" s="4">
        <v>87.1</v>
      </c>
      <c r="D210" s="5">
        <v>35.28</v>
      </c>
    </row>
    <row r="211" spans="1:4" x14ac:dyDescent="0.25">
      <c r="A211" s="2" t="str">
        <f>"02323"</f>
        <v>02323</v>
      </c>
      <c r="B211" s="2" t="str">
        <f>"1/4 ASYMMETRIC CARBINE"</f>
        <v>1/4 ASYMMETRIC CARBINE</v>
      </c>
      <c r="C211" s="4">
        <v>32.5</v>
      </c>
      <c r="D211" s="5">
        <v>13.16</v>
      </c>
    </row>
    <row r="212" spans="1:4" x14ac:dyDescent="0.25">
      <c r="A212" s="2" t="str">
        <f>"02325"</f>
        <v>02325</v>
      </c>
      <c r="B212" s="2" t="str">
        <f>"5/16 ASYMMETRIC CARBINE"</f>
        <v>5/16 ASYMMETRIC CARBINE</v>
      </c>
      <c r="C212" s="4">
        <v>42.5</v>
      </c>
      <c r="D212" s="5">
        <v>17.21</v>
      </c>
    </row>
    <row r="213" spans="1:4" x14ac:dyDescent="0.25">
      <c r="A213" s="2" t="str">
        <f>"02326"</f>
        <v>02326</v>
      </c>
      <c r="B213" s="2" t="str">
        <f>"13/32 ASYMMETRIC CARBINE"</f>
        <v>13/32 ASYMMETRIC CARBINE</v>
      </c>
      <c r="C213" s="4">
        <v>56.1</v>
      </c>
      <c r="D213" s="5">
        <v>22.72</v>
      </c>
    </row>
    <row r="214" spans="1:4" x14ac:dyDescent="0.25">
      <c r="A214" s="2" t="str">
        <f>"02327"</f>
        <v>02327</v>
      </c>
      <c r="B214" s="2" t="str">
        <f>"15/32 ASYMMETRIC CARBINE"</f>
        <v>15/32 ASYMMETRIC CARBINE</v>
      </c>
      <c r="C214" s="4">
        <v>93.5</v>
      </c>
      <c r="D214" s="5">
        <v>37.869999999999997</v>
      </c>
    </row>
    <row r="215" spans="1:4" x14ac:dyDescent="0.25">
      <c r="A215" s="2" t="str">
        <f>"02328"</f>
        <v>02328</v>
      </c>
      <c r="B215" s="2" t="str">
        <f>"15/32 ASYMMETRIC CARBINE LARGE OPEN"</f>
        <v>15/32 ASYMMETRIC CARBINE LARGE OPEN</v>
      </c>
      <c r="C215" s="4">
        <v>112.2</v>
      </c>
      <c r="D215" s="5">
        <v>45.44</v>
      </c>
    </row>
    <row r="216" spans="1:4" x14ac:dyDescent="0.25">
      <c r="A216" s="2" t="str">
        <f>"02333"</f>
        <v>02333</v>
      </c>
      <c r="B216" s="2" t="str">
        <f>"1/4 STD. CARBINE W/O EYE"</f>
        <v>1/4 STD. CARBINE W/O EYE</v>
      </c>
      <c r="C216" s="4">
        <v>26.2</v>
      </c>
      <c r="D216" s="5">
        <v>10.61</v>
      </c>
    </row>
    <row r="217" spans="1:4" x14ac:dyDescent="0.25">
      <c r="A217" s="2" t="str">
        <f>"02335"</f>
        <v>02335</v>
      </c>
      <c r="B217" s="2" t="str">
        <f>"5/16 STD. CARBINE W/O EYE"</f>
        <v>5/16 STD. CARBINE W/O EYE</v>
      </c>
      <c r="C217" s="4">
        <v>35.5</v>
      </c>
      <c r="D217" s="5">
        <v>14.38</v>
      </c>
    </row>
    <row r="218" spans="1:4" x14ac:dyDescent="0.25">
      <c r="A218" s="2" t="str">
        <f>"02336"</f>
        <v>02336</v>
      </c>
      <c r="B218" s="2" t="str">
        <f>"13/32 STD. CARBINE W/O EYE"</f>
        <v>13/32 STD. CARBINE W/O EYE</v>
      </c>
      <c r="C218" s="4">
        <v>46.3</v>
      </c>
      <c r="D218" s="5">
        <v>18.75</v>
      </c>
    </row>
    <row r="219" spans="1:4" x14ac:dyDescent="0.25">
      <c r="A219" s="2" t="str">
        <f>"02337"</f>
        <v>02337</v>
      </c>
      <c r="B219" s="2" t="str">
        <f>"15/32 STD. CARBINE W/O EYE"</f>
        <v>15/32 STD. CARBINE W/O EYE</v>
      </c>
      <c r="C219" s="4">
        <v>78.5</v>
      </c>
      <c r="D219" s="5">
        <v>31.79</v>
      </c>
    </row>
    <row r="220" spans="1:4" x14ac:dyDescent="0.25">
      <c r="A220" s="2" t="str">
        <f>"NA886"</f>
        <v>NA886</v>
      </c>
      <c r="B220" s="2" t="str">
        <f>"5/16 STD. CARBINE (2315) WITH D-RING"</f>
        <v>5/16 STD. CARBINE (2315) WITH D-RING</v>
      </c>
      <c r="C220" s="4">
        <v>74.8</v>
      </c>
      <c r="D220" s="5">
        <v>30.29</v>
      </c>
    </row>
    <row r="221" spans="1:4" x14ac:dyDescent="0.25">
      <c r="A221" s="2" t="str">
        <f>"SP882"</f>
        <v>SP882</v>
      </c>
      <c r="B221" s="2" t="str">
        <f>"RETAINING CLIP FOR CARBINE HOOK 92326"</f>
        <v>RETAINING CLIP FOR CARBINE HOOK 92326</v>
      </c>
      <c r="C221" s="4">
        <v>23.4</v>
      </c>
      <c r="D221" s="5">
        <v>9.48</v>
      </c>
    </row>
    <row r="222" spans="1:4" x14ac:dyDescent="0.25">
      <c r="A222" s="2" t="str">
        <f>"02345"</f>
        <v>02345</v>
      </c>
      <c r="B222" s="2" t="str">
        <f>"5/16 DELTA HOOK"</f>
        <v>5/16 DELTA HOOK</v>
      </c>
      <c r="C222" s="4">
        <v>31.5</v>
      </c>
      <c r="D222" s="5">
        <v>12.76</v>
      </c>
    </row>
    <row r="223" spans="1:4" x14ac:dyDescent="0.25">
      <c r="A223" s="2" t="str">
        <f>"02346"</f>
        <v>02346</v>
      </c>
      <c r="B223" s="2" t="str">
        <f>"3/8 DELTA HOOK"</f>
        <v>3/8 DELTA HOOK</v>
      </c>
      <c r="C223" s="4">
        <v>40.6</v>
      </c>
      <c r="D223" s="5">
        <v>16.440000000000001</v>
      </c>
    </row>
    <row r="224" spans="1:4" x14ac:dyDescent="0.25">
      <c r="A224" s="2" t="str">
        <f>"02483"</f>
        <v>02483</v>
      </c>
      <c r="B224" s="2" t="str">
        <f>"2 1/8 STAINLESS STEEL SAIL SNAP"</f>
        <v>2 1/8 STAINLESS STEEL SAIL SNAP</v>
      </c>
      <c r="C224" s="4">
        <v>29.4</v>
      </c>
      <c r="D224" s="5">
        <v>11.91</v>
      </c>
    </row>
    <row r="225" spans="1:4" x14ac:dyDescent="0.25">
      <c r="A225" s="2" t="str">
        <f>"02486"</f>
        <v>02486</v>
      </c>
      <c r="B225" s="2" t="str">
        <f>"2 STAINLESS STEEL SAIL SNAP"</f>
        <v>2 STAINLESS STEEL SAIL SNAP</v>
      </c>
      <c r="C225" s="4">
        <v>23.5</v>
      </c>
      <c r="D225" s="5">
        <v>9.52</v>
      </c>
    </row>
    <row r="226" spans="1:4" x14ac:dyDescent="0.25">
      <c r="A226" s="2" t="str">
        <f>"02487"</f>
        <v>02487</v>
      </c>
      <c r="B226" s="2" t="str">
        <f>"2 9/16 STAINLESS STEEL SAIL SNAP"</f>
        <v>2 9/16 STAINLESS STEEL SAIL SNAP</v>
      </c>
      <c r="C226" s="4">
        <v>35.299999999999997</v>
      </c>
      <c r="D226" s="5">
        <v>14.3</v>
      </c>
    </row>
    <row r="227" spans="1:4" x14ac:dyDescent="0.25">
      <c r="A227" s="2" t="str">
        <f>"02488"</f>
        <v>02488</v>
      </c>
      <c r="B227" s="2" t="str">
        <f>"3 1/2 STAINLESS STEEL SAIL SNAP"</f>
        <v>3 1/2 STAINLESS STEEL SAIL SNAP</v>
      </c>
      <c r="C227" s="4">
        <v>70.3</v>
      </c>
      <c r="D227" s="5">
        <v>28.47</v>
      </c>
    </row>
    <row r="228" spans="1:4" x14ac:dyDescent="0.25">
      <c r="A228" s="2" t="str">
        <f>"02489"</f>
        <v>02489</v>
      </c>
      <c r="B228" s="2" t="str">
        <f>"3 5/32 STAINLESS STEEL SAIL SNAP"</f>
        <v>3 5/32 STAINLESS STEEL SAIL SNAP</v>
      </c>
      <c r="C228" s="4">
        <v>52.8</v>
      </c>
      <c r="D228" s="5">
        <v>21.38</v>
      </c>
    </row>
    <row r="229" spans="1:4" x14ac:dyDescent="0.25">
      <c r="A229" s="2" t="str">
        <f>"02490"</f>
        <v>02490</v>
      </c>
      <c r="B229" s="2" t="str">
        <f>"4 5/16 STAINLESS STEEL SAIL SNAP"</f>
        <v>4 5/16 STAINLESS STEEL SAIL SNAP</v>
      </c>
      <c r="C229" s="4">
        <v>134.69999999999999</v>
      </c>
      <c r="D229" s="5">
        <v>54.55</v>
      </c>
    </row>
    <row r="230" spans="1:4" x14ac:dyDescent="0.25">
      <c r="A230" s="2" t="str">
        <f>"72483"</f>
        <v>72483</v>
      </c>
      <c r="B230" s="2" t="str">
        <f>"2 5/32 BRASS SAIL SNAP"</f>
        <v>2 5/32 BRASS SAIL SNAP</v>
      </c>
      <c r="C230" s="4">
        <v>9.4</v>
      </c>
      <c r="D230" s="5">
        <v>3.81</v>
      </c>
    </row>
    <row r="231" spans="1:4" x14ac:dyDescent="0.25">
      <c r="A231" s="2" t="str">
        <f>"72486"</f>
        <v>72486</v>
      </c>
      <c r="B231" s="2" t="str">
        <f>"2 BRASS SAIL SNAP"</f>
        <v>2 BRASS SAIL SNAP</v>
      </c>
      <c r="C231" s="4">
        <v>8.8000000000000007</v>
      </c>
      <c r="D231" s="5">
        <v>3.56</v>
      </c>
    </row>
    <row r="232" spans="1:4" x14ac:dyDescent="0.25">
      <c r="A232" s="2" t="str">
        <f>"72487"</f>
        <v>72487</v>
      </c>
      <c r="B232" s="2" t="str">
        <f>"2 9/16 BRASS SAIL SNAP"</f>
        <v>2 9/16 BRASS SAIL SNAP</v>
      </c>
      <c r="C232" s="4">
        <v>13</v>
      </c>
      <c r="D232" s="5">
        <v>5.27</v>
      </c>
    </row>
    <row r="233" spans="1:4" x14ac:dyDescent="0.25">
      <c r="A233" s="2" t="str">
        <f>"02329"</f>
        <v>02329</v>
      </c>
      <c r="B233" s="2" t="str">
        <f>"1/2 MOORING HOOK"</f>
        <v>1/2 MOORING HOOK</v>
      </c>
      <c r="C233" s="4">
        <v>242.9</v>
      </c>
      <c r="D233" s="5">
        <v>98.37</v>
      </c>
    </row>
    <row r="234" spans="1:4" x14ac:dyDescent="0.25">
      <c r="A234" s="2" t="str">
        <f>"82329"</f>
        <v>82329</v>
      </c>
      <c r="B234" s="2" t="str">
        <f>"1/2 MOORING HOOK W/LANYARD"</f>
        <v>1/2 MOORING HOOK W/LANYARD</v>
      </c>
      <c r="C234" s="4">
        <v>303.7</v>
      </c>
      <c r="D234" s="5">
        <v>123</v>
      </c>
    </row>
    <row r="235" spans="1:4" x14ac:dyDescent="0.25">
      <c r="A235" s="2" t="str">
        <f>"92326"</f>
        <v>92326</v>
      </c>
      <c r="B235" s="2" t="str">
        <f>"13/32 MOORING HOOK - L 4"</f>
        <v>13/32 MOORING HOOK - L 4</v>
      </c>
      <c r="C235" s="4">
        <v>62.4</v>
      </c>
      <c r="D235" s="5">
        <v>25.27</v>
      </c>
    </row>
    <row r="236" spans="1:4" x14ac:dyDescent="0.25">
      <c r="A236" s="2" t="str">
        <f>"92327"</f>
        <v>92327</v>
      </c>
      <c r="B236" s="2" t="str">
        <f>"15/32 MOORING HOOK - L 4 5/8"</f>
        <v>15/32 MOORING HOOK - L 4 5/8</v>
      </c>
      <c r="C236" s="4">
        <v>99.8</v>
      </c>
      <c r="D236" s="5">
        <v>40.42</v>
      </c>
    </row>
    <row r="237" spans="1:4" x14ac:dyDescent="0.25">
      <c r="A237" s="2" t="str">
        <f>"92328"</f>
        <v>92328</v>
      </c>
      <c r="B237" s="2" t="str">
        <f>"13/32 MOORING HOOK - L 6 11/16"</f>
        <v>13/32 MOORING HOOK - L 6 11/16</v>
      </c>
      <c r="C237" s="4">
        <v>124.5</v>
      </c>
      <c r="D237" s="5">
        <v>50.42</v>
      </c>
    </row>
    <row r="238" spans="1:4" x14ac:dyDescent="0.25">
      <c r="A238" s="2" t="str">
        <f>"02984"</f>
        <v>02984</v>
      </c>
      <c r="B238" s="2" t="str">
        <f>"5/16 8MM CHAIN GRIP"</f>
        <v>5/16 8MM CHAIN GRIP</v>
      </c>
      <c r="C238" s="4">
        <v>60.8</v>
      </c>
      <c r="D238" s="5">
        <v>24.62</v>
      </c>
    </row>
    <row r="239" spans="1:4" x14ac:dyDescent="0.25">
      <c r="A239" s="2" t="str">
        <f>"02985"</f>
        <v>02985</v>
      </c>
      <c r="B239" s="2" t="str">
        <f>"3/8 10MM CHAIN GRIP"</f>
        <v>3/8 10MM CHAIN GRIP</v>
      </c>
      <c r="C239" s="4">
        <v>85.4</v>
      </c>
      <c r="D239" s="5">
        <v>34.590000000000003</v>
      </c>
    </row>
    <row r="240" spans="1:4" x14ac:dyDescent="0.25">
      <c r="A240" s="2" t="str">
        <f>"02986"</f>
        <v>02986</v>
      </c>
      <c r="B240" s="2" t="str">
        <f>"1/2 12MM CHAIN GRIP"</f>
        <v>1/2 12MM CHAIN GRIP</v>
      </c>
      <c r="C240" s="4">
        <v>121.7</v>
      </c>
      <c r="D240" s="5">
        <v>49.29</v>
      </c>
    </row>
    <row r="241" spans="1:4" x14ac:dyDescent="0.25">
      <c r="A241" s="2" t="str">
        <f>"02994"</f>
        <v>02994</v>
      </c>
      <c r="B241" s="2" t="str">
        <f>"5/16"" (8MM) CHAIN GRIP NEW"</f>
        <v>5/16" (8MM) CHAIN GRIP NEW</v>
      </c>
      <c r="C241" s="4">
        <v>60.8</v>
      </c>
      <c r="D241" s="5">
        <v>24.62</v>
      </c>
    </row>
    <row r="242" spans="1:4" x14ac:dyDescent="0.25">
      <c r="A242" s="2" t="str">
        <f>"02995"</f>
        <v>02995</v>
      </c>
      <c r="B242" s="2" t="str">
        <f>"3/8"" (10MM) CHAIN GRIP NEW"</f>
        <v>3/8" (10MM) CHAIN GRIP NEW</v>
      </c>
      <c r="C242" s="4">
        <v>85.4</v>
      </c>
      <c r="D242" s="5">
        <v>34.590000000000003</v>
      </c>
    </row>
    <row r="243" spans="1:4" x14ac:dyDescent="0.25">
      <c r="A243" s="2" t="str">
        <f>"02996"</f>
        <v>02996</v>
      </c>
      <c r="B243" s="2" t="str">
        <f>"1/2"" (12MM) CHAIN GRIP NEW"</f>
        <v>1/2" (12MM) CHAIN GRIP NEW</v>
      </c>
      <c r="C243" s="4">
        <v>121.7</v>
      </c>
      <c r="D243" s="5">
        <v>49.29</v>
      </c>
    </row>
    <row r="244" spans="1:4" x14ac:dyDescent="0.25">
      <c r="A244" s="2" t="str">
        <f>"02461"</f>
        <v>02461</v>
      </c>
      <c r="B244" s="2" t="str">
        <f>"3/16 CLEVIS PIN SWIVEL"</f>
        <v>3/16 CLEVIS PIN SWIVEL</v>
      </c>
      <c r="C244" s="4">
        <v>35.799999999999997</v>
      </c>
      <c r="D244" s="5">
        <v>14.5</v>
      </c>
    </row>
    <row r="245" spans="1:4" x14ac:dyDescent="0.25">
      <c r="A245" s="2" t="str">
        <f>"02462"</f>
        <v>02462</v>
      </c>
      <c r="B245" s="2" t="str">
        <f>"1/4 CLEVIS PIN SWIVEL"</f>
        <v>1/4 CLEVIS PIN SWIVEL</v>
      </c>
      <c r="C245" s="4">
        <v>65.5</v>
      </c>
      <c r="D245" s="5">
        <v>26.53</v>
      </c>
    </row>
    <row r="246" spans="1:4" x14ac:dyDescent="0.25">
      <c r="A246" s="2" t="str">
        <f>"02463"</f>
        <v>02463</v>
      </c>
      <c r="B246" s="2" t="str">
        <f>"5/16 CLEVIS PIN SWIVEL SELF LOCKING"</f>
        <v>5/16 CLEVIS PIN SWIVEL SELF LOCKING</v>
      </c>
      <c r="C246" s="4">
        <v>126.4</v>
      </c>
      <c r="D246" s="5">
        <v>51.19</v>
      </c>
    </row>
    <row r="247" spans="1:4" x14ac:dyDescent="0.25">
      <c r="A247" s="2" t="str">
        <f>"02464"</f>
        <v>02464</v>
      </c>
      <c r="B247" s="2" t="str">
        <f>"9/32 EYE SWIVEL CLEVIS"</f>
        <v>9/32 EYE SWIVEL CLEVIS</v>
      </c>
      <c r="C247" s="4">
        <v>110.6</v>
      </c>
      <c r="D247" s="5">
        <v>44.79</v>
      </c>
    </row>
    <row r="248" spans="1:4" x14ac:dyDescent="0.25">
      <c r="A248" s="2" t="str">
        <f>"02465"</f>
        <v>02465</v>
      </c>
      <c r="B248" s="2" t="str">
        <f>"7/16 EYE SWIVEL CLEVIS"</f>
        <v>7/16 EYE SWIVEL CLEVIS</v>
      </c>
      <c r="C248" s="4">
        <v>234.4</v>
      </c>
      <c r="D248" s="5">
        <v>94.93</v>
      </c>
    </row>
    <row r="249" spans="1:4" x14ac:dyDescent="0.25">
      <c r="A249" s="2" t="str">
        <f>"02469"</f>
        <v>02469</v>
      </c>
      <c r="B249" s="2" t="str">
        <f>"3/8 CLEVIS PIN SWIVEL SELF LOCKING"</f>
        <v>3/8 CLEVIS PIN SWIVEL SELF LOCKING</v>
      </c>
      <c r="C249" s="4">
        <v>235.3</v>
      </c>
      <c r="D249" s="5">
        <v>95.3</v>
      </c>
    </row>
    <row r="250" spans="1:4" x14ac:dyDescent="0.25">
      <c r="A250" s="2" t="str">
        <f>"82365"</f>
        <v>82365</v>
      </c>
      <c r="B250" s="2" t="str">
        <f>"7/16 EYE SWIVEL ALLEN BALL BEARING"</f>
        <v>7/16 EYE SWIVEL ALLEN BALL BEARING</v>
      </c>
      <c r="C250" s="4">
        <v>238.2</v>
      </c>
      <c r="D250" s="5">
        <v>96.47</v>
      </c>
    </row>
    <row r="251" spans="1:4" x14ac:dyDescent="0.25">
      <c r="A251" s="2" t="str">
        <f>"82464"</f>
        <v>82464</v>
      </c>
      <c r="B251" s="2" t="str">
        <f>"9/32 EYE SWIVEL CLEVIS BALL BEARING"</f>
        <v>9/32 EYE SWIVEL CLEVIS BALL BEARING</v>
      </c>
      <c r="C251" s="4">
        <v>125.3</v>
      </c>
      <c r="D251" s="5">
        <v>50.75</v>
      </c>
    </row>
    <row r="252" spans="1:4" x14ac:dyDescent="0.25">
      <c r="A252" s="2" t="str">
        <f>"82465"</f>
        <v>82465</v>
      </c>
      <c r="B252" s="2" t="str">
        <f>"7/16 EYE SWIVEL CLEVIS BALL BEARING"</f>
        <v>7/16 EYE SWIVEL CLEVIS BALL BEARING</v>
      </c>
      <c r="C252" s="4">
        <v>249.1</v>
      </c>
      <c r="D252" s="5">
        <v>100.89</v>
      </c>
    </row>
    <row r="253" spans="1:4" x14ac:dyDescent="0.25">
      <c r="A253" s="2" t="str">
        <f>"82469"</f>
        <v>82469</v>
      </c>
      <c r="B253" s="2" t="str">
        <f>"3/8 CLEVIS PIN SWIVEL SELF LOCKING"</f>
        <v>3/8 CLEVIS PIN SWIVEL SELF LOCKING</v>
      </c>
      <c r="C253" s="4">
        <v>327.60000000000002</v>
      </c>
      <c r="D253" s="5">
        <v>132.68</v>
      </c>
    </row>
    <row r="254" spans="1:4" x14ac:dyDescent="0.25">
      <c r="A254" s="2" t="str">
        <f>"02363"</f>
        <v>02363</v>
      </c>
      <c r="B254" s="2" t="str">
        <f>"5/16 ALLEN HEAD SWIVEL"</f>
        <v>5/16 ALLEN HEAD SWIVEL</v>
      </c>
      <c r="C254" s="4">
        <v>168.8</v>
      </c>
      <c r="D254" s="5">
        <v>68.36</v>
      </c>
    </row>
    <row r="255" spans="1:4" x14ac:dyDescent="0.25">
      <c r="A255" s="2" t="str">
        <f>"02364"</f>
        <v>02364</v>
      </c>
      <c r="B255" s="2" t="str">
        <f>"5/16 EYE AND ALLEN HEAD SWIVEL"</f>
        <v>5/16 EYE AND ALLEN HEAD SWIVEL</v>
      </c>
      <c r="C255" s="4">
        <v>147.1</v>
      </c>
      <c r="D255" s="5">
        <v>59.58</v>
      </c>
    </row>
    <row r="256" spans="1:4" x14ac:dyDescent="0.25">
      <c r="A256" s="2" t="str">
        <f>"02365"</f>
        <v>02365</v>
      </c>
      <c r="B256" s="2" t="str">
        <f>"3/8 EYE AND ALLEN HEAD SWIVEL"</f>
        <v>3/8 EYE AND ALLEN HEAD SWIVEL</v>
      </c>
      <c r="C256" s="4">
        <v>302.60000000000002</v>
      </c>
      <c r="D256" s="5">
        <v>122.55</v>
      </c>
    </row>
    <row r="257" spans="1:4" x14ac:dyDescent="0.25">
      <c r="A257" s="2" t="str">
        <f>"02369"</f>
        <v>02369</v>
      </c>
      <c r="B257" s="2" t="str">
        <f>"3/8 ALLEN HEAD SWIVEL"</f>
        <v>3/8 ALLEN HEAD SWIVEL</v>
      </c>
      <c r="C257" s="4">
        <v>333.2</v>
      </c>
      <c r="D257" s="5">
        <v>134.94999999999999</v>
      </c>
    </row>
    <row r="258" spans="1:4" x14ac:dyDescent="0.25">
      <c r="A258" s="2" t="str">
        <f>"82364"</f>
        <v>82364</v>
      </c>
      <c r="B258" s="2" t="str">
        <f>"5/16 EYE AND ALLEN HEAD SWIVEL W/BB"</f>
        <v>5/16 EYE AND ALLEN HEAD SWIVEL W/BB</v>
      </c>
      <c r="C258" s="4">
        <v>183.1</v>
      </c>
      <c r="D258" s="5">
        <v>74.16</v>
      </c>
    </row>
    <row r="259" spans="1:4" x14ac:dyDescent="0.25">
      <c r="A259" s="2" t="str">
        <f>"02442"</f>
        <v>02442</v>
      </c>
      <c r="B259" s="2" t="str">
        <f>"5 3/32 LARGE BAIL MOORING SWIVEL"</f>
        <v>5 3/32 LARGE BAIL MOORING SWIVEL</v>
      </c>
      <c r="C259" s="4">
        <v>145.80000000000001</v>
      </c>
      <c r="D259" s="5">
        <v>59.05</v>
      </c>
    </row>
    <row r="260" spans="1:4" x14ac:dyDescent="0.25">
      <c r="A260" s="2" t="str">
        <f>"02443"</f>
        <v>02443</v>
      </c>
      <c r="B260" s="2" t="str">
        <f>"5 15/16 LARGE BAIL MOORING SWIVEL"</f>
        <v>5 15/16 LARGE BAIL MOORING SWIVEL</v>
      </c>
      <c r="C260" s="4">
        <v>175.7</v>
      </c>
      <c r="D260" s="5">
        <v>71.16</v>
      </c>
    </row>
    <row r="261" spans="1:4" x14ac:dyDescent="0.25">
      <c r="A261" s="2" t="str">
        <f>"02466"</f>
        <v>02466</v>
      </c>
      <c r="B261" s="2" t="str">
        <f>"4 15/16 LARGE AND SMALL EYE SWIVEL"</f>
        <v>4 15/16 LARGE AND SMALL EYE SWIVEL</v>
      </c>
      <c r="C261" s="4">
        <v>275.89999999999998</v>
      </c>
      <c r="D261" s="5">
        <v>111.74</v>
      </c>
    </row>
    <row r="262" spans="1:4" x14ac:dyDescent="0.25">
      <c r="A262" s="2" t="str">
        <f>"02467"</f>
        <v>02467</v>
      </c>
      <c r="B262" s="2" t="str">
        <f>"3 5/32 LARGE AND SMALL EYE SWIVEL"</f>
        <v>3 5/32 LARGE AND SMALL EYE SWIVEL</v>
      </c>
      <c r="C262" s="4">
        <v>122.4</v>
      </c>
      <c r="D262" s="5">
        <v>49.57</v>
      </c>
    </row>
    <row r="263" spans="1:4" x14ac:dyDescent="0.25">
      <c r="A263" s="2" t="str">
        <f>"02468"</f>
        <v>02468</v>
      </c>
      <c r="B263" s="2" t="str">
        <f>"4 17/32 LARGE AND SMALL EYE SWIVEL"</f>
        <v>4 17/32 LARGE AND SMALL EYE SWIVEL</v>
      </c>
      <c r="C263" s="4">
        <v>208.3</v>
      </c>
      <c r="D263" s="5">
        <v>84.36</v>
      </c>
    </row>
    <row r="264" spans="1:4" x14ac:dyDescent="0.25">
      <c r="A264" s="2" t="str">
        <f>"2467B"</f>
        <v>2467B</v>
      </c>
      <c r="B264" s="2" t="str">
        <f>"3 5/32 LARGE AND SMALL EYE SWIVEL"</f>
        <v>3 5/32 LARGE AND SMALL EYE SWIVEL</v>
      </c>
      <c r="C264" s="4">
        <v>122.4</v>
      </c>
      <c r="D264" s="5">
        <v>49.57</v>
      </c>
    </row>
    <row r="265" spans="1:4" x14ac:dyDescent="0.25">
      <c r="A265" s="2" t="str">
        <f>"82467"</f>
        <v>82467</v>
      </c>
      <c r="B265" s="2" t="str">
        <f>"3 5/32 LARGE AND SMALL EYE SWIVEL B"</f>
        <v>3 5/32 LARGE AND SMALL EYE SWIVEL B</v>
      </c>
      <c r="C265" s="4">
        <v>169.2</v>
      </c>
      <c r="D265" s="5">
        <v>68.53</v>
      </c>
    </row>
    <row r="266" spans="1:4" x14ac:dyDescent="0.25">
      <c r="A266" s="2" t="str">
        <f>"82468"</f>
        <v>82468</v>
      </c>
      <c r="B266" s="2" t="str">
        <f>"4 17/32 LARGE &amp; SMALL EYE SWIVEL BA"</f>
        <v>4 17/32 LARGE &amp; SMALL EYE SWIVEL BA</v>
      </c>
      <c r="C266" s="4">
        <v>231.1</v>
      </c>
      <c r="D266" s="5">
        <v>93.6</v>
      </c>
    </row>
    <row r="267" spans="1:4" x14ac:dyDescent="0.25">
      <c r="A267" s="2" t="str">
        <f>"02367"</f>
        <v>02367</v>
      </c>
      <c r="B267" s="2" t="str">
        <f>"1 1/4 WEB SWIVEL  1 1/4"</f>
        <v>1 1/4 WEB SWIVEL  1 1/4</v>
      </c>
      <c r="C267" s="4">
        <v>82.2</v>
      </c>
      <c r="D267" s="5">
        <v>33.29</v>
      </c>
    </row>
    <row r="268" spans="1:4" x14ac:dyDescent="0.25">
      <c r="A268" s="2" t="str">
        <f>"02368"</f>
        <v>02368</v>
      </c>
      <c r="B268" s="2" t="str">
        <f>"1 9/16 WEB SWIVEL"</f>
        <v>1 9/16 WEB SWIVEL</v>
      </c>
      <c r="C268" s="4">
        <v>101.5</v>
      </c>
      <c r="D268" s="5">
        <v>41.11</v>
      </c>
    </row>
    <row r="269" spans="1:4" x14ac:dyDescent="0.25">
      <c r="A269" s="2" t="str">
        <f>"02835"</f>
        <v>02835</v>
      </c>
      <c r="B269" s="2" t="str">
        <f>"AUTO LOCKING LIFELINE GATE HOOK M8"</f>
        <v>AUTO LOCKING LIFELINE GATE HOOK M8</v>
      </c>
      <c r="C269" s="4">
        <v>82.2</v>
      </c>
      <c r="D269" s="5">
        <v>33.29</v>
      </c>
    </row>
    <row r="270" spans="1:4" x14ac:dyDescent="0.25">
      <c r="A270" s="2" t="str">
        <f>"02834"</f>
        <v>02834</v>
      </c>
      <c r="B270" s="2" t="str">
        <f>"AUTO LOCKING LIFELINE GATE HOOK M6"</f>
        <v>AUTO LOCKING LIFELINE GATE HOOK M6</v>
      </c>
      <c r="C270" s="4">
        <v>82.2</v>
      </c>
      <c r="D270" s="5">
        <v>33.29</v>
      </c>
    </row>
    <row r="271" spans="1:4" x14ac:dyDescent="0.25">
      <c r="A271" s="2" t="str">
        <f>"02831"</f>
        <v>02831</v>
      </c>
      <c r="B271" s="2" t="str">
        <f>"4 PELICAN HOOK (M8 METRIC THREAD)"</f>
        <v>4 PELICAN HOOK (M8 METRIC THREAD)</v>
      </c>
      <c r="C271" s="4">
        <v>124.5</v>
      </c>
      <c r="D271" s="5">
        <v>50.42</v>
      </c>
    </row>
    <row r="272" spans="1:4" x14ac:dyDescent="0.25">
      <c r="A272" s="2" t="str">
        <f>"02832"</f>
        <v>02832</v>
      </c>
      <c r="B272" s="2" t="str">
        <f>"PELICAN HOOK (U.S.)"</f>
        <v>PELICAN HOOK (U.S.)</v>
      </c>
      <c r="C272" s="4">
        <v>184.1</v>
      </c>
      <c r="D272" s="5">
        <v>74.56</v>
      </c>
    </row>
    <row r="273" spans="1:4" x14ac:dyDescent="0.25">
      <c r="A273" s="2" t="str">
        <f>"12836"</f>
        <v>12836</v>
      </c>
      <c r="B273" s="2" t="str">
        <f>"6 11/16 PELICAN HOOK (M12 METRIC TH"</f>
        <v>6 11/16 PELICAN HOOK (M12 METRIC TH</v>
      </c>
      <c r="C273" s="4">
        <v>348.9</v>
      </c>
      <c r="D273" s="5">
        <v>141.30000000000001</v>
      </c>
    </row>
    <row r="274" spans="1:4" x14ac:dyDescent="0.25">
      <c r="A274" s="2" t="str">
        <f>"12837"</f>
        <v>12837</v>
      </c>
      <c r="B274" s="2" t="str">
        <f>"6 11/16 PELICAN HOOK (M14 METRIC TH"</f>
        <v>6 11/16 PELICAN HOOK (M14 METRIC TH</v>
      </c>
      <c r="C274" s="4">
        <v>348.9</v>
      </c>
      <c r="D274" s="5">
        <v>141.30000000000001</v>
      </c>
    </row>
    <row r="275" spans="1:4" x14ac:dyDescent="0.25">
      <c r="A275" s="2" t="str">
        <f>"07801"</f>
        <v>07801</v>
      </c>
      <c r="B275" s="2" t="str">
        <f>"SWAGE STUD M8 THREAD - DIA 3 MM WIR"</f>
        <v>SWAGE STUD M8 THREAD - DIA 3 MM WIR</v>
      </c>
      <c r="C275" s="4">
        <v>43.7</v>
      </c>
      <c r="D275" s="5">
        <v>17.7</v>
      </c>
    </row>
    <row r="276" spans="1:4" x14ac:dyDescent="0.25">
      <c r="A276" s="2" t="str">
        <f>"07802"</f>
        <v>07802</v>
      </c>
      <c r="B276" s="2" t="str">
        <f>"SWAGE STUD M8 THREAD - DIA 4 MM WIR"</f>
        <v>SWAGE STUD M8 THREAD - DIA 4 MM WIR</v>
      </c>
      <c r="C276" s="4">
        <v>49.8</v>
      </c>
      <c r="D276" s="5">
        <v>20.170000000000002</v>
      </c>
    </row>
    <row r="277" spans="1:4" x14ac:dyDescent="0.25">
      <c r="A277" s="2" t="str">
        <f>"07803"</f>
        <v>07803</v>
      </c>
      <c r="B277" s="2" t="str">
        <f>"SWAGE STUD M8 THREAD - DIA 5 MM WIR"</f>
        <v>SWAGE STUD M8 THREAD - DIA 5 MM WIR</v>
      </c>
      <c r="C277" s="4">
        <v>56.1</v>
      </c>
      <c r="D277" s="5">
        <v>22.72</v>
      </c>
    </row>
    <row r="278" spans="1:4" x14ac:dyDescent="0.25">
      <c r="A278" s="2" t="str">
        <f>"07804"</f>
        <v>07804</v>
      </c>
      <c r="B278" s="2" t="str">
        <f>"SWAGE STUD M8 THREAD - DIA 6 MM WIR"</f>
        <v>SWAGE STUD M8 THREAD - DIA 6 MM WIR</v>
      </c>
      <c r="C278" s="4">
        <v>62.4</v>
      </c>
      <c r="D278" s="5">
        <v>25.27</v>
      </c>
    </row>
    <row r="279" spans="1:4" x14ac:dyDescent="0.25">
      <c r="A279" s="2" t="str">
        <f>"07806"</f>
        <v>07806</v>
      </c>
      <c r="B279" s="2" t="str">
        <f>"SWAGE STUD M8 THREAD - DIA 3/16 WIR"</f>
        <v>SWAGE STUD M8 THREAD - DIA 3/16 WIR</v>
      </c>
      <c r="C279" s="4">
        <v>50.1</v>
      </c>
      <c r="D279" s="5">
        <v>20.29</v>
      </c>
    </row>
    <row r="280" spans="1:4" x14ac:dyDescent="0.25">
      <c r="A280" s="2" t="str">
        <f>"07304"</f>
        <v>07304</v>
      </c>
      <c r="B280" s="2" t="str">
        <f>"3/16 WIRE GRIP"</f>
        <v>3/16 WIRE GRIP</v>
      </c>
      <c r="C280" s="4">
        <v>13.7</v>
      </c>
      <c r="D280" s="5">
        <v>5.55</v>
      </c>
    </row>
    <row r="281" spans="1:4" x14ac:dyDescent="0.25">
      <c r="A281" s="2" t="str">
        <f>"07306"</f>
        <v>07306</v>
      </c>
      <c r="B281" s="2" t="str">
        <f>"5/16 WIRE GRIP"</f>
        <v>5/16 WIRE GRIP</v>
      </c>
      <c r="C281" s="4">
        <v>16.5</v>
      </c>
      <c r="D281" s="5">
        <v>6.68</v>
      </c>
    </row>
    <row r="282" spans="1:4" x14ac:dyDescent="0.25">
      <c r="A282" s="2" t="str">
        <f>"07308"</f>
        <v>07308</v>
      </c>
      <c r="B282" s="2" t="str">
        <f>"11/32 WIRE GRIP"</f>
        <v>11/32 WIRE GRIP</v>
      </c>
      <c r="C282" s="4">
        <v>21.6</v>
      </c>
      <c r="D282" s="5">
        <v>8.75</v>
      </c>
    </row>
    <row r="283" spans="1:4" x14ac:dyDescent="0.25">
      <c r="A283" s="2" t="str">
        <f>"07310"</f>
        <v>07310</v>
      </c>
      <c r="B283" s="2" t="str">
        <f>"7/16 WIRE GRIP"</f>
        <v>7/16 WIRE GRIP</v>
      </c>
      <c r="C283" s="4">
        <v>33.4</v>
      </c>
      <c r="D283" s="5">
        <v>13.53</v>
      </c>
    </row>
    <row r="284" spans="1:4" x14ac:dyDescent="0.25">
      <c r="A284" s="2" t="str">
        <f>"07312"</f>
        <v>07312</v>
      </c>
      <c r="B284" s="2" t="str">
        <f>"1/2 WIRE GRIP"</f>
        <v>1/2 WIRE GRIP</v>
      </c>
      <c r="C284" s="4">
        <v>40.299999999999997</v>
      </c>
      <c r="D284" s="5">
        <v>16.32</v>
      </c>
    </row>
    <row r="285" spans="1:4" x14ac:dyDescent="0.25">
      <c r="A285" s="2" t="str">
        <f>"04107"</f>
        <v>04107</v>
      </c>
      <c r="B285" s="2" t="str">
        <f>"SAIL CHAFE PROTECTOR"</f>
        <v>SAIL CHAFE PROTECTOR</v>
      </c>
      <c r="C285" s="4">
        <v>31.9</v>
      </c>
      <c r="D285" s="5">
        <v>12.92</v>
      </c>
    </row>
    <row r="286" spans="1:4" x14ac:dyDescent="0.25">
      <c r="A286" s="2" t="str">
        <f>"06504"</f>
        <v>06504</v>
      </c>
      <c r="B286" s="2" t="str">
        <f>"1/4 FOLDING PADEYE (PATENTED)"</f>
        <v>1/4 FOLDING PADEYE (PATENTED)</v>
      </c>
      <c r="C286" s="4">
        <v>62.7</v>
      </c>
      <c r="D286" s="5">
        <v>25.39</v>
      </c>
    </row>
    <row r="287" spans="1:4" x14ac:dyDescent="0.25">
      <c r="A287" s="2" t="str">
        <f>"06506"</f>
        <v>06506</v>
      </c>
      <c r="B287" s="2" t="str">
        <f>"13/32 FOLDING PADEYE (PATENTED)"</f>
        <v>13/32 FOLDING PADEYE (PATENTED)</v>
      </c>
      <c r="C287" s="4">
        <v>125.5</v>
      </c>
      <c r="D287" s="5">
        <v>50.83</v>
      </c>
    </row>
    <row r="288" spans="1:4" x14ac:dyDescent="0.25">
      <c r="A288" s="2" t="str">
        <f>"06604-43"</f>
        <v>06604-43</v>
      </c>
      <c r="B288" s="2" t="str">
        <f>"BLACK BACKING FOR NEW RANGE PADEYE"</f>
        <v>BLACK BACKING FOR NEW RANGE PADEYE</v>
      </c>
      <c r="C288" s="4">
        <v>4.5</v>
      </c>
      <c r="D288" s="5">
        <v>1.82</v>
      </c>
    </row>
    <row r="289" spans="1:4" x14ac:dyDescent="0.25">
      <c r="A289" s="2" t="str">
        <f>"06605-53"</f>
        <v>06605-53</v>
      </c>
      <c r="B289" s="2" t="str">
        <f>"BLACK BACKING FOR NEW RANGE PADEYE"</f>
        <v>BLACK BACKING FOR NEW RANGE PADEYE</v>
      </c>
      <c r="C289" s="4">
        <v>4.5</v>
      </c>
      <c r="D289" s="5">
        <v>1.82</v>
      </c>
    </row>
    <row r="290" spans="1:4" x14ac:dyDescent="0.25">
      <c r="A290" s="2" t="str">
        <f>"06606-63"</f>
        <v>06606-63</v>
      </c>
      <c r="B290" s="2" t="str">
        <f>"BLACK BACKING FOR NEW RANGE PADEYE"</f>
        <v>BLACK BACKING FOR NEW RANGE PADEYE</v>
      </c>
      <c r="C290" s="4">
        <v>4.5</v>
      </c>
      <c r="D290" s="5">
        <v>1.82</v>
      </c>
    </row>
    <row r="291" spans="1:4" x14ac:dyDescent="0.25">
      <c r="A291" s="2" t="str">
        <f>"06684"</f>
        <v>06684</v>
      </c>
      <c r="B291" s="2" t="str">
        <f>"1/4 FOLDING PADEYE (2 FIXING HOLES)"</f>
        <v>1/4 FOLDING PADEYE (2 FIXING HOLES)</v>
      </c>
      <c r="C291" s="4">
        <v>49.8</v>
      </c>
      <c r="D291" s="5">
        <v>20.170000000000002</v>
      </c>
    </row>
    <row r="292" spans="1:4" x14ac:dyDescent="0.25">
      <c r="A292" s="2" t="str">
        <f>"56504"</f>
        <v>56504</v>
      </c>
      <c r="B292" s="2" t="str">
        <f>"1/4 FOLDING PADEYE TITANIUM (PATENT"</f>
        <v>1/4 FOLDING PADEYE TITANIUM (PATENT</v>
      </c>
      <c r="C292" s="4">
        <v>298.89999999999998</v>
      </c>
      <c r="D292" s="5">
        <v>121.05</v>
      </c>
    </row>
    <row r="293" spans="1:4" x14ac:dyDescent="0.25">
      <c r="A293" s="2" t="str">
        <f>"56505"</f>
        <v>56505</v>
      </c>
      <c r="B293" s="2" t="str">
        <f>"5/16 FOLDING PADEYE TITANIUM (PATEN"</f>
        <v>5/16 FOLDING PADEYE TITANIUM (PATEN</v>
      </c>
      <c r="C293" s="4">
        <v>460.9</v>
      </c>
      <c r="D293" s="5">
        <v>186.66</v>
      </c>
    </row>
    <row r="294" spans="1:4" x14ac:dyDescent="0.25">
      <c r="A294" s="2" t="str">
        <f>"56506"</f>
        <v>56506</v>
      </c>
      <c r="B294" s="2" t="str">
        <f>"13/32 FOLDING PADEYE TITANIUM (PATE"</f>
        <v>13/32 FOLDING PADEYE TITANIUM (PATE</v>
      </c>
      <c r="C294" s="4">
        <v>622.70000000000005</v>
      </c>
      <c r="D294" s="5">
        <v>252.19</v>
      </c>
    </row>
    <row r="295" spans="1:4" x14ac:dyDescent="0.25">
      <c r="A295" s="2" t="str">
        <f>"SP6504"</f>
        <v>SP6504</v>
      </c>
      <c r="B295" s="2" t="str">
        <f>"BACKING PLATE FOR WICHARD 6504"</f>
        <v>BACKING PLATE FOR WICHARD 6504</v>
      </c>
      <c r="C295" s="4">
        <v>14.7</v>
      </c>
      <c r="D295" s="5">
        <v>5.95</v>
      </c>
    </row>
    <row r="296" spans="1:4" x14ac:dyDescent="0.25">
      <c r="A296" s="2" t="str">
        <f>"SP6505"</f>
        <v>SP6505</v>
      </c>
      <c r="B296" s="2" t="str">
        <f>"BACKING PLATE FOR WICHARD 6505"</f>
        <v>BACKING PLATE FOR WICHARD 6505</v>
      </c>
      <c r="C296" s="4">
        <v>17.600000000000001</v>
      </c>
      <c r="D296" s="5">
        <v>7.13</v>
      </c>
    </row>
    <row r="297" spans="1:4" x14ac:dyDescent="0.25">
      <c r="A297" s="2" t="str">
        <f>"SP6506"</f>
        <v>SP6506</v>
      </c>
      <c r="B297" s="2" t="str">
        <f>"BACKING PLATE FOR WICHARD 6506"</f>
        <v>BACKING PLATE FOR WICHARD 6506</v>
      </c>
      <c r="C297" s="4">
        <v>20.6</v>
      </c>
      <c r="D297" s="5">
        <v>8.34</v>
      </c>
    </row>
    <row r="298" spans="1:4" x14ac:dyDescent="0.25">
      <c r="A298" s="2" t="str">
        <f>"06604"</f>
        <v>06604</v>
      </c>
      <c r="B298" s="2" t="str">
        <f>"1/4 FOLDING PADEYE NEW"</f>
        <v>1/4 FOLDING PADEYE NEW</v>
      </c>
      <c r="C298" s="4">
        <v>62.7</v>
      </c>
      <c r="D298" s="5">
        <v>25.39</v>
      </c>
    </row>
    <row r="299" spans="1:4" x14ac:dyDescent="0.25">
      <c r="A299" s="2" t="str">
        <f>"06605"</f>
        <v>06605</v>
      </c>
      <c r="B299" s="2" t="str">
        <f>"5/16 FOLDING PADEYE NEW"</f>
        <v>5/16 FOLDING PADEYE NEW</v>
      </c>
      <c r="C299" s="4">
        <v>87.9</v>
      </c>
      <c r="D299" s="5">
        <v>35.6</v>
      </c>
    </row>
    <row r="300" spans="1:4" x14ac:dyDescent="0.25">
      <c r="A300" s="2" t="str">
        <f>"06606"</f>
        <v>06606</v>
      </c>
      <c r="B300" s="2" t="str">
        <f>"13/32 FOLDING PADEYE NEW"</f>
        <v>13/32 FOLDING PADEYE NEW</v>
      </c>
      <c r="C300" s="4">
        <v>125.5</v>
      </c>
      <c r="D300" s="5">
        <v>50.83</v>
      </c>
    </row>
    <row r="301" spans="1:4" x14ac:dyDescent="0.25">
      <c r="A301" s="2" t="str">
        <f>"06564"</f>
        <v>06564</v>
      </c>
      <c r="B301" s="2" t="str">
        <f>"1/4 DOUBLE FOLDING PADEYE (PATENTED"</f>
        <v>1/4 DOUBLE FOLDING PADEYE (PATENTED</v>
      </c>
      <c r="C301" s="4">
        <v>137</v>
      </c>
      <c r="D301" s="5">
        <v>55.49</v>
      </c>
    </row>
    <row r="302" spans="1:4" x14ac:dyDescent="0.25">
      <c r="A302" s="2" t="str">
        <f>"06565"</f>
        <v>06565</v>
      </c>
      <c r="B302" s="2" t="str">
        <f>"5/16 DOUBLE FOLDING PADEYE (PATENTE"</f>
        <v>5/16 DOUBLE FOLDING PADEYE (PATENTE</v>
      </c>
      <c r="C302" s="4">
        <v>174.4</v>
      </c>
      <c r="D302" s="5">
        <v>70.63</v>
      </c>
    </row>
    <row r="303" spans="1:4" x14ac:dyDescent="0.25">
      <c r="A303" s="2" t="str">
        <f>"06566"</f>
        <v>06566</v>
      </c>
      <c r="B303" s="2" t="str">
        <f>"13/32 DOUBLE FOLDING PADEYE (PATENT"</f>
        <v>13/32 DOUBLE FOLDING PADEYE (PATENT</v>
      </c>
      <c r="C303" s="4">
        <v>261.5</v>
      </c>
      <c r="D303" s="5">
        <v>105.91</v>
      </c>
    </row>
    <row r="304" spans="1:4" x14ac:dyDescent="0.25">
      <c r="A304" s="2" t="str">
        <f>"SP6564"</f>
        <v>SP6564</v>
      </c>
      <c r="B304" s="2" t="str">
        <f>"BACKING PLATE FOR WICHARD 6564"</f>
        <v>BACKING PLATE FOR WICHARD 6564</v>
      </c>
      <c r="C304" s="4">
        <v>31.9</v>
      </c>
      <c r="D304" s="5">
        <v>12.92</v>
      </c>
    </row>
    <row r="305" spans="1:4" x14ac:dyDescent="0.25">
      <c r="A305" s="2" t="str">
        <f>"SP6566"</f>
        <v>SP6566</v>
      </c>
      <c r="B305" s="2" t="str">
        <f>"BACKING PLATEFOR WICHARD 6566"</f>
        <v>BACKING PLATEFOR WICHARD 6566</v>
      </c>
      <c r="C305" s="4">
        <v>36.5</v>
      </c>
      <c r="D305" s="5">
        <v>14.78</v>
      </c>
    </row>
    <row r="306" spans="1:4" x14ac:dyDescent="0.25">
      <c r="A306" s="2" t="str">
        <f>"92374"</f>
        <v>92374</v>
      </c>
      <c r="B306" s="2" t="str">
        <f>"3 5/32 FOLDING SWIVEL SNAP SHACKLE"</f>
        <v>3 5/32 FOLDING SWIVEL SNAP SHACKLE</v>
      </c>
      <c r="C306" s="4">
        <v>149.5</v>
      </c>
      <c r="D306" s="5">
        <v>60.55</v>
      </c>
    </row>
    <row r="307" spans="1:4" x14ac:dyDescent="0.25">
      <c r="A307" s="2" t="str">
        <f>"16613"</f>
        <v>16613</v>
      </c>
      <c r="B307" s="2" t="str">
        <f>"5/16 - 1/2 TOERAIL PADEYE SYMMETRIC"</f>
        <v>5/16 - 1/2 TOERAIL PADEYE SYMMETRIC</v>
      </c>
      <c r="C307" s="4">
        <v>224.3</v>
      </c>
      <c r="D307" s="5">
        <v>90.84</v>
      </c>
    </row>
    <row r="308" spans="1:4" x14ac:dyDescent="0.25">
      <c r="A308" s="2" t="str">
        <f>"16614"</f>
        <v>16614</v>
      </c>
      <c r="B308" s="2" t="str">
        <f>"3/8 - 1/2 TOERAIL PADEYE ASYMMETRIC"</f>
        <v>3/8 - 1/2 TOERAIL PADEYE ASYMMETRIC</v>
      </c>
      <c r="C308" s="4">
        <v>224.3</v>
      </c>
      <c r="D308" s="5">
        <v>90.84</v>
      </c>
    </row>
    <row r="309" spans="1:4" x14ac:dyDescent="0.25">
      <c r="A309" s="2" t="str">
        <f>"06511"</f>
        <v>06511</v>
      </c>
      <c r="B309" s="2" t="str">
        <f>"5/32 U-BOLT - L 2"</f>
        <v>5/32 U-BOLT - L 2</v>
      </c>
      <c r="C309" s="4">
        <v>15.3</v>
      </c>
      <c r="D309" s="5">
        <v>6.2</v>
      </c>
    </row>
    <row r="310" spans="1:4" x14ac:dyDescent="0.25">
      <c r="A310" s="2" t="str">
        <f>"06512"</f>
        <v>06512</v>
      </c>
      <c r="B310" s="2" t="str">
        <f>"3/16 U-BOLT - L 2 3/8"</f>
        <v>3/16 U-BOLT - L 2 3/8</v>
      </c>
      <c r="C310" s="4">
        <v>16.899999999999999</v>
      </c>
      <c r="D310" s="5">
        <v>6.84</v>
      </c>
    </row>
    <row r="311" spans="1:4" x14ac:dyDescent="0.25">
      <c r="A311" s="2" t="str">
        <f>"06513"</f>
        <v>06513</v>
      </c>
      <c r="B311" s="2" t="str">
        <f>"1/4 U-BOLT - L 2 3/4"</f>
        <v>1/4 U-BOLT - L 2 3/4</v>
      </c>
      <c r="C311" s="4">
        <v>18.5</v>
      </c>
      <c r="D311" s="5">
        <v>7.49</v>
      </c>
    </row>
    <row r="312" spans="1:4" x14ac:dyDescent="0.25">
      <c r="A312" s="2" t="str">
        <f>"06514"</f>
        <v>06514</v>
      </c>
      <c r="B312" s="2" t="str">
        <f>"5/16 U-BOLT - L 3 5/32"</f>
        <v>5/16 U-BOLT - L 3 5/32</v>
      </c>
      <c r="C312" s="4">
        <v>29.1</v>
      </c>
      <c r="D312" s="5">
        <v>11.79</v>
      </c>
    </row>
    <row r="313" spans="1:4" x14ac:dyDescent="0.25">
      <c r="A313" s="2" t="str">
        <f>"06515"</f>
        <v>06515</v>
      </c>
      <c r="B313" s="2" t="str">
        <f>"13/32 U-BOLT - L 3 1/2"</f>
        <v>13/32 U-BOLT - L 3 1/2</v>
      </c>
      <c r="C313" s="4">
        <v>44.8</v>
      </c>
      <c r="D313" s="5">
        <v>18.14</v>
      </c>
    </row>
    <row r="314" spans="1:4" x14ac:dyDescent="0.25">
      <c r="A314" s="2" t="str">
        <f>"06516"</f>
        <v>06516</v>
      </c>
      <c r="B314" s="2" t="str">
        <f>"15/32 U-BOLT - L 4 11/32"</f>
        <v>15/32 U-BOLT - L 4 11/32</v>
      </c>
      <c r="C314" s="4">
        <v>93.9</v>
      </c>
      <c r="D314" s="5">
        <v>38.03</v>
      </c>
    </row>
    <row r="315" spans="1:4" x14ac:dyDescent="0.25">
      <c r="A315" s="2" t="str">
        <f>"06523"</f>
        <v>06523</v>
      </c>
      <c r="B315" s="2" t="str">
        <f>"1/4 U-BOLT - L 3 1/2"</f>
        <v>1/4 U-BOLT - L 3 1/2</v>
      </c>
      <c r="C315" s="4">
        <v>23.8</v>
      </c>
      <c r="D315" s="5">
        <v>9.64</v>
      </c>
    </row>
    <row r="316" spans="1:4" x14ac:dyDescent="0.25">
      <c r="A316" s="2" t="str">
        <f>"06524"</f>
        <v>06524</v>
      </c>
      <c r="B316" s="2" t="str">
        <f>"5/16 U-BOLT - L 3 15/16"</f>
        <v>5/16 U-BOLT - L 3 15/16</v>
      </c>
      <c r="C316" s="4">
        <v>34.6</v>
      </c>
      <c r="D316" s="5">
        <v>14.01</v>
      </c>
    </row>
    <row r="317" spans="1:4" x14ac:dyDescent="0.25">
      <c r="A317" s="2" t="str">
        <f>"06525"</f>
        <v>06525</v>
      </c>
      <c r="B317" s="2" t="str">
        <f>"13/32 U-BOLT - L 4 11/32"</f>
        <v>13/32 U-BOLT - L 4 11/32</v>
      </c>
      <c r="C317" s="4">
        <v>55</v>
      </c>
      <c r="D317" s="5">
        <v>22.28</v>
      </c>
    </row>
    <row r="318" spans="1:4" x14ac:dyDescent="0.25">
      <c r="A318" s="2" t="str">
        <f>"06526"</f>
        <v>06526</v>
      </c>
      <c r="B318" s="2" t="str">
        <f>"15/32 U-BOLT - L 5 1/8"</f>
        <v>15/32 U-BOLT - L 5 1/8</v>
      </c>
      <c r="C318" s="4">
        <v>106.8</v>
      </c>
      <c r="D318" s="5">
        <v>43.25</v>
      </c>
    </row>
    <row r="319" spans="1:4" x14ac:dyDescent="0.25">
      <c r="A319" s="2" t="str">
        <f>"65321"</f>
        <v>65321</v>
      </c>
      <c r="B319" s="2" t="str">
        <f>"3/16 BLACK WATERPROOF U-BOLT - L 2"</f>
        <v>3/16 BLACK WATERPROOF U-BOLT - L 2</v>
      </c>
      <c r="C319" s="4">
        <v>22.8</v>
      </c>
      <c r="D319" s="5">
        <v>9.23</v>
      </c>
    </row>
    <row r="320" spans="1:4" x14ac:dyDescent="0.25">
      <c r="A320" s="2" t="str">
        <f>"65322"</f>
        <v>65322</v>
      </c>
      <c r="B320" s="2" t="str">
        <f>"3/16 WHITE WATERPROOF U-BOLT - L 2"</f>
        <v>3/16 WHITE WATERPROOF U-BOLT - L 2</v>
      </c>
      <c r="C320" s="4">
        <v>22.8</v>
      </c>
      <c r="D320" s="5">
        <v>9.23</v>
      </c>
    </row>
    <row r="321" spans="1:4" x14ac:dyDescent="0.25">
      <c r="A321" s="2" t="str">
        <f>"65331"</f>
        <v>65331</v>
      </c>
      <c r="B321" s="2" t="str">
        <f>"1/4 BLACK WATERPROOF U-BOLT - L 2 3"</f>
        <v>1/4 BLACK WATERPROOF U-BOLT - L 2 3</v>
      </c>
      <c r="C321" s="4">
        <v>26.1</v>
      </c>
      <c r="D321" s="5">
        <v>10.57</v>
      </c>
    </row>
    <row r="322" spans="1:4" x14ac:dyDescent="0.25">
      <c r="A322" s="2" t="str">
        <f>"65332"</f>
        <v>65332</v>
      </c>
      <c r="B322" s="2" t="str">
        <f>"1/4 WHITE WATERPROOF U-BOLT - L 2 3"</f>
        <v>1/4 WHITE WATERPROOF U-BOLT - L 2 3</v>
      </c>
      <c r="C322" s="4">
        <v>26.1</v>
      </c>
      <c r="D322" s="5">
        <v>10.57</v>
      </c>
    </row>
    <row r="323" spans="1:4" x14ac:dyDescent="0.25">
      <c r="A323" s="2" t="str">
        <f>"65341"</f>
        <v>65341</v>
      </c>
      <c r="B323" s="2" t="str">
        <f>"5/16 BLACK WATERPROOF U-BOLT - L 3"</f>
        <v>5/16 BLACK WATERPROOF U-BOLT - L 3</v>
      </c>
      <c r="C323" s="4">
        <v>36.6</v>
      </c>
      <c r="D323" s="5">
        <v>14.82</v>
      </c>
    </row>
    <row r="324" spans="1:4" x14ac:dyDescent="0.25">
      <c r="A324" s="2" t="str">
        <f>"65342"</f>
        <v>65342</v>
      </c>
      <c r="B324" s="2" t="str">
        <f>"5/16 WHITE WATERPROOF U-BOLT - L 3"</f>
        <v>5/16 WHITE WATERPROOF U-BOLT - L 3</v>
      </c>
      <c r="C324" s="4">
        <v>36.6</v>
      </c>
      <c r="D324" s="5">
        <v>14.82</v>
      </c>
    </row>
    <row r="325" spans="1:4" x14ac:dyDescent="0.25">
      <c r="A325" s="2" t="str">
        <f>"65351"</f>
        <v>65351</v>
      </c>
      <c r="B325" s="2" t="str">
        <f>"13/32 BLACK WATERPROOF U-BOLT - L 3"</f>
        <v>13/32 BLACK WATERPROOF U-BOLT - L 3</v>
      </c>
      <c r="C325" s="4">
        <v>60.7</v>
      </c>
      <c r="D325" s="5">
        <v>24.58</v>
      </c>
    </row>
    <row r="326" spans="1:4" x14ac:dyDescent="0.25">
      <c r="A326" s="2" t="str">
        <f>"65352"</f>
        <v>65352</v>
      </c>
      <c r="B326" s="2" t="str">
        <f>"13/32 WHITE WATERPROOF U-BOLT - L 3"</f>
        <v>13/32 WHITE WATERPROOF U-BOLT - L 3</v>
      </c>
      <c r="C326" s="4">
        <v>60.7</v>
      </c>
      <c r="D326" s="5">
        <v>24.58</v>
      </c>
    </row>
    <row r="327" spans="1:4" x14ac:dyDescent="0.25">
      <c r="A327" s="2" t="str">
        <f>"65361"</f>
        <v>65361</v>
      </c>
      <c r="B327" s="2" t="str">
        <f>"15/32 BLACK WATERPROOF U-BOLT-L 4 1"</f>
        <v>15/32 BLACK WATERPROOF U-BOLT-L 4 1</v>
      </c>
      <c r="C327" s="4">
        <v>106.3</v>
      </c>
      <c r="D327" s="5">
        <v>43.05</v>
      </c>
    </row>
    <row r="328" spans="1:4" x14ac:dyDescent="0.25">
      <c r="A328" s="2" t="str">
        <f>"65362"</f>
        <v>65362</v>
      </c>
      <c r="B328" s="2" t="str">
        <f>"15/32 WHITE WATERPROOF U-BOLT-L 4 1"</f>
        <v>15/32 WHITE WATERPROOF U-BOLT-L 4 1</v>
      </c>
      <c r="C328" s="4">
        <v>106.3</v>
      </c>
      <c r="D328" s="5">
        <v>43.05</v>
      </c>
    </row>
    <row r="329" spans="1:4" x14ac:dyDescent="0.25">
      <c r="A329" s="2" t="str">
        <f>"65431"</f>
        <v>65431</v>
      </c>
      <c r="B329" s="2" t="str">
        <f>"1/4 BLACK WATERPROOF U-BOLT - L 3 1"</f>
        <v>1/4 BLACK WATERPROOF U-BOLT - L 3 1</v>
      </c>
      <c r="C329" s="4">
        <v>30.6</v>
      </c>
      <c r="D329" s="5">
        <v>12.39</v>
      </c>
    </row>
    <row r="330" spans="1:4" x14ac:dyDescent="0.25">
      <c r="A330" s="2" t="str">
        <f>"65432"</f>
        <v>65432</v>
      </c>
      <c r="B330" s="2" t="str">
        <f>"1/4 WHITE WATERPROOF U-BOLT - L 3 1"</f>
        <v>1/4 WHITE WATERPROOF U-BOLT - L 3 1</v>
      </c>
      <c r="C330" s="4">
        <v>30.6</v>
      </c>
      <c r="D330" s="5">
        <v>12.39</v>
      </c>
    </row>
    <row r="331" spans="1:4" x14ac:dyDescent="0.25">
      <c r="A331" s="2" t="str">
        <f>"65441"</f>
        <v>65441</v>
      </c>
      <c r="B331" s="2" t="str">
        <f>"5/16 BLACK WATERPROOF U-BOLT - L 3"</f>
        <v>5/16 BLACK WATERPROOF U-BOLT - L 3</v>
      </c>
      <c r="C331" s="4">
        <v>41.3</v>
      </c>
      <c r="D331" s="5">
        <v>16.73</v>
      </c>
    </row>
    <row r="332" spans="1:4" x14ac:dyDescent="0.25">
      <c r="A332" s="2" t="str">
        <f>"65442"</f>
        <v>65442</v>
      </c>
      <c r="B332" s="2" t="str">
        <f>"5/16 WHITE WATERPROOF U-BOLT - L 4"</f>
        <v>5/16 WHITE WATERPROOF U-BOLT - L 4</v>
      </c>
      <c r="C332" s="4">
        <v>41.3</v>
      </c>
      <c r="D332" s="5">
        <v>16.73</v>
      </c>
    </row>
    <row r="333" spans="1:4" x14ac:dyDescent="0.25">
      <c r="A333" s="2" t="str">
        <f>"65451"</f>
        <v>65451</v>
      </c>
      <c r="B333" s="2" t="str">
        <f>"13/32 BLACK WATERPROOF U-BOLT-L 4 1"</f>
        <v>13/32 BLACK WATERPROOF U-BOLT-L 4 1</v>
      </c>
      <c r="C333" s="4">
        <v>76</v>
      </c>
      <c r="D333" s="5">
        <v>30.78</v>
      </c>
    </row>
    <row r="334" spans="1:4" x14ac:dyDescent="0.25">
      <c r="A334" s="2" t="str">
        <f>"65452"</f>
        <v>65452</v>
      </c>
      <c r="B334" s="2" t="str">
        <f>"13/32 WHITE WATERPROOF U-BOLT-L 4 1"</f>
        <v>13/32 WHITE WATERPROOF U-BOLT-L 4 1</v>
      </c>
      <c r="C334" s="4">
        <v>76</v>
      </c>
      <c r="D334" s="5">
        <v>30.78</v>
      </c>
    </row>
    <row r="335" spans="1:4" x14ac:dyDescent="0.25">
      <c r="A335" s="2" t="str">
        <f>"65461"</f>
        <v>65461</v>
      </c>
      <c r="B335" s="2" t="str">
        <f>"15/32 BLACK WATERPROOF U-BOLT - L 5"</f>
        <v>15/32 BLACK WATERPROOF U-BOLT - L 5</v>
      </c>
      <c r="C335" s="4">
        <v>121.3</v>
      </c>
      <c r="D335" s="5">
        <v>49.13</v>
      </c>
    </row>
    <row r="336" spans="1:4" x14ac:dyDescent="0.25">
      <c r="A336" s="2" t="str">
        <f>"65462"</f>
        <v>65462</v>
      </c>
      <c r="B336" s="2" t="str">
        <f>"15/32 WHITE WATERPROOF U-BOLT - L 5"</f>
        <v>15/32 WHITE WATERPROOF U-BOLT - L 5</v>
      </c>
      <c r="C336" s="4">
        <v>121.3</v>
      </c>
      <c r="D336" s="5">
        <v>49.13</v>
      </c>
    </row>
    <row r="337" spans="1:4" x14ac:dyDescent="0.25">
      <c r="A337" s="2" t="str">
        <f>"09201"</f>
        <v>09201</v>
      </c>
      <c r="B337" s="2" t="str">
        <f>"5/32 EYE STRAP"</f>
        <v>5/32 EYE STRAP</v>
      </c>
      <c r="C337" s="4">
        <v>10</v>
      </c>
      <c r="D337" s="5">
        <v>4.05</v>
      </c>
    </row>
    <row r="338" spans="1:4" x14ac:dyDescent="0.25">
      <c r="A338" s="2" t="str">
        <f>"09202"</f>
        <v>09202</v>
      </c>
      <c r="B338" s="2" t="str">
        <f>"3/16 EYE STRAP"</f>
        <v>3/16 EYE STRAP</v>
      </c>
      <c r="C338" s="4">
        <v>11.4</v>
      </c>
      <c r="D338" s="5">
        <v>4.62</v>
      </c>
    </row>
    <row r="339" spans="1:4" x14ac:dyDescent="0.25">
      <c r="A339" s="2" t="str">
        <f>"09203"</f>
        <v>09203</v>
      </c>
      <c r="B339" s="2" t="str">
        <f>"1/4 EYE STRAP"</f>
        <v>1/4 EYE STRAP</v>
      </c>
      <c r="C339" s="4">
        <v>14.4</v>
      </c>
      <c r="D339" s="5">
        <v>5.83</v>
      </c>
    </row>
    <row r="340" spans="1:4" x14ac:dyDescent="0.25">
      <c r="A340" s="2" t="str">
        <f>"09204"</f>
        <v>09204</v>
      </c>
      <c r="B340" s="2" t="str">
        <f>"5/16 EYE STRAP"</f>
        <v>5/16 EYE STRAP</v>
      </c>
      <c r="C340" s="4">
        <v>22.1</v>
      </c>
      <c r="D340" s="5">
        <v>8.9499999999999993</v>
      </c>
    </row>
    <row r="341" spans="1:4" x14ac:dyDescent="0.25">
      <c r="A341" s="2" t="str">
        <f>"09205"</f>
        <v>09205</v>
      </c>
      <c r="B341" s="2" t="str">
        <f>"13/32 EYE STRAP"</f>
        <v>13/32 EYE STRAP</v>
      </c>
      <c r="C341" s="4">
        <v>40.5</v>
      </c>
      <c r="D341" s="5">
        <v>16.399999999999999</v>
      </c>
    </row>
    <row r="342" spans="1:4" x14ac:dyDescent="0.25">
      <c r="A342" s="2" t="str">
        <f>"30026"</f>
        <v>30026</v>
      </c>
      <c r="B342" s="2" t="str">
        <f>"1 1/32 STAMPED EYE STRAP"</f>
        <v>1 1/32 STAMPED EYE STRAP</v>
      </c>
      <c r="C342" s="4">
        <v>7.6</v>
      </c>
      <c r="D342" s="5">
        <v>3.08</v>
      </c>
    </row>
    <row r="343" spans="1:4" x14ac:dyDescent="0.25">
      <c r="A343" s="2" t="str">
        <f>"30038"</f>
        <v>30038</v>
      </c>
      <c r="B343" s="2" t="str">
        <f>"1 1/2 STAMPED EYE STRAP"</f>
        <v>1 1/2 STAMPED EYE STRAP</v>
      </c>
      <c r="C343" s="4">
        <v>8.8000000000000007</v>
      </c>
      <c r="D343" s="5">
        <v>3.56</v>
      </c>
    </row>
    <row r="344" spans="1:4" x14ac:dyDescent="0.25">
      <c r="A344" s="2" t="str">
        <f>"30052"</f>
        <v>30052</v>
      </c>
      <c r="B344" s="2" t="str">
        <f>"2 1/32 STAMPED EYE STRAP"</f>
        <v>2 1/32 STAMPED EYE STRAP</v>
      </c>
      <c r="C344" s="4">
        <v>13.3</v>
      </c>
      <c r="D344" s="5">
        <v>5.39</v>
      </c>
    </row>
    <row r="345" spans="1:4" x14ac:dyDescent="0.25">
      <c r="A345" s="2" t="str">
        <f>"30126"</f>
        <v>30126</v>
      </c>
      <c r="B345" s="2" t="str">
        <f>"EYE STRAP COMPOSIT"</f>
        <v>EYE STRAP COMPOSIT</v>
      </c>
      <c r="C345" s="4">
        <v>6</v>
      </c>
      <c r="D345" s="5">
        <v>2.4300000000000002</v>
      </c>
    </row>
    <row r="346" spans="1:4" x14ac:dyDescent="0.25">
      <c r="A346" s="2" t="str">
        <f>"30138"</f>
        <v>30138</v>
      </c>
      <c r="B346" s="2" t="str">
        <f>"EYE STRAP COMPOSIT"</f>
        <v>EYE STRAP COMPOSIT</v>
      </c>
      <c r="C346" s="4">
        <v>7.6</v>
      </c>
      <c r="D346" s="5">
        <v>3.08</v>
      </c>
    </row>
    <row r="347" spans="1:4" x14ac:dyDescent="0.25">
      <c r="A347" s="2" t="str">
        <f>"30152"</f>
        <v>30152</v>
      </c>
      <c r="B347" s="2" t="str">
        <f>"EYE STRAP COMPOSIT"</f>
        <v>EYE STRAP COMPOSIT</v>
      </c>
      <c r="C347" s="4">
        <v>10.5</v>
      </c>
      <c r="D347" s="5">
        <v>4.25</v>
      </c>
    </row>
    <row r="348" spans="1:4" x14ac:dyDescent="0.25">
      <c r="A348" s="2" t="str">
        <f>"09211"</f>
        <v>09211</v>
      </c>
      <c r="B348" s="2" t="str">
        <f>"5/32 WEBBING EYE STRAP - L 2"</f>
        <v>5/32 WEBBING EYE STRAP - L 2</v>
      </c>
      <c r="C348" s="4">
        <v>13.9</v>
      </c>
      <c r="D348" s="5">
        <v>5.63</v>
      </c>
    </row>
    <row r="349" spans="1:4" x14ac:dyDescent="0.25">
      <c r="A349" s="2" t="str">
        <f>"09212"</f>
        <v>09212</v>
      </c>
      <c r="B349" s="2" t="str">
        <f>"3/16 WEBBING EYE STRAP - L 2 9/16"</f>
        <v>3/16 WEBBING EYE STRAP - L 2 9/16</v>
      </c>
      <c r="C349" s="4">
        <v>14.4</v>
      </c>
      <c r="D349" s="5">
        <v>5.83</v>
      </c>
    </row>
    <row r="350" spans="1:4" x14ac:dyDescent="0.25">
      <c r="A350" s="2" t="str">
        <f>"09222"</f>
        <v>09222</v>
      </c>
      <c r="B350" s="2" t="str">
        <f>"3/16 WEBBING EYE STRAP - L 2 1/4"</f>
        <v>3/16 WEBBING EYE STRAP - L 2 1/4</v>
      </c>
      <c r="C350" s="4">
        <v>21.3</v>
      </c>
      <c r="D350" s="5">
        <v>8.6300000000000008</v>
      </c>
    </row>
    <row r="351" spans="1:4" x14ac:dyDescent="0.25">
      <c r="A351" s="2" t="str">
        <f>"09412"</f>
        <v>09412</v>
      </c>
      <c r="B351" s="2" t="str">
        <f>"1/4 U STRAP BEND"</f>
        <v>1/4 U STRAP BEND</v>
      </c>
      <c r="C351" s="4">
        <v>16.5</v>
      </c>
      <c r="D351" s="5">
        <v>6.68</v>
      </c>
    </row>
    <row r="352" spans="1:4" x14ac:dyDescent="0.25">
      <c r="A352" s="2" t="str">
        <f>"06490"</f>
        <v>06490</v>
      </c>
      <c r="B352" s="2" t="str">
        <f>"6MM EYE BOLT - DIA 15/32 - L 1 9/16"</f>
        <v>6MM EYE BOLT - DIA 15/32 - L 1 9/16</v>
      </c>
      <c r="C352" s="4">
        <v>27.7</v>
      </c>
      <c r="D352" s="5">
        <v>11.22</v>
      </c>
    </row>
    <row r="353" spans="1:4" x14ac:dyDescent="0.25">
      <c r="A353" s="2" t="str">
        <f>"06491"</f>
        <v>06491</v>
      </c>
      <c r="B353" s="2" t="str">
        <f>"6MM EYE BOLT - DIA 15/32 - L 2 3/8"</f>
        <v>6MM EYE BOLT - DIA 15/32 - L 2 3/8</v>
      </c>
      <c r="C353" s="4">
        <v>30.3</v>
      </c>
      <c r="D353" s="5">
        <v>12.27</v>
      </c>
    </row>
    <row r="354" spans="1:4" x14ac:dyDescent="0.25">
      <c r="A354" s="2" t="str">
        <f>"06492"</f>
        <v>06492</v>
      </c>
      <c r="B354" s="2" t="str">
        <f>"8MM EYE BOLT - DIA 9/16 - L 3 5/32"</f>
        <v>8MM EYE BOLT - DIA 9/16 - L 3 5/32</v>
      </c>
      <c r="C354" s="4">
        <v>46.1</v>
      </c>
      <c r="D354" s="5">
        <v>18.670000000000002</v>
      </c>
    </row>
    <row r="355" spans="1:4" x14ac:dyDescent="0.25">
      <c r="A355" s="2" t="str">
        <f>"06493"</f>
        <v>06493</v>
      </c>
      <c r="B355" s="2" t="str">
        <f>"8MM EYE BOLT - DIA 15/32 - L 4"</f>
        <v>8MM EYE BOLT - DIA 15/32 - L 4</v>
      </c>
      <c r="C355" s="4">
        <v>46.6</v>
      </c>
      <c r="D355" s="5">
        <v>18.87</v>
      </c>
    </row>
    <row r="356" spans="1:4" x14ac:dyDescent="0.25">
      <c r="A356" s="2" t="str">
        <f>"06495"</f>
        <v>06495</v>
      </c>
      <c r="B356" s="2" t="str">
        <f>"10MM EYE BOLT - DIA 5/8 - L 4"</f>
        <v>10MM EYE BOLT - DIA 5/8 - L 4</v>
      </c>
      <c r="C356" s="4">
        <v>69.599999999999994</v>
      </c>
      <c r="D356" s="5">
        <v>28.19</v>
      </c>
    </row>
    <row r="357" spans="1:4" x14ac:dyDescent="0.25">
      <c r="A357" s="2" t="str">
        <f>"06497"</f>
        <v>06497</v>
      </c>
      <c r="B357" s="2" t="str">
        <f>"12MM EYE BOLT - DIA 11/16 - L 4 3/4"</f>
        <v>12MM EYE BOLT - DIA 11/16 - L 4 3/4</v>
      </c>
      <c r="C357" s="4">
        <v>105.2</v>
      </c>
      <c r="D357" s="5">
        <v>42.61</v>
      </c>
    </row>
    <row r="358" spans="1:4" x14ac:dyDescent="0.25">
      <c r="A358" s="2" t="str">
        <f>"06331"</f>
        <v>06331</v>
      </c>
      <c r="B358" s="2" t="str">
        <f>"1/4 EYE NUT - DIA 1/2"</f>
        <v>1/4 EYE NUT - DIA 1/2</v>
      </c>
      <c r="C358" s="4">
        <v>24</v>
      </c>
      <c r="D358" s="5">
        <v>9.7200000000000006</v>
      </c>
    </row>
    <row r="359" spans="1:4" x14ac:dyDescent="0.25">
      <c r="A359" s="2" t="str">
        <f>"06332"</f>
        <v>06332</v>
      </c>
      <c r="B359" s="2" t="str">
        <f>"5/16 EYE NUT - DIA 1/2"</f>
        <v>5/16 EYE NUT - DIA 1/2</v>
      </c>
      <c r="C359" s="4">
        <v>24</v>
      </c>
      <c r="D359" s="5">
        <v>9.7200000000000006</v>
      </c>
    </row>
    <row r="360" spans="1:4" x14ac:dyDescent="0.25">
      <c r="A360" s="2" t="str">
        <f>"06333"</f>
        <v>06333</v>
      </c>
      <c r="B360" s="2" t="str">
        <f>"6MM EYE NUT - DIA 1/2"</f>
        <v>6MM EYE NUT - DIA 1/2</v>
      </c>
      <c r="C360" s="4">
        <v>24</v>
      </c>
      <c r="D360" s="5">
        <v>9.7200000000000006</v>
      </c>
    </row>
    <row r="361" spans="1:4" x14ac:dyDescent="0.25">
      <c r="A361" s="2" t="str">
        <f>"06334"</f>
        <v>06334</v>
      </c>
      <c r="B361" s="2" t="str">
        <f>"8MM EYE NUT - DIA 1/2"</f>
        <v>8MM EYE NUT - DIA 1/2</v>
      </c>
      <c r="C361" s="4">
        <v>24</v>
      </c>
      <c r="D361" s="5">
        <v>9.7200000000000006</v>
      </c>
    </row>
    <row r="362" spans="1:4" x14ac:dyDescent="0.25">
      <c r="A362" s="2" t="str">
        <f>"06341"</f>
        <v>06341</v>
      </c>
      <c r="B362" s="2" t="str">
        <f>"5/16 EYE NUT - DIA 21/32"</f>
        <v>5/16 EYE NUT - DIA 21/32</v>
      </c>
      <c r="C362" s="4">
        <v>36.5</v>
      </c>
      <c r="D362" s="5">
        <v>14.78</v>
      </c>
    </row>
    <row r="363" spans="1:4" x14ac:dyDescent="0.25">
      <c r="A363" s="2" t="str">
        <f>"06342"</f>
        <v>06342</v>
      </c>
      <c r="B363" s="2" t="str">
        <f>"3/8 EYE NUT - DIA 21/32"</f>
        <v>3/8 EYE NUT - DIA 21/32</v>
      </c>
      <c r="C363" s="4">
        <v>36.5</v>
      </c>
      <c r="D363" s="5">
        <v>14.78</v>
      </c>
    </row>
    <row r="364" spans="1:4" x14ac:dyDescent="0.25">
      <c r="A364" s="2" t="str">
        <f>"06344"</f>
        <v>06344</v>
      </c>
      <c r="B364" s="2" t="str">
        <f>"8MM EYE NUT - DIA 21/32"</f>
        <v>8MM EYE NUT - DIA 21/32</v>
      </c>
      <c r="C364" s="4">
        <v>36.5</v>
      </c>
      <c r="D364" s="5">
        <v>14.78</v>
      </c>
    </row>
    <row r="365" spans="1:4" x14ac:dyDescent="0.25">
      <c r="A365" s="2" t="str">
        <f>"06345"</f>
        <v>06345</v>
      </c>
      <c r="B365" s="2" t="str">
        <f>"10MM EYE NUT - DIA 21/32"</f>
        <v>10MM EYE NUT - DIA 21/32</v>
      </c>
      <c r="C365" s="4">
        <v>36.5</v>
      </c>
      <c r="D365" s="5">
        <v>14.78</v>
      </c>
    </row>
    <row r="366" spans="1:4" x14ac:dyDescent="0.25">
      <c r="A366" s="2" t="str">
        <f>"06351"</f>
        <v>06351</v>
      </c>
      <c r="B366" s="2" t="str">
        <f>"3/8 EYE NUT - DIA 13/16"</f>
        <v>3/8 EYE NUT - DIA 13/16</v>
      </c>
      <c r="C366" s="4">
        <v>55.2</v>
      </c>
      <c r="D366" s="5">
        <v>22.36</v>
      </c>
    </row>
    <row r="367" spans="1:4" x14ac:dyDescent="0.25">
      <c r="A367" s="2" t="str">
        <f>"06352"</f>
        <v>06352</v>
      </c>
      <c r="B367" s="2" t="str">
        <f>"1/2 EYE NUT - DIA 13/16"</f>
        <v>1/2 EYE NUT - DIA 13/16</v>
      </c>
      <c r="C367" s="4">
        <v>55.2</v>
      </c>
      <c r="D367" s="5">
        <v>22.36</v>
      </c>
    </row>
    <row r="368" spans="1:4" x14ac:dyDescent="0.25">
      <c r="A368" s="2" t="str">
        <f>"06355"</f>
        <v>06355</v>
      </c>
      <c r="B368" s="2" t="str">
        <f>"10MM EYE NUT - DIA 13/16"</f>
        <v>10MM EYE NUT - DIA 13/16</v>
      </c>
      <c r="C368" s="4">
        <v>55.2</v>
      </c>
      <c r="D368" s="5">
        <v>22.36</v>
      </c>
    </row>
    <row r="369" spans="1:4" x14ac:dyDescent="0.25">
      <c r="A369" s="2" t="str">
        <f>"06356"</f>
        <v>06356</v>
      </c>
      <c r="B369" s="2" t="str">
        <f>"12MM EYE NUT - DIA 13/16"</f>
        <v>12MM EYE NUT - DIA 13/16</v>
      </c>
      <c r="C369" s="4">
        <v>55.2</v>
      </c>
      <c r="D369" s="5">
        <v>22.36</v>
      </c>
    </row>
    <row r="370" spans="1:4" x14ac:dyDescent="0.25">
      <c r="A370" s="2" t="str">
        <f>"06361"</f>
        <v>06361</v>
      </c>
      <c r="B370" s="2" t="str">
        <f>"1/2 EYE NUT - DIA 1 1/16"</f>
        <v>1/2 EYE NUT - DIA 1 1/16</v>
      </c>
      <c r="C370" s="4">
        <v>85.5</v>
      </c>
      <c r="D370" s="5">
        <v>34.630000000000003</v>
      </c>
    </row>
    <row r="371" spans="1:4" x14ac:dyDescent="0.25">
      <c r="A371" s="2" t="str">
        <f>"06363"</f>
        <v>06363</v>
      </c>
      <c r="B371" s="2" t="str">
        <f>"5/8 EYE NUT - DIA 1 1/16"</f>
        <v>5/8 EYE NUT - DIA 1 1/16</v>
      </c>
      <c r="C371" s="4">
        <v>85.5</v>
      </c>
      <c r="D371" s="5">
        <v>34.630000000000003</v>
      </c>
    </row>
    <row r="372" spans="1:4" x14ac:dyDescent="0.25">
      <c r="A372" s="2" t="str">
        <f>"06366"</f>
        <v>06366</v>
      </c>
      <c r="B372" s="2" t="str">
        <f>"12MM EYE NUT - DIA 1 1/16"</f>
        <v>12MM EYE NUT - DIA 1 1/16</v>
      </c>
      <c r="C372" s="4">
        <v>85.5</v>
      </c>
      <c r="D372" s="5">
        <v>34.630000000000003</v>
      </c>
    </row>
    <row r="373" spans="1:4" x14ac:dyDescent="0.25">
      <c r="A373" s="2" t="str">
        <f>"06367"</f>
        <v>06367</v>
      </c>
      <c r="B373" s="2" t="str">
        <f>"14MM EYE NUT - DIA 1 1/16"</f>
        <v>14MM EYE NUT - DIA 1 1/16</v>
      </c>
      <c r="C373" s="4">
        <v>85.5</v>
      </c>
      <c r="D373" s="5">
        <v>34.630000000000003</v>
      </c>
    </row>
    <row r="374" spans="1:4" x14ac:dyDescent="0.25">
      <c r="A374" s="2" t="str">
        <f>"06368"</f>
        <v>06368</v>
      </c>
      <c r="B374" s="2" t="str">
        <f>"16MM EYE NUT - DIA 1 1/16"</f>
        <v>16MM EYE NUT - DIA 1 1/16</v>
      </c>
      <c r="C374" s="4">
        <v>85.5</v>
      </c>
      <c r="D374" s="5">
        <v>34.630000000000003</v>
      </c>
    </row>
    <row r="375" spans="1:4" x14ac:dyDescent="0.25">
      <c r="A375" s="2" t="str">
        <f>"06435"</f>
        <v>06435</v>
      </c>
      <c r="B375" s="2" t="str">
        <f>"THREADED TANG HOOK - 2200 LB"</f>
        <v>THREADED TANG HOOK - 2200 LB</v>
      </c>
      <c r="C375" s="4">
        <v>58.6</v>
      </c>
      <c r="D375" s="5">
        <v>23.73</v>
      </c>
    </row>
    <row r="376" spans="1:4" x14ac:dyDescent="0.25">
      <c r="A376" s="2" t="str">
        <f>"09150"</f>
        <v>09150</v>
      </c>
      <c r="B376" s="2" t="str">
        <f>"RIGGING ATTACHMENT TANG - 18MM PIN"</f>
        <v>RIGGING ATTACHMENT TANG - 18MM PIN</v>
      </c>
      <c r="C376" s="4">
        <v>87.8</v>
      </c>
      <c r="D376" s="5">
        <v>35.56</v>
      </c>
    </row>
    <row r="377" spans="1:4" x14ac:dyDescent="0.25">
      <c r="A377" s="2" t="str">
        <f>"06654"</f>
        <v>06654</v>
      </c>
      <c r="B377" s="2" t="str">
        <f>"DIAMOND PADEYE SQUARE L60"</f>
        <v>DIAMOND PADEYE SQUARE L60</v>
      </c>
      <c r="C377" s="4">
        <v>30</v>
      </c>
      <c r="D377" s="5">
        <v>12.15</v>
      </c>
    </row>
    <row r="378" spans="1:4" x14ac:dyDescent="0.25">
      <c r="A378" s="2" t="str">
        <f>"06655"</f>
        <v>06655</v>
      </c>
      <c r="B378" s="2" t="str">
        <f>"DIAMOND PADEYE SQUARE L79"</f>
        <v>DIAMOND PADEYE SQUARE L79</v>
      </c>
      <c r="C378" s="4">
        <v>40.4</v>
      </c>
      <c r="D378" s="5">
        <v>16.36</v>
      </c>
    </row>
    <row r="379" spans="1:4" x14ac:dyDescent="0.25">
      <c r="A379" s="2" t="str">
        <f>"06656"</f>
        <v>06656</v>
      </c>
      <c r="B379" s="2" t="str">
        <f>"DIAMOND PADEYE SQUARE L98"</f>
        <v>DIAMOND PADEYE SQUARE L98</v>
      </c>
      <c r="C379" s="4">
        <v>55.5</v>
      </c>
      <c r="D379" s="5">
        <v>22.48</v>
      </c>
    </row>
    <row r="380" spans="1:4" x14ac:dyDescent="0.25">
      <c r="A380" s="2" t="str">
        <f>"06644"</f>
        <v>06644</v>
      </c>
      <c r="B380" s="2" t="str">
        <f>"DIAMOND PADEYE ROUND L60 (M5)"</f>
        <v>DIAMOND PADEYE ROUND L60 (M5)</v>
      </c>
      <c r="C380" s="4">
        <v>30</v>
      </c>
      <c r="D380" s="5">
        <v>12.15</v>
      </c>
    </row>
    <row r="381" spans="1:4" x14ac:dyDescent="0.25">
      <c r="A381" s="2" t="str">
        <f>"06645"</f>
        <v>06645</v>
      </c>
      <c r="B381" s="2" t="str">
        <f>"DIAMOND PADEYE ROUND L79"</f>
        <v>DIAMOND PADEYE ROUND L79</v>
      </c>
      <c r="C381" s="4">
        <v>40.4</v>
      </c>
      <c r="D381" s="5">
        <v>16.36</v>
      </c>
    </row>
    <row r="382" spans="1:4" x14ac:dyDescent="0.25">
      <c r="A382" s="2" t="str">
        <f>"06646"</f>
        <v>06646</v>
      </c>
      <c r="B382" s="2" t="str">
        <f>"DIAMOND PADEYE ROUND L98"</f>
        <v>DIAMOND PADEYE ROUND L98</v>
      </c>
      <c r="C382" s="4">
        <v>55.5</v>
      </c>
      <c r="D382" s="5">
        <v>22.48</v>
      </c>
    </row>
    <row r="383" spans="1:4" x14ac:dyDescent="0.25">
      <c r="A383" s="2" t="str">
        <f>"07001"</f>
        <v>07001</v>
      </c>
      <c r="B383" s="2" t="str">
        <f>"ELASTIC TETHER CARBINE HOOKS"</f>
        <v>ELASTIC TETHER CARBINE HOOKS</v>
      </c>
      <c r="C383" s="4">
        <v>176.9</v>
      </c>
      <c r="D383" s="5">
        <v>71.64</v>
      </c>
    </row>
    <row r="384" spans="1:4" x14ac:dyDescent="0.25">
      <c r="A384" s="2" t="str">
        <f>"07002"</f>
        <v>07002</v>
      </c>
      <c r="B384" s="2" t="str">
        <f>"DOUBLE ELASTIC TETHER CARBINE HOOKS"</f>
        <v>DOUBLE ELASTIC TETHER CARBINE HOOKS</v>
      </c>
      <c r="C384" s="4">
        <v>274</v>
      </c>
      <c r="D384" s="5">
        <v>110.97</v>
      </c>
    </row>
    <row r="385" spans="1:4" x14ac:dyDescent="0.25">
      <c r="A385" s="2" t="str">
        <f>"07005"</f>
        <v>07005</v>
      </c>
      <c r="B385" s="2" t="str">
        <f>"ELASTIC TETHER DBLE ACTION HOOKS"</f>
        <v>ELASTIC TETHER DBLE ACTION HOOKS</v>
      </c>
      <c r="C385" s="4">
        <v>239.7</v>
      </c>
      <c r="D385" s="5">
        <v>97.08</v>
      </c>
    </row>
    <row r="386" spans="1:4" x14ac:dyDescent="0.25">
      <c r="A386" s="2" t="str">
        <f>"07006"</f>
        <v>07006</v>
      </c>
      <c r="B386" s="2" t="str">
        <f>"DOUBLE ELASTIC TETHER DBLE ACTION H"</f>
        <v>DOUBLE ELASTIC TETHER DBLE ACTION H</v>
      </c>
      <c r="C386" s="4">
        <v>353.9</v>
      </c>
      <c r="D386" s="5">
        <v>143.33000000000001</v>
      </c>
    </row>
    <row r="387" spans="1:4" x14ac:dyDescent="0.25">
      <c r="A387" s="2" t="str">
        <f>"07015"</f>
        <v>07015</v>
      </c>
      <c r="B387" s="2" t="str">
        <f>"TETHER W/ DBLE ACTION HOOKS"</f>
        <v>TETHER W/ DBLE ACTION HOOKS</v>
      </c>
      <c r="C387" s="4">
        <v>190.2</v>
      </c>
      <c r="D387" s="5">
        <v>77.03</v>
      </c>
    </row>
    <row r="388" spans="1:4" x14ac:dyDescent="0.25">
      <c r="A388" s="2" t="str">
        <f>"07016"</f>
        <v>07016</v>
      </c>
      <c r="B388" s="2" t="str">
        <f>"STANDART HARNESS TETHER"</f>
        <v>STANDART HARNESS TETHER</v>
      </c>
      <c r="C388" s="4">
        <v>123</v>
      </c>
      <c r="D388" s="5">
        <v>49.82</v>
      </c>
    </row>
    <row r="389" spans="1:4" x14ac:dyDescent="0.25">
      <c r="A389" s="2" t="str">
        <f>"07007"</f>
        <v>07007</v>
      </c>
      <c r="B389" s="2" t="str">
        <f>"ELASTIC ORC TETHER"</f>
        <v>ELASTIC ORC TETHER</v>
      </c>
      <c r="C389" s="4">
        <v>263</v>
      </c>
      <c r="D389" s="5">
        <v>106.52</v>
      </c>
    </row>
    <row r="390" spans="1:4" x14ac:dyDescent="0.25">
      <c r="A390" s="2" t="str">
        <f>"07008"</f>
        <v>07008</v>
      </c>
      <c r="B390" s="2" t="str">
        <f>"ELASTIC DOUBLE ORC TETHER"</f>
        <v>ELASTIC DOUBLE ORC TETHER</v>
      </c>
      <c r="C390" s="4">
        <v>386.1</v>
      </c>
      <c r="D390" s="5">
        <v>156.37</v>
      </c>
    </row>
    <row r="391" spans="1:4" x14ac:dyDescent="0.25">
      <c r="A391" s="2" t="str">
        <f>"7007B"</f>
        <v>7007B</v>
      </c>
      <c r="B391" s="2" t="str">
        <f>"ELASTIC TACTICAL TETHER"</f>
        <v>ELASTIC TACTICAL TETHER</v>
      </c>
      <c r="C391" s="4">
        <v>335.8</v>
      </c>
      <c r="D391" s="5">
        <v>136</v>
      </c>
    </row>
    <row r="392" spans="1:4" x14ac:dyDescent="0.25">
      <c r="A392" s="2" t="str">
        <f>"07031"</f>
        <v>07031</v>
      </c>
      <c r="B392" s="2" t="str">
        <f>"ELASTIC TETHER PROLINE 2HOOKS SINGLE 6FT"</f>
        <v>ELASTIC TETHER PROLINE 2HOOKS SINGLE 6FT</v>
      </c>
      <c r="C392" s="4">
        <v>313.39999999999998</v>
      </c>
      <c r="D392" s="5">
        <v>126.93</v>
      </c>
    </row>
    <row r="393" spans="1:4" x14ac:dyDescent="0.25">
      <c r="A393" s="2" t="str">
        <f>"07032"</f>
        <v>07032</v>
      </c>
      <c r="B393" s="2" t="str">
        <f>"TETHER PROLINE HOOK/LOOP SINGLE 2.5FT"</f>
        <v>TETHER PROLINE HOOK/LOOP SINGLE 2.5FT</v>
      </c>
      <c r="C393" s="4">
        <v>184.6</v>
      </c>
      <c r="D393" s="5">
        <v>74.760000000000005</v>
      </c>
    </row>
    <row r="394" spans="1:4" x14ac:dyDescent="0.25">
      <c r="A394" s="2" t="str">
        <f>"07033"</f>
        <v>07033</v>
      </c>
      <c r="B394" s="2" t="str">
        <f>"ELASTIC TETHER PROLINE HOOK/LOOP SGL4.5F"</f>
        <v>ELASTIC TETHER PROLINE HOOK/LOOP SGL4.5F</v>
      </c>
      <c r="C394" s="4">
        <v>235</v>
      </c>
      <c r="D394" s="5">
        <v>95.18</v>
      </c>
    </row>
    <row r="395" spans="1:4" x14ac:dyDescent="0.25">
      <c r="A395" s="2" t="str">
        <f>"07034"</f>
        <v>07034</v>
      </c>
      <c r="B395" s="2" t="str">
        <f>"ELASTIC TETHER PROLINE 3HOOKS DOUBLE 6FT"</f>
        <v>ELASTIC TETHER PROLINE 3HOOKS DOUBLE 6FT</v>
      </c>
      <c r="C395" s="4">
        <v>436.5</v>
      </c>
      <c r="D395" s="5">
        <v>176.78</v>
      </c>
    </row>
    <row r="396" spans="1:4" x14ac:dyDescent="0.25">
      <c r="A396" s="2" t="str">
        <f>"07061"</f>
        <v>07061</v>
      </c>
      <c r="B396" s="2" t="str">
        <f>"US SAILING OFFSHORE SINGLE TETHER 6FT"</f>
        <v>US SAILING OFFSHORE SINGLE TETHER 6FT</v>
      </c>
      <c r="C396" s="4">
        <v>302.2</v>
      </c>
      <c r="D396" s="5">
        <v>122.39</v>
      </c>
    </row>
    <row r="397" spans="1:4" x14ac:dyDescent="0.25">
      <c r="A397" s="2" t="str">
        <f>"07064"</f>
        <v>07064</v>
      </c>
      <c r="B397" s="2" t="str">
        <f>"US SAILING OFFSHORE TETHER DOUBLE 6FT"</f>
        <v>US SAILING OFFSHORE TETHER DOUBLE 6FT</v>
      </c>
      <c r="C397" s="4">
        <v>425.3</v>
      </c>
      <c r="D397" s="5">
        <v>172.25</v>
      </c>
    </row>
    <row r="398" spans="1:4" x14ac:dyDescent="0.25">
      <c r="A398" s="2" t="str">
        <f>"07051"</f>
        <v>07051</v>
      </c>
      <c r="B398" s="2" t="str">
        <f>"LYF'SAFE JACKLINE 8.50M 27FT"</f>
        <v>LYF'SAFE JACKLINE 8.50M 27FT</v>
      </c>
      <c r="C398" s="4">
        <v>258.10000000000002</v>
      </c>
      <c r="D398" s="5">
        <v>104.53</v>
      </c>
    </row>
    <row r="399" spans="1:4" x14ac:dyDescent="0.25">
      <c r="A399" s="2" t="str">
        <f>"07052"</f>
        <v>07052</v>
      </c>
      <c r="B399" s="2" t="str">
        <f>"LYF'SAFE JACKLINE 11M 36FT"</f>
        <v>LYF'SAFE JACKLINE 11M 36FT</v>
      </c>
      <c r="C399" s="4">
        <v>304.89999999999998</v>
      </c>
      <c r="D399" s="5">
        <v>123.48</v>
      </c>
    </row>
    <row r="400" spans="1:4" x14ac:dyDescent="0.25">
      <c r="A400" s="2" t="str">
        <f>"07053"</f>
        <v>07053</v>
      </c>
      <c r="B400" s="2" t="str">
        <f>"LYF'SAFE JACKLINE 14M 46FT"</f>
        <v>LYF'SAFE JACKLINE 14M 46FT</v>
      </c>
      <c r="C400" s="4">
        <v>363.1</v>
      </c>
      <c r="D400" s="5">
        <v>147.06</v>
      </c>
    </row>
    <row r="401" spans="1:4" x14ac:dyDescent="0.25">
      <c r="A401" s="2" t="str">
        <f>"07054"</f>
        <v>07054</v>
      </c>
      <c r="B401" s="2" t="str">
        <f>"LYF'SAFE JACKLINE 16.5M 55FT"</f>
        <v>LYF'SAFE JACKLINE 16.5M 55FT</v>
      </c>
      <c r="C401" s="4">
        <v>433.8</v>
      </c>
      <c r="D401" s="5">
        <v>175.69</v>
      </c>
    </row>
    <row r="402" spans="1:4" x14ac:dyDescent="0.25">
      <c r="A402" s="2" t="str">
        <f>"07149"</f>
        <v>07149</v>
      </c>
      <c r="B402" s="2" t="str">
        <f>"GYB'FLEX LINE 25M"</f>
        <v>GYB'FLEX LINE 25M</v>
      </c>
      <c r="C402" s="4">
        <v>315.2</v>
      </c>
      <c r="D402" s="5">
        <v>127.66</v>
      </c>
    </row>
    <row r="403" spans="1:4" x14ac:dyDescent="0.25">
      <c r="A403" s="2" t="str">
        <f>"07060"</f>
        <v>07060</v>
      </c>
      <c r="B403" s="2" t="str">
        <f>"CASING FOR LYFESAFE BUCKLES (GLOWINDARK)"</f>
        <v>CASING FOR LYFESAFE BUCKLES (GLOWINDARK)</v>
      </c>
      <c r="C403" s="4">
        <v>51.5</v>
      </c>
      <c r="D403" s="5">
        <v>20.86</v>
      </c>
    </row>
    <row r="404" spans="1:4" x14ac:dyDescent="0.25">
      <c r="A404" s="2" t="str">
        <f>"07148"</f>
        <v>07148</v>
      </c>
      <c r="B404" s="2" t="str">
        <f>"GYB FLEX LINE FOR GYB EASY - 16M"</f>
        <v>GYB FLEX LINE FOR GYB EASY - 16M</v>
      </c>
      <c r="C404" s="4">
        <v>258.10000000000002</v>
      </c>
      <c r="D404" s="5">
        <v>104.53</v>
      </c>
    </row>
    <row r="405" spans="1:4" x14ac:dyDescent="0.25">
      <c r="A405" s="2" t="str">
        <f>"07150"</f>
        <v>07150</v>
      </c>
      <c r="B405" s="2" t="str">
        <f>"GYB EASY BOOM BRAKE"</f>
        <v>GYB EASY BOOM BRAKE</v>
      </c>
      <c r="C405" s="4">
        <v>479.5</v>
      </c>
      <c r="D405" s="5">
        <v>194.2</v>
      </c>
    </row>
    <row r="406" spans="1:4" x14ac:dyDescent="0.25">
      <c r="A406" s="2" t="str">
        <f>"SP992"</f>
        <v>SP992</v>
      </c>
      <c r="B406" s="2" t="str">
        <f>"EMERGENCY BOARDING LADDER"</f>
        <v>EMERGENCY BOARDING LADDER</v>
      </c>
      <c r="C406" s="4">
        <v>304.3</v>
      </c>
      <c r="D406" s="5">
        <v>123.24</v>
      </c>
    </row>
    <row r="407" spans="1:4" x14ac:dyDescent="0.25">
      <c r="A407" s="2" t="str">
        <f>"05546"</f>
        <v>05546</v>
      </c>
      <c r="B407" s="2" t="str">
        <f>"1/2 BABYSTAY ADJUSTER WITH WHEEL"</f>
        <v>1/2 BABYSTAY ADJUSTER WITH WHEEL</v>
      </c>
      <c r="C407" s="4">
        <v>1123.5999999999999</v>
      </c>
      <c r="D407" s="5">
        <v>455.06</v>
      </c>
    </row>
    <row r="408" spans="1:4" x14ac:dyDescent="0.25">
      <c r="A408" s="2" t="str">
        <f>"05554"</f>
        <v>05554</v>
      </c>
      <c r="B408" s="2" t="str">
        <f>"5/16 BABYSTAY ADJUSTER WITH HANDLE"</f>
        <v>5/16 BABYSTAY ADJUSTER WITH HANDLE</v>
      </c>
      <c r="C408" s="4">
        <v>661.3</v>
      </c>
      <c r="D408" s="5">
        <v>267.83</v>
      </c>
    </row>
    <row r="409" spans="1:4" x14ac:dyDescent="0.25">
      <c r="A409" s="2" t="str">
        <f>"05556"</f>
        <v>05556</v>
      </c>
      <c r="B409" s="2" t="str">
        <f>"1/2 BABYSTAY ADJ W/ HANDLE PELICAN"</f>
        <v>1/2 BABYSTAY ADJ W/ HANDLE PELICAN</v>
      </c>
      <c r="C409" s="4">
        <v>1229.0999999999999</v>
      </c>
      <c r="D409" s="5">
        <v>497.79</v>
      </c>
    </row>
    <row r="410" spans="1:4" x14ac:dyDescent="0.25">
      <c r="A410" s="2" t="str">
        <f>"05566"</f>
        <v>05566</v>
      </c>
      <c r="B410" s="2" t="str">
        <f>"1/2 BABYSTAY ADJUSTER WITH HANDLE"</f>
        <v>1/2 BABYSTAY ADJUSTER WITH HANDLE</v>
      </c>
      <c r="C410" s="4">
        <v>1229.0999999999999</v>
      </c>
      <c r="D410" s="5">
        <v>497.79</v>
      </c>
    </row>
    <row r="411" spans="1:4" x14ac:dyDescent="0.25">
      <c r="A411" s="2" t="str">
        <f>"05585"</f>
        <v>05585</v>
      </c>
      <c r="B411" s="2" t="str">
        <f>"1/2 BABYSTAY ADJUSTER WITH RATCHET"</f>
        <v>1/2 BABYSTAY ADJUSTER WITH RATCHET</v>
      </c>
      <c r="C411" s="4">
        <v>2458</v>
      </c>
      <c r="D411" s="5">
        <v>995.49</v>
      </c>
    </row>
    <row r="412" spans="1:4" x14ac:dyDescent="0.25">
      <c r="A412" s="2" t="str">
        <f>"05587"</f>
        <v>05587</v>
      </c>
      <c r="B412" s="2" t="str">
        <f>"14MM BABYSTAY ADJUSTER WITH RATCHET"</f>
        <v>14MM BABYSTAY ADJUSTER WITH RATCHET</v>
      </c>
      <c r="C412" s="4">
        <v>2458</v>
      </c>
      <c r="D412" s="5">
        <v>995.49</v>
      </c>
    </row>
    <row r="413" spans="1:4" x14ac:dyDescent="0.25">
      <c r="A413" s="2" t="str">
        <f>"05588"</f>
        <v>05588</v>
      </c>
      <c r="B413" s="2" t="str">
        <f>"5/8 BABYSTAY ADJUSTER WITH RATCHET"</f>
        <v>5/8 BABYSTAY ADJUSTER WITH RATCHET</v>
      </c>
      <c r="C413" s="4">
        <v>3745.5</v>
      </c>
      <c r="D413" s="5">
        <v>1516.93</v>
      </c>
    </row>
    <row r="414" spans="1:4" x14ac:dyDescent="0.25">
      <c r="A414" s="2" t="str">
        <f>"05526"</f>
        <v>05526</v>
      </c>
      <c r="B414" s="2" t="str">
        <f>"1/2 BACKSTAY ADJUSTER WITH WHEEL"</f>
        <v>1/2 BACKSTAY ADJUSTER WITH WHEEL</v>
      </c>
      <c r="C414" s="4">
        <v>995</v>
      </c>
      <c r="D414" s="5">
        <v>402.98</v>
      </c>
    </row>
    <row r="415" spans="1:4" x14ac:dyDescent="0.25">
      <c r="A415" s="2" t="str">
        <f>"05536"</f>
        <v>05536</v>
      </c>
      <c r="B415" s="2" t="str">
        <f>"1/2 BACKSTAY ADJUSTER WITH HANDLE"</f>
        <v>1/2 BACKSTAY ADJUSTER WITH HANDLE</v>
      </c>
      <c r="C415" s="4">
        <v>1123.5999999999999</v>
      </c>
      <c r="D415" s="5">
        <v>455.06</v>
      </c>
    </row>
    <row r="416" spans="1:4" x14ac:dyDescent="0.25">
      <c r="A416" s="2" t="str">
        <f>"05565"</f>
        <v>05565</v>
      </c>
      <c r="B416" s="2" t="str">
        <f>"1/2 BACKSTAY ADJUSTER WITH RATCHET"</f>
        <v>1/2 BACKSTAY ADJUSTER WITH RATCHET</v>
      </c>
      <c r="C416" s="4">
        <v>2340.9</v>
      </c>
      <c r="D416" s="5">
        <v>948.06</v>
      </c>
    </row>
    <row r="417" spans="1:4" x14ac:dyDescent="0.25">
      <c r="A417" s="2" t="str">
        <f>"05567"</f>
        <v>05567</v>
      </c>
      <c r="B417" s="2" t="str">
        <f>"14MM BACKSTAY ADJUSTER WITH RATCHET"</f>
        <v>14MM BACKSTAY ADJUSTER WITH RATCHET</v>
      </c>
      <c r="C417" s="4">
        <v>2340.9</v>
      </c>
      <c r="D417" s="5">
        <v>948.06</v>
      </c>
    </row>
    <row r="418" spans="1:4" x14ac:dyDescent="0.25">
      <c r="A418" s="2" t="str">
        <f>"05568"</f>
        <v>05568</v>
      </c>
      <c r="B418" s="2" t="str">
        <f>"5/8 BACKSTAY ADJUSTER WITH RATCHET"</f>
        <v>5/8 BACKSTAY ADJUSTER WITH RATCHET</v>
      </c>
      <c r="C418" s="4">
        <v>3605.1</v>
      </c>
      <c r="D418" s="5">
        <v>1460.07</v>
      </c>
    </row>
    <row r="419" spans="1:4" x14ac:dyDescent="0.25">
      <c r="A419" s="2" t="str">
        <f>"31031"</f>
        <v>31031</v>
      </c>
      <c r="B419" s="2" t="str">
        <f>"SS SNATCH BLOCK FOR ROPE 6MM 1/4'"</f>
        <v>SS SNATCH BLOCK FOR ROPE 6MM 1/4'</v>
      </c>
      <c r="C419" s="4">
        <v>112.2</v>
      </c>
      <c r="D419" s="5">
        <v>45.44</v>
      </c>
    </row>
    <row r="420" spans="1:4" x14ac:dyDescent="0.25">
      <c r="A420" s="2" t="str">
        <f>"34500"</f>
        <v>34500</v>
      </c>
      <c r="B420" s="2" t="str">
        <f>"SNATCH BLOCK SINGLE SWIVEL HEAD"</f>
        <v>SNATCH BLOCK SINGLE SWIVEL HEAD</v>
      </c>
      <c r="C420" s="4">
        <v>286.60000000000002</v>
      </c>
      <c r="D420" s="5">
        <v>116.07</v>
      </c>
    </row>
    <row r="421" spans="1:4" x14ac:dyDescent="0.25">
      <c r="A421" s="2" t="str">
        <f>"35500"</f>
        <v>35500</v>
      </c>
      <c r="B421" s="2" t="str">
        <f>"SNATCH BLOCK"</f>
        <v>SNATCH BLOCK</v>
      </c>
      <c r="C421" s="4">
        <v>448.4</v>
      </c>
      <c r="D421" s="5">
        <v>181.6</v>
      </c>
    </row>
    <row r="422" spans="1:4" x14ac:dyDescent="0.25">
      <c r="A422" s="2" t="str">
        <f>"35120"</f>
        <v>35120</v>
      </c>
      <c r="B422" s="2" t="str">
        <f>"CHEEK BLOCK"</f>
        <v>CHEEK BLOCK</v>
      </c>
      <c r="C422" s="4">
        <v>96.2</v>
      </c>
      <c r="D422" s="5">
        <v>38.96</v>
      </c>
    </row>
    <row r="423" spans="1:4" x14ac:dyDescent="0.25">
      <c r="A423" s="2" t="str">
        <f>"35206"</f>
        <v>35206</v>
      </c>
      <c r="B423" s="2" t="str">
        <f>"SWIVEL HEAD W/BECKET"</f>
        <v>SWIVEL HEAD W/BECKET</v>
      </c>
      <c r="C423" s="4">
        <v>179.5</v>
      </c>
      <c r="D423" s="5">
        <v>72.7</v>
      </c>
    </row>
    <row r="424" spans="1:4" x14ac:dyDescent="0.25">
      <c r="A424" s="2" t="str">
        <f>"36105"</f>
        <v>36105</v>
      </c>
      <c r="B424" s="2" t="str">
        <f>"80MM BALL BEARING BLOCK"</f>
        <v>80MM BALL BEARING BLOCK</v>
      </c>
      <c r="C424" s="4">
        <v>195.9</v>
      </c>
      <c r="D424" s="5">
        <v>79.34</v>
      </c>
    </row>
    <row r="425" spans="1:4" x14ac:dyDescent="0.25">
      <c r="A425" s="2" t="str">
        <f>"62408"</f>
        <v>62408</v>
      </c>
      <c r="B425" s="2" t="str">
        <f>"""FIDDLE W/SWIVAL,BECKET&amp; CAM#35"""</f>
        <v>"FIDDLE W/SWIVAL,BECKET&amp; CAM#35"</v>
      </c>
      <c r="C425" s="4">
        <v>101.4</v>
      </c>
      <c r="D425" s="5">
        <v>41.07</v>
      </c>
    </row>
    <row r="426" spans="1:4" x14ac:dyDescent="0.25">
      <c r="A426" s="2" t="str">
        <f>"64406"</f>
        <v>64406</v>
      </c>
      <c r="B426" s="2" t="str">
        <f>"SWIVEL HEAD W/BECKET"</f>
        <v>SWIVEL HEAD W/BECKET</v>
      </c>
      <c r="C426" s="4">
        <v>94.9</v>
      </c>
      <c r="D426" s="5">
        <v>38.43</v>
      </c>
    </row>
    <row r="427" spans="1:4" x14ac:dyDescent="0.25">
      <c r="A427" s="2" t="str">
        <f>"65108"</f>
        <v>65108</v>
      </c>
      <c r="B427" s="2" t="str">
        <f>"SWIVEL W/BECKET AND CAM"</f>
        <v>SWIVEL W/BECKET AND CAM</v>
      </c>
      <c r="C427" s="4">
        <v>217.3</v>
      </c>
      <c r="D427" s="5">
        <v>88.01</v>
      </c>
    </row>
    <row r="428" spans="1:4" x14ac:dyDescent="0.25">
      <c r="A428" s="2" t="str">
        <f>"65120"</f>
        <v>65120</v>
      </c>
      <c r="B428" s="2" t="str">
        <f>"CHEEK BLOCK"</f>
        <v>CHEEK BLOCK</v>
      </c>
      <c r="C428" s="4">
        <v>58.2</v>
      </c>
      <c r="D428" s="5">
        <v>23.57</v>
      </c>
    </row>
    <row r="429" spans="1:4" x14ac:dyDescent="0.25">
      <c r="A429" s="2" t="str">
        <f>"65206"</f>
        <v>65206</v>
      </c>
      <c r="B429" s="2" t="str">
        <f>"SWIVEL HEAD W/BECKET"</f>
        <v>SWIVEL HEAD W/BECKET</v>
      </c>
      <c r="C429" s="4">
        <v>179.5</v>
      </c>
      <c r="D429" s="5">
        <v>72.7</v>
      </c>
    </row>
    <row r="430" spans="1:4" x14ac:dyDescent="0.25">
      <c r="A430" s="2" t="str">
        <f>"86105"</f>
        <v>86105</v>
      </c>
      <c r="B430" s="2" t="str">
        <f>"SINGLE W/SWIVEL HEAD (BB)"</f>
        <v>SINGLE W/SWIVEL HEAD (BB)</v>
      </c>
      <c r="C430" s="4">
        <v>165.6</v>
      </c>
      <c r="D430" s="5">
        <v>67.069999999999993</v>
      </c>
    </row>
    <row r="431" spans="1:4" x14ac:dyDescent="0.25">
      <c r="A431" s="2" t="str">
        <f>"86106"</f>
        <v>86106</v>
      </c>
      <c r="B431" s="2" t="str">
        <f>"SINGLE SWL HEAD/BECKET BB"</f>
        <v>SINGLE SWL HEAD/BECKET BB</v>
      </c>
      <c r="C431" s="4">
        <v>207</v>
      </c>
      <c r="D431" s="5">
        <v>83.84</v>
      </c>
    </row>
    <row r="432" spans="1:4" x14ac:dyDescent="0.25">
      <c r="A432" s="2" t="str">
        <f>"60120"</f>
        <v>60120</v>
      </c>
      <c r="B432" s="2" t="str">
        <f>"CHEEK BLOCK"</f>
        <v>CHEEK BLOCK</v>
      </c>
      <c r="C432" s="4">
        <v>14.7</v>
      </c>
      <c r="D432" s="5">
        <v>5.95</v>
      </c>
    </row>
    <row r="433" spans="1:4" x14ac:dyDescent="0.25">
      <c r="A433" s="2" t="str">
        <f>"60113"</f>
        <v>60113</v>
      </c>
      <c r="B433" s="2" t="str">
        <f>"FIXED EYE"</f>
        <v>FIXED EYE</v>
      </c>
      <c r="C433" s="4">
        <v>9.8000000000000007</v>
      </c>
      <c r="D433" s="5">
        <v>3.97</v>
      </c>
    </row>
    <row r="434" spans="1:4" x14ac:dyDescent="0.25">
      <c r="A434" s="2" t="str">
        <f>"60114"</f>
        <v>60114</v>
      </c>
      <c r="B434" s="2" t="str">
        <f>"FIXED EYE W/BECKET"</f>
        <v>FIXED EYE W/BECKET</v>
      </c>
      <c r="C434" s="4">
        <v>13.3</v>
      </c>
      <c r="D434" s="5">
        <v>5.39</v>
      </c>
    </row>
    <row r="435" spans="1:4" x14ac:dyDescent="0.25">
      <c r="A435" s="2" t="str">
        <f>"60213"</f>
        <v>60213</v>
      </c>
      <c r="B435" s="2" t="str">
        <f>"FIXED EYE"</f>
        <v>FIXED EYE</v>
      </c>
      <c r="C435" s="4">
        <v>29.2</v>
      </c>
      <c r="D435" s="5">
        <v>11.83</v>
      </c>
    </row>
    <row r="436" spans="1:4" x14ac:dyDescent="0.25">
      <c r="A436" s="2" t="str">
        <f>"60214"</f>
        <v>60214</v>
      </c>
      <c r="B436" s="2" t="str">
        <f>"11/16 BLOCK FIXED EYE W/ BECKET"</f>
        <v>11/16 BLOCK FIXED EYE W/ BECKET</v>
      </c>
      <c r="C436" s="4">
        <v>36.5</v>
      </c>
      <c r="D436" s="5">
        <v>14.78</v>
      </c>
    </row>
    <row r="437" spans="1:4" x14ac:dyDescent="0.25">
      <c r="A437" s="2" t="str">
        <f>"60313"</f>
        <v>60313</v>
      </c>
      <c r="B437" s="2" t="str">
        <f>"FIXED EYE"</f>
        <v>FIXED EYE</v>
      </c>
      <c r="C437" s="4">
        <v>43.6</v>
      </c>
      <c r="D437" s="5">
        <v>17.66</v>
      </c>
    </row>
    <row r="438" spans="1:4" x14ac:dyDescent="0.25">
      <c r="A438" s="2" t="str">
        <f>"60314"</f>
        <v>60314</v>
      </c>
      <c r="B438" s="2" t="str">
        <f>"FIXED EYE W/BECKET"</f>
        <v>FIXED EYE W/BECKET</v>
      </c>
      <c r="C438" s="4">
        <v>48</v>
      </c>
      <c r="D438" s="5">
        <v>19.440000000000001</v>
      </c>
    </row>
    <row r="439" spans="1:4" x14ac:dyDescent="0.25">
      <c r="A439" s="2" t="str">
        <f>"60600"</f>
        <v>60600</v>
      </c>
      <c r="B439" s="2" t="str">
        <f>"MINI #12"</f>
        <v>MINI #12</v>
      </c>
      <c r="C439" s="4">
        <v>8.5</v>
      </c>
      <c r="D439" s="5">
        <v>3.44</v>
      </c>
    </row>
    <row r="440" spans="1:4" x14ac:dyDescent="0.25">
      <c r="A440" s="2" t="str">
        <f>"61105"</f>
        <v>61105</v>
      </c>
      <c r="B440" s="2" t="str">
        <f>"SINGLE W/SWIVEL #25"</f>
        <v>SINGLE W/SWIVEL #25</v>
      </c>
      <c r="C440" s="4">
        <v>29.2</v>
      </c>
      <c r="D440" s="5">
        <v>11.83</v>
      </c>
    </row>
    <row r="441" spans="1:4" x14ac:dyDescent="0.25">
      <c r="A441" s="2" t="str">
        <f>"61113"</f>
        <v>61113</v>
      </c>
      <c r="B441" s="2" t="str">
        <f>"FIXED EYE"</f>
        <v>FIXED EYE</v>
      </c>
      <c r="C441" s="4">
        <v>14.1</v>
      </c>
      <c r="D441" s="5">
        <v>5.71</v>
      </c>
    </row>
    <row r="442" spans="1:4" x14ac:dyDescent="0.25">
      <c r="A442" s="2" t="str">
        <f>"61114"</f>
        <v>61114</v>
      </c>
      <c r="B442" s="2" t="str">
        <f>"FIXED EYE W/BECKET"</f>
        <v>FIXED EYE W/BECKET</v>
      </c>
      <c r="C442" s="4">
        <v>19</v>
      </c>
      <c r="D442" s="5">
        <v>7.7</v>
      </c>
    </row>
    <row r="443" spans="1:4" x14ac:dyDescent="0.25">
      <c r="A443" s="2" t="str">
        <f>"61120"</f>
        <v>61120</v>
      </c>
      <c r="B443" s="2" t="str">
        <f>"CHEEK BLOCK"</f>
        <v>CHEEK BLOCK</v>
      </c>
      <c r="C443" s="4">
        <v>20.6</v>
      </c>
      <c r="D443" s="5">
        <v>8.34</v>
      </c>
    </row>
    <row r="444" spans="1:4" x14ac:dyDescent="0.25">
      <c r="A444" s="2" t="str">
        <f>"61121"</f>
        <v>61121</v>
      </c>
      <c r="B444" s="2" t="str">
        <f>"SINGLE EXIT BLOCK"</f>
        <v>SINGLE EXIT BLOCK</v>
      </c>
      <c r="C444" s="4">
        <v>29.2</v>
      </c>
      <c r="D444" s="5">
        <v>11.83</v>
      </c>
    </row>
    <row r="445" spans="1:4" x14ac:dyDescent="0.25">
      <c r="A445" s="2" t="str">
        <f>"61213"</f>
        <v>61213</v>
      </c>
      <c r="B445" s="2" t="str">
        <f>"FIXED EYE"</f>
        <v>FIXED EYE</v>
      </c>
      <c r="C445" s="4">
        <v>43.6</v>
      </c>
      <c r="D445" s="5">
        <v>17.66</v>
      </c>
    </row>
    <row r="446" spans="1:4" x14ac:dyDescent="0.25">
      <c r="A446" s="2" t="str">
        <f>"61214"</f>
        <v>61214</v>
      </c>
      <c r="B446" s="2" t="str">
        <f>"FIXED EYE W/BECKET"</f>
        <v>FIXED EYE W/BECKET</v>
      </c>
      <c r="C446" s="4">
        <v>50.8</v>
      </c>
      <c r="D446" s="5">
        <v>20.57</v>
      </c>
    </row>
    <row r="447" spans="1:4" x14ac:dyDescent="0.25">
      <c r="A447" s="2" t="str">
        <f>"61313"</f>
        <v>61313</v>
      </c>
      <c r="B447" s="2" t="str">
        <f>"FIXED EYE"</f>
        <v>FIXED EYE</v>
      </c>
      <c r="C447" s="4">
        <v>62.5</v>
      </c>
      <c r="D447" s="5">
        <v>25.31</v>
      </c>
    </row>
    <row r="448" spans="1:4" x14ac:dyDescent="0.25">
      <c r="A448" s="2" t="str">
        <f>"61314"</f>
        <v>61314</v>
      </c>
      <c r="B448" s="2" t="str">
        <f>"FIXED EYE W/BECKET"</f>
        <v>FIXED EYE W/BECKET</v>
      </c>
      <c r="C448" s="4">
        <v>69.5</v>
      </c>
      <c r="D448" s="5">
        <v>28.15</v>
      </c>
    </row>
    <row r="449" spans="1:4" x14ac:dyDescent="0.25">
      <c r="A449" s="2" t="str">
        <f>"62105"</f>
        <v>62105</v>
      </c>
      <c r="B449" s="2" t="str">
        <f>"SWIVEL HEAD"</f>
        <v>SWIVEL HEAD</v>
      </c>
      <c r="C449" s="4">
        <v>27.7</v>
      </c>
      <c r="D449" s="5">
        <v>11.22</v>
      </c>
    </row>
    <row r="450" spans="1:4" x14ac:dyDescent="0.25">
      <c r="A450" s="2" t="str">
        <f>"62106"</f>
        <v>62106</v>
      </c>
      <c r="B450" s="2" t="str">
        <f>"SWIVEL HEAD W/BECKET"</f>
        <v>SWIVEL HEAD W/BECKET</v>
      </c>
      <c r="C450" s="4">
        <v>33.6</v>
      </c>
      <c r="D450" s="5">
        <v>13.61</v>
      </c>
    </row>
    <row r="451" spans="1:4" x14ac:dyDescent="0.25">
      <c r="A451" s="2" t="str">
        <f>"62108"</f>
        <v>62108</v>
      </c>
      <c r="B451" s="2" t="str">
        <f>"SWIVEL W/BECKET AND CAM"</f>
        <v>SWIVEL W/BECKET AND CAM</v>
      </c>
      <c r="C451" s="4">
        <v>72.5</v>
      </c>
      <c r="D451" s="5">
        <v>29.36</v>
      </c>
    </row>
    <row r="452" spans="1:4" x14ac:dyDescent="0.25">
      <c r="A452" s="2" t="str">
        <f>"62113"</f>
        <v>62113</v>
      </c>
      <c r="B452" s="2" t="str">
        <f>"FIXED EYE"</f>
        <v>FIXED EYE</v>
      </c>
      <c r="C452" s="4">
        <v>21.9</v>
      </c>
      <c r="D452" s="5">
        <v>8.8699999999999992</v>
      </c>
    </row>
    <row r="453" spans="1:4" x14ac:dyDescent="0.25">
      <c r="A453" s="2" t="str">
        <f>"62117"</f>
        <v>62117</v>
      </c>
      <c r="B453" s="2" t="str">
        <f>"FIXED HEAD W/CLEVIS"</f>
        <v>FIXED HEAD W/CLEVIS</v>
      </c>
      <c r="C453" s="4">
        <v>23.4</v>
      </c>
      <c r="D453" s="5">
        <v>9.48</v>
      </c>
    </row>
    <row r="454" spans="1:4" x14ac:dyDescent="0.25">
      <c r="A454" s="2" t="str">
        <f>"62120"</f>
        <v>62120</v>
      </c>
      <c r="B454" s="2" t="str">
        <f>"CHEEK BLOCK"</f>
        <v>CHEEK BLOCK</v>
      </c>
      <c r="C454" s="4">
        <v>26.3</v>
      </c>
      <c r="D454" s="5">
        <v>10.65</v>
      </c>
    </row>
    <row r="455" spans="1:4" x14ac:dyDescent="0.25">
      <c r="A455" s="2" t="str">
        <f>"62121"</f>
        <v>62121</v>
      </c>
      <c r="B455" s="2" t="str">
        <f>"SINGLE EXIT BLOCK"</f>
        <v>SINGLE EXIT BLOCK</v>
      </c>
      <c r="C455" s="4">
        <v>29.2</v>
      </c>
      <c r="D455" s="5">
        <v>11.83</v>
      </c>
    </row>
    <row r="456" spans="1:4" x14ac:dyDescent="0.25">
      <c r="A456" s="2" t="str">
        <f>"62122"</f>
        <v>62122</v>
      </c>
      <c r="B456" s="2" t="str">
        <f>"REEFING BLOCK"</f>
        <v>REEFING BLOCK</v>
      </c>
      <c r="C456" s="4">
        <v>33.6</v>
      </c>
      <c r="D456" s="5">
        <v>13.61</v>
      </c>
    </row>
    <row r="457" spans="1:4" x14ac:dyDescent="0.25">
      <c r="A457" s="2" t="str">
        <f>"62131"</f>
        <v>62131</v>
      </c>
      <c r="B457" s="2" t="str">
        <f>"SINGLE SWIVEL SNAP HOOK"</f>
        <v>SINGLE SWIVEL SNAP HOOK</v>
      </c>
      <c r="C457" s="4">
        <v>43.6</v>
      </c>
      <c r="D457" s="5">
        <v>17.66</v>
      </c>
    </row>
    <row r="458" spans="1:4" x14ac:dyDescent="0.25">
      <c r="A458" s="2" t="str">
        <f>"62205"</f>
        <v>62205</v>
      </c>
      <c r="B458" s="2" t="str">
        <f>"SWIVEL HEAD"</f>
        <v>SWIVEL HEAD</v>
      </c>
      <c r="C458" s="4">
        <v>52.5</v>
      </c>
      <c r="D458" s="5">
        <v>21.26</v>
      </c>
    </row>
    <row r="459" spans="1:4" x14ac:dyDescent="0.25">
      <c r="A459" s="2" t="str">
        <f>"62206"</f>
        <v>62206</v>
      </c>
      <c r="B459" s="2" t="str">
        <f>"SWIVEL HEAD W/BECKET"</f>
        <v>SWIVEL HEAD W/BECKET</v>
      </c>
      <c r="C459" s="4">
        <v>58.2</v>
      </c>
      <c r="D459" s="5">
        <v>23.57</v>
      </c>
    </row>
    <row r="460" spans="1:4" x14ac:dyDescent="0.25">
      <c r="A460" s="2" t="str">
        <f>"62306"</f>
        <v>62306</v>
      </c>
      <c r="B460" s="2" t="str">
        <f>"SWIVEL HEAD W/BECKET"</f>
        <v>SWIVEL HEAD W/BECKET</v>
      </c>
      <c r="C460" s="4">
        <v>81.3</v>
      </c>
      <c r="D460" s="5">
        <v>32.93</v>
      </c>
    </row>
    <row r="461" spans="1:4" x14ac:dyDescent="0.25">
      <c r="A461" s="2" t="str">
        <f>"62405"</f>
        <v>62405</v>
      </c>
      <c r="B461" s="2" t="str">
        <f>"FIDDLE W/ SWIVAL #25"</f>
        <v>FIDDLE W/ SWIVAL #25</v>
      </c>
      <c r="C461" s="4">
        <v>58.2</v>
      </c>
      <c r="D461" s="5">
        <v>23.57</v>
      </c>
    </row>
    <row r="462" spans="1:4" x14ac:dyDescent="0.25">
      <c r="A462" s="2" t="str">
        <f>"63105"</f>
        <v>63105</v>
      </c>
      <c r="B462" s="2" t="str">
        <f>"SWIVEL HEAD"</f>
        <v>SWIVEL HEAD</v>
      </c>
      <c r="C462" s="4">
        <v>31.9</v>
      </c>
      <c r="D462" s="5">
        <v>12.92</v>
      </c>
    </row>
    <row r="463" spans="1:4" x14ac:dyDescent="0.25">
      <c r="A463" s="2" t="str">
        <f>"63106"</f>
        <v>63106</v>
      </c>
      <c r="B463" s="2" t="str">
        <f>"SWIVEL HEAD W/BECKET"</f>
        <v>SWIVEL HEAD W/BECKET</v>
      </c>
      <c r="C463" s="4">
        <v>39.4</v>
      </c>
      <c r="D463" s="5">
        <v>15.96</v>
      </c>
    </row>
    <row r="464" spans="1:4" x14ac:dyDescent="0.25">
      <c r="A464" s="2" t="str">
        <f>"63108"</f>
        <v>63108</v>
      </c>
      <c r="B464" s="2" t="str">
        <f>"SWIVEL W/ BECKET AND CAM"</f>
        <v>SWIVEL W/ BECKET AND CAM</v>
      </c>
      <c r="C464" s="4">
        <v>94.3</v>
      </c>
      <c r="D464" s="5">
        <v>38.19</v>
      </c>
    </row>
    <row r="465" spans="1:4" x14ac:dyDescent="0.25">
      <c r="A465" s="2" t="str">
        <f>"63113"</f>
        <v>63113</v>
      </c>
      <c r="B465" s="2" t="str">
        <f>"FIXED EYE 45MM SHEAVE"</f>
        <v>FIXED EYE 45MM SHEAVE</v>
      </c>
      <c r="C465" s="4">
        <v>24.9</v>
      </c>
      <c r="D465" s="5">
        <v>10.08</v>
      </c>
    </row>
    <row r="466" spans="1:4" x14ac:dyDescent="0.25">
      <c r="A466" s="2" t="str">
        <f>"63117"</f>
        <v>63117</v>
      </c>
      <c r="B466" s="2" t="str">
        <f>"FIXED HEAD W/CLEVIS"</f>
        <v>FIXED HEAD W/CLEVIS</v>
      </c>
      <c r="C466" s="4">
        <v>23.7</v>
      </c>
      <c r="D466" s="5">
        <v>9.6</v>
      </c>
    </row>
    <row r="467" spans="1:4" x14ac:dyDescent="0.25">
      <c r="A467" s="2" t="str">
        <f>"63120"</f>
        <v>63120</v>
      </c>
      <c r="B467" s="2" t="str">
        <f>"CHEEK BLOCK"</f>
        <v>CHEEK BLOCK</v>
      </c>
      <c r="C467" s="4">
        <v>29.2</v>
      </c>
      <c r="D467" s="5">
        <v>11.83</v>
      </c>
    </row>
    <row r="468" spans="1:4" x14ac:dyDescent="0.25">
      <c r="A468" s="2" t="str">
        <f>"63205"</f>
        <v>63205</v>
      </c>
      <c r="B468" s="2" t="str">
        <f>"SWIVEL HEAD"</f>
        <v>SWIVEL HEAD</v>
      </c>
      <c r="C468" s="4">
        <v>58.2</v>
      </c>
      <c r="D468" s="5">
        <v>23.57</v>
      </c>
    </row>
    <row r="469" spans="1:4" x14ac:dyDescent="0.25">
      <c r="A469" s="2" t="str">
        <f>"63206"</f>
        <v>63206</v>
      </c>
      <c r="B469" s="2" t="str">
        <f>"SWIVEL HEAD W/BECKET"</f>
        <v>SWIVEL HEAD W/BECKET</v>
      </c>
      <c r="C469" s="4">
        <v>65.5</v>
      </c>
      <c r="D469" s="5">
        <v>26.53</v>
      </c>
    </row>
    <row r="470" spans="1:4" x14ac:dyDescent="0.25">
      <c r="A470" s="2" t="str">
        <f>"63305"</f>
        <v>63305</v>
      </c>
      <c r="B470" s="2" t="str">
        <f>"SWIVEL HEAD"</f>
        <v>SWIVEL HEAD</v>
      </c>
      <c r="C470" s="4">
        <v>87.1</v>
      </c>
      <c r="D470" s="5">
        <v>35.28</v>
      </c>
    </row>
    <row r="471" spans="1:4" x14ac:dyDescent="0.25">
      <c r="A471" s="2" t="str">
        <f>"63306"</f>
        <v>63306</v>
      </c>
      <c r="B471" s="2" t="str">
        <f>"SWIVEL HEAD W/BECKET"</f>
        <v>SWIVEL HEAD W/BECKET</v>
      </c>
      <c r="C471" s="4">
        <v>94.3</v>
      </c>
      <c r="D471" s="5">
        <v>38.19</v>
      </c>
    </row>
    <row r="472" spans="1:4" x14ac:dyDescent="0.25">
      <c r="A472" s="2" t="str">
        <f>"63308"</f>
        <v>63308</v>
      </c>
      <c r="B472" s="2" t="str">
        <f>"SWIVEL W/BECKET &amp; CAM"</f>
        <v>SWIVEL W/BECKET &amp; CAM</v>
      </c>
      <c r="C472" s="4">
        <v>188.2</v>
      </c>
      <c r="D472" s="5">
        <v>76.22</v>
      </c>
    </row>
    <row r="473" spans="1:4" x14ac:dyDescent="0.25">
      <c r="A473" s="2" t="str">
        <f>"63405"</f>
        <v>63405</v>
      </c>
      <c r="B473" s="2" t="str">
        <f>"SWIVEL HEAD"</f>
        <v>SWIVEL HEAD</v>
      </c>
      <c r="C473" s="4">
        <v>69.5</v>
      </c>
      <c r="D473" s="5">
        <v>28.15</v>
      </c>
    </row>
    <row r="474" spans="1:4" x14ac:dyDescent="0.25">
      <c r="A474" s="2" t="str">
        <f>"63406"</f>
        <v>63406</v>
      </c>
      <c r="B474" s="2" t="str">
        <f>"SWIVEL HEAD W/BECKET"</f>
        <v>SWIVEL HEAD W/BECKET</v>
      </c>
      <c r="C474" s="4">
        <v>55.2</v>
      </c>
      <c r="D474" s="5">
        <v>22.36</v>
      </c>
    </row>
    <row r="475" spans="1:4" x14ac:dyDescent="0.25">
      <c r="A475" s="2" t="str">
        <f>"63407"</f>
        <v>63407</v>
      </c>
      <c r="B475" s="2" t="str">
        <f>"SWIVEL HEAD W/CAM"</f>
        <v>SWIVEL HEAD W/CAM</v>
      </c>
      <c r="C475" s="4">
        <v>87.1</v>
      </c>
      <c r="D475" s="5">
        <v>35.28</v>
      </c>
    </row>
    <row r="476" spans="1:4" x14ac:dyDescent="0.25">
      <c r="A476" s="2" t="str">
        <f>"63408"</f>
        <v>63408</v>
      </c>
      <c r="B476" s="2" t="str">
        <f>"SWIVEL W/BECKET &amp; CAM"</f>
        <v>SWIVEL W/BECKET &amp; CAM</v>
      </c>
      <c r="C476" s="4">
        <v>94.3</v>
      </c>
      <c r="D476" s="5">
        <v>38.19</v>
      </c>
    </row>
    <row r="477" spans="1:4" x14ac:dyDescent="0.25">
      <c r="A477" s="2" t="str">
        <f>"63435"</f>
        <v>63435</v>
      </c>
      <c r="B477" s="2" t="str">
        <f>"FIDDLE WITH SNAP SHACKLE"</f>
        <v>FIDDLE WITH SNAP SHACKLE</v>
      </c>
      <c r="C477" s="4">
        <v>101.4</v>
      </c>
      <c r="D477" s="5">
        <v>41.07</v>
      </c>
    </row>
    <row r="478" spans="1:4" x14ac:dyDescent="0.25">
      <c r="A478" s="2" t="str">
        <f>"63438"</f>
        <v>63438</v>
      </c>
      <c r="B478" s="2" t="str">
        <f>"""FIDDLE W/SNAP,BECKET,CAM"""</f>
        <v>"FIDDLE W/SNAP,BECKET,CAM"</v>
      </c>
      <c r="C478" s="4">
        <v>145</v>
      </c>
      <c r="D478" s="5">
        <v>58.73</v>
      </c>
    </row>
    <row r="479" spans="1:4" x14ac:dyDescent="0.25">
      <c r="A479" s="2" t="str">
        <f>"64105"</f>
        <v>64105</v>
      </c>
      <c r="B479" s="2" t="str">
        <f>"SWIVEL HEAD"</f>
        <v>SWIVEL HEAD</v>
      </c>
      <c r="C479" s="4">
        <v>40.799999999999997</v>
      </c>
      <c r="D479" s="5">
        <v>16.52</v>
      </c>
    </row>
    <row r="480" spans="1:4" x14ac:dyDescent="0.25">
      <c r="A480" s="2" t="str">
        <f>"64106"</f>
        <v>64106</v>
      </c>
      <c r="B480" s="2" t="str">
        <f>"SWIVEL HEAD W/BECKET"</f>
        <v>SWIVEL HEAD W/BECKET</v>
      </c>
      <c r="C480" s="4">
        <v>48</v>
      </c>
      <c r="D480" s="5">
        <v>19.440000000000001</v>
      </c>
    </row>
    <row r="481" spans="1:4" x14ac:dyDescent="0.25">
      <c r="A481" s="2" t="str">
        <f>"64108"</f>
        <v>64108</v>
      </c>
      <c r="B481" s="2" t="str">
        <f>"SWIVEL W/BECKET &amp; CAM"</f>
        <v>SWIVEL W/BECKET &amp; CAM</v>
      </c>
      <c r="C481" s="4">
        <v>130.4</v>
      </c>
      <c r="D481" s="5">
        <v>52.81</v>
      </c>
    </row>
    <row r="482" spans="1:4" x14ac:dyDescent="0.25">
      <c r="A482" s="2" t="str">
        <f>"64109"</f>
        <v>64109</v>
      </c>
      <c r="B482" s="2" t="str">
        <f>"SWIVEL W/CLEVIS"</f>
        <v>SWIVEL W/CLEVIS</v>
      </c>
      <c r="C482" s="4">
        <v>50.8</v>
      </c>
      <c r="D482" s="5">
        <v>20.57</v>
      </c>
    </row>
    <row r="483" spans="1:4" x14ac:dyDescent="0.25">
      <c r="A483" s="2" t="str">
        <f>"64110"</f>
        <v>64110</v>
      </c>
      <c r="B483" s="2" t="str">
        <f>"SWIVEL W/CLEVIS/BECKET"</f>
        <v>SWIVEL W/CLEVIS/BECKET</v>
      </c>
      <c r="C483" s="4">
        <v>55.2</v>
      </c>
      <c r="D483" s="5">
        <v>22.36</v>
      </c>
    </row>
    <row r="484" spans="1:4" x14ac:dyDescent="0.25">
      <c r="A484" s="2" t="str">
        <f>"64113"</f>
        <v>64113</v>
      </c>
      <c r="B484" s="2" t="str">
        <f>"FIXED EYE"</f>
        <v>FIXED EYE</v>
      </c>
      <c r="C484" s="4">
        <v>29.2</v>
      </c>
      <c r="D484" s="5">
        <v>11.83</v>
      </c>
    </row>
    <row r="485" spans="1:4" x14ac:dyDescent="0.25">
      <c r="A485" s="2" t="str">
        <f>"64117"</f>
        <v>64117</v>
      </c>
      <c r="B485" s="2" t="str">
        <f>"FIXED HEAD W/CLEVIS"</f>
        <v>FIXED HEAD W/CLEVIS</v>
      </c>
      <c r="C485" s="4">
        <v>33.6</v>
      </c>
      <c r="D485" s="5">
        <v>13.61</v>
      </c>
    </row>
    <row r="486" spans="1:4" x14ac:dyDescent="0.25">
      <c r="A486" s="2" t="str">
        <f>"64130"</f>
        <v>64130</v>
      </c>
      <c r="B486" s="2" t="str">
        <f>"SINGLE W/SNAP SHACKLE"</f>
        <v>SINGLE W/SNAP SHACKLE</v>
      </c>
      <c r="C486" s="4">
        <v>79.8</v>
      </c>
      <c r="D486" s="5">
        <v>32.32</v>
      </c>
    </row>
    <row r="487" spans="1:4" x14ac:dyDescent="0.25">
      <c r="A487" s="2" t="str">
        <f>"64205"</f>
        <v>64205</v>
      </c>
      <c r="B487" s="2" t="str">
        <f>"SWIVEL HEAD"</f>
        <v>SWIVEL HEAD</v>
      </c>
      <c r="C487" s="4">
        <v>87.1</v>
      </c>
      <c r="D487" s="5">
        <v>35.28</v>
      </c>
    </row>
    <row r="488" spans="1:4" x14ac:dyDescent="0.25">
      <c r="A488" s="2" t="str">
        <f>"64206"</f>
        <v>64206</v>
      </c>
      <c r="B488" s="2" t="str">
        <f>"SWIVEL HEAD W/BECKET"</f>
        <v>SWIVEL HEAD W/BECKET</v>
      </c>
      <c r="C488" s="4">
        <v>108</v>
      </c>
      <c r="D488" s="5">
        <v>43.74</v>
      </c>
    </row>
    <row r="489" spans="1:4" x14ac:dyDescent="0.25">
      <c r="A489" s="2" t="str">
        <f>"64305"</f>
        <v>64305</v>
      </c>
      <c r="B489" s="2" t="str">
        <f>"SWIVEL HEAD"</f>
        <v>SWIVEL HEAD</v>
      </c>
      <c r="C489" s="4">
        <v>139.80000000000001</v>
      </c>
      <c r="D489" s="5">
        <v>56.62</v>
      </c>
    </row>
    <row r="490" spans="1:4" x14ac:dyDescent="0.25">
      <c r="A490" s="2" t="str">
        <f>"64306"</f>
        <v>64306</v>
      </c>
      <c r="B490" s="2" t="str">
        <f>"SWIVEL HEAD W/BECKET"</f>
        <v>SWIVEL HEAD W/BECKET</v>
      </c>
      <c r="C490" s="4">
        <v>146.19999999999999</v>
      </c>
      <c r="D490" s="5">
        <v>59.21</v>
      </c>
    </row>
    <row r="491" spans="1:4" x14ac:dyDescent="0.25">
      <c r="A491" s="2" t="str">
        <f>"64308"</f>
        <v>64308</v>
      </c>
      <c r="B491" s="2" t="str">
        <f>"SWIVEL HEAD W/BECKET/CAM"</f>
        <v>SWIVEL HEAD W/BECKET/CAM</v>
      </c>
      <c r="C491" s="4">
        <v>247.8</v>
      </c>
      <c r="D491" s="5">
        <v>100.36</v>
      </c>
    </row>
    <row r="492" spans="1:4" x14ac:dyDescent="0.25">
      <c r="A492" s="2" t="str">
        <f>"64405"</f>
        <v>64405</v>
      </c>
      <c r="B492" s="2" t="str">
        <f>"SWIVEL HEAD"</f>
        <v>SWIVEL HEAD</v>
      </c>
      <c r="C492" s="4">
        <v>94.3</v>
      </c>
      <c r="D492" s="5">
        <v>38.19</v>
      </c>
    </row>
    <row r="493" spans="1:4" x14ac:dyDescent="0.25">
      <c r="A493" s="2" t="str">
        <f>"64408"</f>
        <v>64408</v>
      </c>
      <c r="B493" s="2" t="str">
        <f>"SWIVEL HEAD W/BECKET/CAM"</f>
        <v>SWIVEL HEAD W/BECKET/CAM</v>
      </c>
      <c r="C493" s="4">
        <v>123.3</v>
      </c>
      <c r="D493" s="5">
        <v>49.94</v>
      </c>
    </row>
    <row r="494" spans="1:4" x14ac:dyDescent="0.25">
      <c r="A494" s="2" t="str">
        <f>"64435"</f>
        <v>64435</v>
      </c>
      <c r="B494" s="2" t="str">
        <f>"FIDDLE W/SNAP SHACKLE"</f>
        <v>FIDDLE W/SNAP SHACKLE</v>
      </c>
      <c r="C494" s="4">
        <v>130.4</v>
      </c>
      <c r="D494" s="5">
        <v>52.81</v>
      </c>
    </row>
    <row r="495" spans="1:4" x14ac:dyDescent="0.25">
      <c r="A495" s="2" t="str">
        <f>"64438"</f>
        <v>64438</v>
      </c>
      <c r="B495" s="2" t="str">
        <f>"""FIDDLE W/SNAP,BECKET,CAM"""</f>
        <v>"FIDDLE W/SNAP,BECKET,CAM"</v>
      </c>
      <c r="C495" s="4">
        <v>188.2</v>
      </c>
      <c r="D495" s="5">
        <v>76.22</v>
      </c>
    </row>
    <row r="496" spans="1:4" x14ac:dyDescent="0.25">
      <c r="A496" s="2" t="str">
        <f>"65105"</f>
        <v>65105</v>
      </c>
      <c r="B496" s="2" t="str">
        <f>"SWIVEL HEAD"</f>
        <v>SWIVEL HEAD</v>
      </c>
      <c r="C496" s="4">
        <v>65.5</v>
      </c>
      <c r="D496" s="5">
        <v>26.53</v>
      </c>
    </row>
    <row r="497" spans="1:4" x14ac:dyDescent="0.25">
      <c r="A497" s="2" t="str">
        <f>"65106"</f>
        <v>65106</v>
      </c>
      <c r="B497" s="2" t="str">
        <f>"SWIVEL HEAD W/BECKET"</f>
        <v>SWIVEL HEAD W/BECKET</v>
      </c>
      <c r="C497" s="4">
        <v>87.1</v>
      </c>
      <c r="D497" s="5">
        <v>35.28</v>
      </c>
    </row>
    <row r="498" spans="1:4" x14ac:dyDescent="0.25">
      <c r="A498" s="2" t="str">
        <f>"65109"</f>
        <v>65109</v>
      </c>
      <c r="B498" s="2" t="str">
        <f>"SWIVEL W/CLEVIS"</f>
        <v>SWIVEL W/CLEVIS</v>
      </c>
      <c r="C498" s="4">
        <v>68.2</v>
      </c>
      <c r="D498" s="5">
        <v>27.62</v>
      </c>
    </row>
    <row r="499" spans="1:4" x14ac:dyDescent="0.25">
      <c r="A499" s="2" t="str">
        <f>"65117"</f>
        <v>65117</v>
      </c>
      <c r="B499" s="2" t="str">
        <f>"FIXED HEAD W/CLEVIS"</f>
        <v>FIXED HEAD W/CLEVIS</v>
      </c>
      <c r="C499" s="4">
        <v>58.2</v>
      </c>
      <c r="D499" s="5">
        <v>23.57</v>
      </c>
    </row>
    <row r="500" spans="1:4" x14ac:dyDescent="0.25">
      <c r="A500" s="2" t="str">
        <f>"65130"</f>
        <v>65130</v>
      </c>
      <c r="B500" s="2" t="str">
        <f>"SWIVEL SNAP SHACKLE"</f>
        <v>SWIVEL SNAP SHACKLE</v>
      </c>
      <c r="C500" s="4">
        <v>116.1</v>
      </c>
      <c r="D500" s="5">
        <v>47.02</v>
      </c>
    </row>
    <row r="501" spans="1:4" x14ac:dyDescent="0.25">
      <c r="A501" s="2" t="str">
        <f>"65205"</f>
        <v>65205</v>
      </c>
      <c r="B501" s="2" t="str">
        <f>"SWIVEL HEAD"</f>
        <v>SWIVEL HEAD</v>
      </c>
      <c r="C501" s="4">
        <v>145</v>
      </c>
      <c r="D501" s="5">
        <v>58.73</v>
      </c>
    </row>
    <row r="502" spans="1:4" x14ac:dyDescent="0.25">
      <c r="A502" s="2" t="str">
        <f>"65305"</f>
        <v>65305</v>
      </c>
      <c r="B502" s="2" t="str">
        <f>"SWIVEL HEAD"</f>
        <v>SWIVEL HEAD</v>
      </c>
      <c r="C502" s="4">
        <v>217.3</v>
      </c>
      <c r="D502" s="5">
        <v>88.01</v>
      </c>
    </row>
    <row r="503" spans="1:4" x14ac:dyDescent="0.25">
      <c r="A503" s="2" t="str">
        <f>"65306"</f>
        <v>65306</v>
      </c>
      <c r="B503" s="2" t="str">
        <f>"SWIVEL HEAD W/BECKET"</f>
        <v>SWIVEL HEAD W/BECKET</v>
      </c>
      <c r="C503" s="4">
        <v>260.60000000000002</v>
      </c>
      <c r="D503" s="5">
        <v>105.54</v>
      </c>
    </row>
    <row r="504" spans="1:4" x14ac:dyDescent="0.25">
      <c r="A504" s="2" t="str">
        <f>"65308"</f>
        <v>65308</v>
      </c>
      <c r="B504" s="2" t="str">
        <f>"SWIVEL W/BECKET/CAM"</f>
        <v>SWIVEL W/BECKET/CAM</v>
      </c>
      <c r="C504" s="4">
        <v>419.9</v>
      </c>
      <c r="D504" s="5">
        <v>170.06</v>
      </c>
    </row>
    <row r="505" spans="1:4" x14ac:dyDescent="0.25">
      <c r="A505" s="2" t="str">
        <f>"65405"</f>
        <v>65405</v>
      </c>
      <c r="B505" s="2" t="str">
        <f>"SWIVEL HEAD"</f>
        <v>SWIVEL HEAD</v>
      </c>
      <c r="C505" s="4">
        <v>116.1</v>
      </c>
      <c r="D505" s="5">
        <v>47.02</v>
      </c>
    </row>
    <row r="506" spans="1:4" x14ac:dyDescent="0.25">
      <c r="A506" s="2" t="str">
        <f>"65406"</f>
        <v>65406</v>
      </c>
      <c r="B506" s="2" t="str">
        <f>"SWIVEL HEAD W/BECKET"</f>
        <v>SWIVEL HEAD W/BECKET</v>
      </c>
      <c r="C506" s="4">
        <v>94.3</v>
      </c>
      <c r="D506" s="5">
        <v>38.19</v>
      </c>
    </row>
    <row r="507" spans="1:4" x14ac:dyDescent="0.25">
      <c r="A507" s="2" t="str">
        <f>"65408"</f>
        <v>65408</v>
      </c>
      <c r="B507" s="2" t="str">
        <f>"SWIVEL W/BECKET/CAM"</f>
        <v>SWIVEL W/BECKET/CAM</v>
      </c>
      <c r="C507" s="4">
        <v>159.4</v>
      </c>
      <c r="D507" s="5">
        <v>64.56</v>
      </c>
    </row>
    <row r="508" spans="1:4" x14ac:dyDescent="0.25">
      <c r="A508" s="2" t="str">
        <f>"65435"</f>
        <v>65435</v>
      </c>
      <c r="B508" s="2" t="str">
        <f>"FIDDLE W/SNAP SHACKLE"</f>
        <v>FIDDLE W/SNAP SHACKLE</v>
      </c>
      <c r="C508" s="4">
        <v>174</v>
      </c>
      <c r="D508" s="5">
        <v>70.47</v>
      </c>
    </row>
    <row r="509" spans="1:4" x14ac:dyDescent="0.25">
      <c r="A509" s="2" t="str">
        <f>"65438"</f>
        <v>65438</v>
      </c>
      <c r="B509" s="2" t="str">
        <f>"""FIDDLE W/SNAP SHACKLE,"""</f>
        <v>"FIDDLE W/SNAP SHACKLE,"</v>
      </c>
      <c r="C509" s="4">
        <v>246.2</v>
      </c>
      <c r="D509" s="5">
        <v>99.71</v>
      </c>
    </row>
    <row r="510" spans="1:4" x14ac:dyDescent="0.25">
      <c r="A510" s="2" t="str">
        <f>"71314"</f>
        <v>71314</v>
      </c>
      <c r="B510" s="2" t="str">
        <f>"FIXED EYE W/BECKET (BB)"</f>
        <v>FIXED EYE W/BECKET (BB)</v>
      </c>
      <c r="C510" s="4">
        <v>91</v>
      </c>
      <c r="D510" s="5">
        <v>36.86</v>
      </c>
    </row>
    <row r="511" spans="1:4" x14ac:dyDescent="0.25">
      <c r="A511" s="2" t="str">
        <f>"72106"</f>
        <v>72106</v>
      </c>
      <c r="B511" s="2" t="str">
        <f>"SWIVEL HEAD W/BECKET (BB)"</f>
        <v>SWIVEL HEAD W/BECKET (BB)</v>
      </c>
      <c r="C511" s="4">
        <v>42.2</v>
      </c>
      <c r="D511" s="5">
        <v>17.09</v>
      </c>
    </row>
    <row r="512" spans="1:4" x14ac:dyDescent="0.25">
      <c r="A512" s="2" t="str">
        <f>"72113"</f>
        <v>72113</v>
      </c>
      <c r="B512" s="2" t="str">
        <f>"FIXED EYE (BB)"</f>
        <v>FIXED EYE (BB)</v>
      </c>
      <c r="C512" s="4">
        <v>29.2</v>
      </c>
      <c r="D512" s="5">
        <v>11.83</v>
      </c>
    </row>
    <row r="513" spans="1:4" x14ac:dyDescent="0.25">
      <c r="A513" s="2" t="str">
        <f>"72405"</f>
        <v>72405</v>
      </c>
      <c r="B513" s="2" t="str">
        <f>"FIDDLE 35MM SHEAVE BALL BEARIN"</f>
        <v>FIDDLE 35MM SHEAVE BALL BEARIN</v>
      </c>
      <c r="C513" s="4">
        <v>72.5</v>
      </c>
      <c r="D513" s="5">
        <v>29.36</v>
      </c>
    </row>
    <row r="514" spans="1:4" x14ac:dyDescent="0.25">
      <c r="A514" s="2" t="str">
        <f>"73406"</f>
        <v>73406</v>
      </c>
      <c r="B514" s="2" t="str">
        <f>"SWIVEL HEAD W/BECKET (BB)"</f>
        <v>SWIVEL HEAD W/BECKET (BB)</v>
      </c>
      <c r="C514" s="4">
        <v>72.5</v>
      </c>
      <c r="D514" s="5">
        <v>29.36</v>
      </c>
    </row>
    <row r="515" spans="1:4" x14ac:dyDescent="0.25">
      <c r="A515" s="2" t="str">
        <f>"74118"</f>
        <v>74118</v>
      </c>
      <c r="B515" s="2" t="str">
        <f>"WEB D-RING BLOCK W/BB"</f>
        <v>WEB D-RING BLOCK W/BB</v>
      </c>
      <c r="C515" s="4">
        <v>69.5</v>
      </c>
      <c r="D515" s="5">
        <v>28.15</v>
      </c>
    </row>
    <row r="516" spans="1:4" x14ac:dyDescent="0.25">
      <c r="A516" s="2" t="str">
        <f>"75306"</f>
        <v>75306</v>
      </c>
      <c r="B516" s="2" t="str">
        <f>"SWIVEL HEAD W/BECKET (BB)"</f>
        <v>SWIVEL HEAD W/BECKET (BB)</v>
      </c>
      <c r="C516" s="4">
        <v>405.3</v>
      </c>
      <c r="D516" s="5">
        <v>164.15</v>
      </c>
    </row>
    <row r="517" spans="1:4" x14ac:dyDescent="0.25">
      <c r="A517" s="2" t="str">
        <f>"75406"</f>
        <v>75406</v>
      </c>
      <c r="B517" s="2" t="str">
        <f>"SWIVEL HEAD W/BECKET (BB)"</f>
        <v>SWIVEL HEAD W/BECKET (BB)</v>
      </c>
      <c r="C517" s="4">
        <v>145</v>
      </c>
      <c r="D517" s="5">
        <v>58.73</v>
      </c>
    </row>
    <row r="518" spans="1:4" x14ac:dyDescent="0.25">
      <c r="A518" s="2" t="str">
        <f>"83406"</f>
        <v>83406</v>
      </c>
      <c r="B518" s="2" t="str">
        <f>"SWIVEL HEAD W/BECKET (BB)"</f>
        <v>SWIVEL HEAD W/BECKET (BB)</v>
      </c>
      <c r="C518" s="4">
        <v>112.8</v>
      </c>
      <c r="D518" s="5">
        <v>45.68</v>
      </c>
    </row>
    <row r="519" spans="1:4" x14ac:dyDescent="0.25">
      <c r="A519" s="2" t="str">
        <f>"70113"</f>
        <v>70113</v>
      </c>
      <c r="B519" s="2" t="str">
        <f>"FIXED EYE (BB)"</f>
        <v>FIXED EYE (BB)</v>
      </c>
      <c r="C519" s="4">
        <v>14.7</v>
      </c>
      <c r="D519" s="5">
        <v>5.95</v>
      </c>
    </row>
    <row r="520" spans="1:4" x14ac:dyDescent="0.25">
      <c r="A520" s="2" t="str">
        <f>"70114"</f>
        <v>70114</v>
      </c>
      <c r="B520" s="2" t="str">
        <f>"FIXED EYE W/BECKET (BB)"</f>
        <v>FIXED EYE W/BECKET (BB)</v>
      </c>
      <c r="C520" s="4">
        <v>19</v>
      </c>
      <c r="D520" s="5">
        <v>7.7</v>
      </c>
    </row>
    <row r="521" spans="1:4" x14ac:dyDescent="0.25">
      <c r="A521" s="2" t="str">
        <f>"70120"</f>
        <v>70120</v>
      </c>
      <c r="B521" s="2" t="str">
        <f>"CHEEK BLOCK"</f>
        <v>CHEEK BLOCK</v>
      </c>
      <c r="C521" s="4">
        <v>20.6</v>
      </c>
      <c r="D521" s="5">
        <v>8.34</v>
      </c>
    </row>
    <row r="522" spans="1:4" x14ac:dyDescent="0.25">
      <c r="A522" s="2" t="str">
        <f>"70213"</f>
        <v>70213</v>
      </c>
      <c r="B522" s="2" t="str">
        <f>"FIXED EYE (BB)"</f>
        <v>FIXED EYE (BB)</v>
      </c>
      <c r="C522" s="4">
        <v>43.6</v>
      </c>
      <c r="D522" s="5">
        <v>17.66</v>
      </c>
    </row>
    <row r="523" spans="1:4" x14ac:dyDescent="0.25">
      <c r="A523" s="2" t="str">
        <f>"70214"</f>
        <v>70214</v>
      </c>
      <c r="B523" s="2" t="str">
        <f>"FIXED EYE W/BECKET (BB)"</f>
        <v>FIXED EYE W/BECKET (BB)</v>
      </c>
      <c r="C523" s="4">
        <v>50.8</v>
      </c>
      <c r="D523" s="5">
        <v>20.57</v>
      </c>
    </row>
    <row r="524" spans="1:4" x14ac:dyDescent="0.25">
      <c r="A524" s="2" t="str">
        <f>"70313"</f>
        <v>70313</v>
      </c>
      <c r="B524" s="2" t="str">
        <f>"FIXED EYE (BB)"</f>
        <v>FIXED EYE (BB)</v>
      </c>
      <c r="C524" s="4">
        <v>62.5</v>
      </c>
      <c r="D524" s="5">
        <v>25.31</v>
      </c>
    </row>
    <row r="525" spans="1:4" x14ac:dyDescent="0.25">
      <c r="A525" s="2" t="str">
        <f>"70314"</f>
        <v>70314</v>
      </c>
      <c r="B525" s="2" t="str">
        <f>"FIXED EYE W/BECKET (BB)"</f>
        <v>FIXED EYE W/BECKET (BB)</v>
      </c>
      <c r="C525" s="4">
        <v>69.5</v>
      </c>
      <c r="D525" s="5">
        <v>28.15</v>
      </c>
    </row>
    <row r="526" spans="1:4" x14ac:dyDescent="0.25">
      <c r="A526" s="2" t="str">
        <f>"71105"</f>
        <v>71105</v>
      </c>
      <c r="B526" s="2" t="str">
        <f>"SINGLE W/SWIVEL BB #25"</f>
        <v>SINGLE W/SWIVEL BB #25</v>
      </c>
      <c r="C526" s="4">
        <v>43.6</v>
      </c>
      <c r="D526" s="5">
        <v>17.66</v>
      </c>
    </row>
    <row r="527" spans="1:4" x14ac:dyDescent="0.25">
      <c r="A527" s="2" t="str">
        <f>"71113"</f>
        <v>71113</v>
      </c>
      <c r="B527" s="2" t="str">
        <f>"FIXED EYE (BB)"</f>
        <v>FIXED EYE (BB)</v>
      </c>
      <c r="C527" s="4">
        <v>21.9</v>
      </c>
      <c r="D527" s="5">
        <v>8.8699999999999992</v>
      </c>
    </row>
    <row r="528" spans="1:4" x14ac:dyDescent="0.25">
      <c r="A528" s="2" t="str">
        <f>"71114"</f>
        <v>71114</v>
      </c>
      <c r="B528" s="2" t="str">
        <f>"FIXED EYE W/BECKET"</f>
        <v>FIXED EYE W/BECKET</v>
      </c>
      <c r="C528" s="4">
        <v>29.2</v>
      </c>
      <c r="D528" s="5">
        <v>11.83</v>
      </c>
    </row>
    <row r="529" spans="1:4" x14ac:dyDescent="0.25">
      <c r="A529" s="2" t="str">
        <f>"71120"</f>
        <v>71120</v>
      </c>
      <c r="B529" s="2" t="str">
        <f>"CHEEK BLOCK"</f>
        <v>CHEEK BLOCK</v>
      </c>
      <c r="C529" s="4">
        <v>30.7</v>
      </c>
      <c r="D529" s="5">
        <v>12.43</v>
      </c>
    </row>
    <row r="530" spans="1:4" x14ac:dyDescent="0.25">
      <c r="A530" s="2" t="str">
        <f>"71121"</f>
        <v>71121</v>
      </c>
      <c r="B530" s="2" t="str">
        <f>"SINGLE EXIT BLOCK W/BB"</f>
        <v>SINGLE EXIT BLOCK W/BB</v>
      </c>
      <c r="C530" s="4">
        <v>43.6</v>
      </c>
      <c r="D530" s="5">
        <v>17.66</v>
      </c>
    </row>
    <row r="531" spans="1:4" x14ac:dyDescent="0.25">
      <c r="A531" s="2" t="str">
        <f>"71213"</f>
        <v>71213</v>
      </c>
      <c r="B531" s="2" t="str">
        <f>"FIXED EYE (BB)"</f>
        <v>FIXED EYE (BB)</v>
      </c>
      <c r="C531" s="4">
        <v>65.5</v>
      </c>
      <c r="D531" s="5">
        <v>26.53</v>
      </c>
    </row>
    <row r="532" spans="1:4" x14ac:dyDescent="0.25">
      <c r="A532" s="2" t="str">
        <f>"71214"</f>
        <v>71214</v>
      </c>
      <c r="B532" s="2" t="str">
        <f>"FIXED EYE W/BECKET (BB)"</f>
        <v>FIXED EYE W/BECKET (BB)</v>
      </c>
      <c r="C532" s="4">
        <v>77.099999999999994</v>
      </c>
      <c r="D532" s="5">
        <v>31.23</v>
      </c>
    </row>
    <row r="533" spans="1:4" x14ac:dyDescent="0.25">
      <c r="A533" s="2" t="str">
        <f>"71313"</f>
        <v>71313</v>
      </c>
      <c r="B533" s="2" t="str">
        <f>"FIXED EYE (BB)"</f>
        <v>FIXED EYE (BB)</v>
      </c>
      <c r="C533" s="4">
        <v>94.3</v>
      </c>
      <c r="D533" s="5">
        <v>38.19</v>
      </c>
    </row>
    <row r="534" spans="1:4" x14ac:dyDescent="0.25">
      <c r="A534" s="2" t="str">
        <f>"71353"</f>
        <v>71353</v>
      </c>
      <c r="B534" s="2" t="str">
        <f>"SINGLE(OPPOSITE FLAT) BB #25"</f>
        <v>SINGLE(OPPOSITE FLAT) BB #25</v>
      </c>
      <c r="C534" s="4">
        <v>48</v>
      </c>
      <c r="D534" s="5">
        <v>19.440000000000001</v>
      </c>
    </row>
    <row r="535" spans="1:4" x14ac:dyDescent="0.25">
      <c r="A535" s="2" t="str">
        <f>"72105"</f>
        <v>72105</v>
      </c>
      <c r="B535" s="2" t="str">
        <f>"SWIVEL HEAD (BB)"</f>
        <v>SWIVEL HEAD (BB)</v>
      </c>
      <c r="C535" s="4">
        <v>36.5</v>
      </c>
      <c r="D535" s="5">
        <v>14.78</v>
      </c>
    </row>
    <row r="536" spans="1:4" x14ac:dyDescent="0.25">
      <c r="A536" s="2" t="str">
        <f>"72108"</f>
        <v>72108</v>
      </c>
      <c r="B536" s="2" t="str">
        <f>"SWIVEL W/ BECKET AND CAM"</f>
        <v>SWIVEL W/ BECKET AND CAM</v>
      </c>
      <c r="C536" s="4">
        <v>87.1</v>
      </c>
      <c r="D536" s="5">
        <v>35.28</v>
      </c>
    </row>
    <row r="537" spans="1:4" x14ac:dyDescent="0.25">
      <c r="A537" s="2" t="str">
        <f>"72117"</f>
        <v>72117</v>
      </c>
      <c r="B537" s="2" t="str">
        <f>"FIXED HEAD W/CLEVIS (BB)"</f>
        <v>FIXED HEAD W/CLEVIS (BB)</v>
      </c>
      <c r="C537" s="4">
        <v>30.7</v>
      </c>
      <c r="D537" s="5">
        <v>12.43</v>
      </c>
    </row>
    <row r="538" spans="1:4" x14ac:dyDescent="0.25">
      <c r="A538" s="2" t="str">
        <f>"72120"</f>
        <v>72120</v>
      </c>
      <c r="B538" s="2" t="str">
        <f>"CHEEK BLOCK"</f>
        <v>CHEEK BLOCK</v>
      </c>
      <c r="C538" s="4">
        <v>34.9</v>
      </c>
      <c r="D538" s="5">
        <v>14.13</v>
      </c>
    </row>
    <row r="539" spans="1:4" x14ac:dyDescent="0.25">
      <c r="A539" s="2" t="str">
        <f>"72121"</f>
        <v>72121</v>
      </c>
      <c r="B539" s="2" t="str">
        <f>"SINGLE EXIT BLOCK W/BB"</f>
        <v>SINGLE EXIT BLOCK W/BB</v>
      </c>
      <c r="C539" s="4">
        <v>39.4</v>
      </c>
      <c r="D539" s="5">
        <v>15.96</v>
      </c>
    </row>
    <row r="540" spans="1:4" x14ac:dyDescent="0.25">
      <c r="A540" s="2" t="str">
        <f>"72131"</f>
        <v>72131</v>
      </c>
      <c r="B540" s="2" t="str">
        <f>"SINGLE SWIVEL SNAP HOOK"</f>
        <v>SINGLE SWIVEL SNAP HOOK</v>
      </c>
      <c r="C540" s="4">
        <v>58.2</v>
      </c>
      <c r="D540" s="5">
        <v>23.57</v>
      </c>
    </row>
    <row r="541" spans="1:4" x14ac:dyDescent="0.25">
      <c r="A541" s="2" t="str">
        <f>"72205"</f>
        <v>72205</v>
      </c>
      <c r="B541" s="2" t="str">
        <f>"SWIVEL HEAD (BB)"</f>
        <v>SWIVEL HEAD (BB)</v>
      </c>
      <c r="C541" s="4">
        <v>69.5</v>
      </c>
      <c r="D541" s="5">
        <v>28.15</v>
      </c>
    </row>
    <row r="542" spans="1:4" x14ac:dyDescent="0.25">
      <c r="A542" s="2" t="str">
        <f>"72206"</f>
        <v>72206</v>
      </c>
      <c r="B542" s="2" t="str">
        <f>"SWIVEL HEAD W/BECKET (BB)"</f>
        <v>SWIVEL HEAD W/BECKET (BB)</v>
      </c>
      <c r="C542" s="4">
        <v>77.099999999999994</v>
      </c>
      <c r="D542" s="5">
        <v>31.23</v>
      </c>
    </row>
    <row r="543" spans="1:4" x14ac:dyDescent="0.25">
      <c r="A543" s="2" t="str">
        <f>"72305"</f>
        <v>72305</v>
      </c>
      <c r="B543" s="2" t="str">
        <f>"SWIVEL HEAD"</f>
        <v>SWIVEL HEAD</v>
      </c>
      <c r="C543" s="4">
        <v>101.4</v>
      </c>
      <c r="D543" s="5">
        <v>41.07</v>
      </c>
    </row>
    <row r="544" spans="1:4" x14ac:dyDescent="0.25">
      <c r="A544" s="2" t="str">
        <f>"72306"</f>
        <v>72306</v>
      </c>
      <c r="B544" s="2" t="str">
        <f>"SWIVEL HEAD W/BECKET (BB)"</f>
        <v>SWIVEL HEAD W/BECKET (BB)</v>
      </c>
      <c r="C544" s="4">
        <v>116.1</v>
      </c>
      <c r="D544" s="5">
        <v>47.02</v>
      </c>
    </row>
    <row r="545" spans="1:4" x14ac:dyDescent="0.25">
      <c r="A545" s="2" t="str">
        <f>"72308"</f>
        <v>72308</v>
      </c>
      <c r="B545" s="2" t="str">
        <f>"SWIVEL HEAD W/BKT/CAM(BB)"</f>
        <v>SWIVEL HEAD W/BKT/CAM(BB)</v>
      </c>
      <c r="C545" s="4">
        <v>202.8</v>
      </c>
      <c r="D545" s="5">
        <v>82.13</v>
      </c>
    </row>
    <row r="546" spans="1:4" x14ac:dyDescent="0.25">
      <c r="A546" s="2" t="str">
        <f>"72408"</f>
        <v>72408</v>
      </c>
      <c r="B546" s="2" t="str">
        <f>"FIDDLE 35MM BECKET &amp; CAM BB"</f>
        <v>FIDDLE 35MM BECKET &amp; CAM BB</v>
      </c>
      <c r="C546" s="4">
        <v>145</v>
      </c>
      <c r="D546" s="5">
        <v>58.73</v>
      </c>
    </row>
    <row r="547" spans="1:4" x14ac:dyDescent="0.25">
      <c r="A547" s="2" t="str">
        <f>"73105"</f>
        <v>73105</v>
      </c>
      <c r="B547" s="2" t="str">
        <f>"SWIVEL HEAD (BB)"</f>
        <v>SWIVEL HEAD (BB)</v>
      </c>
      <c r="C547" s="4">
        <v>42.2</v>
      </c>
      <c r="D547" s="5">
        <v>17.09</v>
      </c>
    </row>
    <row r="548" spans="1:4" x14ac:dyDescent="0.25">
      <c r="A548" s="2" t="str">
        <f>"73106"</f>
        <v>73106</v>
      </c>
      <c r="B548" s="2" t="str">
        <f>"SWIVEL HEAD W/BECKET (BB)"</f>
        <v>SWIVEL HEAD W/BECKET (BB)</v>
      </c>
      <c r="C548" s="4">
        <v>53.7</v>
      </c>
      <c r="D548" s="5">
        <v>21.75</v>
      </c>
    </row>
    <row r="549" spans="1:4" x14ac:dyDescent="0.25">
      <c r="A549" s="2" t="str">
        <f>"73108"</f>
        <v>73108</v>
      </c>
      <c r="B549" s="2" t="str">
        <f>"SWIVEL W/ BECKET AND CAM"</f>
        <v>SWIVEL W/ BECKET AND CAM</v>
      </c>
      <c r="C549" s="4">
        <v>130.4</v>
      </c>
      <c r="D549" s="5">
        <v>52.81</v>
      </c>
    </row>
    <row r="550" spans="1:4" x14ac:dyDescent="0.25">
      <c r="A550" s="2" t="str">
        <f>"73113"</f>
        <v>73113</v>
      </c>
      <c r="B550" s="2" t="str">
        <f>"FIXED EUE 45MM SHEAVE BB"</f>
        <v>FIXED EUE 45MM SHEAVE BB</v>
      </c>
      <c r="C550" s="4">
        <v>36.5</v>
      </c>
      <c r="D550" s="5">
        <v>14.78</v>
      </c>
    </row>
    <row r="551" spans="1:4" x14ac:dyDescent="0.25">
      <c r="A551" s="2" t="str">
        <f>"73117"</f>
        <v>73117</v>
      </c>
      <c r="B551" s="2" t="str">
        <f>"FIXED HEAD W/CLEVIS (BB)"</f>
        <v>FIXED HEAD W/CLEVIS (BB)</v>
      </c>
      <c r="C551" s="4">
        <v>37.799999999999997</v>
      </c>
      <c r="D551" s="5">
        <v>15.31</v>
      </c>
    </row>
    <row r="552" spans="1:4" x14ac:dyDescent="0.25">
      <c r="A552" s="2" t="str">
        <f>"73118"</f>
        <v>73118</v>
      </c>
      <c r="B552" s="2" t="str">
        <f>"WEB D-RING BLOCK W/BB"</f>
        <v>WEB D-RING BLOCK W/BB</v>
      </c>
      <c r="C552" s="4">
        <v>58.2</v>
      </c>
      <c r="D552" s="5">
        <v>23.57</v>
      </c>
    </row>
    <row r="553" spans="1:4" x14ac:dyDescent="0.25">
      <c r="A553" s="2" t="str">
        <f>"73120"</f>
        <v>73120</v>
      </c>
      <c r="B553" s="2" t="str">
        <f>"CHEEK BLOCK"</f>
        <v>CHEEK BLOCK</v>
      </c>
      <c r="C553" s="4">
        <v>43.9</v>
      </c>
      <c r="D553" s="5">
        <v>17.78</v>
      </c>
    </row>
    <row r="554" spans="1:4" x14ac:dyDescent="0.25">
      <c r="A554" s="2" t="str">
        <f>"73205"</f>
        <v>73205</v>
      </c>
      <c r="B554" s="2" t="str">
        <f>"SWIVEL HEAD"</f>
        <v>SWIVEL HEAD</v>
      </c>
      <c r="C554" s="4">
        <v>87.1</v>
      </c>
      <c r="D554" s="5">
        <v>35.28</v>
      </c>
    </row>
    <row r="555" spans="1:4" x14ac:dyDescent="0.25">
      <c r="A555" s="2" t="str">
        <f>"73206"</f>
        <v>73206</v>
      </c>
      <c r="B555" s="2" t="str">
        <f>"SWIVEL HEAD W/BECKET (BB)"</f>
        <v>SWIVEL HEAD W/BECKET (BB)</v>
      </c>
      <c r="C555" s="4">
        <v>96.4</v>
      </c>
      <c r="D555" s="5">
        <v>39.04</v>
      </c>
    </row>
    <row r="556" spans="1:4" x14ac:dyDescent="0.25">
      <c r="A556" s="2" t="str">
        <f>"73305"</f>
        <v>73305</v>
      </c>
      <c r="B556" s="2" t="str">
        <f>"SWIVEL HEAD (BB)"</f>
        <v>SWIVEL HEAD (BB)</v>
      </c>
      <c r="C556" s="4">
        <v>111.6</v>
      </c>
      <c r="D556" s="5">
        <v>45.2</v>
      </c>
    </row>
    <row r="557" spans="1:4" x14ac:dyDescent="0.25">
      <c r="A557" s="2" t="str">
        <f>"73306"</f>
        <v>73306</v>
      </c>
      <c r="B557" s="2" t="str">
        <f>"SWIVEL HEAD W/BECKET (BB)"</f>
        <v>SWIVEL HEAD W/BECKET (BB)</v>
      </c>
      <c r="C557" s="4">
        <v>158.80000000000001</v>
      </c>
      <c r="D557" s="5">
        <v>64.31</v>
      </c>
    </row>
    <row r="558" spans="1:4" x14ac:dyDescent="0.25">
      <c r="A558" s="2" t="str">
        <f>"73308"</f>
        <v>73308</v>
      </c>
      <c r="B558" s="2" t="str">
        <f>"SWIVEL W/BECKET/CAM (BB)"</f>
        <v>SWIVEL W/BECKET/CAM (BB)</v>
      </c>
      <c r="C558" s="4">
        <v>246.2</v>
      </c>
      <c r="D558" s="5">
        <v>99.71</v>
      </c>
    </row>
    <row r="559" spans="1:4" x14ac:dyDescent="0.25">
      <c r="A559" s="2" t="str">
        <f>"73405"</f>
        <v>73405</v>
      </c>
      <c r="B559" s="2" t="str">
        <f>"SWIVEL HEAD (BB)"</f>
        <v>SWIVEL HEAD (BB)</v>
      </c>
      <c r="C559" s="4">
        <v>87.1</v>
      </c>
      <c r="D559" s="5">
        <v>35.28</v>
      </c>
    </row>
    <row r="560" spans="1:4" x14ac:dyDescent="0.25">
      <c r="A560" s="2" t="str">
        <f>"73407"</f>
        <v>73407</v>
      </c>
      <c r="B560" s="2" t="str">
        <f>"SWIVEL HEAD W/CAM (BB)"</f>
        <v>SWIVEL HEAD W/CAM (BB)</v>
      </c>
      <c r="C560" s="4">
        <v>127.2</v>
      </c>
      <c r="D560" s="5">
        <v>51.52</v>
      </c>
    </row>
    <row r="561" spans="1:4" x14ac:dyDescent="0.25">
      <c r="A561" s="2" t="str">
        <f>"73408"</f>
        <v>73408</v>
      </c>
      <c r="B561" s="2" t="str">
        <f>"SWIVEL W/BECKET/CAM (BB)"</f>
        <v>SWIVEL W/BECKET/CAM (BB)</v>
      </c>
      <c r="C561" s="4">
        <v>139.80000000000001</v>
      </c>
      <c r="D561" s="5">
        <v>56.62</v>
      </c>
    </row>
    <row r="562" spans="1:4" x14ac:dyDescent="0.25">
      <c r="A562" s="2" t="str">
        <f>"73435"</f>
        <v>73435</v>
      </c>
      <c r="B562" s="2" t="str">
        <f>"FIDDLE W/SNAP SHACKLE"</f>
        <v>FIDDLE W/SNAP SHACKLE</v>
      </c>
      <c r="C562" s="4">
        <v>159.4</v>
      </c>
      <c r="D562" s="5">
        <v>64.56</v>
      </c>
    </row>
    <row r="563" spans="1:4" x14ac:dyDescent="0.25">
      <c r="A563" s="2" t="str">
        <f>"73438"</f>
        <v>73438</v>
      </c>
      <c r="B563" s="2" t="str">
        <f>"""FIDDLE W/SNAP,BECKET,CAM"""</f>
        <v>"FIDDLE W/SNAP,BECKET,CAM"</v>
      </c>
      <c r="C563" s="4">
        <v>216.1</v>
      </c>
      <c r="D563" s="5">
        <v>87.52</v>
      </c>
    </row>
    <row r="564" spans="1:4" x14ac:dyDescent="0.25">
      <c r="A564" s="2" t="str">
        <f>"74105"</f>
        <v>74105</v>
      </c>
      <c r="B564" s="2" t="str">
        <f>"SWIVEL HEAD (BB)"</f>
        <v>SWIVEL HEAD (BB)</v>
      </c>
      <c r="C564" s="4">
        <v>58.2</v>
      </c>
      <c r="D564" s="5">
        <v>23.57</v>
      </c>
    </row>
    <row r="565" spans="1:4" x14ac:dyDescent="0.25">
      <c r="A565" s="2" t="str">
        <f>"74106"</f>
        <v>74106</v>
      </c>
      <c r="B565" s="2" t="str">
        <f>"SWIVEL HEAD W/BECKET (BB)"</f>
        <v>SWIVEL HEAD W/BECKET (BB)</v>
      </c>
      <c r="C565" s="4">
        <v>63.9</v>
      </c>
      <c r="D565" s="5">
        <v>25.88</v>
      </c>
    </row>
    <row r="566" spans="1:4" x14ac:dyDescent="0.25">
      <c r="A566" s="2" t="str">
        <f>"74108"</f>
        <v>74108</v>
      </c>
      <c r="B566" s="2" t="str">
        <f>"SWIVEL W/BECKET/CAM  (BB)"</f>
        <v>SWIVEL W/BECKET/CAM  (BB)</v>
      </c>
      <c r="C566" s="4">
        <v>188.2</v>
      </c>
      <c r="D566" s="5">
        <v>76.22</v>
      </c>
    </row>
    <row r="567" spans="1:4" x14ac:dyDescent="0.25">
      <c r="A567" s="2" t="str">
        <f>"74109"</f>
        <v>74109</v>
      </c>
      <c r="B567" s="2" t="str">
        <f>"SWIVEL W/CLEVIS  (BB)"</f>
        <v>SWIVEL W/CLEVIS  (BB)</v>
      </c>
      <c r="C567" s="4">
        <v>77.099999999999994</v>
      </c>
      <c r="D567" s="5">
        <v>31.23</v>
      </c>
    </row>
    <row r="568" spans="1:4" x14ac:dyDescent="0.25">
      <c r="A568" s="2" t="str">
        <f>"74110"</f>
        <v>74110</v>
      </c>
      <c r="B568" s="2" t="str">
        <f>"SWIVEL CLEVIS/ BECKET (BB)"</f>
        <v>SWIVEL CLEVIS/ BECKET (BB)</v>
      </c>
      <c r="C568" s="4">
        <v>87.1</v>
      </c>
      <c r="D568" s="5">
        <v>35.28</v>
      </c>
    </row>
    <row r="569" spans="1:4" x14ac:dyDescent="0.25">
      <c r="A569" s="2" t="str">
        <f>"74113"</f>
        <v>74113</v>
      </c>
      <c r="B569" s="2" t="str">
        <f>"FIXED EYE (BB)"</f>
        <v>FIXED EYE (BB)</v>
      </c>
      <c r="C569" s="4">
        <v>50.8</v>
      </c>
      <c r="D569" s="5">
        <v>20.57</v>
      </c>
    </row>
    <row r="570" spans="1:4" x14ac:dyDescent="0.25">
      <c r="A570" s="2" t="str">
        <f>"74117"</f>
        <v>74117</v>
      </c>
      <c r="B570" s="2" t="str">
        <f>"FIXED EYE W/CLEVIS (BB)"</f>
        <v>FIXED EYE W/CLEVIS (BB)</v>
      </c>
      <c r="C570" s="4">
        <v>50.8</v>
      </c>
      <c r="D570" s="5">
        <v>20.57</v>
      </c>
    </row>
    <row r="571" spans="1:4" x14ac:dyDescent="0.25">
      <c r="A571" s="2" t="str">
        <f>"74120"</f>
        <v>74120</v>
      </c>
      <c r="B571" s="2" t="str">
        <f>"CHEEK BLOCK"</f>
        <v>CHEEK BLOCK</v>
      </c>
      <c r="C571" s="4">
        <v>72.5</v>
      </c>
      <c r="D571" s="5">
        <v>29.36</v>
      </c>
    </row>
    <row r="572" spans="1:4" x14ac:dyDescent="0.25">
      <c r="A572" s="2" t="str">
        <f>"74130"</f>
        <v>74130</v>
      </c>
      <c r="B572" s="2" t="str">
        <f>"SINGLE W/SNAP SHKL (BB)"</f>
        <v>SINGLE W/SNAP SHKL (BB)</v>
      </c>
      <c r="C572" s="4">
        <v>116.1</v>
      </c>
      <c r="D572" s="5">
        <v>47.02</v>
      </c>
    </row>
    <row r="573" spans="1:4" x14ac:dyDescent="0.25">
      <c r="A573" s="2" t="str">
        <f>"74205"</f>
        <v>74205</v>
      </c>
      <c r="B573" s="2" t="str">
        <f>"SWIVEL HEAD (BB)"</f>
        <v>SWIVEL HEAD (BB)</v>
      </c>
      <c r="C573" s="4">
        <v>130.4</v>
      </c>
      <c r="D573" s="5">
        <v>52.81</v>
      </c>
    </row>
    <row r="574" spans="1:4" x14ac:dyDescent="0.25">
      <c r="A574" s="2" t="str">
        <f>"74206"</f>
        <v>74206</v>
      </c>
      <c r="B574" s="2" t="str">
        <f>"SWIVEL HEAD W/BECKET (BB)"</f>
        <v>SWIVEL HEAD W/BECKET (BB)</v>
      </c>
      <c r="C574" s="4">
        <v>145</v>
      </c>
      <c r="D574" s="5">
        <v>58.73</v>
      </c>
    </row>
    <row r="575" spans="1:4" x14ac:dyDescent="0.25">
      <c r="A575" s="2" t="str">
        <f>"74305"</f>
        <v>74305</v>
      </c>
      <c r="B575" s="2" t="str">
        <f>"SWIVEL HEAD  (BB)"</f>
        <v>SWIVEL HEAD  (BB)</v>
      </c>
      <c r="C575" s="4">
        <v>188.2</v>
      </c>
      <c r="D575" s="5">
        <v>76.22</v>
      </c>
    </row>
    <row r="576" spans="1:4" x14ac:dyDescent="0.25">
      <c r="A576" s="2" t="str">
        <f>"74306"</f>
        <v>74306</v>
      </c>
      <c r="B576" s="2" t="str">
        <f>"SWIVEL HEAD W/BECKET (BB)"</f>
        <v>SWIVEL HEAD W/BECKET (BB)</v>
      </c>
      <c r="C576" s="4">
        <v>197</v>
      </c>
      <c r="D576" s="5">
        <v>79.790000000000006</v>
      </c>
    </row>
    <row r="577" spans="1:4" x14ac:dyDescent="0.25">
      <c r="A577" s="2" t="str">
        <f>"74308"</f>
        <v>74308</v>
      </c>
      <c r="B577" s="2" t="str">
        <f>"SWIVEL HEAD W/BEK/CAM(BB)"</f>
        <v>SWIVEL HEAD W/BEK/CAM(BB)</v>
      </c>
      <c r="C577" s="4">
        <v>333.2</v>
      </c>
      <c r="D577" s="5">
        <v>134.94999999999999</v>
      </c>
    </row>
    <row r="578" spans="1:4" x14ac:dyDescent="0.25">
      <c r="A578" s="2" t="str">
        <f>"74405"</f>
        <v>74405</v>
      </c>
      <c r="B578" s="2" t="str">
        <f>"SWIVEL HEAD"</f>
        <v>SWIVEL HEAD</v>
      </c>
      <c r="C578" s="4">
        <v>116.1</v>
      </c>
      <c r="D578" s="5">
        <v>47.02</v>
      </c>
    </row>
    <row r="579" spans="1:4" x14ac:dyDescent="0.25">
      <c r="A579" s="2" t="str">
        <f>"74406"</f>
        <v>74406</v>
      </c>
      <c r="B579" s="2" t="str">
        <f>"SWIVEL HEAD W/BECKET (BB)"</f>
        <v>SWIVEL HEAD W/BECKET (BB)</v>
      </c>
      <c r="C579" s="4">
        <v>106</v>
      </c>
      <c r="D579" s="5">
        <v>42.93</v>
      </c>
    </row>
    <row r="580" spans="1:4" x14ac:dyDescent="0.25">
      <c r="A580" s="2" t="str">
        <f>"74408"</f>
        <v>74408</v>
      </c>
      <c r="B580" s="2" t="str">
        <f>"SWIVEL W/BECKET/CAM (BB)"</f>
        <v>SWIVEL W/BECKET/CAM (BB)</v>
      </c>
      <c r="C580" s="4">
        <v>190.7</v>
      </c>
      <c r="D580" s="5">
        <v>77.23</v>
      </c>
    </row>
    <row r="581" spans="1:4" x14ac:dyDescent="0.25">
      <c r="A581" s="2" t="str">
        <f>"74435"</f>
        <v>74435</v>
      </c>
      <c r="B581" s="2" t="str">
        <f>"FIDDLE W/SNAP SHACKLE"</f>
        <v>FIDDLE W/SNAP SHACKLE</v>
      </c>
      <c r="C581" s="4">
        <v>202.8</v>
      </c>
      <c r="D581" s="5">
        <v>82.13</v>
      </c>
    </row>
    <row r="582" spans="1:4" x14ac:dyDescent="0.25">
      <c r="A582" s="2" t="str">
        <f>"74438"</f>
        <v>74438</v>
      </c>
      <c r="B582" s="2" t="str">
        <f>"""FIDDLE W/SNAP,BECKET,CAM"""</f>
        <v>"FIDDLE W/SNAP,BECKET,CAM"</v>
      </c>
      <c r="C582" s="4">
        <v>292.3</v>
      </c>
      <c r="D582" s="5">
        <v>118.38</v>
      </c>
    </row>
    <row r="583" spans="1:4" x14ac:dyDescent="0.25">
      <c r="A583" s="2" t="str">
        <f>"75105"</f>
        <v>75105</v>
      </c>
      <c r="B583" s="2" t="str">
        <f>"SWIVEL HEAD (BB)"</f>
        <v>SWIVEL HEAD (BB)</v>
      </c>
      <c r="C583" s="4">
        <v>116.1</v>
      </c>
      <c r="D583" s="5">
        <v>47.02</v>
      </c>
    </row>
    <row r="584" spans="1:4" x14ac:dyDescent="0.25">
      <c r="A584" s="2" t="str">
        <f>"75106"</f>
        <v>75106</v>
      </c>
      <c r="B584" s="2" t="str">
        <f>"SWIVEL HEAD W/BECKET (BB)"</f>
        <v>SWIVEL HEAD W/BECKET (BB)</v>
      </c>
      <c r="C584" s="4">
        <v>127.7</v>
      </c>
      <c r="D584" s="5">
        <v>51.72</v>
      </c>
    </row>
    <row r="585" spans="1:4" x14ac:dyDescent="0.25">
      <c r="A585" s="2" t="str">
        <f>"75108"</f>
        <v>75108</v>
      </c>
      <c r="B585" s="2" t="str">
        <f>"SWIVEL W/ BECKET AND CAM"</f>
        <v>SWIVEL W/ BECKET AND CAM</v>
      </c>
      <c r="C585" s="4">
        <v>333.2</v>
      </c>
      <c r="D585" s="5">
        <v>134.94999999999999</v>
      </c>
    </row>
    <row r="586" spans="1:4" x14ac:dyDescent="0.25">
      <c r="A586" s="2" t="str">
        <f>"75109"</f>
        <v>75109</v>
      </c>
      <c r="B586" s="2" t="str">
        <f>"SWIVEL W/CLEVIS (BB)"</f>
        <v>SWIVEL W/CLEVIS (BB)</v>
      </c>
      <c r="C586" s="4">
        <v>108</v>
      </c>
      <c r="D586" s="5">
        <v>43.74</v>
      </c>
    </row>
    <row r="587" spans="1:4" x14ac:dyDescent="0.25">
      <c r="A587" s="2" t="str">
        <f>"75117"</f>
        <v>75117</v>
      </c>
      <c r="B587" s="2" t="str">
        <f>"FIXED HEAD W/CLEVIS (BB)"</f>
        <v>FIXED HEAD W/CLEVIS (BB)</v>
      </c>
      <c r="C587" s="4">
        <v>101.4</v>
      </c>
      <c r="D587" s="5">
        <v>41.07</v>
      </c>
    </row>
    <row r="588" spans="1:4" x14ac:dyDescent="0.25">
      <c r="A588" s="2" t="str">
        <f>"75120"</f>
        <v>75120</v>
      </c>
      <c r="B588" s="2" t="str">
        <f>"CHEEK BLOCK"</f>
        <v>CHEEK BLOCK</v>
      </c>
      <c r="C588" s="4">
        <v>101.7</v>
      </c>
      <c r="D588" s="5">
        <v>41.19</v>
      </c>
    </row>
    <row r="589" spans="1:4" x14ac:dyDescent="0.25">
      <c r="A589" s="2" t="str">
        <f>"75130"</f>
        <v>75130</v>
      </c>
      <c r="B589" s="2" t="str">
        <f>"SWIVEL SNAP SHACKLE (BB)"</f>
        <v>SWIVEL SNAP SHACKLE (BB)</v>
      </c>
      <c r="C589" s="4">
        <v>188.2</v>
      </c>
      <c r="D589" s="5">
        <v>76.22</v>
      </c>
    </row>
    <row r="590" spans="1:4" x14ac:dyDescent="0.25">
      <c r="A590" s="2" t="str">
        <f>"75205"</f>
        <v>75205</v>
      </c>
      <c r="B590" s="2" t="str">
        <f>"SWIVEL HEAD (BB)"</f>
        <v>SWIVEL HEAD (BB)</v>
      </c>
      <c r="C590" s="4">
        <v>260.60000000000002</v>
      </c>
      <c r="D590" s="5">
        <v>105.54</v>
      </c>
    </row>
    <row r="591" spans="1:4" x14ac:dyDescent="0.25">
      <c r="A591" s="2" t="str">
        <f>"75206"</f>
        <v>75206</v>
      </c>
      <c r="B591" s="2" t="str">
        <f>"SWIVEL HEAD W/BECKET (BB)"</f>
        <v>SWIVEL HEAD W/BECKET (BB)</v>
      </c>
      <c r="C591" s="4">
        <v>275.3</v>
      </c>
      <c r="D591" s="5">
        <v>111.5</v>
      </c>
    </row>
    <row r="592" spans="1:4" x14ac:dyDescent="0.25">
      <c r="A592" s="2" t="str">
        <f>"75305"</f>
        <v>75305</v>
      </c>
      <c r="B592" s="2" t="str">
        <f>"SWIVEL HEAD"</f>
        <v>SWIVEL HEAD</v>
      </c>
      <c r="C592" s="4">
        <v>347.5</v>
      </c>
      <c r="D592" s="5">
        <v>140.74</v>
      </c>
    </row>
    <row r="593" spans="1:4" x14ac:dyDescent="0.25">
      <c r="A593" s="2" t="str">
        <f>"75308"</f>
        <v>75308</v>
      </c>
      <c r="B593" s="2" t="str">
        <f>"SWIVEL W/BECKET/CAM (BB)"</f>
        <v>SWIVEL W/BECKET/CAM (BB)</v>
      </c>
      <c r="C593" s="4">
        <v>579.20000000000005</v>
      </c>
      <c r="D593" s="5">
        <v>234.58</v>
      </c>
    </row>
    <row r="594" spans="1:4" x14ac:dyDescent="0.25">
      <c r="A594" s="2" t="str">
        <f>"75405"</f>
        <v>75405</v>
      </c>
      <c r="B594" s="2" t="str">
        <f>"SWIVEL HEAD (BB)"</f>
        <v>SWIVEL HEAD (BB)</v>
      </c>
      <c r="C594" s="4">
        <v>159.4</v>
      </c>
      <c r="D594" s="5">
        <v>64.56</v>
      </c>
    </row>
    <row r="595" spans="1:4" x14ac:dyDescent="0.25">
      <c r="A595" s="2" t="str">
        <f>"75408"</f>
        <v>75408</v>
      </c>
      <c r="B595" s="2" t="str">
        <f>"SWIVEL W/BECKET/CAM (BB)"</f>
        <v>SWIVEL W/BECKET/CAM (BB)</v>
      </c>
      <c r="C595" s="4">
        <v>241.5</v>
      </c>
      <c r="D595" s="5">
        <v>97.81</v>
      </c>
    </row>
    <row r="596" spans="1:4" x14ac:dyDescent="0.25">
      <c r="A596" s="2" t="str">
        <f>"75435"</f>
        <v>75435</v>
      </c>
      <c r="B596" s="2" t="str">
        <f>"FIDDLE W/SNAP SHACKLE"</f>
        <v>FIDDLE W/SNAP SHACKLE</v>
      </c>
      <c r="C596" s="4">
        <v>289.60000000000002</v>
      </c>
      <c r="D596" s="5">
        <v>117.29</v>
      </c>
    </row>
    <row r="597" spans="1:4" x14ac:dyDescent="0.25">
      <c r="A597" s="2" t="str">
        <f>"75438"</f>
        <v>75438</v>
      </c>
      <c r="B597" s="2" t="str">
        <f>"""FIDDLE W/SNAP,BECKET,CAM"""</f>
        <v>"FIDDLE W/SNAP,BECKET,CAM"</v>
      </c>
      <c r="C597" s="4">
        <v>368.4</v>
      </c>
      <c r="D597" s="5">
        <v>149.19999999999999</v>
      </c>
    </row>
    <row r="598" spans="1:4" x14ac:dyDescent="0.25">
      <c r="A598" s="2" t="str">
        <f>"84103"</f>
        <v>84103</v>
      </c>
      <c r="B598" s="2" t="str">
        <f>"BALL BEARING RATCHET BLOCK"</f>
        <v>BALL BEARING RATCHET BLOCK</v>
      </c>
      <c r="C598" s="4">
        <v>249.1</v>
      </c>
      <c r="D598" s="5">
        <v>100.89</v>
      </c>
    </row>
    <row r="599" spans="1:4" x14ac:dyDescent="0.25">
      <c r="A599" s="2" t="str">
        <f>"84121"</f>
        <v>84121</v>
      </c>
      <c r="B599" s="2" t="str">
        <f>"""BALL BEARING RATCHET BLOCK,"""</f>
        <v>"BALL BEARING RATCHET BLOCK,"</v>
      </c>
      <c r="C599" s="4">
        <v>130.80000000000001</v>
      </c>
      <c r="D599" s="5">
        <v>52.97</v>
      </c>
    </row>
    <row r="600" spans="1:4" x14ac:dyDescent="0.25">
      <c r="A600" s="2" t="str">
        <f>"84122"</f>
        <v>84122</v>
      </c>
      <c r="B600" s="2" t="str">
        <f>"BALL BEARING RATCHET STBD CHEK"</f>
        <v>BALL BEARING RATCHET STBD CHEK</v>
      </c>
      <c r="C600" s="4">
        <v>130.80000000000001</v>
      </c>
      <c r="D600" s="5">
        <v>52.97</v>
      </c>
    </row>
    <row r="601" spans="1:4" x14ac:dyDescent="0.25">
      <c r="A601" s="2" t="str">
        <f>"84303"</f>
        <v>84303</v>
      </c>
      <c r="B601" s="2" t="str">
        <f>"BALL BEARING RATCHET BLOCK W/"</f>
        <v>BALL BEARING RATCHET BLOCK W/</v>
      </c>
      <c r="C601" s="4">
        <v>311.5</v>
      </c>
      <c r="D601" s="5">
        <v>126.16</v>
      </c>
    </row>
    <row r="602" spans="1:4" x14ac:dyDescent="0.25">
      <c r="A602" s="2" t="str">
        <f>"30018"</f>
        <v>30018</v>
      </c>
      <c r="B602" s="2" t="str">
        <f>"SINGLE BLOCK"</f>
        <v>SINGLE BLOCK</v>
      </c>
      <c r="C602" s="4">
        <v>14.7</v>
      </c>
      <c r="D602" s="5">
        <v>5.95</v>
      </c>
    </row>
    <row r="603" spans="1:4" x14ac:dyDescent="0.25">
      <c r="A603" s="2" t="str">
        <f>"30019"</f>
        <v>30019</v>
      </c>
      <c r="B603" s="2" t="str">
        <f>"SINGLE W/EYE"</f>
        <v>SINGLE W/EYE</v>
      </c>
      <c r="C603" s="4">
        <v>19</v>
      </c>
      <c r="D603" s="5">
        <v>7.7</v>
      </c>
    </row>
    <row r="604" spans="1:4" x14ac:dyDescent="0.25">
      <c r="A604" s="2" t="str">
        <f>"30024"</f>
        <v>30024</v>
      </c>
      <c r="B604" s="2" t="str">
        <f>"S.S. SINGLE"</f>
        <v>S.S. SINGLE</v>
      </c>
      <c r="C604" s="4">
        <v>19</v>
      </c>
      <c r="D604" s="5">
        <v>7.7</v>
      </c>
    </row>
    <row r="605" spans="1:4" x14ac:dyDescent="0.25">
      <c r="A605" s="2" t="str">
        <f>"30025"</f>
        <v>30025</v>
      </c>
      <c r="B605" s="2" t="str">
        <f>"STANCHION (1   DIA.)"</f>
        <v>STANCHION (1   DIA.)</v>
      </c>
      <c r="C605" s="4">
        <v>50.8</v>
      </c>
      <c r="D605" s="5">
        <v>20.57</v>
      </c>
    </row>
    <row r="606" spans="1:4" x14ac:dyDescent="0.25">
      <c r="A606" s="2" t="str">
        <f>"30036"</f>
        <v>30036</v>
      </c>
      <c r="B606" s="2" t="str">
        <f>"5/32   WIRE BLOCK (1   DIA)"</f>
        <v>5/32   WIRE BLOCK (1   DIA)</v>
      </c>
      <c r="C606" s="4">
        <v>48</v>
      </c>
      <c r="D606" s="5">
        <v>19.440000000000001</v>
      </c>
    </row>
    <row r="607" spans="1:4" x14ac:dyDescent="0.25">
      <c r="A607" s="2" t="str">
        <f>"30045"</f>
        <v>30045</v>
      </c>
      <c r="B607" s="2" t="str">
        <f>"MAST STEP BLOCK"</f>
        <v>MAST STEP BLOCK</v>
      </c>
      <c r="C607" s="4">
        <v>36.5</v>
      </c>
      <c r="D607" s="5">
        <v>14.78</v>
      </c>
    </row>
    <row r="608" spans="1:4" x14ac:dyDescent="0.25">
      <c r="A608" s="2" t="str">
        <f>"30050"</f>
        <v>30050</v>
      </c>
      <c r="B608" s="2" t="str">
        <f>"WIRE BLOCK"</f>
        <v>WIRE BLOCK</v>
      </c>
      <c r="C608" s="4">
        <v>62.5</v>
      </c>
      <c r="D608" s="5">
        <v>25.31</v>
      </c>
    </row>
    <row r="609" spans="1:4" x14ac:dyDescent="0.25">
      <c r="A609" s="2" t="str">
        <f>"30070"</f>
        <v>30070</v>
      </c>
      <c r="B609" s="2" t="str">
        <f>"S.S. W/ALUMM SHEAVE"</f>
        <v>S.S. W/ALUMM SHEAVE</v>
      </c>
      <c r="C609" s="4">
        <v>116.1</v>
      </c>
      <c r="D609" s="5">
        <v>47.02</v>
      </c>
    </row>
    <row r="610" spans="1:4" x14ac:dyDescent="0.25">
      <c r="A610" s="2" t="str">
        <f>"30071"</f>
        <v>30071</v>
      </c>
      <c r="B610" s="2" t="str">
        <f>"S.S./ALUMM SHEAVE/SWIVEL"</f>
        <v>S.S./ALUMM SHEAVE/SWIVEL</v>
      </c>
      <c r="C610" s="4">
        <v>145</v>
      </c>
      <c r="D610" s="5">
        <v>58.73</v>
      </c>
    </row>
    <row r="611" spans="1:4" x14ac:dyDescent="0.25">
      <c r="A611" s="2" t="str">
        <f>"30118"</f>
        <v>30118</v>
      </c>
      <c r="B611" s="2" t="str">
        <f>"11/16 SS BLOCK SINGLE W/BECKET"</f>
        <v>11/16 SS BLOCK SINGLE W/BECKET</v>
      </c>
      <c r="C611" s="4">
        <v>17.600000000000001</v>
      </c>
      <c r="D611" s="5">
        <v>7.13</v>
      </c>
    </row>
    <row r="612" spans="1:4" x14ac:dyDescent="0.25">
      <c r="A612" s="2" t="str">
        <f>"30124"</f>
        <v>30124</v>
      </c>
      <c r="B612" s="2" t="str">
        <f>"15/16 SS BLOCK SINGLE"</f>
        <v>15/16 SS BLOCK SINGLE</v>
      </c>
      <c r="C612" s="4">
        <v>21.9</v>
      </c>
      <c r="D612" s="5">
        <v>8.8699999999999992</v>
      </c>
    </row>
    <row r="613" spans="1:4" x14ac:dyDescent="0.25">
      <c r="A613" s="2" t="str">
        <f>"30125"</f>
        <v>30125</v>
      </c>
      <c r="B613" s="2" t="str">
        <f>"1 STANCHION BLOCK PIVOTING"</f>
        <v>1 STANCHION BLOCK PIVOTING</v>
      </c>
      <c r="C613" s="4">
        <v>58.2</v>
      </c>
      <c r="D613" s="5">
        <v>23.57</v>
      </c>
    </row>
    <row r="614" spans="1:4" x14ac:dyDescent="0.25">
      <c r="A614" s="2" t="str">
        <f>"30136"</f>
        <v>30136</v>
      </c>
      <c r="B614" s="2" t="str">
        <f>"1 7/16 EXIT BLOCK"</f>
        <v>1 7/16 EXIT BLOCK</v>
      </c>
      <c r="C614" s="4">
        <v>43.6</v>
      </c>
      <c r="D614" s="5">
        <v>17.66</v>
      </c>
    </row>
    <row r="615" spans="1:4" x14ac:dyDescent="0.25">
      <c r="A615" s="2" t="str">
        <f>"30145"</f>
        <v>30145</v>
      </c>
      <c r="B615" s="2" t="str">
        <f>"4 1/8 SS SWIVEL BLOCK W/ CLEVIS"</f>
        <v>4 1/8 SS SWIVEL BLOCK W/ CLEVIS</v>
      </c>
      <c r="C615" s="4">
        <v>58.2</v>
      </c>
      <c r="D615" s="5">
        <v>23.57</v>
      </c>
    </row>
    <row r="616" spans="1:4" x14ac:dyDescent="0.25">
      <c r="A616" s="2" t="str">
        <f>"30224"</f>
        <v>30224</v>
      </c>
      <c r="B616" s="2" t="str">
        <f>"15/16 SNGL BLOCK W/ V.CLEAT BECKET"</f>
        <v>15/16 SNGL BLOCK W/ V.CLEAT BECKET</v>
      </c>
      <c r="C616" s="4">
        <v>36.5</v>
      </c>
      <c r="D616" s="5">
        <v>14.78</v>
      </c>
    </row>
    <row r="617" spans="1:4" x14ac:dyDescent="0.25">
      <c r="A617" s="2" t="str">
        <f>"30225"</f>
        <v>30225</v>
      </c>
      <c r="B617" s="2" t="str">
        <f>"""EXIT, FLAT (1   DIA)"""</f>
        <v>"EXIT, FLAT (1   DIA)"</v>
      </c>
      <c r="C617" s="4">
        <v>21.9</v>
      </c>
      <c r="D617" s="5">
        <v>8.8699999999999992</v>
      </c>
    </row>
    <row r="618" spans="1:4" x14ac:dyDescent="0.25">
      <c r="A618" s="2" t="str">
        <f>"30324"</f>
        <v>30324</v>
      </c>
      <c r="B618" s="2" t="str">
        <f>"15/16 SINGLE BLOCK W/ V.CLEAT &amp; BEC"</f>
        <v>15/16 SINGLE BLOCK W/ V.CLEAT &amp; BEC</v>
      </c>
      <c r="C618" s="4">
        <v>27.7</v>
      </c>
      <c r="D618" s="5">
        <v>11.22</v>
      </c>
    </row>
    <row r="619" spans="1:4" x14ac:dyDescent="0.25">
      <c r="A619" s="2" t="str">
        <f>"30325"</f>
        <v>30325</v>
      </c>
      <c r="B619" s="2" t="str">
        <f>"""EXIT, CURVED (1   DIA)"""</f>
        <v>"EXIT, CURVED (1   DIA)"</v>
      </c>
      <c r="C619" s="4">
        <v>24.9</v>
      </c>
      <c r="D619" s="5">
        <v>10.08</v>
      </c>
    </row>
    <row r="620" spans="1:4" x14ac:dyDescent="0.25">
      <c r="A620" s="2" t="str">
        <f>"30424"</f>
        <v>30424</v>
      </c>
      <c r="B620" s="2" t="str">
        <f>"S.S. DOUBLE W/SHACKLE"</f>
        <v>S.S. DOUBLE W/SHACKLE</v>
      </c>
      <c r="C620" s="4">
        <v>31.9</v>
      </c>
      <c r="D620" s="5">
        <v>12.92</v>
      </c>
    </row>
    <row r="621" spans="1:4" x14ac:dyDescent="0.25">
      <c r="A621" s="2" t="str">
        <f>"30425"</f>
        <v>30425</v>
      </c>
      <c r="B621" s="2" t="str">
        <f>"SWIVEL SHACKLE BLOCK"</f>
        <v>SWIVEL SHACKLE BLOCK</v>
      </c>
      <c r="C621" s="4">
        <v>29.2</v>
      </c>
      <c r="D621" s="5">
        <v>11.83</v>
      </c>
    </row>
    <row r="622" spans="1:4" x14ac:dyDescent="0.25">
      <c r="A622" s="2" t="str">
        <f>"30524"</f>
        <v>30524</v>
      </c>
      <c r="B622" s="2" t="str">
        <f>"S.S.DBL.W/BECKET"</f>
        <v>S.S.DBL.W/BECKET</v>
      </c>
      <c r="C622" s="4">
        <v>34.9</v>
      </c>
      <c r="D622" s="5">
        <v>14.13</v>
      </c>
    </row>
    <row r="623" spans="1:4" x14ac:dyDescent="0.25">
      <c r="A623" s="2" t="str">
        <f>"30624"</f>
        <v>30624</v>
      </c>
      <c r="B623" s="2" t="str">
        <f>"S.S. W/BECKET/V CLEAT"</f>
        <v>S.S. W/BECKET/V CLEAT</v>
      </c>
      <c r="C623" s="4">
        <v>43.6</v>
      </c>
      <c r="D623" s="5">
        <v>17.66</v>
      </c>
    </row>
    <row r="624" spans="1:4" x14ac:dyDescent="0.25">
      <c r="A624" s="2" t="str">
        <f>"30724"</f>
        <v>30724</v>
      </c>
      <c r="B624" s="2" t="str">
        <f>"S.S. TRIPLE"</f>
        <v>S.S. TRIPLE</v>
      </c>
      <c r="C624" s="4">
        <v>43.6</v>
      </c>
      <c r="D624" s="5">
        <v>17.66</v>
      </c>
    </row>
    <row r="625" spans="1:4" x14ac:dyDescent="0.25">
      <c r="A625" s="2" t="str">
        <f>"30924"</f>
        <v>30924</v>
      </c>
      <c r="B625" s="2" t="str">
        <f>"TRIPLE W/V CLEAT/SHACKLE"</f>
        <v>TRIPLE W/V CLEAT/SHACKLE</v>
      </c>
      <c r="C625" s="4">
        <v>58.2</v>
      </c>
      <c r="D625" s="5">
        <v>23.57</v>
      </c>
    </row>
    <row r="626" spans="1:4" x14ac:dyDescent="0.25">
      <c r="A626" s="2" t="str">
        <f>"31024"</f>
        <v>31024</v>
      </c>
      <c r="B626" s="2" t="str">
        <f>"1/8   WIRE BLOCK (1   DIA)"</f>
        <v>1/8   WIRE BLOCK (1   DIA)</v>
      </c>
      <c r="C626" s="4">
        <v>26.3</v>
      </c>
      <c r="D626" s="5">
        <v>10.65</v>
      </c>
    </row>
    <row r="627" spans="1:4" x14ac:dyDescent="0.25">
      <c r="A627" s="2" t="str">
        <f>"31045"</f>
        <v>31045</v>
      </c>
      <c r="B627" s="2" t="str">
        <f>"CURVED BLOCK"</f>
        <v>CURVED BLOCK</v>
      </c>
      <c r="C627" s="4">
        <v>43.6</v>
      </c>
      <c r="D627" s="5">
        <v>17.66</v>
      </c>
    </row>
    <row r="628" spans="1:4" x14ac:dyDescent="0.25">
      <c r="A628" s="2" t="str">
        <f>"31124"</f>
        <v>31124</v>
      </c>
      <c r="B628" s="2" t="str">
        <f>"SINGLE"</f>
        <v>SINGLE</v>
      </c>
      <c r="C628" s="4">
        <v>19</v>
      </c>
      <c r="D628" s="5">
        <v>7.7</v>
      </c>
    </row>
    <row r="629" spans="1:4" x14ac:dyDescent="0.25">
      <c r="A629" s="2" t="str">
        <f>"31145"</f>
        <v>31145</v>
      </c>
      <c r="B629" s="2" t="str">
        <f>"CURVED BLOCK W/ BECKET"</f>
        <v>CURVED BLOCK W/ BECKET</v>
      </c>
      <c r="C629" s="4">
        <v>50.8</v>
      </c>
      <c r="D629" s="5">
        <v>20.57</v>
      </c>
    </row>
    <row r="630" spans="1:4" x14ac:dyDescent="0.25">
      <c r="A630" s="2" t="str">
        <f>"31224"</f>
        <v>31224</v>
      </c>
      <c r="B630" s="2" t="str">
        <f>"SINGLE W/BECKET"</f>
        <v>SINGLE W/BECKET</v>
      </c>
      <c r="C630" s="4">
        <v>23.4</v>
      </c>
      <c r="D630" s="5">
        <v>9.48</v>
      </c>
    </row>
    <row r="631" spans="1:4" x14ac:dyDescent="0.25">
      <c r="A631" s="2" t="str">
        <f>"90105"</f>
        <v>90105</v>
      </c>
      <c r="B631" s="2" t="str">
        <f>"SINGLE W /SWIVEL"</f>
        <v>SINGLE W /SWIVEL</v>
      </c>
      <c r="C631" s="4">
        <v>102.7</v>
      </c>
      <c r="D631" s="5">
        <v>41.59</v>
      </c>
    </row>
    <row r="632" spans="1:4" x14ac:dyDescent="0.25">
      <c r="A632" s="2" t="str">
        <f>"90106"</f>
        <v>90106</v>
      </c>
      <c r="B632" s="2" t="str">
        <f>"SINGLE W/SWIVEL &amp; BECKET"</f>
        <v>SINGLE W/SWIVEL &amp; BECKET</v>
      </c>
      <c r="C632" s="4">
        <v>123</v>
      </c>
      <c r="D632" s="5">
        <v>49.82</v>
      </c>
    </row>
    <row r="633" spans="1:4" x14ac:dyDescent="0.25">
      <c r="A633" s="2" t="str">
        <f>"91105"</f>
        <v>91105</v>
      </c>
      <c r="B633" s="2" t="str">
        <f>"SINGLE W/SWIVEL"</f>
        <v>SINGLE W/SWIVEL</v>
      </c>
      <c r="C633" s="4">
        <v>115.8</v>
      </c>
      <c r="D633" s="5">
        <v>46.9</v>
      </c>
    </row>
    <row r="634" spans="1:4" x14ac:dyDescent="0.25">
      <c r="A634" s="2" t="str">
        <f>"93105"</f>
        <v>93105</v>
      </c>
      <c r="B634" s="2" t="str">
        <f>"SINGLE W/SWIVEL"</f>
        <v>SINGLE W/SWIVEL</v>
      </c>
      <c r="C634" s="4">
        <v>133.1</v>
      </c>
      <c r="D634" s="5">
        <v>53.91</v>
      </c>
    </row>
    <row r="635" spans="1:4" x14ac:dyDescent="0.25">
      <c r="A635" s="2" t="str">
        <f>"94405"</f>
        <v>94405</v>
      </c>
      <c r="B635" s="2" t="str">
        <f>"ROLLER BLOCK"</f>
        <v>ROLLER BLOCK</v>
      </c>
      <c r="C635" s="4">
        <v>166.1</v>
      </c>
      <c r="D635" s="5">
        <v>67.27</v>
      </c>
    </row>
    <row r="636" spans="1:4" x14ac:dyDescent="0.25">
      <c r="A636" s="2" t="str">
        <f>"94406"</f>
        <v>94406</v>
      </c>
      <c r="B636" s="2" t="str">
        <f>"ROLLER BLOCK"</f>
        <v>ROLLER BLOCK</v>
      </c>
      <c r="C636" s="4">
        <v>204.3</v>
      </c>
      <c r="D636" s="5">
        <v>82.74</v>
      </c>
    </row>
    <row r="637" spans="1:4" x14ac:dyDescent="0.25">
      <c r="A637" s="2" t="str">
        <f>"95305"</f>
        <v>95305</v>
      </c>
      <c r="B637" s="2" t="str">
        <f>"SWIVEL HEAD"</f>
        <v>SWIVEL HEAD</v>
      </c>
      <c r="C637" s="4">
        <v>534.6</v>
      </c>
      <c r="D637" s="5">
        <v>216.51</v>
      </c>
    </row>
    <row r="638" spans="1:4" x14ac:dyDescent="0.25">
      <c r="A638" s="2" t="str">
        <f>"95306"</f>
        <v>95306</v>
      </c>
      <c r="B638" s="2" t="str">
        <f>"SWIVEL HEAD W/ BECKET"</f>
        <v>SWIVEL HEAD W/ BECKET</v>
      </c>
      <c r="C638" s="4">
        <v>497.9</v>
      </c>
      <c r="D638" s="5">
        <v>201.65</v>
      </c>
    </row>
    <row r="639" spans="1:4" x14ac:dyDescent="0.25">
      <c r="A639" s="2" t="str">
        <f>"96205"</f>
        <v>96205</v>
      </c>
      <c r="B639" s="2" t="str">
        <f>"FIXED EYE"</f>
        <v>FIXED EYE</v>
      </c>
      <c r="C639" s="4">
        <v>552.4</v>
      </c>
      <c r="D639" s="5">
        <v>223.72</v>
      </c>
    </row>
    <row r="640" spans="1:4" x14ac:dyDescent="0.25">
      <c r="A640" s="2" t="str">
        <f>"41105"</f>
        <v>41105</v>
      </c>
      <c r="B640" s="2" t="str">
        <f>"SWIVEL HEAD BLOCK"</f>
        <v>SWIVEL HEAD BLOCK</v>
      </c>
      <c r="C640" s="4">
        <v>494.2</v>
      </c>
      <c r="D640" s="5">
        <v>200.15</v>
      </c>
    </row>
    <row r="641" spans="1:4" x14ac:dyDescent="0.25">
      <c r="A641" s="2" t="str">
        <f>"42205"</f>
        <v>42205</v>
      </c>
      <c r="B641" s="2" t="str">
        <f>"SWIVEL HEAD"</f>
        <v>SWIVEL HEAD</v>
      </c>
      <c r="C641" s="4">
        <v>1852.2</v>
      </c>
      <c r="D641" s="5">
        <v>750.14</v>
      </c>
    </row>
    <row r="642" spans="1:4" x14ac:dyDescent="0.25">
      <c r="A642" s="2" t="str">
        <f>"43106"</f>
        <v>43106</v>
      </c>
      <c r="B642" s="2" t="str">
        <f>"HR SINGLE W/SWIVEL &amp; BECKET"</f>
        <v>HR SINGLE W/SWIVEL &amp; BECKET</v>
      </c>
      <c r="C642" s="4">
        <v>1785.3</v>
      </c>
      <c r="D642" s="5">
        <v>723.05</v>
      </c>
    </row>
    <row r="643" spans="1:4" x14ac:dyDescent="0.25">
      <c r="A643" s="2" t="str">
        <f>"43220"</f>
        <v>43220</v>
      </c>
      <c r="B643" s="2" t="str">
        <f>"HR DOUBLE CHEEK BLK"</f>
        <v>HR DOUBLE CHEEK BLK</v>
      </c>
      <c r="C643" s="4">
        <v>2231.6</v>
      </c>
      <c r="D643" s="5">
        <v>903.8</v>
      </c>
    </row>
    <row r="644" spans="1:4" x14ac:dyDescent="0.25">
      <c r="A644" s="2" t="str">
        <f>"07902"</f>
        <v>07902</v>
      </c>
      <c r="B644" s="2" t="str">
        <f>"FIXED HEAD W/CLEVIS SIZE 2"</f>
        <v>FIXED HEAD W/CLEVIS SIZE 2</v>
      </c>
      <c r="C644" s="4">
        <v>40</v>
      </c>
      <c r="D644" s="5">
        <v>16.2</v>
      </c>
    </row>
    <row r="645" spans="1:4" x14ac:dyDescent="0.25">
      <c r="A645" s="2" t="str">
        <f>"07906"</f>
        <v>07906</v>
      </c>
      <c r="B645" s="2" t="str">
        <f>"SWIVEL HEAD W/ CLEVIS"</f>
        <v>SWIVEL HEAD W/ CLEVIS</v>
      </c>
      <c r="C645" s="4">
        <v>81.7</v>
      </c>
      <c r="D645" s="5">
        <v>33.090000000000003</v>
      </c>
    </row>
    <row r="646" spans="1:4" x14ac:dyDescent="0.25">
      <c r="A646" s="2" t="str">
        <f>"07910"</f>
        <v>07910</v>
      </c>
      <c r="B646" s="2" t="str">
        <f>"SNAP SHACKLE FOR BLOCK"</f>
        <v>SNAP SHACKLE FOR BLOCK</v>
      </c>
      <c r="C646" s="4">
        <v>96.7</v>
      </c>
      <c r="D646" s="5">
        <v>39.159999999999997</v>
      </c>
    </row>
    <row r="647" spans="1:4" x14ac:dyDescent="0.25">
      <c r="A647" s="2" t="str">
        <f>"07911"</f>
        <v>07911</v>
      </c>
      <c r="B647" s="2" t="str">
        <f>"SNAP SHACKLE SWIVEL"</f>
        <v>SNAP SHACKLE SWIVEL</v>
      </c>
      <c r="C647" s="4">
        <v>153.5</v>
      </c>
      <c r="D647" s="5">
        <v>62.17</v>
      </c>
    </row>
    <row r="648" spans="1:4" x14ac:dyDescent="0.25">
      <c r="A648" s="2" t="str">
        <f>"07915"</f>
        <v>07915</v>
      </c>
      <c r="B648" s="2" t="str">
        <f>"WEBBING 6 5/8   SIZE 1"</f>
        <v>WEBBING 6 5/8   SIZE 1</v>
      </c>
      <c r="C648" s="4">
        <v>30.6</v>
      </c>
      <c r="D648" s="5">
        <v>12.39</v>
      </c>
    </row>
    <row r="649" spans="1:4" x14ac:dyDescent="0.25">
      <c r="A649" s="2" t="str">
        <f>"07916"</f>
        <v>07916</v>
      </c>
      <c r="B649" s="2" t="str">
        <f>"WEBBING 6 5/8   SIZE 2"</f>
        <v>WEBBING 6 5/8   SIZE 2</v>
      </c>
      <c r="C649" s="4">
        <v>38.1</v>
      </c>
      <c r="D649" s="5">
        <v>15.43</v>
      </c>
    </row>
    <row r="650" spans="1:4" x14ac:dyDescent="0.25">
      <c r="A650" s="2" t="str">
        <f>"07920"</f>
        <v>07920</v>
      </c>
      <c r="B650" s="2" t="str">
        <f>"WEBBING 9 3/4 SIZE 1"</f>
        <v>WEBBING 9 3/4 SIZE 1</v>
      </c>
      <c r="C650" s="4">
        <v>39.9</v>
      </c>
      <c r="D650" s="5">
        <v>16.16</v>
      </c>
    </row>
    <row r="651" spans="1:4" x14ac:dyDescent="0.25">
      <c r="A651" s="2" t="str">
        <f>"07921"</f>
        <v>07921</v>
      </c>
      <c r="B651" s="2" t="str">
        <f>"WEBBING 9 3/4 SIZE 2"</f>
        <v>WEBBING 9 3/4 SIZE 2</v>
      </c>
      <c r="C651" s="4">
        <v>49.3</v>
      </c>
      <c r="D651" s="5">
        <v>19.97</v>
      </c>
    </row>
    <row r="652" spans="1:4" x14ac:dyDescent="0.25">
      <c r="A652" s="2" t="str">
        <f>"10303"</f>
        <v>10303</v>
      </c>
      <c r="B652" s="2" t="str">
        <f>"FORGED SHACKLE KEY AND BOTTLE OPENE"</f>
        <v>FORGED SHACKLE KEY AND BOTTLE OPENE</v>
      </c>
      <c r="C652" s="4">
        <v>20</v>
      </c>
      <c r="D652" s="5">
        <v>8.1</v>
      </c>
    </row>
    <row r="653" spans="1:4" x14ac:dyDescent="0.25">
      <c r="A653" s="2" t="str">
        <f>"10304"</f>
        <v>10304</v>
      </c>
      <c r="B653" s="2" t="str">
        <f>"FORGED MARLIN SPIKE BOTTLE OPENER"</f>
        <v>FORGED MARLIN SPIKE BOTTLE OPENER</v>
      </c>
      <c r="C653" s="4">
        <v>41.2</v>
      </c>
      <c r="D653" s="5">
        <v>16.690000000000001</v>
      </c>
    </row>
    <row r="654" spans="1:4" x14ac:dyDescent="0.25">
      <c r="A654" s="2" t="str">
        <f>"06782"</f>
        <v>06782</v>
      </c>
      <c r="B654" s="2" t="str">
        <f>"3/16 RING - DIA 27/32"</f>
        <v>3/16 RING - DIA 27/32</v>
      </c>
      <c r="C654" s="4">
        <v>13.7</v>
      </c>
      <c r="D654" s="5">
        <v>5.55</v>
      </c>
    </row>
    <row r="655" spans="1:4" x14ac:dyDescent="0.25">
      <c r="A655" s="2" t="str">
        <f>"06783"</f>
        <v>06783</v>
      </c>
      <c r="B655" s="2" t="str">
        <f>"3/16 RING - DIA 1 9/32"</f>
        <v>3/16 RING - DIA 1 9/32</v>
      </c>
      <c r="C655" s="4">
        <v>17.399999999999999</v>
      </c>
      <c r="D655" s="5">
        <v>7.05</v>
      </c>
    </row>
    <row r="656" spans="1:4" x14ac:dyDescent="0.25">
      <c r="A656" s="2" t="str">
        <f>"06784"</f>
        <v>06784</v>
      </c>
      <c r="B656" s="2" t="str">
        <f>"9/32 RING - DIA 1 25/32"</f>
        <v>9/32 RING - DIA 1 25/32</v>
      </c>
      <c r="C656" s="4">
        <v>27.4</v>
      </c>
      <c r="D656" s="5">
        <v>11.1</v>
      </c>
    </row>
    <row r="657" spans="1:4" x14ac:dyDescent="0.25">
      <c r="A657" s="2" t="str">
        <f>"16781"</f>
        <v>16781</v>
      </c>
      <c r="B657" s="2" t="str">
        <f>"13MM HR O RING"</f>
        <v>13MM HR O RING</v>
      </c>
      <c r="C657" s="4">
        <v>16.3</v>
      </c>
      <c r="D657" s="5">
        <v>6.6</v>
      </c>
    </row>
    <row r="658" spans="1:4" x14ac:dyDescent="0.25">
      <c r="A658" s="2" t="str">
        <f>"16782"</f>
        <v>16782</v>
      </c>
      <c r="B658" s="2" t="str">
        <f>"21.5MM HR O RING"</f>
        <v>21.5MM HR O RING</v>
      </c>
      <c r="C658" s="4">
        <v>21</v>
      </c>
      <c r="D658" s="5">
        <v>8.51</v>
      </c>
    </row>
    <row r="659" spans="1:4" x14ac:dyDescent="0.25">
      <c r="A659" s="2" t="str">
        <f>"16783"</f>
        <v>16783</v>
      </c>
      <c r="B659" s="2" t="str">
        <f>"33MM HR O RING"</f>
        <v>33MM HR O RING</v>
      </c>
      <c r="C659" s="4">
        <v>25.6</v>
      </c>
      <c r="D659" s="5">
        <v>10.37</v>
      </c>
    </row>
    <row r="660" spans="1:4" x14ac:dyDescent="0.25">
      <c r="A660" s="2" t="str">
        <f>"16784"</f>
        <v>16784</v>
      </c>
      <c r="B660" s="2" t="str">
        <f>"45MM HR O RING"</f>
        <v>45MM HR O RING</v>
      </c>
      <c r="C660" s="4">
        <v>46.2</v>
      </c>
      <c r="D660" s="5">
        <v>18.71</v>
      </c>
    </row>
    <row r="661" spans="1:4" x14ac:dyDescent="0.25">
      <c r="A661" s="2" t="str">
        <f>"06711"</f>
        <v>06711</v>
      </c>
      <c r="B661" s="2" t="str">
        <f>"1/4 D RING - DIA 1 9/16"</f>
        <v>1/4 D RING - DIA 1 9/16</v>
      </c>
      <c r="C661" s="4">
        <v>26.8</v>
      </c>
      <c r="D661" s="5">
        <v>10.85</v>
      </c>
    </row>
    <row r="662" spans="1:4" x14ac:dyDescent="0.25">
      <c r="A662" s="2" t="str">
        <f>"06712"</f>
        <v>06712</v>
      </c>
      <c r="B662" s="2" t="str">
        <f>"1/4 D RING - DIA 2"</f>
        <v>1/4 D RING - DIA 2</v>
      </c>
      <c r="C662" s="4">
        <v>29.8</v>
      </c>
      <c r="D662" s="5">
        <v>12.07</v>
      </c>
    </row>
    <row r="663" spans="1:4" x14ac:dyDescent="0.25">
      <c r="A663" s="2" t="str">
        <f>"06721"</f>
        <v>06721</v>
      </c>
      <c r="B663" s="2" t="str">
        <f>"3/16 FAT D RING - DIA 1 3/16"</f>
        <v>3/16 FAT D RING - DIA 1 3/16</v>
      </c>
      <c r="C663" s="4">
        <v>17.100000000000001</v>
      </c>
      <c r="D663" s="5">
        <v>6.93</v>
      </c>
    </row>
    <row r="664" spans="1:4" x14ac:dyDescent="0.25">
      <c r="A664" s="2" t="str">
        <f>"06741"</f>
        <v>06741</v>
      </c>
      <c r="B664" s="2" t="str">
        <f>"D RING WITH BAR"</f>
        <v>D RING WITH BAR</v>
      </c>
      <c r="C664" s="4">
        <v>36.200000000000003</v>
      </c>
      <c r="D664" s="5">
        <v>14.66</v>
      </c>
    </row>
    <row r="665" spans="1:4" x14ac:dyDescent="0.25">
      <c r="A665" s="2" t="str">
        <f>"06742"</f>
        <v>06742</v>
      </c>
      <c r="B665" s="2" t="str">
        <f>"D RING WITH BAR"</f>
        <v>D RING WITH BAR</v>
      </c>
      <c r="C665" s="4">
        <v>36.200000000000003</v>
      </c>
      <c r="D665" s="5">
        <v>14.66</v>
      </c>
    </row>
    <row r="666" spans="1:4" x14ac:dyDescent="0.25">
      <c r="A666" s="2" t="str">
        <f>"NA885"</f>
        <v>NA885</v>
      </c>
      <c r="B666" s="2" t="str">
        <f>"D-RING 1 3/4   X 1"</f>
        <v>D-RING 1 3/4   X 1</v>
      </c>
      <c r="C666" s="4">
        <v>21.6</v>
      </c>
      <c r="D666" s="5">
        <v>8.75</v>
      </c>
    </row>
    <row r="667" spans="1:4" x14ac:dyDescent="0.25">
      <c r="A667" s="2" t="str">
        <f>"NA887"</f>
        <v>NA887</v>
      </c>
      <c r="B667" s="2" t="str">
        <f>"D-RING   2   X 1 1/2"</f>
        <v>D-RING   2   X 1 1/2</v>
      </c>
      <c r="C667" s="4">
        <v>35</v>
      </c>
      <c r="D667" s="5">
        <v>14.18</v>
      </c>
    </row>
    <row r="668" spans="1:4" x14ac:dyDescent="0.25">
      <c r="A668" s="2" t="str">
        <f>"NA889"</f>
        <v>NA889</v>
      </c>
      <c r="B668" s="2" t="str">
        <f>"D-RING 3   X 2"</f>
        <v>D-RING 3   X 2</v>
      </c>
      <c r="C668" s="4">
        <v>44.1</v>
      </c>
      <c r="D668" s="5">
        <v>17.86</v>
      </c>
    </row>
    <row r="669" spans="1:4" x14ac:dyDescent="0.25">
      <c r="A669" s="2" t="str">
        <f>"06731"</f>
        <v>06731</v>
      </c>
      <c r="B669" s="2" t="str">
        <f>"5/32 TRIANGLE RING - L 1 3/16"</f>
        <v>5/32 TRIANGLE RING - L 1 3/16</v>
      </c>
      <c r="C669" s="4">
        <v>16.7</v>
      </c>
      <c r="D669" s="5">
        <v>6.76</v>
      </c>
    </row>
    <row r="670" spans="1:4" x14ac:dyDescent="0.25">
      <c r="A670" s="2" t="str">
        <f>"06732"</f>
        <v>06732</v>
      </c>
      <c r="B670" s="2" t="str">
        <f>"1/4 TRIANGLE RING - L 2"</f>
        <v>1/4 TRIANGLE RING - L 2</v>
      </c>
      <c r="C670" s="4">
        <v>31.5</v>
      </c>
      <c r="D670" s="5">
        <v>12.76</v>
      </c>
    </row>
    <row r="671" spans="1:4" x14ac:dyDescent="0.25">
      <c r="A671" s="2" t="str">
        <f>"06751"</f>
        <v>06751</v>
      </c>
      <c r="B671" s="2" t="str">
        <f>"1/4 TRIANGLE RING W/ BAR - L 1 25/3"</f>
        <v>1/4 TRIANGLE RING W/ BAR - L 1 25/3</v>
      </c>
      <c r="C671" s="4">
        <v>36.200000000000003</v>
      </c>
      <c r="D671" s="5">
        <v>14.66</v>
      </c>
    </row>
    <row r="672" spans="1:4" x14ac:dyDescent="0.25">
      <c r="A672" s="2" t="str">
        <f>"6732BS"</f>
        <v>6732BS</v>
      </c>
      <c r="B672" s="2" t="str">
        <f>"1/4 TRIANGLE RING SHINY BLACK"</f>
        <v>1/4 TRIANGLE RING SHINY BLACK</v>
      </c>
      <c r="C672" s="4">
        <v>46</v>
      </c>
      <c r="D672" s="5">
        <v>18.63</v>
      </c>
    </row>
    <row r="673" spans="1:4" x14ac:dyDescent="0.25">
      <c r="A673" s="2" t="str">
        <f>"06761"</f>
        <v>06761</v>
      </c>
      <c r="B673" s="2" t="str">
        <f>"ADJUSTER"</f>
        <v>ADJUSTER</v>
      </c>
      <c r="C673" s="4">
        <v>16.7</v>
      </c>
      <c r="D673" s="5">
        <v>6.76</v>
      </c>
    </row>
    <row r="674" spans="1:4" x14ac:dyDescent="0.25">
      <c r="A674" s="2" t="str">
        <f>"06762"</f>
        <v>06762</v>
      </c>
      <c r="B674" s="2" t="str">
        <f>"ADJUSTER"</f>
        <v>ADJUSTER</v>
      </c>
      <c r="C674" s="4">
        <v>21.5</v>
      </c>
      <c r="D674" s="5">
        <v>8.7100000000000009</v>
      </c>
    </row>
    <row r="675" spans="1:4" x14ac:dyDescent="0.25">
      <c r="A675" s="2" t="str">
        <f>"06771"</f>
        <v>06771</v>
      </c>
      <c r="B675" s="2" t="str">
        <f>"5/16 - 1/4 DOUBLE ADJUSTER"</f>
        <v>5/16 - 1/4 DOUBLE ADJUSTER</v>
      </c>
      <c r="C675" s="4">
        <v>25</v>
      </c>
      <c r="D675" s="5">
        <v>10.130000000000001</v>
      </c>
    </row>
    <row r="676" spans="1:4" x14ac:dyDescent="0.25">
      <c r="A676" s="2" t="str">
        <f>"06772"</f>
        <v>06772</v>
      </c>
      <c r="B676" s="2" t="str">
        <f>"3/16 - 5/16 DOUBLE ADJUSTER"</f>
        <v>3/16 - 5/16 DOUBLE ADJUSTER</v>
      </c>
      <c r="C676" s="4">
        <v>36.700000000000003</v>
      </c>
      <c r="D676" s="5">
        <v>14.86</v>
      </c>
    </row>
    <row r="677" spans="1:4" x14ac:dyDescent="0.25">
      <c r="A677" s="2" t="str">
        <f>"16762"</f>
        <v>16762</v>
      </c>
      <c r="B677" s="2" t="str">
        <f>"ADJUSTER W/ SPRING BAR"</f>
        <v>ADJUSTER W/ SPRING BAR</v>
      </c>
      <c r="C677" s="4">
        <v>124.5</v>
      </c>
      <c r="D677" s="5">
        <v>50.42</v>
      </c>
    </row>
    <row r="678" spans="1:4" x14ac:dyDescent="0.25">
      <c r="A678" s="2" t="str">
        <f>"SP888"</f>
        <v>SP888</v>
      </c>
      <c r="B678" s="2" t="str">
        <f>"LEG ADJUSTER"</f>
        <v>LEG ADJUSTER</v>
      </c>
      <c r="C678" s="4">
        <v>74.8</v>
      </c>
      <c r="D678" s="5">
        <v>30.29</v>
      </c>
    </row>
    <row r="679" spans="1:4" x14ac:dyDescent="0.25">
      <c r="A679" s="2" t="str">
        <f>"SP888BS"</f>
        <v>SP888BS</v>
      </c>
      <c r="B679" s="2" t="str">
        <f>"LEG ADJUSTER SHINY BLACK"</f>
        <v>LEG ADJUSTER SHINY BLACK</v>
      </c>
      <c r="C679" s="4">
        <v>92.7</v>
      </c>
      <c r="D679" s="5">
        <v>37.54</v>
      </c>
    </row>
    <row r="680" spans="1:4" x14ac:dyDescent="0.25">
      <c r="A680" s="2" t="str">
        <f>"16504"</f>
        <v>16504</v>
      </c>
      <c r="B680" s="2" t="str">
        <f>"1/4 HR D RING"</f>
        <v>1/4 HR D RING</v>
      </c>
      <c r="C680" s="4">
        <v>29.2</v>
      </c>
      <c r="D680" s="5">
        <v>11.83</v>
      </c>
    </row>
    <row r="681" spans="1:4" x14ac:dyDescent="0.25">
      <c r="A681" s="2" t="str">
        <f>"16505"</f>
        <v>16505</v>
      </c>
      <c r="B681" s="2" t="str">
        <f>"5/16 HR D RING"</f>
        <v>5/16 HR D RING</v>
      </c>
      <c r="C681" s="4">
        <v>37.799999999999997</v>
      </c>
      <c r="D681" s="5">
        <v>15.31</v>
      </c>
    </row>
    <row r="682" spans="1:4" x14ac:dyDescent="0.25">
      <c r="A682" s="2" t="str">
        <f>"16506"</f>
        <v>16506</v>
      </c>
      <c r="B682" s="2" t="str">
        <f>"13/32 HR D RING"</f>
        <v>13/32 HR D RING</v>
      </c>
      <c r="C682" s="4">
        <v>53.7</v>
      </c>
      <c r="D682" s="5">
        <v>21.75</v>
      </c>
    </row>
    <row r="683" spans="1:4" x14ac:dyDescent="0.25">
      <c r="A683" s="2" t="str">
        <f>"16742"</f>
        <v>16742</v>
      </c>
      <c r="B683" s="2" t="str">
        <f>"D-ring with bar bent"</f>
        <v>D-ring with bar bent</v>
      </c>
      <c r="C683" s="4">
        <v>57.6</v>
      </c>
      <c r="D683" s="5">
        <v>23.33</v>
      </c>
    </row>
    <row r="684" spans="1:4" x14ac:dyDescent="0.25">
      <c r="A684" s="2" t="str">
        <f>"16760"</f>
        <v>16760</v>
      </c>
      <c r="B684" s="2" t="str">
        <f>"LEG ADJUSTER-NO SPRING"</f>
        <v>LEG ADJUSTER-NO SPRING</v>
      </c>
      <c r="C684" s="4">
        <v>101.1</v>
      </c>
      <c r="D684" s="5">
        <v>40.950000000000003</v>
      </c>
    </row>
    <row r="685" spans="1:4" x14ac:dyDescent="0.25">
      <c r="A685" s="2" t="str">
        <f>"09605"</f>
        <v>09605</v>
      </c>
      <c r="B685" s="2" t="str">
        <f>"WICHINOX GEL CLEAN/PASSIVATE 250ML"</f>
        <v>WICHINOX GEL CLEAN/PASSIVATE 250ML</v>
      </c>
      <c r="C685" s="4">
        <v>39.1</v>
      </c>
      <c r="D685" s="5">
        <v>15.84</v>
      </c>
    </row>
    <row r="686" spans="1:4" x14ac:dyDescent="0.25">
      <c r="A686" s="2" t="str">
        <f>"7201A"</f>
        <v>7201A</v>
      </c>
      <c r="B686" s="2" t="str">
        <f>"STANDOFF FOR WIND INDCTR"</f>
        <v>STANDOFF FOR WIND INDCTR</v>
      </c>
      <c r="C686" s="4">
        <v>53.3</v>
      </c>
      <c r="D686" s="5">
        <v>21.59</v>
      </c>
    </row>
    <row r="687" spans="1:4" x14ac:dyDescent="0.25">
      <c r="A687" s="2" t="str">
        <f>"07510"</f>
        <v>07510</v>
      </c>
      <c r="B687" s="2" t="str">
        <f>"28 TILLER EXT. BALL JOINT FOAM GRIP"</f>
        <v>28 TILLER EXT. BALL JOINT FOAM GRIP</v>
      </c>
      <c r="C687" s="4">
        <v>125.5</v>
      </c>
      <c r="D687" s="5">
        <v>50.83</v>
      </c>
    </row>
    <row r="688" spans="1:4" x14ac:dyDescent="0.25">
      <c r="A688" s="2" t="str">
        <f>"07515"</f>
        <v>07515</v>
      </c>
      <c r="B688" s="2" t="str">
        <f>"28 TILLER EXT. REMOVABLE JOINT FOAM"</f>
        <v>28 TILLER EXT. REMOVABLE JOINT FOAM</v>
      </c>
      <c r="C688" s="4">
        <v>136.9</v>
      </c>
      <c r="D688" s="5">
        <v>55.44</v>
      </c>
    </row>
    <row r="689" spans="1:4" x14ac:dyDescent="0.25">
      <c r="A689" s="2" t="str">
        <f>"07520"</f>
        <v>07520</v>
      </c>
      <c r="B689" s="2" t="str">
        <f>"37 TILLER EXT. BALL JOINT FOAM GRIP"</f>
        <v>37 TILLER EXT. BALL JOINT FOAM GRIP</v>
      </c>
      <c r="C689" s="4">
        <v>148.30000000000001</v>
      </c>
      <c r="D689" s="5">
        <v>60.06</v>
      </c>
    </row>
    <row r="690" spans="1:4" x14ac:dyDescent="0.25">
      <c r="A690" s="2" t="str">
        <f>"07525"</f>
        <v>07525</v>
      </c>
      <c r="B690" s="2" t="str">
        <f>"37 TILLER EXT. REMOVABLE JOINT FOAM"</f>
        <v>37 TILLER EXT. REMOVABLE JOINT FOAM</v>
      </c>
      <c r="C690" s="4">
        <v>148.30000000000001</v>
      </c>
      <c r="D690" s="5">
        <v>60.06</v>
      </c>
    </row>
    <row r="691" spans="1:4" x14ac:dyDescent="0.25">
      <c r="A691" s="2" t="str">
        <f>"07535"</f>
        <v>07535</v>
      </c>
      <c r="B691" s="2" t="str">
        <f>"TILLER EXT. 47"</f>
        <v>TILLER EXT. 47</v>
      </c>
      <c r="C691" s="4">
        <v>171.2</v>
      </c>
      <c r="D691" s="5">
        <v>69.34</v>
      </c>
    </row>
    <row r="692" spans="1:4" x14ac:dyDescent="0.25">
      <c r="A692" s="2" t="str">
        <f>"07540"</f>
        <v>07540</v>
      </c>
      <c r="B692" s="2" t="str">
        <f>"38 TILLER EXT. W/ HANDLE GRIP"</f>
        <v>38 TILLER EXT. W/ HANDLE GRIP</v>
      </c>
      <c r="C692" s="4">
        <v>125.5</v>
      </c>
      <c r="D692" s="5">
        <v>50.83</v>
      </c>
    </row>
    <row r="693" spans="1:4" x14ac:dyDescent="0.25">
      <c r="A693" s="2" t="str">
        <f>"07541"</f>
        <v>07541</v>
      </c>
      <c r="B693" s="2" t="str">
        <f>"28 TILLER EXT. W/ HANDLE GRIP"</f>
        <v>28 TILLER EXT. W/ HANDLE GRIP</v>
      </c>
      <c r="C693" s="4">
        <v>142.6</v>
      </c>
      <c r="D693" s="5">
        <v>57.75</v>
      </c>
    </row>
    <row r="694" spans="1:4" x14ac:dyDescent="0.25">
      <c r="A694" s="2" t="str">
        <f>"07550"</f>
        <v>07550</v>
      </c>
      <c r="B694" s="2" t="str">
        <f>"28 TO 40 TILLER EXT. W/ HANDLE GRIP"</f>
        <v>28 TO 40 TILLER EXT. W/ HANDLE GRIP</v>
      </c>
      <c r="C694" s="4">
        <v>285.39999999999998</v>
      </c>
      <c r="D694" s="5">
        <v>115.59</v>
      </c>
    </row>
    <row r="695" spans="1:4" x14ac:dyDescent="0.25">
      <c r="A695" s="2" t="str">
        <f>"07551"</f>
        <v>07551</v>
      </c>
      <c r="B695" s="2" t="str">
        <f>"31 TO 47 TILLER EXT. W/ HANDLE GRIP"</f>
        <v>31 TO 47 TILLER EXT. W/ HANDLE GRIP</v>
      </c>
      <c r="C695" s="4">
        <v>313.39999999999998</v>
      </c>
      <c r="D695" s="5">
        <v>126.93</v>
      </c>
    </row>
    <row r="696" spans="1:4" x14ac:dyDescent="0.25">
      <c r="A696" s="2" t="str">
        <f>"07555"</f>
        <v>07555</v>
      </c>
      <c r="B696" s="2" t="str">
        <f>"28-40 STAND UP TILLER EXT. W/HANDLE"</f>
        <v>28-40 STAND UP TILLER EXT. W/HANDLE</v>
      </c>
      <c r="C696" s="4">
        <v>319.60000000000002</v>
      </c>
      <c r="D696" s="5">
        <v>129.44</v>
      </c>
    </row>
    <row r="697" spans="1:4" x14ac:dyDescent="0.25">
      <c r="A697" s="2" t="str">
        <f>"07556"</f>
        <v>07556</v>
      </c>
      <c r="B697" s="2" t="str">
        <f>"31-47 STAND UP TILLER EXT. W/HANDLE"</f>
        <v>31-47 STAND UP TILLER EXT. W/HANDLE</v>
      </c>
      <c r="C697" s="4">
        <v>411</v>
      </c>
      <c r="D697" s="5">
        <v>166.46</v>
      </c>
    </row>
    <row r="698" spans="1:4" x14ac:dyDescent="0.25">
      <c r="A698" s="2" t="str">
        <f>"07500"</f>
        <v>07500</v>
      </c>
      <c r="B698" s="2" t="str">
        <f>"25/32 RETAINING CLIP"</f>
        <v>25/32 RETAINING CLIP</v>
      </c>
      <c r="C698" s="4">
        <v>9.8000000000000007</v>
      </c>
      <c r="D698" s="5">
        <v>3.97</v>
      </c>
    </row>
    <row r="699" spans="1:4" x14ac:dyDescent="0.25">
      <c r="A699" s="2" t="str">
        <f>"07501"</f>
        <v>07501</v>
      </c>
      <c r="B699" s="2" t="str">
        <f>"1 3/16 RETAINING CLIP"</f>
        <v>1 3/16 RETAINING CLIP</v>
      </c>
      <c r="C699" s="4">
        <v>12.2</v>
      </c>
      <c r="D699" s="5">
        <v>4.9400000000000004</v>
      </c>
    </row>
    <row r="700" spans="1:4" x14ac:dyDescent="0.25">
      <c r="A700" s="2" t="str">
        <f>"07502"</f>
        <v>07502</v>
      </c>
      <c r="B700" s="2" t="str">
        <f>"REPLACEMENT BALL JOINT"</f>
        <v>REPLACEMENT BALL JOINT</v>
      </c>
      <c r="C700" s="4">
        <v>23.4</v>
      </c>
      <c r="D700" s="5">
        <v>9.48</v>
      </c>
    </row>
    <row r="701" spans="1:4" x14ac:dyDescent="0.25">
      <c r="A701" s="2" t="str">
        <f>"07504"</f>
        <v>07504</v>
      </c>
      <c r="B701" s="2" t="str">
        <f>"DIABOLO FOR 7550 &amp; 7555 TILLER EXTE"</f>
        <v>DIABOLO FOR 7550 &amp; 7555 TILLER EXTE</v>
      </c>
      <c r="C701" s="4">
        <v>177.2</v>
      </c>
      <c r="D701" s="5">
        <v>71.77</v>
      </c>
    </row>
    <row r="702" spans="1:4" x14ac:dyDescent="0.25">
      <c r="A702" s="2" t="str">
        <f>"07505"</f>
        <v>07505</v>
      </c>
      <c r="B702" s="2" t="str">
        <f>"DIABOLO FOR 7550 &amp; 7555 TILLER EXTE"</f>
        <v>DIABOLO FOR 7550 &amp; 7555 TILLER EXTE</v>
      </c>
      <c r="C702" s="4">
        <v>177.2</v>
      </c>
      <c r="D702" s="5">
        <v>71.77</v>
      </c>
    </row>
    <row r="703" spans="1:4" x14ac:dyDescent="0.25">
      <c r="A703" s="2" t="str">
        <f>"07506"</f>
        <v>07506</v>
      </c>
      <c r="B703" s="2" t="str">
        <f>"DIABOLO FOR 7551 &amp; 7556 TILLER EXTE"</f>
        <v>DIABOLO FOR 7551 &amp; 7556 TILLER EXTE</v>
      </c>
      <c r="C703" s="4">
        <v>192</v>
      </c>
      <c r="D703" s="5">
        <v>77.760000000000005</v>
      </c>
    </row>
    <row r="704" spans="1:4" x14ac:dyDescent="0.25">
      <c r="A704" s="2" t="str">
        <f>"07584"</f>
        <v>07584</v>
      </c>
      <c r="B704" s="2" t="str">
        <f>"UNIVERSAL BASE PLATE FOR"</f>
        <v>UNIVERSAL BASE PLATE FOR</v>
      </c>
      <c r="C704" s="4">
        <v>46.3</v>
      </c>
      <c r="D704" s="5">
        <v>18.75</v>
      </c>
    </row>
    <row r="705" spans="1:4" x14ac:dyDescent="0.25">
      <c r="A705" s="2" t="str">
        <f>"07507"</f>
        <v>07507</v>
      </c>
      <c r="B705" s="2" t="str">
        <f>"SPARE ARTICULATION FOR 7550 &amp; 7551"</f>
        <v>SPARE ARTICULATION FOR 7550 &amp; 7551</v>
      </c>
      <c r="C705" s="4">
        <v>125.4</v>
      </c>
      <c r="D705" s="5">
        <v>50.79</v>
      </c>
    </row>
    <row r="706" spans="1:4" x14ac:dyDescent="0.25">
      <c r="A706" s="2" t="str">
        <f>"10032"</f>
        <v>10032</v>
      </c>
      <c r="B706" s="2" t="str">
        <f>"ONE HAND OPENING KNIFE FLUORESCENT"</f>
        <v>ONE HAND OPENING KNIFE FLUORESCENT</v>
      </c>
      <c r="C706" s="4">
        <v>198.9</v>
      </c>
      <c r="D706" s="5">
        <v>80.55</v>
      </c>
    </row>
    <row r="707" spans="1:4" x14ac:dyDescent="0.25">
      <c r="A707" s="2" t="str">
        <f>"10042"</f>
        <v>10042</v>
      </c>
      <c r="B707" s="2" t="str">
        <f>"KNIFE FLUORESCENT"</f>
        <v>KNIFE FLUORESCENT</v>
      </c>
      <c r="C707" s="4">
        <v>36.5</v>
      </c>
      <c r="D707" s="5">
        <v>14.78</v>
      </c>
    </row>
    <row r="708" spans="1:4" x14ac:dyDescent="0.25">
      <c r="A708" s="2" t="str">
        <f>"10049"</f>
        <v>10049</v>
      </c>
      <c r="B708" s="2" t="str">
        <f>"KNIFE ORANGE"</f>
        <v>KNIFE ORANGE</v>
      </c>
      <c r="C708" s="4">
        <v>36.5</v>
      </c>
      <c r="D708" s="5">
        <v>14.78</v>
      </c>
    </row>
    <row r="709" spans="1:4" x14ac:dyDescent="0.25">
      <c r="A709" s="2" t="str">
        <f>"10046"</f>
        <v>10046</v>
      </c>
      <c r="B709" s="2" t="str">
        <f>"KNIFE BLUE"</f>
        <v>KNIFE BLUE</v>
      </c>
      <c r="C709" s="4">
        <v>36.5</v>
      </c>
      <c r="D709" s="5">
        <v>14.78</v>
      </c>
    </row>
    <row r="710" spans="1:4" x14ac:dyDescent="0.25">
      <c r="A710" s="2" t="str">
        <f>"10006"</f>
        <v>10006</v>
      </c>
      <c r="B710" s="2" t="str">
        <f>"8 LONG KNIFE W/ SHEATH"</f>
        <v>8 LONG KNIFE W/ SHEATH</v>
      </c>
      <c r="C710" s="4">
        <v>76.099999999999994</v>
      </c>
      <c r="D710" s="5">
        <v>30.82</v>
      </c>
    </row>
    <row r="711" spans="1:4" x14ac:dyDescent="0.25">
      <c r="A711" s="2" t="str">
        <f>"10007"</f>
        <v>10007</v>
      </c>
      <c r="B711" s="2" t="str">
        <f>"9 1/2 LONG KNIFE W/ SHEATH"</f>
        <v>9 1/2 LONG KNIFE W/ SHEATH</v>
      </c>
      <c r="C711" s="4">
        <v>113.5</v>
      </c>
      <c r="D711" s="5">
        <v>45.97</v>
      </c>
    </row>
    <row r="712" spans="1:4" x14ac:dyDescent="0.25">
      <c r="A712" s="2" t="str">
        <f>"10009"</f>
        <v>10009</v>
      </c>
      <c r="B712" s="2" t="str">
        <f>"7 1/2 FLOATING KNIFE"</f>
        <v>7 1/2 FLOATING KNIFE</v>
      </c>
      <c r="C712" s="4">
        <v>44.4</v>
      </c>
      <c r="D712" s="5">
        <v>17.98</v>
      </c>
    </row>
    <row r="713" spans="1:4" x14ac:dyDescent="0.25">
      <c r="A713" s="2" t="str">
        <f>"10005"</f>
        <v>10005</v>
      </c>
      <c r="B713" s="2" t="str">
        <f>"RIGGER KNIFE KIT W/ SHEATH"</f>
        <v>RIGGER KNIFE KIT W/ SHEATH</v>
      </c>
      <c r="C713" s="4">
        <v>161.6</v>
      </c>
      <c r="D713" s="5">
        <v>65.45</v>
      </c>
    </row>
    <row r="714" spans="1:4" x14ac:dyDescent="0.25">
      <c r="A714" s="2" t="str">
        <f>"10022"</f>
        <v>10022</v>
      </c>
      <c r="B714" s="2" t="str">
        <f>"FABRIC SHEATH FOR FOLDING KNIFE"</f>
        <v>FABRIC SHEATH FOR FOLDING KNIFE</v>
      </c>
      <c r="C714" s="4">
        <v>25.8</v>
      </c>
      <c r="D714" s="5">
        <v>10.45</v>
      </c>
    </row>
    <row r="715" spans="1:4" x14ac:dyDescent="0.25">
      <c r="A715" s="2" t="str">
        <f>"10023"</f>
        <v>10023</v>
      </c>
      <c r="B715" s="2" t="str">
        <f>"LEATHER SHEATH FOR FOLDING KNIFE"</f>
        <v>LEATHER SHEATH FOR FOLDING KNIFE</v>
      </c>
      <c r="C715" s="4">
        <v>69.099999999999994</v>
      </c>
      <c r="D715" s="5">
        <v>27.99</v>
      </c>
    </row>
    <row r="716" spans="1:4" x14ac:dyDescent="0.25">
      <c r="A716" s="2" t="str">
        <f>"10027"</f>
        <v>10027</v>
      </c>
      <c r="B716" s="2" t="str">
        <f>"LEATHER KNIFE SHEATH BROWN"</f>
        <v>LEATHER KNIFE SHEATH BROWN</v>
      </c>
      <c r="C716" s="4">
        <v>0</v>
      </c>
      <c r="D716" s="5">
        <v>0</v>
      </c>
    </row>
    <row r="717" spans="1:4" x14ac:dyDescent="0.25">
      <c r="A717" s="2" t="str">
        <f>"W10026"</f>
        <v>W10026</v>
      </c>
      <c r="B717" s="2" t="str">
        <f>"LEATHER KNIFE SHEATH BLACK"</f>
        <v>LEATHER KNIFE SHEATH BLACK</v>
      </c>
      <c r="C717" s="4">
        <v>0</v>
      </c>
      <c r="D717" s="5">
        <v>0</v>
      </c>
    </row>
    <row r="718" spans="1:4" x14ac:dyDescent="0.25">
      <c r="A718" s="2" t="str">
        <f>"10133"</f>
        <v>10133</v>
      </c>
      <c r="B718" s="2" t="str">
        <f>"AQUATERRA BLACK KNIFE"</f>
        <v>AQUATERRA BLACK KNIFE</v>
      </c>
      <c r="C718" s="4">
        <v>33.5</v>
      </c>
      <c r="D718" s="5">
        <v>13.57</v>
      </c>
    </row>
    <row r="719" spans="1:4" x14ac:dyDescent="0.25">
      <c r="A719" s="2" t="str">
        <f>"10134"</f>
        <v>10134</v>
      </c>
      <c r="B719" s="2" t="str">
        <f>"AQUATERRA RED KNIFE"</f>
        <v>AQUATERRA RED KNIFE</v>
      </c>
      <c r="C719" s="4">
        <v>33.5</v>
      </c>
      <c r="D719" s="5">
        <v>13.57</v>
      </c>
    </row>
    <row r="720" spans="1:4" x14ac:dyDescent="0.25">
      <c r="A720" s="2" t="str">
        <f>"10136"</f>
        <v>10136</v>
      </c>
      <c r="B720" s="2" t="str">
        <f>"AQUATERRA BLUE KNIFE"</f>
        <v>AQUATERRA BLUE KNIFE</v>
      </c>
      <c r="C720" s="4">
        <v>33.5</v>
      </c>
      <c r="D720" s="5">
        <v>13.57</v>
      </c>
    </row>
    <row r="721" spans="1:4" x14ac:dyDescent="0.25">
      <c r="A721" s="2" t="str">
        <f>"10143"</f>
        <v>10143</v>
      </c>
      <c r="B721" s="2" t="str">
        <f>"AQUATERRA BLACK SERRATED KNIFE"</f>
        <v>AQUATERRA BLACK SERRATED KNIFE</v>
      </c>
      <c r="C721" s="4">
        <v>39.1</v>
      </c>
      <c r="D721" s="5">
        <v>15.84</v>
      </c>
    </row>
    <row r="722" spans="1:4" x14ac:dyDescent="0.25">
      <c r="A722" s="2" t="str">
        <f>"10144"</f>
        <v>10144</v>
      </c>
      <c r="B722" s="2" t="str">
        <f>"AQUATERRA RED SERRATED KNIFE"</f>
        <v>AQUATERRA RED SERRATED KNIFE</v>
      </c>
      <c r="C722" s="4">
        <v>39.1</v>
      </c>
      <c r="D722" s="5">
        <v>15.84</v>
      </c>
    </row>
    <row r="723" spans="1:4" x14ac:dyDescent="0.25">
      <c r="A723" s="2" t="str">
        <f>"10146"</f>
        <v>10146</v>
      </c>
      <c r="B723" s="2" t="str">
        <f>"AQUATERRA BLUE SERRATED KNIFE"</f>
        <v>AQUATERRA BLUE SERRATED KNIFE</v>
      </c>
      <c r="C723" s="4">
        <v>39.1</v>
      </c>
      <c r="D723" s="5">
        <v>15.84</v>
      </c>
    </row>
    <row r="724" spans="1:4" x14ac:dyDescent="0.25">
      <c r="A724" s="2" t="str">
        <f>"10153"</f>
        <v>10153</v>
      </c>
      <c r="B724" s="2" t="str">
        <f>"AQUATERRA BLACK CORKSCREW KNIFE"</f>
        <v>AQUATERRA BLACK CORKSCREW KNIFE</v>
      </c>
      <c r="C724" s="4">
        <v>44.7</v>
      </c>
      <c r="D724" s="5">
        <v>18.100000000000001</v>
      </c>
    </row>
    <row r="725" spans="1:4" x14ac:dyDescent="0.25">
      <c r="A725" s="2" t="str">
        <f>"10154"</f>
        <v>10154</v>
      </c>
      <c r="B725" s="2" t="str">
        <f>"AQUATERRA RED CORKSCREW KNIFE"</f>
        <v>AQUATERRA RED CORKSCREW KNIFE</v>
      </c>
      <c r="C725" s="4">
        <v>44.7</v>
      </c>
      <c r="D725" s="5">
        <v>18.100000000000001</v>
      </c>
    </row>
    <row r="726" spans="1:4" x14ac:dyDescent="0.25">
      <c r="A726" s="2" t="str">
        <f>"10156"</f>
        <v>10156</v>
      </c>
      <c r="B726" s="2" t="str">
        <f>"AQUATERRA BLUE CORKSCREW KNIFE"</f>
        <v>AQUATERRA BLUE CORKSCREW KNIFE</v>
      </c>
      <c r="C726" s="4">
        <v>44.7</v>
      </c>
      <c r="D726" s="5">
        <v>18.100000000000001</v>
      </c>
    </row>
    <row r="727" spans="1:4" x14ac:dyDescent="0.25">
      <c r="A727" s="2" t="str">
        <f>"10163"</f>
        <v>10163</v>
      </c>
      <c r="B727" s="2" t="str">
        <f>"AQUATERRA BLACK/GREY CORKSCREW KNIFE"</f>
        <v>AQUATERRA BLACK/GREY CORKSCREW KNIFE</v>
      </c>
      <c r="C727" s="4">
        <v>44.7</v>
      </c>
      <c r="D727" s="5">
        <v>18.100000000000001</v>
      </c>
    </row>
    <row r="728" spans="1:4" x14ac:dyDescent="0.25">
      <c r="A728" s="2" t="str">
        <f>"10165"</f>
        <v>10165</v>
      </c>
      <c r="B728" s="2" t="str">
        <f>"AQUATERRA GREEN/GREY CORKSCREW KNIFE"</f>
        <v>AQUATERRA GREEN/GREY CORKSCREW KNIFE</v>
      </c>
      <c r="C728" s="4">
        <v>44.7</v>
      </c>
      <c r="D728" s="5">
        <v>18.100000000000001</v>
      </c>
    </row>
    <row r="729" spans="1:4" x14ac:dyDescent="0.25">
      <c r="A729" s="2" t="str">
        <f>"10112"</f>
        <v>10112</v>
      </c>
      <c r="B729" s="2" t="str">
        <f>"OFFSHORE FLUO SERRATED KNIFE"</f>
        <v>OFFSHORE FLUO SERRATED KNIFE</v>
      </c>
      <c r="C729" s="4">
        <v>50.3</v>
      </c>
      <c r="D729" s="5">
        <v>20.37</v>
      </c>
    </row>
    <row r="730" spans="1:4" x14ac:dyDescent="0.25">
      <c r="A730" s="2" t="str">
        <f>"10116"</f>
        <v>10116</v>
      </c>
      <c r="B730" s="2" t="str">
        <f>"OFFSHORE BLUE SERRATED KNIFE"</f>
        <v>OFFSHORE BLUE SERRATED KNIFE</v>
      </c>
      <c r="C730" s="4">
        <v>44.7</v>
      </c>
      <c r="D730" s="5">
        <v>18.100000000000001</v>
      </c>
    </row>
    <row r="731" spans="1:4" x14ac:dyDescent="0.25">
      <c r="A731" s="2" t="str">
        <f>"10119"</f>
        <v>10119</v>
      </c>
      <c r="B731" s="2" t="str">
        <f>"OFFSHORE ORANGE SERRATED KNIFE"</f>
        <v>OFFSHORE ORANGE SERRATED KNIFE</v>
      </c>
      <c r="C731" s="4">
        <v>44.7</v>
      </c>
      <c r="D731" s="5">
        <v>18.100000000000001</v>
      </c>
    </row>
    <row r="732" spans="1:4" x14ac:dyDescent="0.25">
      <c r="A732" s="2" t="str">
        <f>"10122"</f>
        <v>10122</v>
      </c>
      <c r="B732" s="2" t="str">
        <f>"OFFSHORE FLUO SERRATED SHK KEY KNIFE"</f>
        <v>OFFSHORE FLUO SERRATED SHK KEY KNIFE</v>
      </c>
      <c r="C732" s="4">
        <v>61.5</v>
      </c>
      <c r="D732" s="5">
        <v>24.91</v>
      </c>
    </row>
    <row r="733" spans="1:4" x14ac:dyDescent="0.25">
      <c r="A733" s="2" t="str">
        <f>"10126"</f>
        <v>10126</v>
      </c>
      <c r="B733" s="2" t="str">
        <f>"OFFSHORE BLUE SERRATED SHK KEY KNIFE"</f>
        <v>OFFSHORE BLUE SERRATED SHK KEY KNIFE</v>
      </c>
      <c r="C733" s="4">
        <v>55.9</v>
      </c>
      <c r="D733" s="5">
        <v>22.64</v>
      </c>
    </row>
    <row r="734" spans="1:4" x14ac:dyDescent="0.25">
      <c r="A734" s="2" t="str">
        <f>"10129"</f>
        <v>10129</v>
      </c>
      <c r="B734" s="2" t="str">
        <f>"OFFSHORE ORANGE SERRATED SHK KEY KNIFE"</f>
        <v>OFFSHORE ORANGE SERRATED SHK KEY KNIFE</v>
      </c>
      <c r="C734" s="4">
        <v>55.9</v>
      </c>
      <c r="D734" s="5">
        <v>22.64</v>
      </c>
    </row>
    <row r="735" spans="1:4" x14ac:dyDescent="0.25">
      <c r="A735" s="2" t="str">
        <f>"10180"</f>
        <v>10180</v>
      </c>
      <c r="B735" s="2" t="str">
        <f>"OLIVEWOOD HANDLE STRAIGHT BLADE KNIFE"</f>
        <v>OLIVEWOOD HANDLE STRAIGHT BLADE KNIFE</v>
      </c>
      <c r="C735" s="4">
        <v>100.7</v>
      </c>
      <c r="D735" s="5">
        <v>40.78</v>
      </c>
    </row>
    <row r="736" spans="1:4" x14ac:dyDescent="0.25">
      <c r="A736" s="2" t="str">
        <f>"10181"</f>
        <v>10181</v>
      </c>
      <c r="B736" s="2" t="str">
        <f>"OLIVEWOOD KNIFE W/ CORKSCREW"</f>
        <v>OLIVEWOOD KNIFE W/ CORKSCREW</v>
      </c>
      <c r="C736" s="4">
        <v>111.8</v>
      </c>
      <c r="D736" s="5">
        <v>45.28</v>
      </c>
    </row>
    <row r="737" spans="1:4" x14ac:dyDescent="0.25">
      <c r="A737" s="2" t="str">
        <f>"10191"</f>
        <v>10191</v>
      </c>
      <c r="B737" s="2" t="str">
        <f>"RESCUE KNIFE FOLDING FLUORESCENT"</f>
        <v>RESCUE KNIFE FOLDING FLUORESCENT</v>
      </c>
      <c r="C737" s="4">
        <v>0</v>
      </c>
      <c r="D737" s="5">
        <v>0</v>
      </c>
    </row>
    <row r="738" spans="1:4" x14ac:dyDescent="0.25">
      <c r="A738" s="2" t="str">
        <f>"10192"</f>
        <v>10192</v>
      </c>
      <c r="B738" s="2" t="str">
        <f>"RESCUE KNIFE FIXED BLADE FLUORESCENT"</f>
        <v>RESCUE KNIFE FIXED BLADE FLUORESCENT</v>
      </c>
      <c r="C738" s="4">
        <v>120.6</v>
      </c>
      <c r="D738" s="5">
        <v>48.84</v>
      </c>
    </row>
    <row r="739" spans="1:4" x14ac:dyDescent="0.25">
      <c r="A739" s="2" t="str">
        <f>"10193"</f>
        <v>10193</v>
      </c>
      <c r="B739" s="2" t="str">
        <f>"RESCUE LINE CUTTER FLUORESCENT"</f>
        <v>RESCUE LINE CUTTER FLUORESCENT</v>
      </c>
      <c r="C739" s="4">
        <v>53.6</v>
      </c>
      <c r="D739" s="5">
        <v>21.71</v>
      </c>
    </row>
    <row r="740" spans="1:4" x14ac:dyDescent="0.25">
      <c r="A740" s="2" t="str">
        <f>"09301"</f>
        <v>09301</v>
      </c>
      <c r="B740" s="2" t="str">
        <f>"WICHARD LANYARD BLUE"</f>
        <v>WICHARD LANYARD BLUE</v>
      </c>
      <c r="C740" s="4">
        <v>2.6</v>
      </c>
      <c r="D740" s="5">
        <v>1.05</v>
      </c>
    </row>
    <row r="741" spans="1:4" x14ac:dyDescent="0.25">
      <c r="A741" s="2" t="str">
        <f>"09304"</f>
        <v>09304</v>
      </c>
      <c r="B741" s="2" t="str">
        <f>"BOW SHACKLE KEY RING"</f>
        <v>BOW SHACKLE KEY RING</v>
      </c>
      <c r="C741" s="4">
        <v>18.3</v>
      </c>
      <c r="D741" s="5">
        <v>7.41</v>
      </c>
    </row>
    <row r="742" spans="1:4" x14ac:dyDescent="0.25">
      <c r="A742" s="2" t="str">
        <f>"09305"</f>
        <v>09305</v>
      </c>
      <c r="B742" s="2" t="str">
        <f>"SNAP HOOK KEY RING"</f>
        <v>SNAP HOOK KEY RING</v>
      </c>
      <c r="C742" s="4">
        <v>27.9</v>
      </c>
      <c r="D742" s="5">
        <v>11.3</v>
      </c>
    </row>
    <row r="743" spans="1:4" x14ac:dyDescent="0.25">
      <c r="A743" s="2" t="str">
        <f>"09306"</f>
        <v>09306</v>
      </c>
      <c r="B743" s="2" t="str">
        <f>"SNAP SHACKLE KEY RING"</f>
        <v>SNAP SHACKLE KEY RING</v>
      </c>
      <c r="C743" s="4">
        <v>76.599999999999994</v>
      </c>
      <c r="D743" s="5">
        <v>31.02</v>
      </c>
    </row>
    <row r="744" spans="1:4" x14ac:dyDescent="0.25">
      <c r="A744" s="2" t="str">
        <f>"09307"</f>
        <v>09307</v>
      </c>
      <c r="B744" s="2" t="str">
        <f>"STEEL BLOCK KEY RING"</f>
        <v>STEEL BLOCK KEY RING</v>
      </c>
      <c r="C744" s="4">
        <v>36.5</v>
      </c>
      <c r="D744" s="5">
        <v>14.78</v>
      </c>
    </row>
    <row r="745" spans="1:4" x14ac:dyDescent="0.25">
      <c r="A745" s="2" t="str">
        <f>"SP300"</f>
        <v>SP300</v>
      </c>
      <c r="B745" s="2" t="str">
        <f>"3 LEG DINGHY SLING"</f>
        <v>3 LEG DINGHY SLING</v>
      </c>
      <c r="C745" s="4">
        <v>422.4</v>
      </c>
      <c r="D745" s="5">
        <v>171.07</v>
      </c>
    </row>
    <row r="746" spans="1:4" x14ac:dyDescent="0.25">
      <c r="A746" s="2" t="str">
        <f>"SP300L"</f>
        <v>SP300L</v>
      </c>
      <c r="B746" s="2" t="str">
        <f>"3 LEG SLING WEBBING ORDER 50+"</f>
        <v>3 LEG SLING WEBBING ORDER 50+</v>
      </c>
      <c r="C746" s="4">
        <v>422.4</v>
      </c>
      <c r="D746" s="5">
        <v>171.07</v>
      </c>
    </row>
    <row r="747" spans="1:4" x14ac:dyDescent="0.25">
      <c r="A747" s="2" t="str">
        <f>"SP400"</f>
        <v>SP400</v>
      </c>
      <c r="B747" s="2" t="str">
        <f>"4 LEG DINGHY SLING"</f>
        <v>4 LEG DINGHY SLING</v>
      </c>
      <c r="C747" s="4">
        <v>536.6</v>
      </c>
      <c r="D747" s="5">
        <v>217.32</v>
      </c>
    </row>
    <row r="748" spans="1:4" x14ac:dyDescent="0.25">
      <c r="A748" s="2" t="str">
        <f>"SP400L"</f>
        <v>SP400L</v>
      </c>
      <c r="B748" s="2" t="str">
        <f>"4 LEG SLING WEBBING ORDER 50+"</f>
        <v>4 LEG SLING WEBBING ORDER 50+</v>
      </c>
      <c r="C748" s="4">
        <v>536.6</v>
      </c>
      <c r="D748" s="5">
        <v>217.32</v>
      </c>
    </row>
    <row r="749" spans="1:4" x14ac:dyDescent="0.25">
      <c r="A749" s="2" t="str">
        <f>"07485"</f>
        <v>07485</v>
      </c>
      <c r="B749" s="2" t="str">
        <f>"OPENING PREFEEDER"</f>
        <v>OPENING PREFEEDER</v>
      </c>
      <c r="C749" s="4">
        <v>125.5</v>
      </c>
      <c r="D749" s="5">
        <v>50.83</v>
      </c>
    </row>
    <row r="750" spans="1:4" x14ac:dyDescent="0.25">
      <c r="A750" s="2" t="str">
        <f>"30006"</f>
        <v>30006</v>
      </c>
      <c r="B750" s="2" t="str">
        <f>"5/16 CAM CLEAT"</f>
        <v>5/16 CAM CLEAT</v>
      </c>
      <c r="C750" s="4">
        <v>43.7</v>
      </c>
      <c r="D750" s="5">
        <v>17.7</v>
      </c>
    </row>
    <row r="751" spans="1:4" x14ac:dyDescent="0.25">
      <c r="A751" s="2" t="str">
        <f>"30012"</f>
        <v>30012</v>
      </c>
      <c r="B751" s="2" t="str">
        <f>"15/32 CAM CLEAT"</f>
        <v>15/32 CAM CLEAT</v>
      </c>
      <c r="C751" s="4">
        <v>49.8</v>
      </c>
      <c r="D751" s="5">
        <v>20.170000000000002</v>
      </c>
    </row>
    <row r="752" spans="1:4" x14ac:dyDescent="0.25">
      <c r="A752" s="2" t="str">
        <f>"30016"</f>
        <v>30016</v>
      </c>
      <c r="B752" s="2" t="str">
        <f>"5/8 CAM CLEAT"</f>
        <v>5/8 CAM CLEAT</v>
      </c>
      <c r="C752" s="4">
        <v>74.8</v>
      </c>
      <c r="D752" s="5">
        <v>30.29</v>
      </c>
    </row>
    <row r="753" spans="1:4" x14ac:dyDescent="0.25">
      <c r="A753" s="2" t="str">
        <f>"72326"</f>
        <v>72326</v>
      </c>
      <c r="B753" s="2" t="str">
        <f>"BRACKET FOR 92326"</f>
        <v>BRACKET FOR 92326</v>
      </c>
      <c r="C753" s="4">
        <v>18.8</v>
      </c>
      <c r="D753" s="5">
        <v>7.61</v>
      </c>
    </row>
    <row r="754" spans="1:4" x14ac:dyDescent="0.25">
      <c r="A754" s="2" t="str">
        <f>"72327"</f>
        <v>72327</v>
      </c>
      <c r="B754" s="2" t="str">
        <f>"BRACKET FOR 92327"</f>
        <v>BRACKET FOR 92327</v>
      </c>
      <c r="C754" s="4">
        <v>21</v>
      </c>
      <c r="D754" s="5">
        <v>8.51</v>
      </c>
    </row>
    <row r="755" spans="1:4" x14ac:dyDescent="0.25">
      <c r="A755" s="2" t="str">
        <f>"30101"</f>
        <v>30101</v>
      </c>
      <c r="B755" s="2" t="str">
        <f>"1/2 CAM CLEAT BALL BEARING SWIVEL B"</f>
        <v>1/2 CAM CLEAT BALL BEARING SWIVEL B</v>
      </c>
      <c r="C755" s="4">
        <v>323.89999999999998</v>
      </c>
      <c r="D755" s="5">
        <v>131.18</v>
      </c>
    </row>
    <row r="756" spans="1:4" x14ac:dyDescent="0.25">
      <c r="A756" s="2" t="str">
        <f>"30103"</f>
        <v>30103</v>
      </c>
      <c r="B756" s="2" t="str">
        <f>"1/2 CAM CLEAT EYE SWIVEL BASE"</f>
        <v>1/2 CAM CLEAT EYE SWIVEL BASE</v>
      </c>
      <c r="C756" s="4">
        <v>211.9</v>
      </c>
      <c r="D756" s="5">
        <v>85.82</v>
      </c>
    </row>
    <row r="757" spans="1:4" x14ac:dyDescent="0.25">
      <c r="A757" s="2" t="str">
        <f>"30105"</f>
        <v>30105</v>
      </c>
      <c r="B757" s="2" t="str">
        <f>"1/2 CAM CLEAT DEFLECTOR SWIVEL BASE"</f>
        <v>1/2 CAM CLEAT DEFLECTOR SWIVEL BASE</v>
      </c>
      <c r="C757" s="4">
        <v>149.5</v>
      </c>
      <c r="D757" s="5">
        <v>60.55</v>
      </c>
    </row>
    <row r="758" spans="1:4" x14ac:dyDescent="0.25">
      <c r="A758" s="2" t="str">
        <f>"32520"</f>
        <v>32520</v>
      </c>
      <c r="B758" s="2" t="str">
        <f>"1 1/2 WEDGE KIT FOR # 30012"</f>
        <v>1 1/2 WEDGE KIT FOR # 30012</v>
      </c>
      <c r="C758" s="4">
        <v>14.7</v>
      </c>
      <c r="D758" s="5">
        <v>5.95</v>
      </c>
    </row>
    <row r="759" spans="1:4" x14ac:dyDescent="0.25">
      <c r="A759" s="2" t="str">
        <f>"20120"</f>
        <v>20120</v>
      </c>
      <c r="B759" s="2" t="str">
        <f>"SINGLE FAIRLEAD 25MM STANCHION FIXED"</f>
        <v>SINGLE FAIRLEAD 25MM STANCHION FIXED</v>
      </c>
      <c r="C759" s="4">
        <v>28.4</v>
      </c>
      <c r="D759" s="5">
        <v>11.5</v>
      </c>
    </row>
    <row r="760" spans="1:4" x14ac:dyDescent="0.25">
      <c r="A760" s="2" t="str">
        <f>"20220"</f>
        <v>20220</v>
      </c>
      <c r="B760" s="2" t="str">
        <f>"DOUBLE STANCHION FAIRLEAD 25MM VELCRO"</f>
        <v>DOUBLE STANCHION FAIRLEAD 25MM VELCRO</v>
      </c>
      <c r="C760" s="4">
        <v>91.3</v>
      </c>
      <c r="D760" s="5">
        <v>36.979999999999997</v>
      </c>
    </row>
    <row r="761" spans="1:4" x14ac:dyDescent="0.25">
      <c r="A761" s="2" t="str">
        <f>"21020"</f>
        <v>21020</v>
      </c>
      <c r="B761" s="2" t="str">
        <f>"SINGLE FIXED DECK FAIRLEAD"</f>
        <v>SINGLE FIXED DECK FAIRLEAD</v>
      </c>
      <c r="C761" s="4">
        <v>62.7</v>
      </c>
      <c r="D761" s="5">
        <v>25.39</v>
      </c>
    </row>
    <row r="762" spans="1:4" x14ac:dyDescent="0.25">
      <c r="A762" s="2" t="str">
        <f>"21120"</f>
        <v>21120</v>
      </c>
      <c r="B762" s="2" t="str">
        <f>"SINGLE ARTICULATED STANCHION FAIRLEAD"</f>
        <v>SINGLE ARTICULATED STANCHION FAIRLEAD</v>
      </c>
      <c r="C762" s="4">
        <v>39.9</v>
      </c>
      <c r="D762" s="5">
        <v>16.16</v>
      </c>
    </row>
    <row r="763" spans="1:4" x14ac:dyDescent="0.25">
      <c r="A763" s="2" t="str">
        <f>"21220"</f>
        <v>21220</v>
      </c>
      <c r="B763" s="2" t="str">
        <f>"DOUBLE STANCHION FAIRLEAD 28MM VELCRO"</f>
        <v>DOUBLE STANCHION FAIRLEAD 28MM VELCRO</v>
      </c>
      <c r="C763" s="4">
        <v>102.7</v>
      </c>
      <c r="D763" s="5">
        <v>41.59</v>
      </c>
    </row>
    <row r="764" spans="1:4" x14ac:dyDescent="0.25">
      <c r="A764" s="2" t="str">
        <f>"31423"</f>
        <v>31423</v>
      </c>
      <c r="B764" s="2" t="str">
        <f>"5/16 TO 5/8 TRIPLE DECK ORGANIZER"</f>
        <v>5/16 TO 5/8 TRIPLE DECK ORGANIZER</v>
      </c>
      <c r="C764" s="4">
        <v>124.5</v>
      </c>
      <c r="D764" s="5">
        <v>50.42</v>
      </c>
    </row>
    <row r="765" spans="1:4" x14ac:dyDescent="0.25">
      <c r="A765" s="2" t="str">
        <f>"81512"</f>
        <v>81512</v>
      </c>
      <c r="B765" s="2" t="str">
        <f>"DECK ORGANIZER  DOUBLE W/BECKET"</f>
        <v>DECK ORGANIZER  DOUBLE W/BECKET</v>
      </c>
      <c r="C765" s="4">
        <v>137</v>
      </c>
      <c r="D765" s="5">
        <v>55.49</v>
      </c>
    </row>
    <row r="766" spans="1:4" x14ac:dyDescent="0.25">
      <c r="A766" s="2" t="str">
        <f>"81513"</f>
        <v>81513</v>
      </c>
      <c r="B766" s="2" t="str">
        <f>"DECK ORGANIZER  TRIPLE W/BECKET"</f>
        <v>DECK ORGANIZER  TRIPLE W/BECKET</v>
      </c>
      <c r="C766" s="4">
        <v>162</v>
      </c>
      <c r="D766" s="5">
        <v>65.61</v>
      </c>
    </row>
    <row r="767" spans="1:4" x14ac:dyDescent="0.25">
      <c r="A767" s="2" t="str">
        <f>"81514"</f>
        <v>81514</v>
      </c>
      <c r="B767" s="2" t="str">
        <f>"DECK ORGANIZER  QUAD W/BECKET"</f>
        <v>DECK ORGANIZER  QUAD W/BECKET</v>
      </c>
      <c r="C767" s="4">
        <v>199.3</v>
      </c>
      <c r="D767" s="5">
        <v>80.72</v>
      </c>
    </row>
    <row r="768" spans="1:4" x14ac:dyDescent="0.25">
      <c r="A768" s="2" t="str">
        <f>"30081"</f>
        <v>30081</v>
      </c>
      <c r="B768" s="2" t="str">
        <f>"11/16 POLYCARBONATE SHEAVE"</f>
        <v>11/16 POLYCARBONATE SHEAVE</v>
      </c>
      <c r="C768" s="4">
        <v>3.3</v>
      </c>
      <c r="D768" s="5">
        <v>1.34</v>
      </c>
    </row>
    <row r="769" spans="1:4" x14ac:dyDescent="0.25">
      <c r="A769" s="2" t="str">
        <f>"30082"</f>
        <v>30082</v>
      </c>
      <c r="B769" s="2" t="str">
        <f>"1 POLYCARBONATE SHEAVE"</f>
        <v>1 POLYCARBONATE SHEAVE</v>
      </c>
      <c r="C769" s="4">
        <v>3.9</v>
      </c>
      <c r="D769" s="5">
        <v>1.58</v>
      </c>
    </row>
    <row r="770" spans="1:4" x14ac:dyDescent="0.25">
      <c r="A770" s="2" t="str">
        <f>"30083"</f>
        <v>30083</v>
      </c>
      <c r="B770" s="2" t="str">
        <f>"1 3/8 POLYCARBONATE SHEAVE"</f>
        <v>1 3/8 POLYCARBONATE SHEAVE</v>
      </c>
      <c r="C770" s="4">
        <v>4.9000000000000004</v>
      </c>
      <c r="D770" s="5">
        <v>1.98</v>
      </c>
    </row>
    <row r="771" spans="1:4" x14ac:dyDescent="0.25">
      <c r="A771" s="2" t="str">
        <f>"30084"</f>
        <v>30084</v>
      </c>
      <c r="B771" s="2" t="str">
        <f>"1 3/4 POLYCARBONATE SHEAVE"</f>
        <v>1 3/4 POLYCARBONATE SHEAVE</v>
      </c>
      <c r="C771" s="4">
        <v>6.3</v>
      </c>
      <c r="D771" s="5">
        <v>2.5499999999999998</v>
      </c>
    </row>
    <row r="772" spans="1:4" x14ac:dyDescent="0.25">
      <c r="A772" s="2" t="str">
        <f>"30085"</f>
        <v>30085</v>
      </c>
      <c r="B772" s="2" t="str">
        <f>"2 3/16 POLYCARBONATE SHEAVE"</f>
        <v>2 3/16 POLYCARBONATE SHEAVE</v>
      </c>
      <c r="C772" s="4">
        <v>12.2</v>
      </c>
      <c r="D772" s="5">
        <v>4.9400000000000004</v>
      </c>
    </row>
    <row r="773" spans="1:4" x14ac:dyDescent="0.25">
      <c r="A773" s="2" t="str">
        <f>"80083"</f>
        <v>80083</v>
      </c>
      <c r="B773" s="2" t="str">
        <f>"1 3/8 POLYCARBONATE BALL BEARING SH"</f>
        <v>1 3/8 POLYCARBONATE BALL BEARING SH</v>
      </c>
      <c r="C773" s="4">
        <v>22.4</v>
      </c>
      <c r="D773" s="5">
        <v>9.07</v>
      </c>
    </row>
    <row r="774" spans="1:4" x14ac:dyDescent="0.25">
      <c r="A774" s="2" t="str">
        <f>"80084"</f>
        <v>80084</v>
      </c>
      <c r="B774" s="2" t="str">
        <f>"1 3/4 POLYCARBONATE BALL BEARING SH"</f>
        <v>1 3/4 POLYCARBONATE BALL BEARING SH</v>
      </c>
      <c r="C774" s="4">
        <v>30.6</v>
      </c>
      <c r="D774" s="5">
        <v>12.39</v>
      </c>
    </row>
    <row r="775" spans="1:4" x14ac:dyDescent="0.25">
      <c r="A775" s="2" t="str">
        <f>"80085"</f>
        <v>80085</v>
      </c>
      <c r="B775" s="2" t="str">
        <f>"2 3/16 POLYCARBONATE BALL BEARING S"</f>
        <v>2 3/16 POLYCARBONATE BALL BEARING S</v>
      </c>
      <c r="C775" s="4">
        <v>41.4</v>
      </c>
      <c r="D775" s="5">
        <v>16.77</v>
      </c>
    </row>
    <row r="776" spans="1:4" x14ac:dyDescent="0.25">
      <c r="A776" s="2" t="str">
        <f>"80086"</f>
        <v>80086</v>
      </c>
      <c r="B776" s="2" t="str">
        <f>"2 3/4 POLYCARBONATE BALL BEARING SH"</f>
        <v>2 3/4 POLYCARBONATE BALL BEARING SH</v>
      </c>
      <c r="C776" s="4">
        <v>57.4</v>
      </c>
      <c r="D776" s="5">
        <v>23.25</v>
      </c>
    </row>
    <row r="777" spans="1:4" x14ac:dyDescent="0.25">
      <c r="A777" s="2" t="str">
        <f>"80088"</f>
        <v>80088</v>
      </c>
      <c r="B777" s="2" t="str">
        <f>"1 21/32 POLYCARBONATE BALL BEARING"</f>
        <v>1 21/32 POLYCARBONATE BALL BEARING</v>
      </c>
      <c r="C777" s="4">
        <v>21.5</v>
      </c>
      <c r="D777" s="5">
        <v>8.7100000000000009</v>
      </c>
    </row>
    <row r="778" spans="1:4" x14ac:dyDescent="0.25">
      <c r="A778" s="2" t="str">
        <f>"80089"</f>
        <v>80089</v>
      </c>
      <c r="B778" s="2" t="str">
        <f>"2 1/16 POLYCARBONATE BALL BEARING S"</f>
        <v>2 1/16 POLYCARBONATE BALL BEARING S</v>
      </c>
      <c r="C778" s="4">
        <v>28.9</v>
      </c>
      <c r="D778" s="5">
        <v>11.7</v>
      </c>
    </row>
    <row r="779" spans="1:4" x14ac:dyDescent="0.25">
      <c r="A779" s="2" t="str">
        <f>"05100"</f>
        <v>05100</v>
      </c>
      <c r="B779" s="2" t="str">
        <f>"Foldable Mast Step"</f>
        <v>Foldable Mast Step</v>
      </c>
      <c r="C779" s="4">
        <v>0</v>
      </c>
      <c r="D779" s="5">
        <v>0</v>
      </c>
    </row>
    <row r="780" spans="1:4" x14ac:dyDescent="0.25">
      <c r="A780" s="2" t="str">
        <f>"20501"</f>
        <v>20501</v>
      </c>
      <c r="B780" s="2" t="str">
        <f>"STRAP CUTTER"</f>
        <v>STRAP CUTTER</v>
      </c>
      <c r="C780" s="4">
        <v>0</v>
      </c>
      <c r="D780" s="5">
        <v>0</v>
      </c>
    </row>
    <row r="781" spans="1:4" x14ac:dyDescent="0.25">
      <c r="A781" s="2" t="str">
        <f>"21104"</f>
        <v>21104</v>
      </c>
      <c r="B781" s="2" t="str">
        <f>"MXLEvo 10mm MAX LINE"</f>
        <v>MXLEvo 10mm MAX LINE</v>
      </c>
      <c r="C781" s="4">
        <v>91.3</v>
      </c>
      <c r="D781" s="5">
        <v>36.979999999999997</v>
      </c>
    </row>
    <row r="782" spans="1:4" x14ac:dyDescent="0.25">
      <c r="A782" s="2" t="str">
        <f>"21105"</f>
        <v>21105</v>
      </c>
      <c r="B782" s="2" t="str">
        <f>"MXLEvo 12mm MAX LINE"</f>
        <v>MXLEvo 12mm MAX LINE</v>
      </c>
      <c r="C782" s="4">
        <v>114.1</v>
      </c>
      <c r="D782" s="5">
        <v>46.21</v>
      </c>
    </row>
    <row r="783" spans="1:4" x14ac:dyDescent="0.25">
      <c r="A783" s="2" t="str">
        <f>"21106"</f>
        <v>21106</v>
      </c>
      <c r="B783" s="2" t="str">
        <f>"MXLEvo 16mm MAX LINE"</f>
        <v>MXLEvo 16mm MAX LINE</v>
      </c>
      <c r="C783" s="4">
        <v>182.6</v>
      </c>
      <c r="D783" s="5">
        <v>73.95</v>
      </c>
    </row>
    <row r="784" spans="1:4" x14ac:dyDescent="0.25">
      <c r="A784" s="2" t="str">
        <f>"FRX10"</f>
        <v>FRX10</v>
      </c>
      <c r="B784" s="2" t="str">
        <f>"10MM FRICTION RING - FRX10"</f>
        <v>10MM FRICTION RING - FRX10</v>
      </c>
      <c r="C784" s="4">
        <v>18.8</v>
      </c>
      <c r="D784" s="5">
        <v>7.61</v>
      </c>
    </row>
    <row r="785" spans="1:4" x14ac:dyDescent="0.25">
      <c r="A785" s="2" t="str">
        <f>"FRX15"</f>
        <v>FRX15</v>
      </c>
      <c r="B785" s="2" t="str">
        <f>"15MM FRICTION RING - FRX15"</f>
        <v>15MM FRICTION RING - FRX15</v>
      </c>
      <c r="C785" s="4">
        <v>20.6</v>
      </c>
      <c r="D785" s="5">
        <v>8.34</v>
      </c>
    </row>
    <row r="786" spans="1:4" x14ac:dyDescent="0.25">
      <c r="A786" s="2" t="str">
        <f>"FRX20"</f>
        <v>FRX20</v>
      </c>
      <c r="B786" s="2" t="str">
        <f>"20MM FRICTION RING - FRX20"</f>
        <v>20MM FRICTION RING - FRX20</v>
      </c>
      <c r="C786" s="4">
        <v>29.4</v>
      </c>
      <c r="D786" s="5">
        <v>11.91</v>
      </c>
    </row>
    <row r="787" spans="1:4" x14ac:dyDescent="0.25">
      <c r="A787" s="2" t="str">
        <f>"FRX25"</f>
        <v>FRX25</v>
      </c>
      <c r="B787" s="2" t="str">
        <f>"25MM FRICTION RING - FRX25"</f>
        <v>25MM FRICTION RING - FRX25</v>
      </c>
      <c r="C787" s="4">
        <v>40.5</v>
      </c>
      <c r="D787" s="5">
        <v>16.399999999999999</v>
      </c>
    </row>
    <row r="788" spans="1:4" x14ac:dyDescent="0.25">
      <c r="A788" s="2" t="str">
        <f>"FRX6"</f>
        <v>FRX6</v>
      </c>
      <c r="B788" s="2" t="str">
        <f>"7MM FRICTION RING - FRX6"</f>
        <v>7MM FRICTION RING - FRX6</v>
      </c>
      <c r="C788" s="4">
        <v>16.5</v>
      </c>
      <c r="D788" s="5">
        <v>6.68</v>
      </c>
    </row>
    <row r="789" spans="1:4" x14ac:dyDescent="0.25">
      <c r="A789" s="2" t="str">
        <f>"01203B"</f>
        <v>01203B</v>
      </c>
      <c r="B789" s="2" t="str">
        <f>"1/4 SELF LOCKING D SHACKLE BLACK"</f>
        <v>1/4 SELF LOCKING D SHACKLE BLACK</v>
      </c>
      <c r="C789" s="4">
        <v>24.9</v>
      </c>
      <c r="D789" s="5">
        <v>10.08</v>
      </c>
    </row>
    <row r="790" spans="1:4" x14ac:dyDescent="0.25">
      <c r="A790" s="2" t="str">
        <f>"01204B"</f>
        <v>01204B</v>
      </c>
      <c r="B790" s="2" t="str">
        <f>"5/16 SELF LOCKING D SHACKLE BLACK"</f>
        <v>5/16 SELF LOCKING D SHACKLE BLACK</v>
      </c>
      <c r="C790" s="4">
        <v>39.1</v>
      </c>
      <c r="D790" s="5">
        <v>15.84</v>
      </c>
    </row>
    <row r="791" spans="1:4" x14ac:dyDescent="0.25">
      <c r="A791" s="2" t="str">
        <f>"01212B"</f>
        <v>01212B</v>
      </c>
      <c r="B791" s="2" t="str">
        <f>"3/16 SELF LOCKING LONG SHACKLE BLACK"</f>
        <v>3/16 SELF LOCKING LONG SHACKLE BLACK</v>
      </c>
      <c r="C791" s="4">
        <v>23.5</v>
      </c>
      <c r="D791" s="5">
        <v>9.52</v>
      </c>
    </row>
    <row r="792" spans="1:4" x14ac:dyDescent="0.25">
      <c r="A792" s="2" t="str">
        <f>"01224B"</f>
        <v>01224B</v>
      </c>
      <c r="B792" s="2" t="str">
        <f>"5/16 SELF LOCKING TWISTED SHK BLACK"</f>
        <v>5/16 SELF LOCKING TWISTED SHK BLACK</v>
      </c>
      <c r="C792" s="4">
        <v>52.3</v>
      </c>
      <c r="D792" s="5">
        <v>21.18</v>
      </c>
    </row>
    <row r="793" spans="1:4" x14ac:dyDescent="0.25">
      <c r="A793" s="2" t="str">
        <f>"01243B"</f>
        <v>01243B</v>
      </c>
      <c r="B793" s="2" t="str">
        <f>"1/4 SELF LOCKING BOW SHACKLE BLACK"</f>
        <v>1/4 SELF LOCKING BOW SHACKLE BLACK</v>
      </c>
      <c r="C793" s="4">
        <v>28.8</v>
      </c>
      <c r="D793" s="5">
        <v>11.66</v>
      </c>
    </row>
    <row r="794" spans="1:4" x14ac:dyDescent="0.25">
      <c r="A794" s="2" t="str">
        <f>"01244B"</f>
        <v>01244B</v>
      </c>
      <c r="B794" s="2" t="str">
        <f>"5/16 SELF LOCKING BOW SHACKLE BLACK"</f>
        <v>5/16 SELF LOCKING BOW SHACKLE BLACK</v>
      </c>
      <c r="C794" s="4">
        <v>45</v>
      </c>
      <c r="D794" s="5">
        <v>18.23</v>
      </c>
    </row>
    <row r="795" spans="1:4" x14ac:dyDescent="0.25">
      <c r="A795" s="2" t="str">
        <f>"01245B"</f>
        <v>01245B</v>
      </c>
      <c r="B795" s="2" t="str">
        <f>"13/32 SELF LOCKING BOW SHACKLE BLACK"</f>
        <v>13/32 SELF LOCKING BOW SHACKLE BLACK</v>
      </c>
      <c r="C795" s="4">
        <v>73.8</v>
      </c>
      <c r="D795" s="5">
        <v>29.89</v>
      </c>
    </row>
    <row r="796" spans="1:4" x14ac:dyDescent="0.25">
      <c r="A796" s="2" t="str">
        <f>"01303B"</f>
        <v>01303B</v>
      </c>
      <c r="B796" s="2" t="str">
        <f>"1/4 ALLEN HEAD D SHACKLE BLACK"</f>
        <v>1/4 ALLEN HEAD D SHACKLE BLACK</v>
      </c>
      <c r="C796" s="4">
        <v>39.5</v>
      </c>
      <c r="D796" s="5">
        <v>16</v>
      </c>
    </row>
    <row r="797" spans="1:4" x14ac:dyDescent="0.25">
      <c r="A797" s="2" t="str">
        <f>"01304B"</f>
        <v>01304B</v>
      </c>
      <c r="B797" s="2" t="str">
        <f>"5/16 ALLEN HEAD D SHACKLE BLACK"</f>
        <v>5/16 ALLEN HEAD D SHACKLE BLACK</v>
      </c>
      <c r="C797" s="4">
        <v>55.2</v>
      </c>
      <c r="D797" s="5">
        <v>22.36</v>
      </c>
    </row>
    <row r="798" spans="1:4" x14ac:dyDescent="0.25">
      <c r="A798" s="2" t="str">
        <f>"01305B"</f>
        <v>01305B</v>
      </c>
      <c r="B798" s="2" t="str">
        <f>"13/32 ALLEN HEAD D SHACKLE BLACK"</f>
        <v>13/32 ALLEN HEAD D SHACKLE BLACK</v>
      </c>
      <c r="C798" s="4">
        <v>89.3</v>
      </c>
      <c r="D798" s="5">
        <v>36.17</v>
      </c>
    </row>
    <row r="799" spans="1:4" x14ac:dyDescent="0.25">
      <c r="A799" s="2" t="str">
        <f>"01344B"</f>
        <v>01344B</v>
      </c>
      <c r="B799" s="2" t="str">
        <f>"5/16 ALLEN HEAD BOW SHACKLE BLACK"</f>
        <v>5/16 ALLEN HEAD BOW SHACKLE BLACK</v>
      </c>
      <c r="C799" s="4">
        <v>64.3</v>
      </c>
      <c r="D799" s="5">
        <v>26.04</v>
      </c>
    </row>
    <row r="800" spans="1:4" x14ac:dyDescent="0.25">
      <c r="A800" s="2" t="str">
        <f>"01346B"</f>
        <v>01346B</v>
      </c>
      <c r="B800" s="2" t="str">
        <f>"15/32 ALLEN HEAD BOW SHACKLE BLACK"</f>
        <v>15/32 ALLEN HEAD BOW SHACKLE BLACK</v>
      </c>
      <c r="C800" s="4">
        <v>157.1</v>
      </c>
      <c r="D800" s="5">
        <v>63.63</v>
      </c>
    </row>
    <row r="801" spans="1:4" x14ac:dyDescent="0.25">
      <c r="A801" s="2" t="str">
        <f>"01401B"</f>
        <v>01401B</v>
      </c>
      <c r="B801" s="2" t="str">
        <f>"5/32 CAPTIVE D SHACKLE BLACK"</f>
        <v>5/32 CAPTIVE D SHACKLE BLACK</v>
      </c>
      <c r="C801" s="4">
        <v>25.6</v>
      </c>
      <c r="D801" s="5">
        <v>10.37</v>
      </c>
    </row>
    <row r="802" spans="1:4" x14ac:dyDescent="0.25">
      <c r="A802" s="2" t="str">
        <f>"01402B"</f>
        <v>01402B</v>
      </c>
      <c r="B802" s="2" t="str">
        <f>"3/16 CAPTIVE D SHACKLE BLACK"</f>
        <v>3/16 CAPTIVE D SHACKLE BLACK</v>
      </c>
      <c r="C802" s="4">
        <v>31.2</v>
      </c>
      <c r="D802" s="5">
        <v>12.64</v>
      </c>
    </row>
    <row r="803" spans="1:4" x14ac:dyDescent="0.25">
      <c r="A803" s="2" t="str">
        <f>"01403B"</f>
        <v>01403B</v>
      </c>
      <c r="B803" s="2" t="str">
        <f>"1/4 CAPTIVE D SHACKLE BLACK"</f>
        <v>1/4 CAPTIVE D SHACKLE BLACK</v>
      </c>
      <c r="C803" s="4">
        <v>39.799999999999997</v>
      </c>
      <c r="D803" s="5">
        <v>16.12</v>
      </c>
    </row>
    <row r="804" spans="1:4" x14ac:dyDescent="0.25">
      <c r="A804" s="2" t="str">
        <f>"01404B"</f>
        <v>01404B</v>
      </c>
      <c r="B804" s="2" t="str">
        <f>"5/16 CAPTIVE D SHACKLE BLACK"</f>
        <v>5/16 CAPTIVE D SHACKLE BLACK</v>
      </c>
      <c r="C804" s="4">
        <v>60.5</v>
      </c>
      <c r="D804" s="5">
        <v>24.5</v>
      </c>
    </row>
    <row r="805" spans="1:4" x14ac:dyDescent="0.25">
      <c r="A805" s="2" t="str">
        <f>"01405B"</f>
        <v>01405B</v>
      </c>
      <c r="B805" s="2" t="str">
        <f>"13/32 CAPTIVE D SHACKLE BLACK"</f>
        <v>13/32 CAPTIVE D SHACKLE BLACK</v>
      </c>
      <c r="C805" s="4">
        <v>94</v>
      </c>
      <c r="D805" s="5">
        <v>38.07</v>
      </c>
    </row>
    <row r="806" spans="1:4" x14ac:dyDescent="0.25">
      <c r="A806" s="2" t="str">
        <f>"01406B"</f>
        <v>01406B</v>
      </c>
      <c r="B806" s="2" t="str">
        <f>"15/32 CAPTIVE D SHACKLE BLACK"</f>
        <v>15/32 CAPTIVE D SHACKLE BLACK</v>
      </c>
      <c r="C806" s="4">
        <v>143</v>
      </c>
      <c r="D806" s="5">
        <v>57.92</v>
      </c>
    </row>
    <row r="807" spans="1:4" x14ac:dyDescent="0.25">
      <c r="A807" s="2" t="str">
        <f>"01411B"</f>
        <v>01411B</v>
      </c>
      <c r="B807" s="2" t="str">
        <f>"5/32 CAPTIVE LONG SHACKLE BLACK"</f>
        <v>5/32 CAPTIVE LONG SHACKLE BLACK</v>
      </c>
      <c r="C807" s="4">
        <v>31.2</v>
      </c>
      <c r="D807" s="5">
        <v>12.64</v>
      </c>
    </row>
    <row r="808" spans="1:4" x14ac:dyDescent="0.25">
      <c r="A808" s="2" t="str">
        <f>"01413B"</f>
        <v>01413B</v>
      </c>
      <c r="B808" s="2" t="str">
        <f>"1/4 CAPTIVE LONG SHACKLE BLACK"</f>
        <v>1/4 CAPTIVE LONG SHACKLE BLACK</v>
      </c>
      <c r="C808" s="4">
        <v>49.7</v>
      </c>
      <c r="D808" s="5">
        <v>20.13</v>
      </c>
    </row>
    <row r="809" spans="1:4" x14ac:dyDescent="0.25">
      <c r="A809" s="2" t="str">
        <f>"01414B"</f>
        <v>01414B</v>
      </c>
      <c r="B809" s="2" t="str">
        <f>"5/16 CAPTIVE LONG SHACKLE BLACK"</f>
        <v>5/16 CAPTIVE LONG SHACKLE BLACK</v>
      </c>
      <c r="C809" s="4">
        <v>77.900000000000006</v>
      </c>
      <c r="D809" s="5">
        <v>31.55</v>
      </c>
    </row>
    <row r="810" spans="1:4" x14ac:dyDescent="0.25">
      <c r="A810" s="2" t="str">
        <f>"01415B"</f>
        <v>01415B</v>
      </c>
      <c r="B810" s="2" t="str">
        <f>"13/32 CAPTIVE LONG SHACKLE BLACK"</f>
        <v>13/32 CAPTIVE LONG SHACKLE BLACK</v>
      </c>
      <c r="C810" s="4">
        <v>124.9</v>
      </c>
      <c r="D810" s="5">
        <v>50.58</v>
      </c>
    </row>
    <row r="811" spans="1:4" x14ac:dyDescent="0.25">
      <c r="A811" s="2" t="str">
        <f>"01441B"</f>
        <v>01441B</v>
      </c>
      <c r="B811" s="2" t="str">
        <f>"5/32 CAPTIVE BOW SHACKLE BLACK"</f>
        <v>5/32 CAPTIVE BOW SHACKLE BLACK</v>
      </c>
      <c r="C811" s="4">
        <v>29.2</v>
      </c>
      <c r="D811" s="5">
        <v>11.83</v>
      </c>
    </row>
    <row r="812" spans="1:4" x14ac:dyDescent="0.25">
      <c r="A812" s="2" t="str">
        <f>"01442B"</f>
        <v>01442B</v>
      </c>
      <c r="B812" s="2" t="str">
        <f>"3/16 CAPTIVE BOW SHACKLE BLACK"</f>
        <v>3/16 CAPTIVE BOW SHACKLE BLACK</v>
      </c>
      <c r="C812" s="4">
        <v>34</v>
      </c>
      <c r="D812" s="5">
        <v>13.77</v>
      </c>
    </row>
    <row r="813" spans="1:4" x14ac:dyDescent="0.25">
      <c r="A813" s="2" t="str">
        <f>"01443B"</f>
        <v>01443B</v>
      </c>
      <c r="B813" s="2" t="str">
        <f>"1/4 CAPTIVE BOW SHACKLE BLACK"</f>
        <v>1/4 CAPTIVE BOW SHACKLE BLACK</v>
      </c>
      <c r="C813" s="4">
        <v>44.2</v>
      </c>
      <c r="D813" s="5">
        <v>17.899999999999999</v>
      </c>
    </row>
    <row r="814" spans="1:4" x14ac:dyDescent="0.25">
      <c r="A814" s="2" t="str">
        <f>"01444B"</f>
        <v>01444B</v>
      </c>
      <c r="B814" s="2" t="str">
        <f>"5/16 CAPTIVE BOW SHACKLE BLACK"</f>
        <v>5/16 CAPTIVE BOW SHACKLE BLACK</v>
      </c>
      <c r="C814" s="4">
        <v>66.099999999999994</v>
      </c>
      <c r="D814" s="5">
        <v>26.77</v>
      </c>
    </row>
    <row r="815" spans="1:4" x14ac:dyDescent="0.25">
      <c r="A815" s="2" t="str">
        <f>"01445B"</f>
        <v>01445B</v>
      </c>
      <c r="B815" s="2" t="str">
        <f>"13/32 CAPTIVE BOW SHACKLE BLACK"</f>
        <v>13/32 CAPTIVE BOW SHACKLE BLACK</v>
      </c>
      <c r="C815" s="4">
        <v>105</v>
      </c>
      <c r="D815" s="5">
        <v>42.53</v>
      </c>
    </row>
    <row r="816" spans="1:4" x14ac:dyDescent="0.25">
      <c r="A816" s="2" t="str">
        <f>"11215B"</f>
        <v>11215B</v>
      </c>
      <c r="B816" s="2" t="str">
        <f>"13/32 HR LONG SHACKLE BLACK"</f>
        <v>13/32 HR LONG SHACKLE BLACK</v>
      </c>
      <c r="C816" s="4">
        <v>179.1</v>
      </c>
      <c r="D816" s="5">
        <v>72.540000000000006</v>
      </c>
    </row>
    <row r="817" spans="1:4" x14ac:dyDescent="0.25">
      <c r="A817" s="2" t="str">
        <f>"02284B"</f>
        <v>02284B</v>
      </c>
      <c r="B817" s="2" t="str">
        <f>"WEBBING STRAP HOOK BLACK"</f>
        <v>WEBBING STRAP HOOK BLACK</v>
      </c>
      <c r="C817" s="4">
        <v>52.7</v>
      </c>
      <c r="D817" s="5">
        <v>21.34</v>
      </c>
    </row>
    <row r="818" spans="1:4" x14ac:dyDescent="0.25">
      <c r="A818" s="2" t="str">
        <f>"02480B"</f>
        <v>02480B</v>
      </c>
      <c r="B818" s="2" t="str">
        <f>"2 SNAP HOOK BLACK"</f>
        <v>2 SNAP HOOK BLACK</v>
      </c>
      <c r="C818" s="4">
        <v>36.200000000000003</v>
      </c>
      <c r="D818" s="5">
        <v>14.66</v>
      </c>
    </row>
    <row r="819" spans="1:4" x14ac:dyDescent="0.25">
      <c r="A819" s="2" t="str">
        <f>"02481B"</f>
        <v>02481B</v>
      </c>
      <c r="B819" s="2" t="str">
        <f>"3 SNAP HOOK BLACK"</f>
        <v>3 SNAP HOOK BLACK</v>
      </c>
      <c r="C819" s="4">
        <v>58.7</v>
      </c>
      <c r="D819" s="5">
        <v>23.77</v>
      </c>
    </row>
    <row r="820" spans="1:4" x14ac:dyDescent="0.25">
      <c r="A820" s="2" t="str">
        <f>"02313B"</f>
        <v>02313B</v>
      </c>
      <c r="B820" s="2" t="str">
        <f>"1/4 STD. CARBINE BLACK"</f>
        <v>1/4 STD. CARBINE BLACK</v>
      </c>
      <c r="C820" s="4">
        <v>38.6</v>
      </c>
      <c r="D820" s="5">
        <v>15.63</v>
      </c>
    </row>
    <row r="821" spans="1:4" x14ac:dyDescent="0.25">
      <c r="A821" s="2" t="str">
        <f>"02325B"</f>
        <v>02325B</v>
      </c>
      <c r="B821" s="2" t="str">
        <f>"5/16 ASYMMETRIC CARBINE BLACK"</f>
        <v>5/16 ASYMMETRIC CARBINE BLACK</v>
      </c>
      <c r="C821" s="4">
        <v>55</v>
      </c>
      <c r="D821" s="5">
        <v>22.28</v>
      </c>
    </row>
    <row r="822" spans="1:4" x14ac:dyDescent="0.25">
      <c r="A822" s="2" t="str">
        <f>"02326B"</f>
        <v>02326B</v>
      </c>
      <c r="B822" s="2" t="str">
        <f>"13/32 ASYMMETRIC CARBINE BLACK"</f>
        <v>13/32 ASYMMETRIC CARBINE BLACK</v>
      </c>
      <c r="C822" s="4">
        <v>73.599999999999994</v>
      </c>
      <c r="D822" s="5">
        <v>29.81</v>
      </c>
    </row>
    <row r="823" spans="1:4" x14ac:dyDescent="0.25">
      <c r="A823" s="2" t="str">
        <f>"02327B"</f>
        <v>02327B</v>
      </c>
      <c r="B823" s="2" t="str">
        <f>"15/32 ASYMMETRIC CARBINE BLACK"</f>
        <v>15/32 ASYMMETRIC CARBINE BLACK</v>
      </c>
      <c r="C823" s="4">
        <v>127.1</v>
      </c>
      <c r="D823" s="5">
        <v>51.48</v>
      </c>
    </row>
    <row r="824" spans="1:4" x14ac:dyDescent="0.25">
      <c r="A824" s="2" t="str">
        <f>"02363B"</f>
        <v>02363B</v>
      </c>
      <c r="B824" s="2" t="str">
        <f>"5/16 ALLEN HEAD SWIVEL BLACK"</f>
        <v>5/16 ALLEN HEAD SWIVEL BLACK</v>
      </c>
      <c r="C824" s="4">
        <v>219.7</v>
      </c>
      <c r="D824" s="5">
        <v>88.98</v>
      </c>
    </row>
    <row r="825" spans="1:4" x14ac:dyDescent="0.25">
      <c r="A825" s="2" t="str">
        <f>"02364B"</f>
        <v>02364B</v>
      </c>
      <c r="B825" s="2" t="str">
        <f>"5/16 EYE AND ALLEN HEAD SWIVEL BLACK"</f>
        <v>5/16 EYE AND ALLEN HEAD SWIVEL BLACK</v>
      </c>
      <c r="C825" s="4">
        <v>191.2</v>
      </c>
      <c r="D825" s="5">
        <v>77.44</v>
      </c>
    </row>
    <row r="826" spans="1:4" x14ac:dyDescent="0.25">
      <c r="A826" s="2" t="str">
        <f>"02365B"</f>
        <v>02365B</v>
      </c>
      <c r="B826" s="2" t="str">
        <f>"3/8 EYE AND ALLEN HEAD SWIVEL BLACK"</f>
        <v>3/8 EYE AND ALLEN HEAD SWIVEL BLACK</v>
      </c>
      <c r="C826" s="4">
        <v>302.60000000000002</v>
      </c>
      <c r="D826" s="5">
        <v>122.55</v>
      </c>
    </row>
    <row r="827" spans="1:4" x14ac:dyDescent="0.25">
      <c r="A827" s="2" t="str">
        <f>"02367B"</f>
        <v>02367B</v>
      </c>
      <c r="B827" s="2" t="str">
        <f>"1 1/4 WEB SWIVEL  1 1/4 BLACK"</f>
        <v>1 1/4 WEB SWIVEL  1 1/4 BLACK</v>
      </c>
      <c r="C827" s="4">
        <v>106.8</v>
      </c>
      <c r="D827" s="5">
        <v>43.25</v>
      </c>
    </row>
    <row r="828" spans="1:4" x14ac:dyDescent="0.25">
      <c r="A828" s="2" t="str">
        <f>"02368B"</f>
        <v>02368B</v>
      </c>
      <c r="B828" s="2" t="str">
        <f>"1 9/16 WEB SWIVEL BLACK"</f>
        <v>1 9/16 WEB SWIVEL BLACK</v>
      </c>
      <c r="C828" s="4">
        <v>132.19999999999999</v>
      </c>
      <c r="D828" s="5">
        <v>53.54</v>
      </c>
    </row>
    <row r="829" spans="1:4" x14ac:dyDescent="0.25">
      <c r="A829" s="2" t="str">
        <f>"02369B"</f>
        <v>02369B</v>
      </c>
      <c r="B829" s="2" t="str">
        <f>"3/8 ALLEN HEAD SWIVEL BLACK"</f>
        <v>3/8 ALLEN HEAD SWIVEL BLACK</v>
      </c>
      <c r="C829" s="4">
        <v>432.9</v>
      </c>
      <c r="D829" s="5">
        <v>175.32</v>
      </c>
    </row>
    <row r="830" spans="1:4" x14ac:dyDescent="0.25">
      <c r="A830" s="2" t="str">
        <f>"02442B"</f>
        <v>02442B</v>
      </c>
      <c r="B830" s="2" t="str">
        <f>"5 3/32 LARG BAIL MOORNG SWIVEL BLACK"</f>
        <v>5 3/32 LARG BAIL MOORNG SWIVEL BLACK</v>
      </c>
      <c r="C830" s="4">
        <v>189.4</v>
      </c>
      <c r="D830" s="5">
        <v>76.709999999999994</v>
      </c>
    </row>
    <row r="831" spans="1:4" x14ac:dyDescent="0.25">
      <c r="A831" s="2" t="str">
        <f>"02443B"</f>
        <v>02443B</v>
      </c>
      <c r="B831" s="2" t="str">
        <f>"5 15/16 LARG BAIL MOORNG SWIVEL BLACK"</f>
        <v>5 15/16 LARG BAIL MOORNG SWIVEL BLACK</v>
      </c>
      <c r="C831" s="4">
        <v>228.2</v>
      </c>
      <c r="D831" s="5">
        <v>92.42</v>
      </c>
    </row>
    <row r="832" spans="1:4" x14ac:dyDescent="0.25">
      <c r="A832" s="2" t="str">
        <f>"02465B"</f>
        <v>02465B</v>
      </c>
      <c r="B832" s="2" t="str">
        <f>"7/16 EYE SWIVEL CLEVIS BLACK"</f>
        <v>7/16 EYE SWIVEL CLEVIS BLACK</v>
      </c>
      <c r="C832" s="4">
        <v>304.8</v>
      </c>
      <c r="D832" s="5">
        <v>123.44</v>
      </c>
    </row>
    <row r="833" spans="1:4" x14ac:dyDescent="0.25">
      <c r="A833" s="2" t="str">
        <f>"02468B"</f>
        <v>02468B</v>
      </c>
      <c r="B833" s="2" t="str">
        <f>"4 17/32 LARG AND SMALL EYE SWIVEL BLACK"</f>
        <v>4 17/32 LARG AND SMALL EYE SWIVEL BLACK</v>
      </c>
      <c r="C833" s="4">
        <v>270.7</v>
      </c>
      <c r="D833" s="5">
        <v>109.63</v>
      </c>
    </row>
    <row r="834" spans="1:4" x14ac:dyDescent="0.25">
      <c r="A834" s="2" t="str">
        <f>"82465B"</f>
        <v>82465B</v>
      </c>
      <c r="B834" s="2" t="str">
        <f>"7/16 EYE SWIVL CLEVIS BALL BEARING BLACK"</f>
        <v>7/16 EYE SWIVL CLEVIS BALL BEARING BLACK</v>
      </c>
      <c r="C834" s="4">
        <v>324</v>
      </c>
      <c r="D834" s="5">
        <v>131.22</v>
      </c>
    </row>
    <row r="835" spans="1:4" x14ac:dyDescent="0.25">
      <c r="A835" s="2" t="str">
        <f>"82467B"</f>
        <v>82467B</v>
      </c>
      <c r="B835" s="2" t="str">
        <f>"3 5/32 LARGE &amp; SMALL EYE SWIVEL BB BLACK"</f>
        <v>3 5/32 LARGE &amp; SMALL EYE SWIVEL BB BLACK</v>
      </c>
      <c r="C835" s="4">
        <v>220.7</v>
      </c>
      <c r="D835" s="5">
        <v>89.38</v>
      </c>
    </row>
    <row r="836" spans="1:4" x14ac:dyDescent="0.25">
      <c r="A836" s="2" t="str">
        <f>"82468B"</f>
        <v>82468B</v>
      </c>
      <c r="B836" s="2" t="str">
        <f>"4 17/32 LARGE &amp; SMALL EYE SWIVL BB BLACK"</f>
        <v>4 17/32 LARGE &amp; SMALL EYE SWIVL BB BLACK</v>
      </c>
      <c r="C836" s="4">
        <v>300.8</v>
      </c>
      <c r="D836" s="5">
        <v>121.82</v>
      </c>
    </row>
    <row r="837" spans="1:4" x14ac:dyDescent="0.25">
      <c r="A837" s="2" t="str">
        <f>"02373B"</f>
        <v>02373B</v>
      </c>
      <c r="B837" s="2" t="str">
        <f>"3 1/8 SNAP - LARGE BAIL BLACK"</f>
        <v>3 1/8 SNAP - LARGE BAIL BLACK</v>
      </c>
      <c r="C837" s="4">
        <v>124.2</v>
      </c>
      <c r="D837" s="5">
        <v>50.3</v>
      </c>
    </row>
    <row r="838" spans="1:4" x14ac:dyDescent="0.25">
      <c r="A838" s="2" t="str">
        <f>"02375B"</f>
        <v>02375B</v>
      </c>
      <c r="B838" s="2" t="str">
        <f>"4 1/8 SNAP - LARGE BAIL BLACK"</f>
        <v>4 1/8 SNAP - LARGE BAIL BLACK</v>
      </c>
      <c r="C838" s="4">
        <v>177.3</v>
      </c>
      <c r="D838" s="5">
        <v>71.81</v>
      </c>
    </row>
    <row r="839" spans="1:4" x14ac:dyDescent="0.25">
      <c r="A839" s="2" t="str">
        <f>"02376B"</f>
        <v>02376B</v>
      </c>
      <c r="B839" s="2" t="str">
        <f>"4 WEB SNAP SHACKLE BLACK FINISH"</f>
        <v>4 WEB SNAP SHACKLE BLACK FINISH</v>
      </c>
      <c r="C839" s="4">
        <v>165.9</v>
      </c>
      <c r="D839" s="5">
        <v>67.19</v>
      </c>
    </row>
    <row r="840" spans="1:4" x14ac:dyDescent="0.25">
      <c r="A840" s="2" t="str">
        <f>"02377B"</f>
        <v>02377B</v>
      </c>
      <c r="B840" s="2" t="str">
        <f>"5 1/2 SNAP - LARGE BAIL BLACK"</f>
        <v>5 1/2 SNAP - LARGE BAIL BLACK</v>
      </c>
      <c r="C840" s="4">
        <v>275.60000000000002</v>
      </c>
      <c r="D840" s="5">
        <v>111.62</v>
      </c>
    </row>
    <row r="841" spans="1:4" x14ac:dyDescent="0.25">
      <c r="A841" s="2" t="str">
        <f>"02470B"</f>
        <v>02470B</v>
      </c>
      <c r="B841" s="2" t="str">
        <f>"1 3/8 SNAP - FIXED EYE BLACK"</f>
        <v>1 3/8 SNAP - FIXED EYE BLACK</v>
      </c>
      <c r="C841" s="4">
        <v>75.599999999999994</v>
      </c>
      <c r="D841" s="5">
        <v>30.62</v>
      </c>
    </row>
    <row r="842" spans="1:4" x14ac:dyDescent="0.25">
      <c r="A842" s="2" t="str">
        <f>"02471B"</f>
        <v>02471B</v>
      </c>
      <c r="B842" s="2" t="str">
        <f>"2 SNAP - FIXED EYE BLACK"</f>
        <v>2 SNAP - FIXED EYE BLACK</v>
      </c>
      <c r="C842" s="4">
        <v>85.1</v>
      </c>
      <c r="D842" s="5">
        <v>34.47</v>
      </c>
    </row>
    <row r="843" spans="1:4" x14ac:dyDescent="0.25">
      <c r="A843" s="2" t="str">
        <f>"02472B"</f>
        <v>02472B</v>
      </c>
      <c r="B843" s="2" t="str">
        <f>"2 3/4 SNAP - FIXED EYE BLACK"</f>
        <v>2 3/4 SNAP - FIXED EYE BLACK</v>
      </c>
      <c r="C843" s="4">
        <v>128.19999999999999</v>
      </c>
      <c r="D843" s="5">
        <v>51.92</v>
      </c>
    </row>
    <row r="844" spans="1:4" x14ac:dyDescent="0.25">
      <c r="A844" s="2" t="str">
        <f>"02473B"</f>
        <v>02473B</v>
      </c>
      <c r="B844" s="2" t="str">
        <f>"2 3/4 SNAP - SWIVEL EYE BLACK"</f>
        <v>2 3/4 SNAP - SWIVEL EYE BLACK</v>
      </c>
      <c r="C844" s="4">
        <v>110.5</v>
      </c>
      <c r="D844" s="5">
        <v>44.75</v>
      </c>
    </row>
    <row r="845" spans="1:4" x14ac:dyDescent="0.25">
      <c r="A845" s="2" t="str">
        <f>"02474B"</f>
        <v>02474B</v>
      </c>
      <c r="B845" s="2" t="str">
        <f>"2 3/4 SNAP SWIVEL CLEVIS BLACK"</f>
        <v>2 3/4 SNAP SWIVEL CLEVIS BLACK</v>
      </c>
      <c r="C845" s="4">
        <v>118.2</v>
      </c>
      <c r="D845" s="5">
        <v>47.87</v>
      </c>
    </row>
    <row r="846" spans="1:4" x14ac:dyDescent="0.25">
      <c r="A846" s="2" t="str">
        <f>"02475B"</f>
        <v>02475B</v>
      </c>
      <c r="B846" s="2" t="str">
        <f>"3 1/2 SNAP - SWIVEL EYE BLACK"</f>
        <v>3 1/2 SNAP - SWIVEL EYE BLACK</v>
      </c>
      <c r="C846" s="4">
        <v>130.19999999999999</v>
      </c>
      <c r="D846" s="5">
        <v>52.73</v>
      </c>
    </row>
    <row r="847" spans="1:4" x14ac:dyDescent="0.25">
      <c r="A847" s="2" t="str">
        <f>"02476B"</f>
        <v>02476B</v>
      </c>
      <c r="B847" s="2" t="str">
        <f>"3 7/8 SNAP SWIVEL CLEVIS BLACK"</f>
        <v>3 7/8 SNAP SWIVEL CLEVIS BLACK</v>
      </c>
      <c r="C847" s="4">
        <v>158.1</v>
      </c>
      <c r="D847" s="5">
        <v>64.03</v>
      </c>
    </row>
    <row r="848" spans="1:4" x14ac:dyDescent="0.25">
      <c r="A848" s="2" t="str">
        <f>"02477B"</f>
        <v>02477B</v>
      </c>
      <c r="B848" s="2" t="str">
        <f>"4 3/4 SNAP - SWIVEL EYE BLACK"</f>
        <v>4 3/4 SNAP - SWIVEL EYE BLACK</v>
      </c>
      <c r="C848" s="4">
        <v>237.3</v>
      </c>
      <c r="D848" s="5">
        <v>96.11</v>
      </c>
    </row>
    <row r="849" spans="1:4" x14ac:dyDescent="0.25">
      <c r="A849" s="2" t="str">
        <f>"02478B"</f>
        <v>02478B</v>
      </c>
      <c r="B849" s="2" t="str">
        <f>"4 3/4 SNAP SWIVEL CLEVIS BLACK"</f>
        <v>4 3/4 SNAP SWIVEL CLEVIS BLACK</v>
      </c>
      <c r="C849" s="4">
        <v>295.2</v>
      </c>
      <c r="D849" s="5">
        <v>119.56</v>
      </c>
    </row>
    <row r="850" spans="1:4" x14ac:dyDescent="0.25">
      <c r="A850" s="2" t="str">
        <f>"2471D"</f>
        <v>2471D</v>
      </c>
      <c r="B850" s="2" t="str">
        <f>"3 1/2 DOUBLE SNAP BLACK FORGED"</f>
        <v>3 1/2 DOUBLE SNAP BLACK FORGED</v>
      </c>
      <c r="C850" s="4">
        <v>89</v>
      </c>
      <c r="D850" s="5">
        <v>36.049999999999997</v>
      </c>
    </row>
    <row r="851" spans="1:4" x14ac:dyDescent="0.25">
      <c r="A851" s="2" t="str">
        <f>"02674B"</f>
        <v>02674B</v>
      </c>
      <c r="B851" s="2" t="str">
        <f>"3 5/32 QUICK RELEAS  SNAP SWVL EYE BLACK"</f>
        <v>3 5/32 QUICK RELEAS  SNAP SWVL EYE BLACK</v>
      </c>
      <c r="C851" s="4">
        <v>217.5</v>
      </c>
      <c r="D851" s="5">
        <v>88.09</v>
      </c>
    </row>
    <row r="852" spans="1:4" x14ac:dyDescent="0.25">
      <c r="A852" s="2" t="str">
        <f>"02675B"</f>
        <v>02675B</v>
      </c>
      <c r="B852" s="2" t="str">
        <f>"3 17/32 QUICK RELEAS SNAP SWVL EYE BLACK"</f>
        <v>3 17/32 QUICK RELEAS SNAP SWVL EYE BLACK</v>
      </c>
      <c r="C852" s="4">
        <v>292</v>
      </c>
      <c r="D852" s="5">
        <v>118.26</v>
      </c>
    </row>
    <row r="853" spans="1:4" x14ac:dyDescent="0.25">
      <c r="A853" s="2" t="str">
        <f>"02753B"</f>
        <v>02753B</v>
      </c>
      <c r="B853" s="2" t="str">
        <f>"4 TRIGGER SNAP LARGE EYE BLACK"</f>
        <v>4 TRIGGER SNAP LARGE EYE BLACK</v>
      </c>
      <c r="C853" s="4">
        <v>376.4</v>
      </c>
      <c r="D853" s="5">
        <v>152.44</v>
      </c>
    </row>
    <row r="854" spans="1:4" x14ac:dyDescent="0.25">
      <c r="A854" s="2" t="str">
        <f>"02855B"</f>
        <v>02855B</v>
      </c>
      <c r="B854" s="2" t="str">
        <f>"4 1/8 TRIGGER SNAP SWIVEL CLEVIS BLACK"</f>
        <v>4 1/8 TRIGGER SNAP SWIVEL CLEVIS BLACK</v>
      </c>
      <c r="C854" s="4">
        <v>451.9</v>
      </c>
      <c r="D854" s="5">
        <v>183.02</v>
      </c>
    </row>
    <row r="855" spans="1:4" x14ac:dyDescent="0.25">
      <c r="A855" s="2" t="str">
        <f>"06333B"</f>
        <v>06333B</v>
      </c>
      <c r="B855" s="2" t="str">
        <f>"6MM EYE NUT - DIA 1/2 BLACK"</f>
        <v>6MM EYE NUT - DIA 1/2 BLACK</v>
      </c>
      <c r="C855" s="4">
        <v>31</v>
      </c>
      <c r="D855" s="5">
        <v>12.56</v>
      </c>
    </row>
    <row r="856" spans="1:4" x14ac:dyDescent="0.25">
      <c r="A856" s="2" t="str">
        <f>"06344B"</f>
        <v>06344B</v>
      </c>
      <c r="B856" s="2" t="str">
        <f>"8MM EYE NUT - DIA 1/2 BLACK"</f>
        <v>8MM EYE NUT - DIA 1/2 BLACK</v>
      </c>
      <c r="C856" s="4">
        <v>47.5</v>
      </c>
      <c r="D856" s="5">
        <v>19.239999999999998</v>
      </c>
    </row>
    <row r="857" spans="1:4" x14ac:dyDescent="0.25">
      <c r="A857" s="2" t="str">
        <f>"06731B"</f>
        <v>06731B</v>
      </c>
      <c r="B857" s="2" t="str">
        <f>"5/32 TRIANGLE RING - L 1 3/16 BLACK"</f>
        <v>5/32 TRIANGLE RING - L 1 3/16 BLACK</v>
      </c>
      <c r="C857" s="4">
        <v>21.6</v>
      </c>
      <c r="D857" s="5">
        <v>8.75</v>
      </c>
    </row>
    <row r="858" spans="1:4" x14ac:dyDescent="0.25">
      <c r="A858" s="2" t="str">
        <f>"06732B"</f>
        <v>06732B</v>
      </c>
      <c r="B858" s="2" t="str">
        <f>"1/4 TRIANGLE RING - L 2 BLACK"</f>
        <v>1/4 TRIANGLE RING - L 2 BLACK</v>
      </c>
      <c r="C858" s="4">
        <v>40.9</v>
      </c>
      <c r="D858" s="5">
        <v>16.559999999999999</v>
      </c>
    </row>
    <row r="859" spans="1:4" x14ac:dyDescent="0.25">
      <c r="A859" s="2" t="str">
        <f>"06771B"</f>
        <v>06771B</v>
      </c>
      <c r="B859" s="2" t="str">
        <f>"5/16 - 1/4 DOUBLE ADJUSTER BLACK"</f>
        <v>5/16 - 1/4 DOUBLE ADJUSTER BLACK</v>
      </c>
      <c r="C859" s="4">
        <v>32.5</v>
      </c>
      <c r="D859" s="5">
        <v>13.16</v>
      </c>
    </row>
    <row r="860" spans="1:4" x14ac:dyDescent="0.25">
      <c r="A860" s="2" t="str">
        <f>"06772B"</f>
        <v>06772B</v>
      </c>
      <c r="B860" s="2" t="str">
        <f>"3/16 - 5/16 DOUBLE ADJUSTER BLACK"</f>
        <v>3/16 - 5/16 DOUBLE ADJUSTER BLACK</v>
      </c>
      <c r="C860" s="4">
        <v>47.8</v>
      </c>
      <c r="D860" s="5">
        <v>19.36</v>
      </c>
    </row>
    <row r="861" spans="1:4" x14ac:dyDescent="0.25">
      <c r="A861" s="2" t="str">
        <f>"06782B"</f>
        <v>06782B</v>
      </c>
      <c r="B861" s="2" t="str">
        <f>"3/16 RING - DIA 27/32 BLACK"</f>
        <v>3/16 RING - DIA 27/32 BLACK</v>
      </c>
      <c r="C861" s="4">
        <v>17.600000000000001</v>
      </c>
      <c r="D861" s="5">
        <v>7.13</v>
      </c>
    </row>
    <row r="862" spans="1:4" x14ac:dyDescent="0.25">
      <c r="A862" s="2" t="str">
        <f>"06783B"</f>
        <v>06783B</v>
      </c>
      <c r="B862" s="2" t="str">
        <f>"3/16 RING - DIA 1 9/32 BLACK"</f>
        <v>3/16 RING - DIA 1 9/32 BLACK</v>
      </c>
      <c r="C862" s="4">
        <v>22.4</v>
      </c>
      <c r="D862" s="5">
        <v>9.07</v>
      </c>
    </row>
    <row r="863" spans="1:4" x14ac:dyDescent="0.25">
      <c r="A863" s="2" t="str">
        <f>"06784B"</f>
        <v>06784B</v>
      </c>
      <c r="B863" s="2" t="str">
        <f>"9/32 RING - DIA 1 25/32 BLACK"</f>
        <v>9/32 RING - DIA 1 25/32 BLACK</v>
      </c>
      <c r="C863" s="4">
        <v>35.799999999999997</v>
      </c>
      <c r="D863" s="5">
        <v>14.5</v>
      </c>
    </row>
    <row r="864" spans="1:4" x14ac:dyDescent="0.25">
      <c r="A864" s="2" t="str">
        <f>"16762B"</f>
        <v>16762B</v>
      </c>
      <c r="B864" s="2" t="str">
        <f>"ADJUSTER W/ SPRING BAR BLACK"</f>
        <v>ADJUSTER W/ SPRING BAR BLACK</v>
      </c>
      <c r="C864" s="4">
        <v>165.6</v>
      </c>
      <c r="D864" s="5">
        <v>67.069999999999993</v>
      </c>
    </row>
    <row r="865" spans="1:4" x14ac:dyDescent="0.25">
      <c r="A865" s="2" t="str">
        <f>"16781B"</f>
        <v>16781B</v>
      </c>
      <c r="B865" s="2" t="str">
        <f>"13MM HR O RING BLACK"</f>
        <v>13MM HR O RING BLACK</v>
      </c>
      <c r="C865" s="4">
        <v>21.2</v>
      </c>
      <c r="D865" s="5">
        <v>8.59</v>
      </c>
    </row>
    <row r="866" spans="1:4" x14ac:dyDescent="0.25">
      <c r="A866" s="2" t="str">
        <f>"16782B"</f>
        <v>16782B</v>
      </c>
      <c r="B866" s="2" t="str">
        <f>"21.5MM HR O RING BLACK"</f>
        <v>21.5MM HR O RING BLACK</v>
      </c>
      <c r="C866" s="4">
        <v>27.2</v>
      </c>
      <c r="D866" s="5">
        <v>11.02</v>
      </c>
    </row>
    <row r="867" spans="1:4" x14ac:dyDescent="0.25">
      <c r="A867" s="2" t="str">
        <f>"16783B"</f>
        <v>16783B</v>
      </c>
      <c r="B867" s="2" t="str">
        <f>"33MM HR O RING BLACK"</f>
        <v>33MM HR O RING BLACK</v>
      </c>
      <c r="C867" s="4">
        <v>33.4</v>
      </c>
      <c r="D867" s="5">
        <v>13.53</v>
      </c>
    </row>
    <row r="868" spans="1:4" x14ac:dyDescent="0.25">
      <c r="A868" s="2" t="str">
        <f>"RW11SB"</f>
        <v>RW11SB</v>
      </c>
      <c r="B868" s="2" t="str">
        <f>"STAINLESS RING #11 BLACK"</f>
        <v>STAINLESS RING #11 BLACK</v>
      </c>
      <c r="C868" s="4">
        <v>30.8</v>
      </c>
      <c r="D868" s="5">
        <v>12.47</v>
      </c>
    </row>
    <row r="869" spans="1:4" x14ac:dyDescent="0.25">
      <c r="A869" s="2" t="str">
        <f>"RW3SB"</f>
        <v>RW3SB</v>
      </c>
      <c r="B869" s="2" t="str">
        <f>"STAINLESS RING #3 BLACK"</f>
        <v>STAINLESS RING #3 BLACK</v>
      </c>
      <c r="C869" s="4">
        <v>19</v>
      </c>
      <c r="D869" s="5">
        <v>7.7</v>
      </c>
    </row>
    <row r="870" spans="1:4" x14ac:dyDescent="0.25">
      <c r="A870" s="2" t="str">
        <f>"RW4SB"</f>
        <v>RW4SB</v>
      </c>
      <c r="B870" s="2" t="str">
        <f>"STAINLESS RING #4 BLACK"</f>
        <v>STAINLESS RING #4 BLACK</v>
      </c>
      <c r="C870" s="4">
        <v>17.100000000000001</v>
      </c>
      <c r="D870" s="5">
        <v>6.93</v>
      </c>
    </row>
    <row r="871" spans="1:4" x14ac:dyDescent="0.25">
      <c r="A871" s="2" t="str">
        <f>"RW8BS"</f>
        <v>RW8BS</v>
      </c>
      <c r="B871" s="2" t="str">
        <f>"STAINLESS RING #8 BENT SHINY BLACK"</f>
        <v>STAINLESS RING #8 BENT SHINY BLACK</v>
      </c>
      <c r="C871" s="4">
        <v>70.400000000000006</v>
      </c>
      <c r="D871" s="5">
        <v>28.51</v>
      </c>
    </row>
    <row r="872" spans="1:4" x14ac:dyDescent="0.25">
      <c r="A872" s="2" t="str">
        <f>"RW8SB"</f>
        <v>RW8SB</v>
      </c>
      <c r="B872" s="2" t="str">
        <f>"STAINLESS RING #8 BENT BLACK"</f>
        <v>STAINLESS RING #8 BENT BLACK</v>
      </c>
      <c r="C872" s="4">
        <v>63.8</v>
      </c>
      <c r="D872" s="5">
        <v>25.84</v>
      </c>
    </row>
    <row r="873" spans="1:4" x14ac:dyDescent="0.25">
      <c r="A873" s="2" t="str">
        <f>"RW8SFB"</f>
        <v>RW8SFB</v>
      </c>
      <c r="B873" s="2" t="str">
        <f>"STAINLESS RING #8 FLAT BLACK"</f>
        <v>STAINLESS RING #8 FLAT BLACK</v>
      </c>
      <c r="C873" s="4">
        <v>63.8</v>
      </c>
      <c r="D873" s="5">
        <v>25.84</v>
      </c>
    </row>
    <row r="874" spans="1:4" x14ac:dyDescent="0.25">
      <c r="A874" s="2" t="str">
        <f>"SP888B"</f>
        <v>SP888B</v>
      </c>
      <c r="B874" s="2" t="str">
        <f>"LEG ADJUSTER BLACK"</f>
        <v>LEG ADJUSTER BLACK</v>
      </c>
      <c r="C874" s="4">
        <v>74.8</v>
      </c>
      <c r="D874" s="5">
        <v>30.29</v>
      </c>
    </row>
    <row r="875" spans="1:4" x14ac:dyDescent="0.25">
      <c r="A875" s="2" t="str">
        <f>"32530"</f>
        <v>32530</v>
      </c>
      <c r="B875" s="2" t="str">
        <f>"11/16 &amp; 1 STAND UP SPRING"</f>
        <v>11/16 &amp; 1 STAND UP SPRING</v>
      </c>
      <c r="C875" s="4">
        <v>5.7</v>
      </c>
      <c r="D875" s="5">
        <v>2.31</v>
      </c>
    </row>
    <row r="876" spans="1:4" x14ac:dyDescent="0.25">
      <c r="A876" s="2" t="str">
        <f>"32540"</f>
        <v>32540</v>
      </c>
      <c r="B876" s="2" t="str">
        <f>"1 3/8 &amp; 1 3/4 STAND UP SPRING W/ CO"</f>
        <v>1 3/8 &amp; 1 3/4 STAND UP SPRING W/ CO</v>
      </c>
      <c r="C876" s="4">
        <v>6</v>
      </c>
      <c r="D876" s="5">
        <v>2.4300000000000002</v>
      </c>
    </row>
    <row r="877" spans="1:4" x14ac:dyDescent="0.25">
      <c r="A877" s="2" t="str">
        <f>"32550"</f>
        <v>32550</v>
      </c>
      <c r="B877" s="2" t="str">
        <f>"2 3/16 &amp; 2 3/4 STAND UP SPRING W/CO"</f>
        <v>2 3/16 &amp; 2 3/4 STAND UP SPRING W/CO</v>
      </c>
      <c r="C877" s="4">
        <v>7.6</v>
      </c>
      <c r="D877" s="5">
        <v>3.08</v>
      </c>
    </row>
    <row r="878" spans="1:4" x14ac:dyDescent="0.25">
      <c r="A878" s="2" t="str">
        <f>"32570"</f>
        <v>32570</v>
      </c>
      <c r="B878" s="2" t="str">
        <f>"1 3/8 &amp; 1 3/4 SWIVEL W/ CLEVIS ADAP"</f>
        <v>1 3/8 &amp; 1 3/4 SWIVEL W/ CLEVIS ADAP</v>
      </c>
      <c r="C878" s="4">
        <v>14.7</v>
      </c>
      <c r="D878" s="5">
        <v>5.95</v>
      </c>
    </row>
    <row r="879" spans="1:4" x14ac:dyDescent="0.25">
      <c r="A879" s="2" t="str">
        <f>"32571"</f>
        <v>32571</v>
      </c>
      <c r="B879" s="2" t="str">
        <f>"2 3/16 SWIVEL W/ CLEVIS ADAPTER"</f>
        <v>2 3/16 SWIVEL W/ CLEVIS ADAPTER</v>
      </c>
      <c r="C879" s="4">
        <v>19</v>
      </c>
      <c r="D879" s="5">
        <v>7.7</v>
      </c>
    </row>
    <row r="880" spans="1:4" x14ac:dyDescent="0.25">
      <c r="A880" s="2" t="str">
        <f>"32580"</f>
        <v>32580</v>
      </c>
      <c r="B880" s="2" t="str">
        <f>"MAST STEP ADAPTER - DIA 5/16"</f>
        <v>MAST STEP ADAPTER - DIA 5/16</v>
      </c>
      <c r="C880" s="4">
        <v>14.1</v>
      </c>
      <c r="D880" s="5">
        <v>5.71</v>
      </c>
    </row>
    <row r="881" spans="1:4" x14ac:dyDescent="0.25">
      <c r="A881" s="2" t="str">
        <f>"32581"</f>
        <v>32581</v>
      </c>
      <c r="B881" s="2" t="str">
        <f>"MAST STEP ADAPTER - DIA 9/16"</f>
        <v>MAST STEP ADAPTER - DIA 9/16</v>
      </c>
      <c r="C881" s="4">
        <v>18.8</v>
      </c>
      <c r="D881" s="5">
        <v>7.61</v>
      </c>
    </row>
    <row r="882" spans="1:4" x14ac:dyDescent="0.25">
      <c r="A882" s="2" t="str">
        <f>"60087"</f>
        <v>60087</v>
      </c>
      <c r="B882" s="2" t="str">
        <f>"SHEAVE"</f>
        <v>SHEAVE</v>
      </c>
      <c r="C882" s="4">
        <v>24.3</v>
      </c>
      <c r="D882" s="5">
        <v>9.84</v>
      </c>
    </row>
    <row r="883" spans="1:4" x14ac:dyDescent="0.25">
      <c r="A883" s="2" t="str">
        <f>"60A125C9-2"</f>
        <v>60A125C9-2</v>
      </c>
      <c r="B883" s="2" t="str">
        <f>"ROLLER FITTING 8111 11 0049"</f>
        <v>ROLLER FITTING 8111 11 0049</v>
      </c>
      <c r="C883" s="4">
        <v>47</v>
      </c>
      <c r="D883" s="5">
        <v>19.04</v>
      </c>
    </row>
    <row r="884" spans="1:4" x14ac:dyDescent="0.25">
      <c r="A884" s="2" t="str">
        <f>"8111110091"</f>
        <v>8111110091</v>
      </c>
      <c r="B884" s="2" t="str">
        <f>"RDS SLIDER - PARACONCEPTS"</f>
        <v>RDS SLIDER - PARACONCEPTS</v>
      </c>
      <c r="C884" s="4">
        <v>26.9</v>
      </c>
      <c r="D884" s="5">
        <v>10.89</v>
      </c>
    </row>
    <row r="885" spans="1:4" x14ac:dyDescent="0.25">
      <c r="A885" s="2" t="str">
        <f>"DJ444"</f>
        <v>DJ444</v>
      </c>
      <c r="B885" s="2" t="str">
        <f>"BENT D-RING"</f>
        <v>BENT D-RING</v>
      </c>
      <c r="C885" s="4">
        <v>65.8</v>
      </c>
      <c r="D885" s="5">
        <v>26.65</v>
      </c>
    </row>
    <row r="886" spans="1:4" x14ac:dyDescent="0.25">
      <c r="A886" s="2" t="str">
        <f>"DJSSA"</f>
        <v>DJSSA</v>
      </c>
      <c r="B886" s="2" t="str">
        <f>"QUICK-FIT ADAPTER"</f>
        <v>QUICK-FIT ADAPTER</v>
      </c>
      <c r="C886" s="4">
        <v>60.7</v>
      </c>
      <c r="D886" s="5">
        <v>24.58</v>
      </c>
    </row>
    <row r="887" spans="1:4" x14ac:dyDescent="0.25">
      <c r="A887" s="2" t="str">
        <f>"HK936"</f>
        <v>HK936</v>
      </c>
      <c r="B887" s="2" t="str">
        <f>"15/32 HR D SHACKLE W/O PIN"</f>
        <v>15/32 HR D SHACKLE W/O PIN</v>
      </c>
      <c r="C887" s="4">
        <v>148.69999999999999</v>
      </c>
      <c r="D887" s="5">
        <v>60.22</v>
      </c>
    </row>
    <row r="888" spans="1:4" x14ac:dyDescent="0.25">
      <c r="A888" s="2" t="str">
        <f>"HK990"</f>
        <v>HK990</v>
      </c>
      <c r="B888" s="2" t="str">
        <f>"3 1/8 SNAP W/O BAIL 72473 NO HOLE N"</f>
        <v>3 1/8 SNAP W/O BAIL 72473 NO HOLE N</v>
      </c>
      <c r="C888" s="4">
        <v>68.3</v>
      </c>
      <c r="D888" s="5">
        <v>27.66</v>
      </c>
    </row>
    <row r="889" spans="1:4" x14ac:dyDescent="0.25">
      <c r="A889" s="2" t="str">
        <f>"JT2384"</f>
        <v>JT2384</v>
      </c>
      <c r="B889" s="2" t="str">
        <f>"J-TECH HOOK W/THRD STUD"</f>
        <v>J-TECH HOOK W/THRD STUD</v>
      </c>
      <c r="C889" s="4">
        <v>87.1</v>
      </c>
      <c r="D889" s="5">
        <v>35.28</v>
      </c>
    </row>
    <row r="890" spans="1:4" x14ac:dyDescent="0.25">
      <c r="A890" s="2" t="str">
        <f>"RW11S"</f>
        <v>RW11S</v>
      </c>
      <c r="B890" s="2" t="str">
        <f>"STAINLESS RING #11"</f>
        <v>STAINLESS RING #11</v>
      </c>
      <c r="C890" s="4">
        <v>25.6</v>
      </c>
      <c r="D890" s="5">
        <v>10.37</v>
      </c>
    </row>
    <row r="891" spans="1:4" x14ac:dyDescent="0.25">
      <c r="A891" s="2" t="str">
        <f>"RW3BS"</f>
        <v>RW3BS</v>
      </c>
      <c r="B891" s="2" t="str">
        <f>"STAINLESS RING #3 SHINY BLACK"</f>
        <v>STAINLESS RING #3 SHINY BLACK</v>
      </c>
      <c r="C891" s="4">
        <v>30.1</v>
      </c>
      <c r="D891" s="5">
        <v>12.19</v>
      </c>
    </row>
    <row r="892" spans="1:4" x14ac:dyDescent="0.25">
      <c r="A892" s="2" t="str">
        <f>"RW3S"</f>
        <v>RW3S</v>
      </c>
      <c r="B892" s="2" t="str">
        <f>"STAINLESS RING #3"</f>
        <v>STAINLESS RING #3</v>
      </c>
      <c r="C892" s="4">
        <v>19</v>
      </c>
      <c r="D892" s="5">
        <v>7.7</v>
      </c>
    </row>
    <row r="893" spans="1:4" x14ac:dyDescent="0.25">
      <c r="A893" s="2" t="str">
        <f>"RW4BS"</f>
        <v>RW4BS</v>
      </c>
      <c r="B893" s="2" t="str">
        <f>"STAINLESS RING #4 SHINY BLACK"</f>
        <v>STAINLESS RING #4 SHINY BLACK</v>
      </c>
      <c r="C893" s="4">
        <v>22.8</v>
      </c>
      <c r="D893" s="5">
        <v>9.23</v>
      </c>
    </row>
    <row r="894" spans="1:4" x14ac:dyDescent="0.25">
      <c r="A894" s="2" t="str">
        <f>"RW4S"</f>
        <v>RW4S</v>
      </c>
      <c r="B894" s="2" t="str">
        <f>"STAINLESS RING #4"</f>
        <v>STAINLESS RING #4</v>
      </c>
      <c r="C894" s="4">
        <v>14.4</v>
      </c>
      <c r="D894" s="5">
        <v>5.83</v>
      </c>
    </row>
    <row r="895" spans="1:4" x14ac:dyDescent="0.25">
      <c r="A895" s="2" t="str">
        <f>"RW8S"</f>
        <v>RW8S</v>
      </c>
      <c r="B895" s="2" t="str">
        <f>"STAINLESS RING #8 17.4 PH"</f>
        <v>STAINLESS RING #8 17.4 PH</v>
      </c>
      <c r="C895" s="4">
        <v>55.2</v>
      </c>
      <c r="D895" s="5">
        <v>22.36</v>
      </c>
    </row>
    <row r="896" spans="1:4" x14ac:dyDescent="0.25">
      <c r="A896" s="2" t="str">
        <f>"RW8SF"</f>
        <v>RW8SF</v>
      </c>
      <c r="B896" s="2" t="str">
        <f>"STAINLESS RING #8 FLAT"</f>
        <v>STAINLESS RING #8 FLAT</v>
      </c>
      <c r="C896" s="4">
        <v>53.3</v>
      </c>
      <c r="D896" s="5">
        <v>21.59</v>
      </c>
    </row>
    <row r="897" spans="1:4" x14ac:dyDescent="0.25">
      <c r="A897" s="2" t="str">
        <f>"RW8SFBS"</f>
        <v>RW8SFBS</v>
      </c>
      <c r="B897" s="2" t="str">
        <f>"STAINLESS RING #8 FLAT SHINY BLACK"</f>
        <v>STAINLESS RING #8 FLAT SHINY BLACK</v>
      </c>
      <c r="C897" s="4">
        <v>71.5</v>
      </c>
      <c r="D897" s="5">
        <v>28.96</v>
      </c>
    </row>
    <row r="898" spans="1:4" x14ac:dyDescent="0.25">
      <c r="A898" s="2" t="str">
        <f>"09003"</f>
        <v>09003</v>
      </c>
      <c r="B898" s="2" t="str">
        <f>"KNIFE DISPLAY"</f>
        <v>KNIFE DISPLAY</v>
      </c>
      <c r="C898" s="4">
        <v>72.5</v>
      </c>
      <c r="D898" s="5">
        <v>29.36</v>
      </c>
    </row>
    <row r="899" spans="1:4" x14ac:dyDescent="0.25">
      <c r="A899" s="2" t="str">
        <f>"1266382377"</f>
        <v>1266382377</v>
      </c>
      <c r="B899" s="2" t="str">
        <f>"BELAY DEVICE FOR MTL CONVEYANCE"</f>
        <v>BELAY DEVICE FOR MTL CONVEYANCE</v>
      </c>
      <c r="C899" s="4">
        <v>1206.9000000000001</v>
      </c>
      <c r="D899" s="5">
        <v>488.79</v>
      </c>
    </row>
    <row r="900" spans="1:4" x14ac:dyDescent="0.25">
      <c r="A900" s="6" t="str">
        <f>"N-025-SS"</f>
        <v>N-025-SS</v>
      </c>
      <c r="B900" s="6" t="str">
        <f>"3/32 NORMAL STAINLESS"</f>
        <v>3/32 NORMAL STAINLESS</v>
      </c>
      <c r="C900" s="7">
        <v>8.6999999999999993</v>
      </c>
      <c r="D900" s="8">
        <v>3.52</v>
      </c>
    </row>
    <row r="901" spans="1:4" x14ac:dyDescent="0.25">
      <c r="A901" s="2" t="str">
        <f>"N-030-SS"</f>
        <v>N-030-SS</v>
      </c>
      <c r="B901" s="2" t="str">
        <f>"7/64 NORMAL STAINLESS"</f>
        <v>7/64 NORMAL STAINLESS</v>
      </c>
      <c r="C901" s="4">
        <v>8.8000000000000007</v>
      </c>
      <c r="D901" s="5">
        <v>3.56</v>
      </c>
    </row>
    <row r="902" spans="1:4" x14ac:dyDescent="0.25">
      <c r="A902" s="2" t="str">
        <f>"N-035-SS"</f>
        <v>N-035-SS</v>
      </c>
      <c r="B902" s="2" t="str">
        <f>"1/8 NORMAL STAINLESS"</f>
        <v>1/8 NORMAL STAINLESS</v>
      </c>
      <c r="C902" s="4">
        <v>9</v>
      </c>
      <c r="D902" s="5">
        <v>3.65</v>
      </c>
    </row>
    <row r="903" spans="1:4" x14ac:dyDescent="0.25">
      <c r="A903" s="2" t="str">
        <f>"N-035-SS BLACK"</f>
        <v>N-035-SS BLACK</v>
      </c>
      <c r="B903" s="2" t="str">
        <f>"1/8 NORMAL STAINLESS BLACK"</f>
        <v>1/8 NORMAL STAINLESS BLACK</v>
      </c>
      <c r="C903" s="4">
        <v>9</v>
      </c>
      <c r="D903" s="5">
        <v>3.65</v>
      </c>
    </row>
    <row r="904" spans="1:4" x14ac:dyDescent="0.25">
      <c r="A904" s="2" t="str">
        <f>"N-040-SS"</f>
        <v>N-040-SS</v>
      </c>
      <c r="B904" s="2" t="str">
        <f>"5/32 NORMAL STAINLESS"</f>
        <v>5/32 NORMAL STAINLESS</v>
      </c>
      <c r="C904" s="4">
        <v>11.1</v>
      </c>
      <c r="D904" s="5">
        <v>4.5</v>
      </c>
    </row>
    <row r="905" spans="1:4" x14ac:dyDescent="0.25">
      <c r="A905" s="2" t="str">
        <f>"N-040-SS BLACK"</f>
        <v>N-040-SS BLACK</v>
      </c>
      <c r="B905" s="2" t="str">
        <f>"5/32 NORMAL STAINLESS BLACK"</f>
        <v>5/32 NORMAL STAINLESS BLACK</v>
      </c>
      <c r="C905" s="4">
        <v>14.1</v>
      </c>
      <c r="D905" s="5">
        <v>5.71</v>
      </c>
    </row>
    <row r="906" spans="1:4" x14ac:dyDescent="0.25">
      <c r="A906" s="2" t="str">
        <f>"N-040-SSD"</f>
        <v>N-040-SSD</v>
      </c>
      <c r="B906" s="2" t="str">
        <f>"5/32 NORMAL STAINLESS DEBURRED"</f>
        <v>5/32 NORMAL STAINLESS DEBURRED</v>
      </c>
      <c r="C906" s="4">
        <v>12.3</v>
      </c>
      <c r="D906" s="5">
        <v>4.9800000000000004</v>
      </c>
    </row>
    <row r="907" spans="1:4" x14ac:dyDescent="0.25">
      <c r="A907" s="2" t="str">
        <f>"N-050-SS"</f>
        <v>N-050-SS</v>
      </c>
      <c r="B907" s="2" t="str">
        <f>"3/16 NORMAL STAINLESS"</f>
        <v>3/16 NORMAL STAINLESS</v>
      </c>
      <c r="C907" s="4">
        <v>12</v>
      </c>
      <c r="D907" s="5">
        <v>4.8600000000000003</v>
      </c>
    </row>
    <row r="908" spans="1:4" x14ac:dyDescent="0.25">
      <c r="A908" s="2" t="str">
        <f>"N-050-SS BLACK"</f>
        <v>N-050-SS BLACK</v>
      </c>
      <c r="B908" s="2" t="str">
        <f>"3/16 NORMAL STAINLESS BLACK"</f>
        <v>3/16 NORMAL STAINLESS BLACK</v>
      </c>
      <c r="C908" s="4">
        <v>12</v>
      </c>
      <c r="D908" s="5">
        <v>4.8600000000000003</v>
      </c>
    </row>
    <row r="909" spans="1:4" x14ac:dyDescent="0.25">
      <c r="A909" s="2" t="str">
        <f>"N-050-SSD"</f>
        <v>N-050-SSD</v>
      </c>
      <c r="B909" s="2" t="str">
        <f>"3/16 NORMAL STAINLESS DEBURRED"</f>
        <v>3/16 NORMAL STAINLESS DEBURRED</v>
      </c>
      <c r="C909" s="4">
        <v>13.3</v>
      </c>
      <c r="D909" s="5">
        <v>5.39</v>
      </c>
    </row>
    <row r="910" spans="1:4" x14ac:dyDescent="0.25">
      <c r="A910" s="2" t="str">
        <f>"N-050-SSPD"</f>
        <v>N-050-SSPD</v>
      </c>
      <c r="B910" s="2" t="str">
        <f>"3/16 NORMAL STAINLESS SPECIAL DEBURRED"</f>
        <v>3/16 NORMAL STAINLESS SPECIAL DEBURRED</v>
      </c>
      <c r="C910" s="4">
        <v>12.9</v>
      </c>
      <c r="D910" s="5">
        <v>5.22</v>
      </c>
    </row>
    <row r="911" spans="1:4" x14ac:dyDescent="0.25">
      <c r="A911" s="2" t="str">
        <f>"N-060-SS"</f>
        <v>N-060-SS</v>
      </c>
      <c r="B911" s="2" t="str">
        <f>"1/4 NORMAL STAINLESS"</f>
        <v>1/4 NORMAL STAINLESS</v>
      </c>
      <c r="C911" s="4">
        <v>15.8</v>
      </c>
      <c r="D911" s="5">
        <v>6.4</v>
      </c>
    </row>
    <row r="912" spans="1:4" x14ac:dyDescent="0.25">
      <c r="A912" s="2" t="str">
        <f>"N-060-SS BLACK"</f>
        <v>N-060-SS BLACK</v>
      </c>
      <c r="B912" s="2" t="str">
        <f>"1/4 NORMAL STAINLESS BLACK"</f>
        <v>1/4 NORMAL STAINLESS BLACK</v>
      </c>
      <c r="C912" s="4">
        <v>15.8</v>
      </c>
      <c r="D912" s="5">
        <v>6.4</v>
      </c>
    </row>
    <row r="913" spans="1:4" x14ac:dyDescent="0.25">
      <c r="A913" s="2" t="str">
        <f>"N-060-SSD"</f>
        <v>N-060-SSD</v>
      </c>
      <c r="B913" s="2" t="str">
        <f>"1/4 NORMAL STAINLESS DEBURRED"</f>
        <v>1/4 NORMAL STAINLESS DEBURRED</v>
      </c>
      <c r="C913" s="4">
        <v>17.399999999999999</v>
      </c>
      <c r="D913" s="5">
        <v>7.05</v>
      </c>
    </row>
    <row r="914" spans="1:4" x14ac:dyDescent="0.25">
      <c r="A914" s="2" t="str">
        <f>"N-060-SSPD"</f>
        <v>N-060-SSPD</v>
      </c>
      <c r="B914" s="2" t="str">
        <f>"1/4 NORMAL STAINLESS SPECIAL DEBURRED"</f>
        <v>1/4 NORMAL STAINLESS SPECIAL DEBURRED</v>
      </c>
      <c r="C914" s="4">
        <v>16.8</v>
      </c>
      <c r="D914" s="5">
        <v>6.8</v>
      </c>
    </row>
    <row r="915" spans="1:4" x14ac:dyDescent="0.25">
      <c r="A915" s="2" t="str">
        <f>"N-070-SS"</f>
        <v>N-070-SS</v>
      </c>
      <c r="B915" s="2" t="str">
        <f>"9/32 NORMAL STAINLESS"</f>
        <v>9/32 NORMAL STAINLESS</v>
      </c>
      <c r="C915" s="4">
        <v>21.2</v>
      </c>
      <c r="D915" s="5">
        <v>8.59</v>
      </c>
    </row>
    <row r="916" spans="1:4" x14ac:dyDescent="0.25">
      <c r="A916" s="2" t="str">
        <f>"N-070-SS BLACK"</f>
        <v>N-070-SS BLACK</v>
      </c>
      <c r="B916" s="2" t="str">
        <f>"9/32 NORMAL STAINLESS BLACK"</f>
        <v>9/32 NORMAL STAINLESS BLACK</v>
      </c>
      <c r="C916" s="4">
        <v>23.5</v>
      </c>
      <c r="D916" s="5">
        <v>9.52</v>
      </c>
    </row>
    <row r="917" spans="1:4" x14ac:dyDescent="0.25">
      <c r="A917" s="2" t="str">
        <f>"N-070-SS-PPE"</f>
        <v>N-070-SS-PPE</v>
      </c>
      <c r="B917" s="2" t="str">
        <f>"9/32 NORMAL STAINLESS PPE"</f>
        <v>9/32 NORMAL STAINLESS PPE</v>
      </c>
      <c r="C917" s="4">
        <v>23.8</v>
      </c>
      <c r="D917" s="5">
        <v>9.64</v>
      </c>
    </row>
    <row r="918" spans="1:4" x14ac:dyDescent="0.25">
      <c r="A918" s="2" t="str">
        <f>"N-070-SSD"</f>
        <v>N-070-SSD</v>
      </c>
      <c r="B918" s="2" t="str">
        <f>"9/32 NORMAL STAINLESS DEBURED"</f>
        <v>9/32 NORMAL STAINLESS DEBURED</v>
      </c>
      <c r="C918" s="4">
        <v>21.2</v>
      </c>
      <c r="D918" s="5">
        <v>8.59</v>
      </c>
    </row>
    <row r="919" spans="1:4" x14ac:dyDescent="0.25">
      <c r="A919" s="2" t="str">
        <f>"N-080-SS"</f>
        <v>N-080-SS</v>
      </c>
      <c r="B919" s="2" t="str">
        <f>"5/16 NORMAL STAINLESS"</f>
        <v>5/16 NORMAL STAINLESS</v>
      </c>
      <c r="C919" s="4">
        <v>26.3</v>
      </c>
      <c r="D919" s="5">
        <v>10.65</v>
      </c>
    </row>
    <row r="920" spans="1:4" x14ac:dyDescent="0.25">
      <c r="A920" s="2" t="str">
        <f>"N-080-SS BLACK"</f>
        <v>N-080-SS BLACK</v>
      </c>
      <c r="B920" s="2" t="str">
        <f>"5/16 NORMAL STAINLESS BLACK"</f>
        <v>5/16 NORMAL STAINLESS BLACK</v>
      </c>
      <c r="C920" s="4">
        <v>31.6</v>
      </c>
      <c r="D920" s="5">
        <v>12.8</v>
      </c>
    </row>
    <row r="921" spans="1:4" x14ac:dyDescent="0.25">
      <c r="A921" s="2" t="str">
        <f>"N-080-SS-PPE"</f>
        <v>N-080-SS-PPE</v>
      </c>
      <c r="B921" s="2" t="str">
        <f>"5/16 NORMAL STAINLESS PPE"</f>
        <v>5/16 NORMAL STAINLESS PPE</v>
      </c>
      <c r="C921" s="4">
        <v>27.5</v>
      </c>
      <c r="D921" s="5">
        <v>11.14</v>
      </c>
    </row>
    <row r="922" spans="1:4" x14ac:dyDescent="0.25">
      <c r="A922" s="2" t="str">
        <f>"N-090-SS"</f>
        <v>N-090-SS</v>
      </c>
      <c r="B922" s="2" t="str">
        <f>"3/8 NORMAL STAINLESS"</f>
        <v>3/8 NORMAL STAINLESS</v>
      </c>
      <c r="C922" s="4">
        <v>33</v>
      </c>
      <c r="D922" s="5">
        <v>13.37</v>
      </c>
    </row>
    <row r="923" spans="1:4" x14ac:dyDescent="0.25">
      <c r="A923" s="2" t="str">
        <f>"N-090-SS BLACK"</f>
        <v>N-090-SS BLACK</v>
      </c>
      <c r="B923" s="2" t="str">
        <f>"3/8 NORMAL STAINLESS BLACK"</f>
        <v>3/8 NORMAL STAINLESS BLACK</v>
      </c>
      <c r="C923" s="4">
        <v>33</v>
      </c>
      <c r="D923" s="5">
        <v>13.37</v>
      </c>
    </row>
    <row r="924" spans="1:4" x14ac:dyDescent="0.25">
      <c r="A924" s="2" t="str">
        <f>"N-100-SS"</f>
        <v>N-100-SS</v>
      </c>
      <c r="B924" s="2" t="str">
        <f>"7/16 NORMAL STAINLESS"</f>
        <v>7/16 NORMAL STAINLESS</v>
      </c>
      <c r="C924" s="4">
        <v>39.4</v>
      </c>
      <c r="D924" s="5">
        <v>15.96</v>
      </c>
    </row>
    <row r="925" spans="1:4" x14ac:dyDescent="0.25">
      <c r="A925" s="2" t="str">
        <f>"N-100-SS BLACK"</f>
        <v>N-100-SS BLACK</v>
      </c>
      <c r="B925" s="2" t="str">
        <f>"7/16 NORMAL STAINLESS BLACK"</f>
        <v>7/16 NORMAL STAINLESS BLACK</v>
      </c>
      <c r="C925" s="4">
        <v>39.4</v>
      </c>
      <c r="D925" s="5">
        <v>15.96</v>
      </c>
    </row>
    <row r="926" spans="1:4" x14ac:dyDescent="0.25">
      <c r="A926" s="2" t="str">
        <f>"N-100-SS-PPE"</f>
        <v>N-100-SS-PPE</v>
      </c>
      <c r="B926" s="2" t="str">
        <f>"7/16 NORMAL STAINLESS PPE"</f>
        <v>7/16 NORMAL STAINLESS PPE</v>
      </c>
      <c r="C926" s="4">
        <v>44</v>
      </c>
      <c r="D926" s="5">
        <v>17.82</v>
      </c>
    </row>
    <row r="927" spans="1:4" x14ac:dyDescent="0.25">
      <c r="A927" s="2" t="str">
        <f>"N-120-SS"</f>
        <v>N-120-SS</v>
      </c>
      <c r="B927" s="2" t="str">
        <f>"1/2 NORMAL STAINLESS"</f>
        <v>1/2 NORMAL STAINLESS</v>
      </c>
      <c r="C927" s="4">
        <v>63.7</v>
      </c>
      <c r="D927" s="5">
        <v>25.8</v>
      </c>
    </row>
    <row r="928" spans="1:4" x14ac:dyDescent="0.25">
      <c r="A928" s="2" t="str">
        <f>"N-120-SS BLACK"</f>
        <v>N-120-SS BLACK</v>
      </c>
      <c r="B928" s="2" t="str">
        <f>"1/2 NORMAL STAINLESS BLACK"</f>
        <v>1/2 NORMAL STAINLESS BLACK</v>
      </c>
      <c r="C928" s="4">
        <v>63.7</v>
      </c>
      <c r="D928" s="5">
        <v>25.8</v>
      </c>
    </row>
    <row r="929" spans="1:4" x14ac:dyDescent="0.25">
      <c r="A929" s="2" t="str">
        <f>"N-140-SS"</f>
        <v>N-140-SS</v>
      </c>
      <c r="B929" s="2" t="str">
        <f>"9/16 NORMAL STAINLESS"</f>
        <v>9/16 NORMAL STAINLESS</v>
      </c>
      <c r="C929" s="4">
        <v>100.2</v>
      </c>
      <c r="D929" s="5">
        <v>40.58</v>
      </c>
    </row>
    <row r="930" spans="1:4" x14ac:dyDescent="0.25">
      <c r="A930" s="2" t="str">
        <f>"N-160-SS"</f>
        <v>N-160-SS</v>
      </c>
      <c r="B930" s="2" t="str">
        <f>"5/8 NORMAL STAINLESS"</f>
        <v>5/8 NORMAL STAINLESS</v>
      </c>
      <c r="C930" s="4">
        <v>152</v>
      </c>
      <c r="D930" s="5">
        <v>61.56</v>
      </c>
    </row>
    <row r="931" spans="1:4" x14ac:dyDescent="0.25">
      <c r="A931" s="2" t="str">
        <f>"N-180-SS"</f>
        <v>N-180-SS</v>
      </c>
      <c r="B931" s="2" t="str">
        <f>"11/16 NORMAL STAINLESS"</f>
        <v>11/16 NORMAL STAINLESS</v>
      </c>
      <c r="C931" s="4">
        <v>243.3</v>
      </c>
      <c r="D931" s="5">
        <v>98.54</v>
      </c>
    </row>
    <row r="932" spans="1:4" x14ac:dyDescent="0.25">
      <c r="A932" s="2" t="str">
        <f>"D-025-SS"</f>
        <v>D-025-SS</v>
      </c>
      <c r="B932" s="2" t="str">
        <f>"3/32  DELTA STAINLESS"</f>
        <v>3/32  DELTA STAINLESS</v>
      </c>
      <c r="C932" s="4">
        <v>11.2</v>
      </c>
      <c r="D932" s="5">
        <v>4.54</v>
      </c>
    </row>
    <row r="933" spans="1:4" x14ac:dyDescent="0.25">
      <c r="A933" s="2" t="str">
        <f>"D-030-SS"</f>
        <v>D-030-SS</v>
      </c>
      <c r="B933" s="2" t="str">
        <f>"7/64   DELTA STAINLESS"</f>
        <v>7/64   DELTA STAINLESS</v>
      </c>
      <c r="C933" s="4">
        <v>11.3</v>
      </c>
      <c r="D933" s="5">
        <v>4.58</v>
      </c>
    </row>
    <row r="934" spans="1:4" x14ac:dyDescent="0.25">
      <c r="A934" s="2" t="str">
        <f>"D-035-SS"</f>
        <v>D-035-SS</v>
      </c>
      <c r="B934" s="2" t="str">
        <f>"1/8   DELTA STAINLESS"</f>
        <v>1/8   DELTA STAINLESS</v>
      </c>
      <c r="C934" s="4">
        <v>11.9</v>
      </c>
      <c r="D934" s="5">
        <v>4.82</v>
      </c>
    </row>
    <row r="935" spans="1:4" x14ac:dyDescent="0.25">
      <c r="A935" s="2" t="str">
        <f>"D-040-SS"</f>
        <v>D-040-SS</v>
      </c>
      <c r="B935" s="2" t="str">
        <f>"5/32   DELTA STAINLESS"</f>
        <v>5/32   DELTA STAINLESS</v>
      </c>
      <c r="C935" s="4">
        <v>13.3</v>
      </c>
      <c r="D935" s="5">
        <v>5.39</v>
      </c>
    </row>
    <row r="936" spans="1:4" x14ac:dyDescent="0.25">
      <c r="A936" s="2" t="str">
        <f>"D-050-SS"</f>
        <v>D-050-SS</v>
      </c>
      <c r="B936" s="2" t="str">
        <f>"3/16   DELTA STAINLESS"</f>
        <v>3/16   DELTA STAINLESS</v>
      </c>
      <c r="C936" s="4">
        <v>15.8</v>
      </c>
      <c r="D936" s="5">
        <v>6.4</v>
      </c>
    </row>
    <row r="937" spans="1:4" x14ac:dyDescent="0.25">
      <c r="A937" s="2" t="str">
        <f>"D-060-SS"</f>
        <v>D-060-SS</v>
      </c>
      <c r="B937" s="2" t="str">
        <f>"1/4   DELTA STAINLESS"</f>
        <v>1/4   DELTA STAINLESS</v>
      </c>
      <c r="C937" s="4">
        <v>19.8</v>
      </c>
      <c r="D937" s="5">
        <v>8.02</v>
      </c>
    </row>
    <row r="938" spans="1:4" x14ac:dyDescent="0.25">
      <c r="A938" s="2" t="str">
        <f>"D-060-SS BLACK"</f>
        <v>D-060-SS BLACK</v>
      </c>
      <c r="B938" s="2" t="str">
        <f>"1/4   DELTA STAINLESS BLACK"</f>
        <v>1/4   DELTA STAINLESS BLACK</v>
      </c>
      <c r="C938" s="4">
        <v>19.8</v>
      </c>
      <c r="D938" s="5">
        <v>8.02</v>
      </c>
    </row>
    <row r="939" spans="1:4" x14ac:dyDescent="0.25">
      <c r="A939" s="2" t="str">
        <f>"D-070-SS"</f>
        <v>D-070-SS</v>
      </c>
      <c r="B939" s="2" t="str">
        <f>"9/32   DELTA STAINLESS"</f>
        <v>9/32   DELTA STAINLESS</v>
      </c>
      <c r="C939" s="4">
        <v>26.1</v>
      </c>
      <c r="D939" s="5">
        <v>10.57</v>
      </c>
    </row>
    <row r="940" spans="1:4" x14ac:dyDescent="0.25">
      <c r="A940" s="2" t="str">
        <f>"D-070-SS-PPE"</f>
        <v>D-070-SS-PPE</v>
      </c>
      <c r="B940" s="2" t="str">
        <f>"9/32   DELTA STAINLESS PPE"</f>
        <v>9/32   DELTA STAINLESS PPE</v>
      </c>
      <c r="C940" s="4">
        <v>29.8</v>
      </c>
      <c r="D940" s="5">
        <v>12.07</v>
      </c>
    </row>
    <row r="941" spans="1:4" x14ac:dyDescent="0.25">
      <c r="A941" s="2" t="str">
        <f>"D-080-SS"</f>
        <v>D-080-SS</v>
      </c>
      <c r="B941" s="2" t="str">
        <f>"5/16   DELTA STAINLESS"</f>
        <v>5/16   DELTA STAINLESS</v>
      </c>
      <c r="C941" s="4">
        <v>33.9</v>
      </c>
      <c r="D941" s="5">
        <v>13.73</v>
      </c>
    </row>
    <row r="942" spans="1:4" x14ac:dyDescent="0.25">
      <c r="A942" s="2" t="str">
        <f>"D-080-SS BLACK"</f>
        <v>D-080-SS BLACK</v>
      </c>
      <c r="B942" s="2" t="str">
        <f>"5/16   DELTA STAINLESS BLACK"</f>
        <v>5/16   DELTA STAINLESS BLACK</v>
      </c>
      <c r="C942" s="4">
        <v>55.5</v>
      </c>
      <c r="D942" s="5">
        <v>22.48</v>
      </c>
    </row>
    <row r="943" spans="1:4" x14ac:dyDescent="0.25">
      <c r="A943" s="2" t="str">
        <f>"D-090-SS"</f>
        <v>D-090-SS</v>
      </c>
      <c r="B943" s="2" t="str">
        <f>"3/8   DELTA STAINLESS"</f>
        <v>3/8   DELTA STAINLESS</v>
      </c>
      <c r="C943" s="4">
        <v>40</v>
      </c>
      <c r="D943" s="5">
        <v>16.2</v>
      </c>
    </row>
    <row r="944" spans="1:4" x14ac:dyDescent="0.25">
      <c r="A944" s="2" t="str">
        <f>"D-100-SS"</f>
        <v>D-100-SS</v>
      </c>
      <c r="B944" s="2" t="str">
        <f>"7/16   DELTA STAINLESS"</f>
        <v>7/16   DELTA STAINLESS</v>
      </c>
      <c r="C944" s="4">
        <v>44.6</v>
      </c>
      <c r="D944" s="5">
        <v>18.059999999999999</v>
      </c>
    </row>
    <row r="945" spans="1:4" x14ac:dyDescent="0.25">
      <c r="A945" s="2" t="str">
        <f>"D-100-SS BLACK"</f>
        <v>D-100-SS BLACK</v>
      </c>
      <c r="B945" s="2" t="str">
        <f>"7/16   DELTA STAINLESS WICHARD BLACK"</f>
        <v>7/16   DELTA STAINLESS WICHARD BLACK</v>
      </c>
      <c r="C945" s="4">
        <v>71.900000000000006</v>
      </c>
      <c r="D945" s="5">
        <v>29.12</v>
      </c>
    </row>
    <row r="946" spans="1:4" x14ac:dyDescent="0.25">
      <c r="A946" s="2" t="str">
        <f>"D-120-SS"</f>
        <v>D-120-SS</v>
      </c>
      <c r="B946" s="2" t="str">
        <f>"1/2   DELTA STAINLESS"</f>
        <v>1/2   DELTA STAINLESS</v>
      </c>
      <c r="C946" s="4">
        <v>73</v>
      </c>
      <c r="D946" s="5">
        <v>29.57</v>
      </c>
    </row>
    <row r="947" spans="1:4" x14ac:dyDescent="0.25">
      <c r="A947" s="2" t="str">
        <f>"D-120-SS BLACK"</f>
        <v>D-120-SS BLACK</v>
      </c>
      <c r="B947" s="2" t="str">
        <f>"1/2   DELTA STAINLESS BLACK"</f>
        <v>1/2   DELTA STAINLESS BLACK</v>
      </c>
      <c r="C947" s="4">
        <v>73</v>
      </c>
      <c r="D947" s="5">
        <v>29.57</v>
      </c>
    </row>
    <row r="948" spans="1:4" x14ac:dyDescent="0.25">
      <c r="A948" s="2" t="str">
        <f>"D-140-SS"</f>
        <v>D-140-SS</v>
      </c>
      <c r="B948" s="2" t="str">
        <f>"9/16   DELTA STAINLESS"</f>
        <v>9/16   DELTA STAINLESS</v>
      </c>
      <c r="C948" s="4">
        <v>114</v>
      </c>
      <c r="D948" s="5">
        <v>46.17</v>
      </c>
    </row>
    <row r="949" spans="1:4" x14ac:dyDescent="0.25">
      <c r="A949" s="2" t="str">
        <f>"D-160-SS"</f>
        <v>D-160-SS</v>
      </c>
      <c r="B949" s="2" t="str">
        <f>"5/8   DELTA STAINLESS"</f>
        <v>5/8   DELTA STAINLESS</v>
      </c>
      <c r="C949" s="4">
        <v>169.5</v>
      </c>
      <c r="D949" s="5">
        <v>68.650000000000006</v>
      </c>
    </row>
    <row r="950" spans="1:4" x14ac:dyDescent="0.25">
      <c r="A950" s="2" t="str">
        <f>"MRSI03.5 S12"</f>
        <v>MRSI03.5 S12</v>
      </c>
      <c r="B950" s="2" t="str">
        <f>"3.5MM DELTA S 1/8"</f>
        <v>3.5MM DELTA S 1/8</v>
      </c>
      <c r="C950" s="4">
        <v>12.4</v>
      </c>
      <c r="D950" s="5">
        <v>5.0199999999999996</v>
      </c>
    </row>
    <row r="951" spans="1:4" x14ac:dyDescent="0.25">
      <c r="A951" s="2" t="str">
        <f>"G-025-SS"</f>
        <v>G-025-SS</v>
      </c>
      <c r="B951" s="2" t="str">
        <f>"3/32  LONG STAINLESS"</f>
        <v>3/32  LONG STAINLESS</v>
      </c>
      <c r="C951" s="4">
        <v>11.8</v>
      </c>
      <c r="D951" s="5">
        <v>4.78</v>
      </c>
    </row>
    <row r="952" spans="1:4" x14ac:dyDescent="0.25">
      <c r="A952" s="2" t="str">
        <f>"G-030-SS"</f>
        <v>G-030-SS</v>
      </c>
      <c r="B952" s="2" t="str">
        <f>"7/64   LONG STAINLESS"</f>
        <v>7/64   LONG STAINLESS</v>
      </c>
      <c r="C952" s="4">
        <v>11.9</v>
      </c>
      <c r="D952" s="5">
        <v>4.82</v>
      </c>
    </row>
    <row r="953" spans="1:4" x14ac:dyDescent="0.25">
      <c r="A953" s="2" t="str">
        <f>"G-035-SS"</f>
        <v>G-035-SS</v>
      </c>
      <c r="B953" s="2" t="str">
        <f>"1/8   LONG STAINLESS"</f>
        <v>1/8   LONG STAINLESS</v>
      </c>
      <c r="C953" s="4">
        <v>12.3</v>
      </c>
      <c r="D953" s="5">
        <v>4.9800000000000004</v>
      </c>
    </row>
    <row r="954" spans="1:4" x14ac:dyDescent="0.25">
      <c r="A954" s="2" t="str">
        <f>"G-040-SS"</f>
        <v>G-040-SS</v>
      </c>
      <c r="B954" s="2" t="str">
        <f>"5/32   LONG STAINLESS"</f>
        <v>5/32   LONG STAINLESS</v>
      </c>
      <c r="C954" s="4">
        <v>13.3</v>
      </c>
      <c r="D954" s="5">
        <v>5.39</v>
      </c>
    </row>
    <row r="955" spans="1:4" x14ac:dyDescent="0.25">
      <c r="A955" s="2" t="str">
        <f>"G-040-SS BLACK"</f>
        <v>G-040-SS BLACK</v>
      </c>
      <c r="B955" s="2" t="str">
        <f>"5/32   LONG STAINLESS BLACK"</f>
        <v>5/32   LONG STAINLESS BLACK</v>
      </c>
      <c r="C955" s="4">
        <v>5.9</v>
      </c>
      <c r="D955" s="5">
        <v>2.39</v>
      </c>
    </row>
    <row r="956" spans="1:4" x14ac:dyDescent="0.25">
      <c r="A956" s="2" t="str">
        <f>"G-050-SS"</f>
        <v>G-050-SS</v>
      </c>
      <c r="B956" s="2" t="str">
        <f>"3/16   LONG STAINLESS"</f>
        <v>3/16   LONG STAINLESS</v>
      </c>
      <c r="C956" s="4">
        <v>15.6</v>
      </c>
      <c r="D956" s="5">
        <v>6.32</v>
      </c>
    </row>
    <row r="957" spans="1:4" x14ac:dyDescent="0.25">
      <c r="A957" s="2" t="str">
        <f>"G-050-SS BLACK"</f>
        <v>G-050-SS BLACK</v>
      </c>
      <c r="B957" s="2" t="str">
        <f>"3/16   LONG STAINLESS BLACK"</f>
        <v>3/16   LONG STAINLESS BLACK</v>
      </c>
      <c r="C957" s="4">
        <v>15.2</v>
      </c>
      <c r="D957" s="5">
        <v>6.16</v>
      </c>
    </row>
    <row r="958" spans="1:4" x14ac:dyDescent="0.25">
      <c r="A958" s="2" t="str">
        <f>"G-060-SS"</f>
        <v>G-060-SS</v>
      </c>
      <c r="B958" s="2" t="str">
        <f>"1/4   LONG STAINLESS"</f>
        <v>1/4   LONG STAINLESS</v>
      </c>
      <c r="C958" s="4">
        <v>20</v>
      </c>
      <c r="D958" s="5">
        <v>8.1</v>
      </c>
    </row>
    <row r="959" spans="1:4" x14ac:dyDescent="0.25">
      <c r="A959" s="2" t="str">
        <f>"G-060-SS BLACK"</f>
        <v>G-060-SS BLACK</v>
      </c>
      <c r="B959" s="2" t="str">
        <f>"1/4   LONG STAINLESS BLACK"</f>
        <v>1/4   LONG STAINLESS BLACK</v>
      </c>
      <c r="C959" s="4">
        <v>14.1</v>
      </c>
      <c r="D959" s="5">
        <v>5.71</v>
      </c>
    </row>
    <row r="960" spans="1:4" x14ac:dyDescent="0.25">
      <c r="A960" s="2" t="str">
        <f>"G-070-SS"</f>
        <v>G-070-SS</v>
      </c>
      <c r="B960" s="2" t="str">
        <f>"9/32   LONG STAINLESS"</f>
        <v>9/32   LONG STAINLESS</v>
      </c>
      <c r="C960" s="4">
        <v>26.2</v>
      </c>
      <c r="D960" s="5">
        <v>10.61</v>
      </c>
    </row>
    <row r="961" spans="1:4" x14ac:dyDescent="0.25">
      <c r="A961" s="2" t="str">
        <f>"G-070-SS-PPE"</f>
        <v>G-070-SS-PPE</v>
      </c>
      <c r="B961" s="2" t="str">
        <f>"9/32   LONG STAINLESS PPE"</f>
        <v>9/32   LONG STAINLESS PPE</v>
      </c>
      <c r="C961" s="4">
        <v>30</v>
      </c>
      <c r="D961" s="5">
        <v>12.15</v>
      </c>
    </row>
    <row r="962" spans="1:4" x14ac:dyDescent="0.25">
      <c r="A962" s="2" t="str">
        <f>"G-080-SS"</f>
        <v>G-080-SS</v>
      </c>
      <c r="B962" s="2" t="str">
        <f>"5/16   LONG STAINLESS"</f>
        <v>5/16   LONG STAINLESS</v>
      </c>
      <c r="C962" s="4">
        <v>34.799999999999997</v>
      </c>
      <c r="D962" s="5">
        <v>14.09</v>
      </c>
    </row>
    <row r="963" spans="1:4" x14ac:dyDescent="0.25">
      <c r="A963" s="2" t="str">
        <f>"G-090-SS"</f>
        <v>G-090-SS</v>
      </c>
      <c r="B963" s="2" t="str">
        <f>"3/8   LONG STAINLESS"</f>
        <v>3/8   LONG STAINLESS</v>
      </c>
      <c r="C963" s="4">
        <v>41.3</v>
      </c>
      <c r="D963" s="5">
        <v>16.73</v>
      </c>
    </row>
    <row r="964" spans="1:4" x14ac:dyDescent="0.25">
      <c r="A964" s="2" t="str">
        <f>"G-100-SS"</f>
        <v>G-100-SS</v>
      </c>
      <c r="B964" s="2" t="str">
        <f>"7/16   LONG STAINLESS"</f>
        <v>7/16   LONG STAINLESS</v>
      </c>
      <c r="C964" s="4">
        <v>47.6</v>
      </c>
      <c r="D964" s="5">
        <v>19.28</v>
      </c>
    </row>
    <row r="965" spans="1:4" x14ac:dyDescent="0.25">
      <c r="A965" s="2" t="str">
        <f>"G-120-SS"</f>
        <v>G-120-SS</v>
      </c>
      <c r="B965" s="2" t="str">
        <f>"1/2   LONG STAINLESS"</f>
        <v>1/2   LONG STAINLESS</v>
      </c>
      <c r="C965" s="4">
        <v>75.5</v>
      </c>
      <c r="D965" s="5">
        <v>30.58</v>
      </c>
    </row>
    <row r="966" spans="1:4" x14ac:dyDescent="0.25">
      <c r="A966" s="2" t="str">
        <f>"G-140-SS"</f>
        <v>G-140-SS</v>
      </c>
      <c r="B966" s="2" t="str">
        <f>"9/16   LONG STAINLESS"</f>
        <v>9/16   LONG STAINLESS</v>
      </c>
      <c r="C966" s="4">
        <v>116.1</v>
      </c>
      <c r="D966" s="5">
        <v>47.02</v>
      </c>
    </row>
    <row r="967" spans="1:4" x14ac:dyDescent="0.25">
      <c r="A967" s="2" t="str">
        <f>"G-160-SS"</f>
        <v>G-160-SS</v>
      </c>
      <c r="B967" s="2" t="str">
        <f>"5/8   LONG STAINLESS"</f>
        <v>5/8   LONG STAINLESS</v>
      </c>
      <c r="C967" s="4">
        <v>172</v>
      </c>
      <c r="D967" s="5">
        <v>69.66</v>
      </c>
    </row>
    <row r="968" spans="1:4" x14ac:dyDescent="0.25">
      <c r="A968" s="2" t="str">
        <f>"G-180-SS"</f>
        <v>G-180-SS</v>
      </c>
      <c r="B968" s="2" t="str">
        <f>"11/16   LONG STAINLESS"</f>
        <v>11/16   LONG STAINLESS</v>
      </c>
      <c r="C968" s="4">
        <v>279.7</v>
      </c>
      <c r="D968" s="5">
        <v>113.28</v>
      </c>
    </row>
    <row r="969" spans="1:4" x14ac:dyDescent="0.25">
      <c r="A969" s="2" t="str">
        <f>"S-030-SS"</f>
        <v>S-030-SS</v>
      </c>
      <c r="B969" s="2" t="str">
        <f>"7/64   SQUARE STAINLESS"</f>
        <v>7/64   SQUARE STAINLESS</v>
      </c>
      <c r="C969" s="4">
        <v>15.8</v>
      </c>
      <c r="D969" s="5">
        <v>6.4</v>
      </c>
    </row>
    <row r="970" spans="1:4" x14ac:dyDescent="0.25">
      <c r="A970" s="2" t="str">
        <f>"S-035-SS"</f>
        <v>S-035-SS</v>
      </c>
      <c r="B970" s="2" t="str">
        <f>"1/8   SQUARE STAINLESS"</f>
        <v>1/8   SQUARE STAINLESS</v>
      </c>
      <c r="C970" s="4">
        <v>16</v>
      </c>
      <c r="D970" s="5">
        <v>6.48</v>
      </c>
    </row>
    <row r="971" spans="1:4" x14ac:dyDescent="0.25">
      <c r="A971" s="2" t="str">
        <f>"S-040-SS"</f>
        <v>S-040-SS</v>
      </c>
      <c r="B971" s="2" t="str">
        <f>"5/32   SQUARE STAINLESS"</f>
        <v>5/32   SQUARE STAINLESS</v>
      </c>
      <c r="C971" s="4">
        <v>17.399999999999999</v>
      </c>
      <c r="D971" s="5">
        <v>7.05</v>
      </c>
    </row>
    <row r="972" spans="1:4" x14ac:dyDescent="0.25">
      <c r="A972" s="2" t="str">
        <f>"S-050-SS"</f>
        <v>S-050-SS</v>
      </c>
      <c r="B972" s="2" t="str">
        <f>"3/16   SQUARE STAINLESS"</f>
        <v>3/16   SQUARE STAINLESS</v>
      </c>
      <c r="C972" s="4">
        <v>18.5</v>
      </c>
      <c r="D972" s="5">
        <v>7.49</v>
      </c>
    </row>
    <row r="973" spans="1:4" x14ac:dyDescent="0.25">
      <c r="A973" s="2" t="str">
        <f>"S-060-SS"</f>
        <v>S-060-SS</v>
      </c>
      <c r="B973" s="2" t="str">
        <f>"1/4   SQUARE STAINLESS"</f>
        <v>1/4   SQUARE STAINLESS</v>
      </c>
      <c r="C973" s="4">
        <v>24.5</v>
      </c>
      <c r="D973" s="5">
        <v>9.92</v>
      </c>
    </row>
    <row r="974" spans="1:4" x14ac:dyDescent="0.25">
      <c r="A974" s="2" t="str">
        <f>"S-070-SS"</f>
        <v>S-070-SS</v>
      </c>
      <c r="B974" s="2" t="str">
        <f>"9/32   SQUARE STAINLESS"</f>
        <v>9/32   SQUARE STAINLESS</v>
      </c>
      <c r="C974" s="4">
        <v>30.8</v>
      </c>
      <c r="D974" s="5">
        <v>12.47</v>
      </c>
    </row>
    <row r="975" spans="1:4" x14ac:dyDescent="0.25">
      <c r="A975" s="2" t="str">
        <f>"S-080-SS"</f>
        <v>S-080-SS</v>
      </c>
      <c r="B975" s="2" t="str">
        <f>"5/16   SQUARE STAINLESS"</f>
        <v>5/16   SQUARE STAINLESS</v>
      </c>
      <c r="C975" s="4">
        <v>42.7</v>
      </c>
      <c r="D975" s="5">
        <v>17.29</v>
      </c>
    </row>
    <row r="976" spans="1:4" x14ac:dyDescent="0.25">
      <c r="A976" s="2" t="str">
        <f>"S-090-SS"</f>
        <v>S-090-SS</v>
      </c>
      <c r="B976" s="2" t="str">
        <f>"3/8   SQUARE STAINLESS"</f>
        <v>3/8   SQUARE STAINLESS</v>
      </c>
      <c r="C976" s="4">
        <v>51.6</v>
      </c>
      <c r="D976" s="5">
        <v>20.9</v>
      </c>
    </row>
    <row r="977" spans="1:4" x14ac:dyDescent="0.25">
      <c r="A977" s="2" t="str">
        <f>"S-100-SS"</f>
        <v>S-100-SS</v>
      </c>
      <c r="B977" s="2" t="str">
        <f>"7/16   SQUARE STAINLESS"</f>
        <v>7/16   SQUARE STAINLESS</v>
      </c>
      <c r="C977" s="4">
        <v>62.7</v>
      </c>
      <c r="D977" s="5">
        <v>25.39</v>
      </c>
    </row>
    <row r="978" spans="1:4" x14ac:dyDescent="0.25">
      <c r="A978" s="2" t="str">
        <f>"S-120-SS"</f>
        <v>S-120-SS</v>
      </c>
      <c r="B978" s="2" t="str">
        <f>"1/2   SQUARE STAINLESS"</f>
        <v>1/2   SQUARE STAINLESS</v>
      </c>
      <c r="C978" s="4">
        <v>87.1</v>
      </c>
      <c r="D978" s="5">
        <v>35.28</v>
      </c>
    </row>
    <row r="979" spans="1:4" x14ac:dyDescent="0.25">
      <c r="A979" s="2" t="str">
        <f>"S-140-SS"</f>
        <v>S-140-SS</v>
      </c>
      <c r="B979" s="2" t="str">
        <f>"9/16   SQUARE STAINLESS"</f>
        <v>9/16   SQUARE STAINLESS</v>
      </c>
      <c r="C979" s="4">
        <v>150.69999999999999</v>
      </c>
      <c r="D979" s="5">
        <v>61.03</v>
      </c>
    </row>
    <row r="980" spans="1:4" x14ac:dyDescent="0.25">
      <c r="A980" s="2" t="str">
        <f>"S-160-SS"</f>
        <v>S-160-SS</v>
      </c>
      <c r="B980" s="2" t="str">
        <f>"5/8   SQUARE STAINLESS"</f>
        <v>5/8   SQUARE STAINLESS</v>
      </c>
      <c r="C980" s="4">
        <v>224.8</v>
      </c>
      <c r="D980" s="5">
        <v>91.04</v>
      </c>
    </row>
    <row r="981" spans="1:4" x14ac:dyDescent="0.25">
      <c r="A981" s="2" t="str">
        <f>"TR-035-SS"</f>
        <v>TR-035-SS</v>
      </c>
      <c r="B981" s="2" t="str">
        <f>"1/8 TRAPEZE STAINLESS"</f>
        <v>1/8 TRAPEZE STAINLESS</v>
      </c>
      <c r="C981" s="4">
        <v>30.7</v>
      </c>
      <c r="D981" s="5">
        <v>12.43</v>
      </c>
    </row>
    <row r="982" spans="1:4" x14ac:dyDescent="0.25">
      <c r="A982" s="2" t="str">
        <f>"TR-060-SS"</f>
        <v>TR-060-SS</v>
      </c>
      <c r="B982" s="2" t="str">
        <f>"1/4    TRAPEZE STAINLESS"</f>
        <v>1/4    TRAPEZE STAINLESS</v>
      </c>
      <c r="C982" s="4">
        <v>36.5</v>
      </c>
      <c r="D982" s="5">
        <v>14.78</v>
      </c>
    </row>
    <row r="983" spans="1:4" x14ac:dyDescent="0.25">
      <c r="A983" s="2" t="str">
        <f>"P-030-SS"</f>
        <v>P-030-SS</v>
      </c>
      <c r="B983" s="2" t="str">
        <f>"7/64   PEAR STAINLESS"</f>
        <v>7/64   PEAR STAINLESS</v>
      </c>
      <c r="C983" s="4">
        <v>12</v>
      </c>
      <c r="D983" s="5">
        <v>4.8600000000000003</v>
      </c>
    </row>
    <row r="984" spans="1:4" x14ac:dyDescent="0.25">
      <c r="A984" s="2" t="str">
        <f>"P-035-SS"</f>
        <v>P-035-SS</v>
      </c>
      <c r="B984" s="2" t="str">
        <f>"1/8   PEAR STAINLESS"</f>
        <v>1/8   PEAR STAINLESS</v>
      </c>
      <c r="C984" s="4">
        <v>12.4</v>
      </c>
      <c r="D984" s="5">
        <v>5.0199999999999996</v>
      </c>
    </row>
    <row r="985" spans="1:4" x14ac:dyDescent="0.25">
      <c r="A985" s="2" t="str">
        <f>"P-040-SS"</f>
        <v>P-040-SS</v>
      </c>
      <c r="B985" s="2" t="str">
        <f>"5/32   PEAR STAINLESS"</f>
        <v>5/32   PEAR STAINLESS</v>
      </c>
      <c r="C985" s="4">
        <v>13.7</v>
      </c>
      <c r="D985" s="5">
        <v>5.55</v>
      </c>
    </row>
    <row r="986" spans="1:4" x14ac:dyDescent="0.25">
      <c r="A986" s="2" t="str">
        <f>"P-050-SS"</f>
        <v>P-050-SS</v>
      </c>
      <c r="B986" s="2" t="str">
        <f>"3/16   PEAR STAINLESS"</f>
        <v>3/16   PEAR STAINLESS</v>
      </c>
      <c r="C986" s="4">
        <v>16.7</v>
      </c>
      <c r="D986" s="5">
        <v>6.76</v>
      </c>
    </row>
    <row r="987" spans="1:4" x14ac:dyDescent="0.25">
      <c r="A987" s="2" t="str">
        <f>"P-060-SS"</f>
        <v>P-060-SS</v>
      </c>
      <c r="B987" s="2" t="str">
        <f>"1/4   PEAR STAINLESS"</f>
        <v>1/4   PEAR STAINLESS</v>
      </c>
      <c r="C987" s="4">
        <v>22.3</v>
      </c>
      <c r="D987" s="5">
        <v>9.0299999999999994</v>
      </c>
    </row>
    <row r="988" spans="1:4" x14ac:dyDescent="0.25">
      <c r="A988" s="2" t="str">
        <f>"P-070-SS"</f>
        <v>P-070-SS</v>
      </c>
      <c r="B988" s="2" t="str">
        <f>"9/32   PEAR STAINLESS"</f>
        <v>9/32   PEAR STAINLESS</v>
      </c>
      <c r="C988" s="4">
        <v>30</v>
      </c>
      <c r="D988" s="5">
        <v>12.15</v>
      </c>
    </row>
    <row r="989" spans="1:4" x14ac:dyDescent="0.25">
      <c r="A989" s="2" t="str">
        <f>"P-080-SS"</f>
        <v>P-080-SS</v>
      </c>
      <c r="B989" s="2" t="str">
        <f>"5/16   PEAR STAINLESS"</f>
        <v>5/16   PEAR STAINLESS</v>
      </c>
      <c r="C989" s="4">
        <v>40.5</v>
      </c>
      <c r="D989" s="5">
        <v>16.399999999999999</v>
      </c>
    </row>
    <row r="990" spans="1:4" x14ac:dyDescent="0.25">
      <c r="A990" s="2" t="str">
        <f>"P-090-SS"</f>
        <v>P-090-SS</v>
      </c>
      <c r="B990" s="2" t="str">
        <f>"3/8   PEAR STAINLESS"</f>
        <v>3/8   PEAR STAINLESS</v>
      </c>
      <c r="C990" s="4">
        <v>47.4</v>
      </c>
      <c r="D990" s="5">
        <v>19.2</v>
      </c>
    </row>
    <row r="991" spans="1:4" x14ac:dyDescent="0.25">
      <c r="A991" s="2" t="str">
        <f>"P-100-SS"</f>
        <v>P-100-SS</v>
      </c>
      <c r="B991" s="2" t="str">
        <f>"7/16   PEAR STAINLESS"</f>
        <v>7/16   PEAR STAINLESS</v>
      </c>
      <c r="C991" s="4">
        <v>49.7</v>
      </c>
      <c r="D991" s="5">
        <v>20.13</v>
      </c>
    </row>
    <row r="992" spans="1:4" x14ac:dyDescent="0.25">
      <c r="A992" s="2" t="str">
        <f>"P-120-SS"</f>
        <v>P-120-SS</v>
      </c>
      <c r="B992" s="2" t="str">
        <f>"1/2   PEAR STAINLESS"</f>
        <v>1/2   PEAR STAINLESS</v>
      </c>
      <c r="C992" s="4">
        <v>81.3</v>
      </c>
      <c r="D992" s="5">
        <v>32.93</v>
      </c>
    </row>
    <row r="993" spans="1:4" x14ac:dyDescent="0.25">
      <c r="A993" s="2" t="str">
        <f>"P-140-SS"</f>
        <v>P-140-SS</v>
      </c>
      <c r="B993" s="2" t="str">
        <f>"9/16   PEAR STAINLESS"</f>
        <v>9/16   PEAR STAINLESS</v>
      </c>
      <c r="C993" s="4">
        <v>129.9</v>
      </c>
      <c r="D993" s="5">
        <v>52.61</v>
      </c>
    </row>
    <row r="994" spans="1:4" x14ac:dyDescent="0.25">
      <c r="A994" s="2" t="str">
        <f>"P-160-SS"</f>
        <v>P-160-SS</v>
      </c>
      <c r="B994" s="2" t="str">
        <f>"5/8   PEAR STAINLESS STEEL"</f>
        <v>5/8   PEAR STAINLESS STEEL</v>
      </c>
      <c r="C994" s="4">
        <v>193.6</v>
      </c>
      <c r="D994" s="5">
        <v>78.41</v>
      </c>
    </row>
    <row r="995" spans="1:4" x14ac:dyDescent="0.25">
      <c r="A995" s="2" t="str">
        <f>"WL950-SS-PPE"</f>
        <v>WL950-SS-PPE</v>
      </c>
      <c r="B995" s="2" t="str">
        <f>"3/8 HALF-MOON STAINLESS PPE CERT."</f>
        <v>3/8 HALF-MOON STAINLESS PPE CERT.</v>
      </c>
      <c r="C995" s="4">
        <v>73.099999999999994</v>
      </c>
      <c r="D995" s="5">
        <v>29.61</v>
      </c>
    </row>
    <row r="996" spans="1:4" x14ac:dyDescent="0.25">
      <c r="A996" s="2" t="str">
        <f>"N-025-GS"</f>
        <v>N-025-GS</v>
      </c>
      <c r="B996" s="2" t="str">
        <f>"1/10 NORMAL GALVANIZED"</f>
        <v>1/10 NORMAL GALVANIZED</v>
      </c>
      <c r="C996" s="4">
        <v>3.7</v>
      </c>
      <c r="D996" s="5">
        <v>1.5</v>
      </c>
    </row>
    <row r="997" spans="1:4" x14ac:dyDescent="0.25">
      <c r="A997" s="2" t="str">
        <f>"N-030-GS"</f>
        <v>N-030-GS</v>
      </c>
      <c r="B997" s="2" t="str">
        <f>"7/64 NORMAL GALVANIZED"</f>
        <v>7/64 NORMAL GALVANIZED</v>
      </c>
      <c r="C997" s="4">
        <v>3.8</v>
      </c>
      <c r="D997" s="5">
        <v>1.54</v>
      </c>
    </row>
    <row r="998" spans="1:4" x14ac:dyDescent="0.25">
      <c r="A998" s="2" t="str">
        <f>"N-035-GS"</f>
        <v>N-035-GS</v>
      </c>
      <c r="B998" s="2" t="str">
        <f>"1/8 NORMAL GALVANIZED"</f>
        <v>1/8 NORMAL GALVANIZED</v>
      </c>
      <c r="C998" s="4">
        <v>3.9</v>
      </c>
      <c r="D998" s="5">
        <v>1.58</v>
      </c>
    </row>
    <row r="999" spans="1:4" x14ac:dyDescent="0.25">
      <c r="A999" s="2" t="str">
        <f>"N-040-GS"</f>
        <v>N-040-GS</v>
      </c>
      <c r="B999" s="2" t="str">
        <f>"5/32 NORMAL GALVANIZED"</f>
        <v>5/32 NORMAL GALVANIZED</v>
      </c>
      <c r="C999" s="4">
        <v>4.0999999999999996</v>
      </c>
      <c r="D999" s="5">
        <v>1.66</v>
      </c>
    </row>
    <row r="1000" spans="1:4" x14ac:dyDescent="0.25">
      <c r="A1000" s="2" t="str">
        <f>"N-050-GS"</f>
        <v>N-050-GS</v>
      </c>
      <c r="B1000" s="2" t="str">
        <f>"3/16 NORMAL GALVANIZED"</f>
        <v>3/16 NORMAL GALVANIZED</v>
      </c>
      <c r="C1000" s="4">
        <v>4.4000000000000004</v>
      </c>
      <c r="D1000" s="5">
        <v>1.78</v>
      </c>
    </row>
    <row r="1001" spans="1:4" x14ac:dyDescent="0.25">
      <c r="A1001" s="2" t="str">
        <f>"N-060-GS"</f>
        <v>N-060-GS</v>
      </c>
      <c r="B1001" s="2" t="str">
        <f>"1/4 NORMAL GALVANIZED"</f>
        <v>1/4 NORMAL GALVANIZED</v>
      </c>
      <c r="C1001" s="4">
        <v>4.7</v>
      </c>
      <c r="D1001" s="5">
        <v>1.9</v>
      </c>
    </row>
    <row r="1002" spans="1:4" x14ac:dyDescent="0.25">
      <c r="A1002" s="2" t="str">
        <f>"N-070-GS"</f>
        <v>N-070-GS</v>
      </c>
      <c r="B1002" s="2" t="str">
        <f>"9/32 NORMAL GALVANIZED"</f>
        <v>9/32 NORMAL GALVANIZED</v>
      </c>
      <c r="C1002" s="4">
        <v>6.4</v>
      </c>
      <c r="D1002" s="5">
        <v>2.59</v>
      </c>
    </row>
    <row r="1003" spans="1:4" x14ac:dyDescent="0.25">
      <c r="A1003" s="2" t="str">
        <f>"N-070-GS-BLACK"</f>
        <v>N-070-GS-BLACK</v>
      </c>
      <c r="B1003" s="2" t="str">
        <f>"9/32 NORMAL GALVANIZED BLACK"</f>
        <v>9/32 NORMAL GALVANIZED BLACK</v>
      </c>
      <c r="C1003" s="4">
        <v>6.3</v>
      </c>
      <c r="D1003" s="5">
        <v>2.5499999999999998</v>
      </c>
    </row>
    <row r="1004" spans="1:4" x14ac:dyDescent="0.25">
      <c r="A1004" s="2" t="str">
        <f>"N-080-GS"</f>
        <v>N-080-GS</v>
      </c>
      <c r="B1004" s="2" t="str">
        <f>"5/16 NORMAL GALVANIZED"</f>
        <v>5/16 NORMAL GALVANIZED</v>
      </c>
      <c r="C1004" s="4">
        <v>7.2</v>
      </c>
      <c r="D1004" s="5">
        <v>2.92</v>
      </c>
    </row>
    <row r="1005" spans="1:4" x14ac:dyDescent="0.25">
      <c r="A1005" s="2" t="str">
        <f>"N-080-GS-PPE"</f>
        <v>N-080-GS-PPE</v>
      </c>
      <c r="B1005" s="2" t="str">
        <f>"5/16 NORMAL GALVANIZED PPE"</f>
        <v>5/16 NORMAL GALVANIZED PPE</v>
      </c>
      <c r="C1005" s="4">
        <v>8.4</v>
      </c>
      <c r="D1005" s="5">
        <v>3.4</v>
      </c>
    </row>
    <row r="1006" spans="1:4" x14ac:dyDescent="0.25">
      <c r="A1006" s="2" t="str">
        <f>"N-090-GS"</f>
        <v>N-090-GS</v>
      </c>
      <c r="B1006" s="2" t="str">
        <f>"3/8 NORMAL GALVANIZED"</f>
        <v>3/8 NORMAL GALVANIZED</v>
      </c>
      <c r="C1006" s="4">
        <v>8.6999999999999993</v>
      </c>
      <c r="D1006" s="5">
        <v>3.52</v>
      </c>
    </row>
    <row r="1007" spans="1:4" x14ac:dyDescent="0.25">
      <c r="A1007" s="2" t="str">
        <f>"N-090-GS-BLACK"</f>
        <v>N-090-GS-BLACK</v>
      </c>
      <c r="B1007" s="2" t="str">
        <f>"3/8 NORMAL GALVANIZED BLACK"</f>
        <v>3/8 NORMAL GALVANIZED BLACK</v>
      </c>
      <c r="C1007" s="4">
        <v>15.6</v>
      </c>
      <c r="D1007" s="5">
        <v>6.32</v>
      </c>
    </row>
    <row r="1008" spans="1:4" x14ac:dyDescent="0.25">
      <c r="A1008" s="2" t="str">
        <f>"N-090-GS-PPE"</f>
        <v>N-090-GS-PPE</v>
      </c>
      <c r="B1008" s="2" t="str">
        <f>"3/8 NORMAL GALVANIZED PPE"</f>
        <v>3/8 NORMAL GALVANIZED PPE</v>
      </c>
      <c r="C1008" s="4">
        <v>10.4</v>
      </c>
      <c r="D1008" s="5">
        <v>4.21</v>
      </c>
    </row>
    <row r="1009" spans="1:4" x14ac:dyDescent="0.25">
      <c r="A1009" s="2" t="str">
        <f>"N-100-GS"</f>
        <v>N-100-GS</v>
      </c>
      <c r="B1009" s="2" t="str">
        <f>"7/16 NORMAL GALVANIZED"</f>
        <v>7/16 NORMAL GALVANIZED</v>
      </c>
      <c r="C1009" s="4">
        <v>10.9</v>
      </c>
      <c r="D1009" s="5">
        <v>4.41</v>
      </c>
    </row>
    <row r="1010" spans="1:4" x14ac:dyDescent="0.25">
      <c r="A1010" s="2" t="str">
        <f>"N-100-GS-PPE"</f>
        <v>N-100-GS-PPE</v>
      </c>
      <c r="B1010" s="2" t="str">
        <f>"7/16 NORMAL GALVANIZED PPE"</f>
        <v>7/16 NORMAL GALVANIZED PPE</v>
      </c>
      <c r="C1010" s="4">
        <v>12.7</v>
      </c>
      <c r="D1010" s="5">
        <v>5.14</v>
      </c>
    </row>
    <row r="1011" spans="1:4" x14ac:dyDescent="0.25">
      <c r="A1011" s="2" t="str">
        <f>"N-120-GS"</f>
        <v>N-120-GS</v>
      </c>
      <c r="B1011" s="2" t="str">
        <f>"1/2 NORMAL GALVANIZED"</f>
        <v>1/2 NORMAL GALVANIZED</v>
      </c>
      <c r="C1011" s="4">
        <v>15.6</v>
      </c>
      <c r="D1011" s="5">
        <v>6.32</v>
      </c>
    </row>
    <row r="1012" spans="1:4" x14ac:dyDescent="0.25">
      <c r="A1012" s="2" t="str">
        <f>"N-140-GS"</f>
        <v>N-140-GS</v>
      </c>
      <c r="B1012" s="2" t="str">
        <f>"9/16 NORMAL GALVANIZED"</f>
        <v>9/16 NORMAL GALVANIZED</v>
      </c>
      <c r="C1012" s="4">
        <v>23.4</v>
      </c>
      <c r="D1012" s="5">
        <v>9.48</v>
      </c>
    </row>
    <row r="1013" spans="1:4" x14ac:dyDescent="0.25">
      <c r="A1013" s="2" t="str">
        <f>"N-160-GS"</f>
        <v>N-160-GS</v>
      </c>
      <c r="B1013" s="2" t="str">
        <f>"5/8 NORMAL GALVANIZED"</f>
        <v>5/8 NORMAL GALVANIZED</v>
      </c>
      <c r="C1013" s="4">
        <v>34.799999999999997</v>
      </c>
      <c r="D1013" s="5">
        <v>14.09</v>
      </c>
    </row>
    <row r="1014" spans="1:4" x14ac:dyDescent="0.25">
      <c r="A1014" s="2" t="str">
        <f>"N-180-GS"</f>
        <v>N-180-GS</v>
      </c>
      <c r="B1014" s="2" t="str">
        <f>"11/16 NORMAL GALVANIZED"</f>
        <v>11/16 NORMAL GALVANIZED</v>
      </c>
      <c r="C1014" s="4">
        <v>55.8</v>
      </c>
      <c r="D1014" s="5">
        <v>22.6</v>
      </c>
    </row>
    <row r="1015" spans="1:4" x14ac:dyDescent="0.25">
      <c r="A1015" s="2" t="str">
        <f>"N-200-GS"</f>
        <v>N-200-GS</v>
      </c>
      <c r="B1015" s="2" t="str">
        <f>"7/64 NORMAL GALVANIZED"</f>
        <v>7/64 NORMAL GALVANIZED</v>
      </c>
      <c r="C1015" s="4">
        <v>78.7</v>
      </c>
      <c r="D1015" s="5">
        <v>31.87</v>
      </c>
    </row>
    <row r="1016" spans="1:4" x14ac:dyDescent="0.25">
      <c r="A1016" s="2" t="str">
        <f>"D-030-GS"</f>
        <v>D-030-GS</v>
      </c>
      <c r="B1016" s="2" t="str">
        <f>"7/64   DELTA GALVANIZED"</f>
        <v>7/64   DELTA GALVANIZED</v>
      </c>
      <c r="C1016" s="4">
        <v>6.2</v>
      </c>
      <c r="D1016" s="5">
        <v>2.5099999999999998</v>
      </c>
    </row>
    <row r="1017" spans="1:4" x14ac:dyDescent="0.25">
      <c r="A1017" s="2" t="str">
        <f>"D-035-GS"</f>
        <v>D-035-GS</v>
      </c>
      <c r="B1017" s="2" t="str">
        <f>"1/8   DELTA GALVANIZED"</f>
        <v>1/8   DELTA GALVANIZED</v>
      </c>
      <c r="C1017" s="4">
        <v>6.4</v>
      </c>
      <c r="D1017" s="5">
        <v>2.59</v>
      </c>
    </row>
    <row r="1018" spans="1:4" x14ac:dyDescent="0.25">
      <c r="A1018" s="2" t="str">
        <f>"D-040-GS"</f>
        <v>D-040-GS</v>
      </c>
      <c r="B1018" s="2" t="str">
        <f>"5/32   DELTA GALVANIZED"</f>
        <v>5/32   DELTA GALVANIZED</v>
      </c>
      <c r="C1018" s="4">
        <v>6.5</v>
      </c>
      <c r="D1018" s="5">
        <v>2.63</v>
      </c>
    </row>
    <row r="1019" spans="1:4" x14ac:dyDescent="0.25">
      <c r="A1019" s="2" t="str">
        <f>"D-050-GS"</f>
        <v>D-050-GS</v>
      </c>
      <c r="B1019" s="2" t="str">
        <f>"3/16 DELTA GALVANIZED"</f>
        <v>3/16 DELTA GALVANIZED</v>
      </c>
      <c r="C1019" s="4">
        <v>7.4</v>
      </c>
      <c r="D1019" s="5">
        <v>3</v>
      </c>
    </row>
    <row r="1020" spans="1:4" x14ac:dyDescent="0.25">
      <c r="A1020" s="2" t="str">
        <f>"D-060-GS"</f>
        <v>D-060-GS</v>
      </c>
      <c r="B1020" s="2" t="str">
        <f>"1/4   DELTA GALVANIZED"</f>
        <v>1/4   DELTA GALVANIZED</v>
      </c>
      <c r="C1020" s="4">
        <v>8.3000000000000007</v>
      </c>
      <c r="D1020" s="5">
        <v>3.36</v>
      </c>
    </row>
    <row r="1021" spans="1:4" x14ac:dyDescent="0.25">
      <c r="A1021" s="2" t="str">
        <f>"D-070-GS"</f>
        <v>D-070-GS</v>
      </c>
      <c r="B1021" s="2" t="str">
        <f>"9/32   DELTA GALVANIZED"</f>
        <v>9/32   DELTA GALVANIZED</v>
      </c>
      <c r="C1021" s="4">
        <v>9</v>
      </c>
      <c r="D1021" s="5">
        <v>3.65</v>
      </c>
    </row>
    <row r="1022" spans="1:4" x14ac:dyDescent="0.25">
      <c r="A1022" s="2" t="str">
        <f>"D-080-GS"</f>
        <v>D-080-GS</v>
      </c>
      <c r="B1022" s="2" t="str">
        <f>"5/16   DELTA GALVANIZED"</f>
        <v>5/16   DELTA GALVANIZED</v>
      </c>
      <c r="C1022" s="4">
        <v>10.8</v>
      </c>
      <c r="D1022" s="5">
        <v>4.37</v>
      </c>
    </row>
    <row r="1023" spans="1:4" x14ac:dyDescent="0.25">
      <c r="A1023" s="2" t="str">
        <f>"D-080-GS-PPE"</f>
        <v>D-080-GS-PPE</v>
      </c>
      <c r="B1023" s="2" t="str">
        <f>"5/16   DELTA GALVANIZED PPE"</f>
        <v>5/16   DELTA GALVANIZED PPE</v>
      </c>
      <c r="C1023" s="4">
        <v>11.6</v>
      </c>
      <c r="D1023" s="5">
        <v>4.7</v>
      </c>
    </row>
    <row r="1024" spans="1:4" x14ac:dyDescent="0.25">
      <c r="A1024" s="2" t="str">
        <f>"D-090-GS"</f>
        <v>D-090-GS</v>
      </c>
      <c r="B1024" s="2" t="str">
        <f>"3/8   DELTA GALVANIZED"</f>
        <v>3/8   DELTA GALVANIZED</v>
      </c>
      <c r="C1024" s="4">
        <v>12.5</v>
      </c>
      <c r="D1024" s="5">
        <v>5.0599999999999996</v>
      </c>
    </row>
    <row r="1025" spans="1:4" x14ac:dyDescent="0.25">
      <c r="A1025" s="2" t="str">
        <f>"D-100-GS"</f>
        <v>D-100-GS</v>
      </c>
      <c r="B1025" s="2" t="str">
        <f>"7/16   DELTA GALVANIZED"</f>
        <v>7/16   DELTA GALVANIZED</v>
      </c>
      <c r="C1025" s="4">
        <v>13.8</v>
      </c>
      <c r="D1025" s="5">
        <v>5.59</v>
      </c>
    </row>
    <row r="1026" spans="1:4" x14ac:dyDescent="0.25">
      <c r="A1026" s="2" t="str">
        <f>"D-100-GS-PPE"</f>
        <v>D-100-GS-PPE</v>
      </c>
      <c r="B1026" s="2" t="str">
        <f>"7/16   DELTA GALVANIZED PPE"</f>
        <v>7/16   DELTA GALVANIZED PPE</v>
      </c>
      <c r="C1026" s="4">
        <v>15.3</v>
      </c>
      <c r="D1026" s="5">
        <v>6.2</v>
      </c>
    </row>
    <row r="1027" spans="1:4" x14ac:dyDescent="0.25">
      <c r="A1027" s="2" t="str">
        <f>"D-120-GS"</f>
        <v>D-120-GS</v>
      </c>
      <c r="B1027" s="2" t="str">
        <f>"1/2   DELTA GALVANIZED"</f>
        <v>1/2   DELTA GALVANIZED</v>
      </c>
      <c r="C1027" s="4">
        <v>21.5</v>
      </c>
      <c r="D1027" s="5">
        <v>8.7100000000000009</v>
      </c>
    </row>
    <row r="1028" spans="1:4" x14ac:dyDescent="0.25">
      <c r="A1028" s="2" t="str">
        <f>"D-120-GS-PPE"</f>
        <v>D-120-GS-PPE</v>
      </c>
      <c r="B1028" s="2" t="str">
        <f>"1/2   DELTA GALVANIZED PPE"</f>
        <v>1/2   DELTA GALVANIZED PPE</v>
      </c>
      <c r="C1028" s="4">
        <v>24.5</v>
      </c>
      <c r="D1028" s="5">
        <v>9.92</v>
      </c>
    </row>
    <row r="1029" spans="1:4" x14ac:dyDescent="0.25">
      <c r="A1029" s="2" t="str">
        <f>"D-140-GS"</f>
        <v>D-140-GS</v>
      </c>
      <c r="B1029" s="2" t="str">
        <f>"9/16   DELTA GALVANIZED"</f>
        <v>9/16   DELTA GALVANIZED</v>
      </c>
      <c r="C1029" s="4">
        <v>30.5</v>
      </c>
      <c r="D1029" s="5">
        <v>12.35</v>
      </c>
    </row>
    <row r="1030" spans="1:4" x14ac:dyDescent="0.25">
      <c r="A1030" s="2" t="str">
        <f>"D-160-GS"</f>
        <v>D-160-GS</v>
      </c>
      <c r="B1030" s="2" t="str">
        <f>"5/8   DELTA GALVANIZED"</f>
        <v>5/8   DELTA GALVANIZED</v>
      </c>
      <c r="C1030" s="4">
        <v>41.9</v>
      </c>
      <c r="D1030" s="5">
        <v>16.97</v>
      </c>
    </row>
    <row r="1031" spans="1:4" x14ac:dyDescent="0.25">
      <c r="A1031" s="2" t="str">
        <f>"D-180-GS"</f>
        <v>D-180-GS</v>
      </c>
      <c r="B1031" s="2" t="str">
        <f>"11/16   DELTA GALVANIZED"</f>
        <v>11/16   DELTA GALVANIZED</v>
      </c>
      <c r="C1031" s="4">
        <v>100.5</v>
      </c>
      <c r="D1031" s="5">
        <v>40.700000000000003</v>
      </c>
    </row>
    <row r="1032" spans="1:4" x14ac:dyDescent="0.25">
      <c r="A1032" s="2" t="str">
        <f>"D-200-GS"</f>
        <v>D-200-GS</v>
      </c>
      <c r="B1032" s="2" t="str">
        <f>"25/32 DELTA GALVANIZED"</f>
        <v>25/32 DELTA GALVANIZED</v>
      </c>
      <c r="C1032" s="4">
        <v>145</v>
      </c>
      <c r="D1032" s="5">
        <v>58.73</v>
      </c>
    </row>
    <row r="1033" spans="1:4" x14ac:dyDescent="0.25">
      <c r="A1033" s="2" t="str">
        <f>"G-030-GS"</f>
        <v>G-030-GS</v>
      </c>
      <c r="B1033" s="2" t="str">
        <f>"7/64   LONG GALVANIZED"</f>
        <v>7/64   LONG GALVANIZED</v>
      </c>
      <c r="C1033" s="4">
        <v>5.4</v>
      </c>
      <c r="D1033" s="5">
        <v>2.19</v>
      </c>
    </row>
    <row r="1034" spans="1:4" x14ac:dyDescent="0.25">
      <c r="A1034" s="2" t="str">
        <f>"G-035-GS"</f>
        <v>G-035-GS</v>
      </c>
      <c r="B1034" s="2" t="str">
        <f>"1/8   LONG GALVANIZED"</f>
        <v>1/8   LONG GALVANIZED</v>
      </c>
      <c r="C1034" s="4">
        <v>5.5</v>
      </c>
      <c r="D1034" s="5">
        <v>2.23</v>
      </c>
    </row>
    <row r="1035" spans="1:4" x14ac:dyDescent="0.25">
      <c r="A1035" s="2" t="str">
        <f>"G-040-GS"</f>
        <v>G-040-GS</v>
      </c>
      <c r="B1035" s="2" t="str">
        <f>"5/32   LONG GALVANIZED"</f>
        <v>5/32   LONG GALVANIZED</v>
      </c>
      <c r="C1035" s="4">
        <v>6</v>
      </c>
      <c r="D1035" s="5">
        <v>2.4300000000000002</v>
      </c>
    </row>
    <row r="1036" spans="1:4" x14ac:dyDescent="0.25">
      <c r="A1036" s="2" t="str">
        <f>"G-050-GS"</f>
        <v>G-050-GS</v>
      </c>
      <c r="B1036" s="2" t="str">
        <f>"3/16   LONG GALVANIZED"</f>
        <v>3/16   LONG GALVANIZED</v>
      </c>
      <c r="C1036" s="4">
        <v>6.5</v>
      </c>
      <c r="D1036" s="5">
        <v>2.63</v>
      </c>
    </row>
    <row r="1037" spans="1:4" x14ac:dyDescent="0.25">
      <c r="A1037" s="2" t="str">
        <f>"G-060-GS"</f>
        <v>G-060-GS</v>
      </c>
      <c r="B1037" s="2" t="str">
        <f>"1/4   LONG GALVANIZED"</f>
        <v>1/4   LONG GALVANIZED</v>
      </c>
      <c r="C1037" s="4">
        <v>7.8</v>
      </c>
      <c r="D1037" s="5">
        <v>3.16</v>
      </c>
    </row>
    <row r="1038" spans="1:4" x14ac:dyDescent="0.25">
      <c r="A1038" s="2" t="str">
        <f>"G-060-GS BLACK"</f>
        <v>G-060-GS BLACK</v>
      </c>
      <c r="B1038" s="2" t="str">
        <f>"1/4   LONG GALVANIZED BLACK"</f>
        <v>1/4   LONG GALVANIZED BLACK</v>
      </c>
      <c r="C1038" s="4">
        <v>7.6</v>
      </c>
      <c r="D1038" s="5">
        <v>3.08</v>
      </c>
    </row>
    <row r="1039" spans="1:4" x14ac:dyDescent="0.25">
      <c r="A1039" s="2" t="str">
        <f>"G-070-GS"</f>
        <v>G-070-GS</v>
      </c>
      <c r="B1039" s="2" t="str">
        <f>"9/32   LONG GALVANIZED"</f>
        <v>9/32   LONG GALVANIZED</v>
      </c>
      <c r="C1039" s="4">
        <v>8.5</v>
      </c>
      <c r="D1039" s="5">
        <v>3.44</v>
      </c>
    </row>
    <row r="1040" spans="1:4" x14ac:dyDescent="0.25">
      <c r="A1040" s="2" t="str">
        <f>"G-070-GS-PPE"</f>
        <v>G-070-GS-PPE</v>
      </c>
      <c r="B1040" s="2" t="str">
        <f>"9/32   LONG GALVANIZED PPE"</f>
        <v>9/32   LONG GALVANIZED PPE</v>
      </c>
      <c r="C1040" s="4">
        <v>8.8000000000000007</v>
      </c>
      <c r="D1040" s="5">
        <v>3.56</v>
      </c>
    </row>
    <row r="1041" spans="1:4" x14ac:dyDescent="0.25">
      <c r="A1041" s="2" t="str">
        <f>"G-080-GS"</f>
        <v>G-080-GS</v>
      </c>
      <c r="B1041" s="2" t="str">
        <f>"5/16  LONG GALVANIZED"</f>
        <v>5/16  LONG GALVANIZED</v>
      </c>
      <c r="C1041" s="4">
        <v>10</v>
      </c>
      <c r="D1041" s="5">
        <v>4.05</v>
      </c>
    </row>
    <row r="1042" spans="1:4" x14ac:dyDescent="0.25">
      <c r="A1042" s="2" t="str">
        <f>"G-080-GS-PPE"</f>
        <v>G-080-GS-PPE</v>
      </c>
      <c r="B1042" s="2" t="str">
        <f>"5/16  LONG GALVANIZED PPE"</f>
        <v>5/16  LONG GALVANIZED PPE</v>
      </c>
      <c r="C1042" s="4">
        <v>11</v>
      </c>
      <c r="D1042" s="5">
        <v>4.46</v>
      </c>
    </row>
    <row r="1043" spans="1:4" x14ac:dyDescent="0.25">
      <c r="A1043" s="2" t="str">
        <f>"G-080-GS-PPE-TWIST"</f>
        <v>G-080-GS-PPE-TWIST</v>
      </c>
      <c r="B1043" s="2" t="str">
        <f>"5/16  LONG GALVANIZED PPE TWISTED"</f>
        <v>5/16  LONG GALVANIZED PPE TWISTED</v>
      </c>
      <c r="C1043" s="4">
        <v>29.6</v>
      </c>
      <c r="D1043" s="5">
        <v>11.99</v>
      </c>
    </row>
    <row r="1044" spans="1:4" x14ac:dyDescent="0.25">
      <c r="A1044" s="2" t="str">
        <f>"G-090-GS"</f>
        <v>G-090-GS</v>
      </c>
      <c r="B1044" s="2" t="str">
        <f>"3/8   LONG GALVANIZED"</f>
        <v>3/8   LONG GALVANIZED</v>
      </c>
      <c r="C1044" s="4">
        <v>12.2</v>
      </c>
      <c r="D1044" s="5">
        <v>4.9400000000000004</v>
      </c>
    </row>
    <row r="1045" spans="1:4" x14ac:dyDescent="0.25">
      <c r="A1045" s="2" t="str">
        <f>"G-100-GS"</f>
        <v>G-100-GS</v>
      </c>
      <c r="B1045" s="2" t="str">
        <f>"7/16   LONG GALVANIZED"</f>
        <v>7/16   LONG GALVANIZED</v>
      </c>
      <c r="C1045" s="4">
        <v>13.5</v>
      </c>
      <c r="D1045" s="5">
        <v>5.47</v>
      </c>
    </row>
    <row r="1046" spans="1:4" x14ac:dyDescent="0.25">
      <c r="A1046" s="2" t="str">
        <f>"G-100-GS-PPE"</f>
        <v>G-100-GS-PPE</v>
      </c>
      <c r="B1046" s="2" t="str">
        <f>"7/16   LONG GALVANIZED PPE CERTIFIC"</f>
        <v>7/16   LONG GALVANIZED PPE CERTIFIC</v>
      </c>
      <c r="C1046" s="4">
        <v>17.399999999999999</v>
      </c>
      <c r="D1046" s="5">
        <v>7.05</v>
      </c>
    </row>
    <row r="1047" spans="1:4" x14ac:dyDescent="0.25">
      <c r="A1047" s="2" t="str">
        <f>"G-120-GS"</f>
        <v>G-120-GS</v>
      </c>
      <c r="B1047" s="2" t="str">
        <f>"1/2   LONG GALVANIZED"</f>
        <v>1/2   LONG GALVANIZED</v>
      </c>
      <c r="C1047" s="4">
        <v>20.399999999999999</v>
      </c>
      <c r="D1047" s="5">
        <v>8.26</v>
      </c>
    </row>
    <row r="1048" spans="1:4" x14ac:dyDescent="0.25">
      <c r="A1048" s="2" t="str">
        <f>"G-140-GS"</f>
        <v>G-140-GS</v>
      </c>
      <c r="B1048" s="2" t="str">
        <f>"9/16   LONG GALVANIZED"</f>
        <v>9/16   LONG GALVANIZED</v>
      </c>
      <c r="C1048" s="4">
        <v>28.3</v>
      </c>
      <c r="D1048" s="5">
        <v>11.46</v>
      </c>
    </row>
    <row r="1049" spans="1:4" x14ac:dyDescent="0.25">
      <c r="A1049" s="2" t="str">
        <f>"G-160-GS"</f>
        <v>G-160-GS</v>
      </c>
      <c r="B1049" s="2" t="str">
        <f>"5/8   LONG GALVANIZED"</f>
        <v>5/8   LONG GALVANIZED</v>
      </c>
      <c r="C1049" s="4">
        <v>41.3</v>
      </c>
      <c r="D1049" s="5">
        <v>16.73</v>
      </c>
    </row>
    <row r="1050" spans="1:4" x14ac:dyDescent="0.25">
      <c r="A1050" s="2" t="str">
        <f>"G-180-GS"</f>
        <v>G-180-GS</v>
      </c>
      <c r="B1050" s="2" t="str">
        <f>"11/16   LONG GALVANIZED"</f>
        <v>11/16   LONG GALVANIZED</v>
      </c>
      <c r="C1050" s="4">
        <v>66.099999999999994</v>
      </c>
      <c r="D1050" s="5">
        <v>26.77</v>
      </c>
    </row>
    <row r="1051" spans="1:4" x14ac:dyDescent="0.25">
      <c r="A1051" s="2" t="str">
        <f>"G-200-GS"</f>
        <v>G-200-GS</v>
      </c>
      <c r="B1051" s="2" t="str">
        <f>"25/32   LONG GALVANIZED"</f>
        <v>25/32   LONG GALVANIZED</v>
      </c>
      <c r="C1051" s="4">
        <v>92.1</v>
      </c>
      <c r="D1051" s="5">
        <v>37.299999999999997</v>
      </c>
    </row>
    <row r="1052" spans="1:4" x14ac:dyDescent="0.25">
      <c r="A1052" s="2" t="str">
        <f>"S-030-GS"</f>
        <v>S-030-GS</v>
      </c>
      <c r="B1052" s="2" t="str">
        <f>"7/64   SQUARE GALVANIZED"</f>
        <v>7/64   SQUARE GALVANIZED</v>
      </c>
      <c r="C1052" s="4">
        <v>8.3000000000000007</v>
      </c>
      <c r="D1052" s="5">
        <v>3.36</v>
      </c>
    </row>
    <row r="1053" spans="1:4" x14ac:dyDescent="0.25">
      <c r="A1053" s="2" t="str">
        <f>"S-035-GS"</f>
        <v>S-035-GS</v>
      </c>
      <c r="B1053" s="2" t="str">
        <f>"1/8   SQUARE GALVANIZED"</f>
        <v>1/8   SQUARE GALVANIZED</v>
      </c>
      <c r="C1053" s="4">
        <v>8.5</v>
      </c>
      <c r="D1053" s="5">
        <v>3.44</v>
      </c>
    </row>
    <row r="1054" spans="1:4" x14ac:dyDescent="0.25">
      <c r="A1054" s="2" t="str">
        <f>"S-040-GS"</f>
        <v>S-040-GS</v>
      </c>
      <c r="B1054" s="2" t="str">
        <f>"5/32   SQUARE GALVANIZED"</f>
        <v>5/32   SQUARE GALVANIZED</v>
      </c>
      <c r="C1054" s="4">
        <v>8.6</v>
      </c>
      <c r="D1054" s="5">
        <v>3.48</v>
      </c>
    </row>
    <row r="1055" spans="1:4" x14ac:dyDescent="0.25">
      <c r="A1055" s="2" t="str">
        <f>"S-050-GS"</f>
        <v>S-050-GS</v>
      </c>
      <c r="B1055" s="2" t="str">
        <f>"3/16   SQUARE GALVANIZED"</f>
        <v>3/16   SQUARE GALVANIZED</v>
      </c>
      <c r="C1055" s="4">
        <v>8.8000000000000007</v>
      </c>
      <c r="D1055" s="5">
        <v>3.56</v>
      </c>
    </row>
    <row r="1056" spans="1:4" x14ac:dyDescent="0.25">
      <c r="A1056" s="2" t="str">
        <f>"S-060-GS"</f>
        <v>S-060-GS</v>
      </c>
      <c r="B1056" s="2" t="str">
        <f>"1/4   SQUARE GALVANIZED"</f>
        <v>1/4   SQUARE GALVANIZED</v>
      </c>
      <c r="C1056" s="4">
        <v>9.8000000000000007</v>
      </c>
      <c r="D1056" s="5">
        <v>3.97</v>
      </c>
    </row>
    <row r="1057" spans="1:4" x14ac:dyDescent="0.25">
      <c r="A1057" s="2" t="str">
        <f>"S-070-GS"</f>
        <v>S-070-GS</v>
      </c>
      <c r="B1057" s="2" t="str">
        <f>"9/32   SQUARE GALVANIZED"</f>
        <v>9/32   SQUARE GALVANIZED</v>
      </c>
      <c r="C1057" s="4">
        <v>11.3</v>
      </c>
      <c r="D1057" s="5">
        <v>4.58</v>
      </c>
    </row>
    <row r="1058" spans="1:4" x14ac:dyDescent="0.25">
      <c r="A1058" s="2" t="str">
        <f>"S-080-GS"</f>
        <v>S-080-GS</v>
      </c>
      <c r="B1058" s="2" t="str">
        <f>"5/16   SQUARE GALVANIZED"</f>
        <v>5/16   SQUARE GALVANIZED</v>
      </c>
      <c r="C1058" s="4">
        <v>13.5</v>
      </c>
      <c r="D1058" s="5">
        <v>5.47</v>
      </c>
    </row>
    <row r="1059" spans="1:4" x14ac:dyDescent="0.25">
      <c r="A1059" s="2" t="str">
        <f>"S-090-GS"</f>
        <v>S-090-GS</v>
      </c>
      <c r="B1059" s="2" t="str">
        <f>"3/8   SQUARE GALVANIZED"</f>
        <v>3/8   SQUARE GALVANIZED</v>
      </c>
      <c r="C1059" s="4">
        <v>15.8</v>
      </c>
      <c r="D1059" s="5">
        <v>6.4</v>
      </c>
    </row>
    <row r="1060" spans="1:4" x14ac:dyDescent="0.25">
      <c r="A1060" s="2" t="str">
        <f>"S-100-GS"</f>
        <v>S-100-GS</v>
      </c>
      <c r="B1060" s="2" t="str">
        <f>"7/16   SQUARE GALVANIZED"</f>
        <v>7/16   SQUARE GALVANIZED</v>
      </c>
      <c r="C1060" s="4">
        <v>18.5</v>
      </c>
      <c r="D1060" s="5">
        <v>7.49</v>
      </c>
    </row>
    <row r="1061" spans="1:4" x14ac:dyDescent="0.25">
      <c r="A1061" s="2" t="str">
        <f>"S-100-GS-PPE"</f>
        <v>S-100-GS-PPE</v>
      </c>
      <c r="B1061" s="2" t="str">
        <f>"7/16   SQUARE GALVANIZED PPE"</f>
        <v>7/16   SQUARE GALVANIZED PPE</v>
      </c>
      <c r="C1061" s="4">
        <v>20</v>
      </c>
      <c r="D1061" s="5">
        <v>8.1</v>
      </c>
    </row>
    <row r="1062" spans="1:4" x14ac:dyDescent="0.25">
      <c r="A1062" s="2" t="str">
        <f>"S-120-GS"</f>
        <v>S-120-GS</v>
      </c>
      <c r="B1062" s="2" t="str">
        <f>"1/2   SQUARE GALVANIZED"</f>
        <v>1/2   SQUARE GALVANIZED</v>
      </c>
      <c r="C1062" s="4">
        <v>25.1</v>
      </c>
      <c r="D1062" s="5">
        <v>10.17</v>
      </c>
    </row>
    <row r="1063" spans="1:4" x14ac:dyDescent="0.25">
      <c r="A1063" s="2" t="str">
        <f>"S-140-GS"</f>
        <v>S-140-GS</v>
      </c>
      <c r="B1063" s="2" t="str">
        <f>"9/16   SQUARE GALVANIZED"</f>
        <v>9/16   SQUARE GALVANIZED</v>
      </c>
      <c r="C1063" s="4">
        <v>37.299999999999997</v>
      </c>
      <c r="D1063" s="5">
        <v>15.11</v>
      </c>
    </row>
    <row r="1064" spans="1:4" x14ac:dyDescent="0.25">
      <c r="A1064" s="2" t="str">
        <f>"S-160-GS"</f>
        <v>S-160-GS</v>
      </c>
      <c r="B1064" s="2" t="str">
        <f>"5/8   SQUARE GALVANIZED"</f>
        <v>5/8   SQUARE GALVANIZED</v>
      </c>
      <c r="C1064" s="4">
        <v>54</v>
      </c>
      <c r="D1064" s="5">
        <v>21.87</v>
      </c>
    </row>
    <row r="1065" spans="1:4" x14ac:dyDescent="0.25">
      <c r="A1065" s="2" t="str">
        <f>"P-030-GS"</f>
        <v>P-030-GS</v>
      </c>
      <c r="B1065" s="2" t="str">
        <f>"7/64   PEAR GALVANIZED"</f>
        <v>7/64   PEAR GALVANIZED</v>
      </c>
      <c r="C1065" s="4">
        <v>7.3</v>
      </c>
      <c r="D1065" s="5">
        <v>2.96</v>
      </c>
    </row>
    <row r="1066" spans="1:4" x14ac:dyDescent="0.25">
      <c r="A1066" s="2" t="str">
        <f>"P-035-GS"</f>
        <v>P-035-GS</v>
      </c>
      <c r="B1066" s="2" t="str">
        <f>"1/8   PEAR GALVANIZED"</f>
        <v>1/8   PEAR GALVANIZED</v>
      </c>
      <c r="C1066" s="4">
        <v>7.4</v>
      </c>
      <c r="D1066" s="5">
        <v>3</v>
      </c>
    </row>
    <row r="1067" spans="1:4" x14ac:dyDescent="0.25">
      <c r="A1067" s="2" t="str">
        <f>"P-040-GS"</f>
        <v>P-040-GS</v>
      </c>
      <c r="B1067" s="2" t="str">
        <f>"5/32   PEAR GALVANIZED"</f>
        <v>5/32   PEAR GALVANIZED</v>
      </c>
      <c r="C1067" s="4">
        <v>7.7</v>
      </c>
      <c r="D1067" s="5">
        <v>3.12</v>
      </c>
    </row>
    <row r="1068" spans="1:4" x14ac:dyDescent="0.25">
      <c r="A1068" s="2" t="str">
        <f>"P-050-GS"</f>
        <v>P-050-GS</v>
      </c>
      <c r="B1068" s="2" t="str">
        <f>"3/16   PEAR GALVANIZED"</f>
        <v>3/16   PEAR GALVANIZED</v>
      </c>
      <c r="C1068" s="4">
        <v>8.3000000000000007</v>
      </c>
      <c r="D1068" s="5">
        <v>3.36</v>
      </c>
    </row>
    <row r="1069" spans="1:4" x14ac:dyDescent="0.25">
      <c r="A1069" s="2" t="str">
        <f>"P-060-GS"</f>
        <v>P-060-GS</v>
      </c>
      <c r="B1069" s="2" t="str">
        <f>"1/4   PEAR GALVANIZED"</f>
        <v>1/4   PEAR GALVANIZED</v>
      </c>
      <c r="C1069" s="4">
        <v>9.1999999999999993</v>
      </c>
      <c r="D1069" s="5">
        <v>3.73</v>
      </c>
    </row>
    <row r="1070" spans="1:4" x14ac:dyDescent="0.25">
      <c r="A1070" s="2" t="str">
        <f>"P-070-GS"</f>
        <v>P-070-GS</v>
      </c>
      <c r="B1070" s="2" t="str">
        <f>"9/32   PEAR GALVANIZED"</f>
        <v>9/32   PEAR GALVANIZED</v>
      </c>
      <c r="C1070" s="4">
        <v>10.9</v>
      </c>
      <c r="D1070" s="5">
        <v>4.41</v>
      </c>
    </row>
    <row r="1071" spans="1:4" x14ac:dyDescent="0.25">
      <c r="A1071" s="2" t="str">
        <f>"P-080-GS"</f>
        <v>P-080-GS</v>
      </c>
      <c r="B1071" s="2" t="str">
        <f>"5/16   PEAR GALVANIZED"</f>
        <v>5/16   PEAR GALVANIZED</v>
      </c>
      <c r="C1071" s="4">
        <v>12.5</v>
      </c>
      <c r="D1071" s="5">
        <v>5.0599999999999996</v>
      </c>
    </row>
    <row r="1072" spans="1:4" x14ac:dyDescent="0.25">
      <c r="A1072" s="2" t="str">
        <f>"P-090-GS"</f>
        <v>P-090-GS</v>
      </c>
      <c r="B1072" s="2" t="str">
        <f>"3/8   PEAR GALVANIZED"</f>
        <v>3/8   PEAR GALVANIZED</v>
      </c>
      <c r="C1072" s="4">
        <v>14.7</v>
      </c>
      <c r="D1072" s="5">
        <v>5.95</v>
      </c>
    </row>
    <row r="1073" spans="1:4" x14ac:dyDescent="0.25">
      <c r="A1073" s="2" t="str">
        <f>"P-100-GS"</f>
        <v>P-100-GS</v>
      </c>
      <c r="B1073" s="2" t="str">
        <f>"7/16   PEAR GALVANIZED"</f>
        <v>7/16   PEAR GALVANIZED</v>
      </c>
      <c r="C1073" s="4">
        <v>16.2</v>
      </c>
      <c r="D1073" s="5">
        <v>6.56</v>
      </c>
    </row>
    <row r="1074" spans="1:4" x14ac:dyDescent="0.25">
      <c r="A1074" s="2" t="str">
        <f>"P-100-GS-PPE"</f>
        <v>P-100-GS-PPE</v>
      </c>
      <c r="B1074" s="2" t="str">
        <f>"7/16   PEAR GALVANIZED PPE"</f>
        <v>7/16   PEAR GALVANIZED PPE</v>
      </c>
      <c r="C1074" s="4">
        <v>17.8</v>
      </c>
      <c r="D1074" s="5">
        <v>7.21</v>
      </c>
    </row>
    <row r="1075" spans="1:4" x14ac:dyDescent="0.25">
      <c r="A1075" s="2" t="str">
        <f>"P-120-GS"</f>
        <v>P-120-GS</v>
      </c>
      <c r="B1075" s="2" t="str">
        <f>"1/2   PEAR GALVANIZED"</f>
        <v>1/2   PEAR GALVANIZED</v>
      </c>
      <c r="C1075" s="4">
        <v>25.5</v>
      </c>
      <c r="D1075" s="5">
        <v>10.33</v>
      </c>
    </row>
    <row r="1076" spans="1:4" x14ac:dyDescent="0.25">
      <c r="A1076" s="2" t="str">
        <f>"P-120-GS-PPE"</f>
        <v>P-120-GS-PPE</v>
      </c>
      <c r="B1076" s="2" t="str">
        <f>"1/2   PEAR GALVANIZED PPE"</f>
        <v>1/2   PEAR GALVANIZED PPE</v>
      </c>
      <c r="C1076" s="4">
        <v>28.8</v>
      </c>
      <c r="D1076" s="5">
        <v>11.66</v>
      </c>
    </row>
    <row r="1077" spans="1:4" x14ac:dyDescent="0.25">
      <c r="A1077" s="2" t="str">
        <f>"P-140-GS"</f>
        <v>P-140-GS</v>
      </c>
      <c r="B1077" s="2" t="str">
        <f>"9/16   PEAR GALVANIZED"</f>
        <v>9/16   PEAR GALVANIZED</v>
      </c>
      <c r="C1077" s="4">
        <v>35.9</v>
      </c>
      <c r="D1077" s="5">
        <v>14.54</v>
      </c>
    </row>
    <row r="1078" spans="1:4" x14ac:dyDescent="0.25">
      <c r="A1078" s="2" t="str">
        <f>"P-160-GS"</f>
        <v>P-160-GS</v>
      </c>
      <c r="B1078" s="2" t="str">
        <f>"5/8   PEAR GALVANIZED"</f>
        <v>5/8   PEAR GALVANIZED</v>
      </c>
      <c r="C1078" s="4">
        <v>50.2</v>
      </c>
      <c r="D1078" s="5">
        <v>20.329999999999998</v>
      </c>
    </row>
    <row r="1079" spans="1:4" x14ac:dyDescent="0.25">
      <c r="A1079" s="2" t="str">
        <f>"WL950-GS-PPE"</f>
        <v>WL950-GS-PPE</v>
      </c>
      <c r="B1079" s="2" t="str">
        <f>"3/8 HALF-MOON GALVANIZED PPE CERT."</f>
        <v>3/8 HALF-MOON GALVANIZED PPE CERT.</v>
      </c>
      <c r="C1079" s="4">
        <v>20.9</v>
      </c>
      <c r="D1079" s="5">
        <v>8.4600000000000009</v>
      </c>
    </row>
    <row r="1080" spans="1:4" x14ac:dyDescent="0.25">
      <c r="A1080" s="2" t="str">
        <f>"N-070-ZN"</f>
        <v>N-070-ZN</v>
      </c>
      <c r="B1080" s="2" t="str">
        <f>"9/32   NORMAL ZICRAL NATURAL"</f>
        <v>9/32   NORMAL ZICRAL NATURAL</v>
      </c>
      <c r="C1080" s="4">
        <v>13.5</v>
      </c>
      <c r="D1080" s="5">
        <v>5.47</v>
      </c>
    </row>
    <row r="1081" spans="1:4" x14ac:dyDescent="0.25">
      <c r="A1081" s="2" t="str">
        <f>"N-100-ZN"</f>
        <v>N-100-ZN</v>
      </c>
      <c r="B1081" s="2" t="str">
        <f>"7/16 NORMAL ZICRAL NATURAL"</f>
        <v>7/16 NORMAL ZICRAL NATURAL</v>
      </c>
      <c r="C1081" s="4">
        <v>24.1</v>
      </c>
      <c r="D1081" s="5">
        <v>9.76</v>
      </c>
    </row>
    <row r="1082" spans="1:4" x14ac:dyDescent="0.25">
      <c r="A1082" s="2" t="str">
        <f>"N-100-ZN-PPE"</f>
        <v>N-100-ZN-PPE</v>
      </c>
      <c r="B1082" s="2" t="str">
        <f>"7/16 NORMAL ZICRAL NATURAL W/PPE MA"</f>
        <v>7/16 NORMAL ZICRAL NATURAL W/PPE MA</v>
      </c>
      <c r="C1082" s="4">
        <v>27.9</v>
      </c>
      <c r="D1082" s="5">
        <v>11.3</v>
      </c>
    </row>
    <row r="1083" spans="1:4" x14ac:dyDescent="0.25">
      <c r="A1083" s="2" t="str">
        <f>"D-070-ZN"</f>
        <v>D-070-ZN</v>
      </c>
      <c r="B1083" s="2" t="str">
        <f>"9/32 DELTA ZICRAL NATURAL"</f>
        <v>9/32 DELTA ZICRAL NATURAL</v>
      </c>
      <c r="C1083" s="4">
        <v>16.3</v>
      </c>
      <c r="D1083" s="5">
        <v>6.6</v>
      </c>
    </row>
    <row r="1084" spans="1:4" x14ac:dyDescent="0.25">
      <c r="A1084" s="2" t="str">
        <f>"D-100-ZN"</f>
        <v>D-100-ZN</v>
      </c>
      <c r="B1084" s="2" t="str">
        <f>"7/16   DELTA ZICRAL NATURAL"</f>
        <v>7/16   DELTA ZICRAL NATURAL</v>
      </c>
      <c r="C1084" s="4">
        <v>30.1</v>
      </c>
      <c r="D1084" s="5">
        <v>12.19</v>
      </c>
    </row>
    <row r="1085" spans="1:4" x14ac:dyDescent="0.25">
      <c r="A1085" s="2" t="str">
        <f>"G-070-ZN"</f>
        <v>G-070-ZN</v>
      </c>
      <c r="B1085" s="2" t="str">
        <f>"9/32   LONG ZICRAL NATURAL"</f>
        <v>9/32   LONG ZICRAL NATURAL</v>
      </c>
      <c r="C1085" s="4">
        <v>15.3</v>
      </c>
      <c r="D1085" s="5">
        <v>6.2</v>
      </c>
    </row>
    <row r="1086" spans="1:4" x14ac:dyDescent="0.25">
      <c r="A1086" s="2" t="str">
        <f>"G-100-ZN"</f>
        <v>G-100-ZN</v>
      </c>
      <c r="B1086" s="2" t="str">
        <f>"7/16 LONG ZICRAL NATURAL"</f>
        <v>7/16 LONG ZICRAL NATURAL</v>
      </c>
      <c r="C1086" s="4">
        <v>29.9</v>
      </c>
      <c r="D1086" s="5">
        <v>12.11</v>
      </c>
    </row>
    <row r="1087" spans="1:4" x14ac:dyDescent="0.25">
      <c r="A1087" s="2" t="str">
        <f>"P-070-ZN"</f>
        <v>P-070-ZN</v>
      </c>
      <c r="B1087" s="2" t="str">
        <f>"9/32   PEAR ZICRAL NATURAL"</f>
        <v>9/32   PEAR ZICRAL NATURAL</v>
      </c>
      <c r="C1087" s="4">
        <v>18.8</v>
      </c>
      <c r="D1087" s="5">
        <v>7.61</v>
      </c>
    </row>
    <row r="1088" spans="1:4" x14ac:dyDescent="0.25">
      <c r="A1088" s="2" t="str">
        <f>"P-100-ZN"</f>
        <v>P-100-ZN</v>
      </c>
      <c r="B1088" s="2" t="str">
        <f>"7/16   PEAR ZICRAL NATURAL"</f>
        <v>7/16   PEAR ZICRAL NATURAL</v>
      </c>
      <c r="C1088" s="4">
        <v>31.9</v>
      </c>
      <c r="D1088" s="5">
        <v>12.92</v>
      </c>
    </row>
    <row r="1089" spans="1:4" x14ac:dyDescent="0.25">
      <c r="A1089" s="2" t="str">
        <f>"WL950-ZN-PPE"</f>
        <v>WL950-ZN-PPE</v>
      </c>
      <c r="B1089" s="2" t="str">
        <f>"3/8 HALF-MOON ZICRAL NATURAL PPE CERT."</f>
        <v>3/8 HALF-MOON ZICRAL NATURAL PPE CERT.</v>
      </c>
      <c r="C1089" s="4">
        <v>37.700000000000003</v>
      </c>
      <c r="D1089" s="5">
        <v>15.27</v>
      </c>
    </row>
    <row r="1090" spans="1:4" x14ac:dyDescent="0.25">
      <c r="A1090" s="2" t="str">
        <f>"N-035-BS"</f>
        <v>N-035-BS</v>
      </c>
      <c r="B1090" s="2" t="str">
        <f>"1/8 NORMAL BRASS"</f>
        <v>1/8 NORMAL BRASS</v>
      </c>
      <c r="C1090" s="4">
        <v>8.6999999999999993</v>
      </c>
      <c r="D1090" s="5">
        <v>3.52</v>
      </c>
    </row>
    <row r="1091" spans="1:4" x14ac:dyDescent="0.25">
      <c r="A1091" s="2" t="str">
        <f>"N-040-BS"</f>
        <v>N-040-BS</v>
      </c>
      <c r="B1091" s="2" t="str">
        <f>"5/32 NORMAL BRASS"</f>
        <v>5/32 NORMAL BRASS</v>
      </c>
      <c r="C1091" s="4">
        <v>11.1</v>
      </c>
      <c r="D1091" s="5">
        <v>4.5</v>
      </c>
    </row>
    <row r="1092" spans="1:4" x14ac:dyDescent="0.25">
      <c r="A1092" s="2" t="str">
        <f>"N-050-BS"</f>
        <v>N-050-BS</v>
      </c>
      <c r="B1092" s="2" t="str">
        <f>"3/16 NORMAL BRASS"</f>
        <v>3/16 NORMAL BRASS</v>
      </c>
      <c r="C1092" s="4">
        <v>12.4</v>
      </c>
      <c r="D1092" s="5">
        <v>5.0199999999999996</v>
      </c>
    </row>
    <row r="1093" spans="1:4" x14ac:dyDescent="0.25">
      <c r="A1093" s="2" t="str">
        <f>"N-060-BS"</f>
        <v>N-060-BS</v>
      </c>
      <c r="B1093" s="2" t="str">
        <f>"1/4 NORMAL BRASS"</f>
        <v>1/4 NORMAL BRASS</v>
      </c>
      <c r="C1093" s="4">
        <v>16.2</v>
      </c>
      <c r="D1093" s="5">
        <v>6.56</v>
      </c>
    </row>
    <row r="1094" spans="1:4" x14ac:dyDescent="0.25">
      <c r="A1094" s="2" t="str">
        <f>"N-070-BS"</f>
        <v>N-070-BS</v>
      </c>
      <c r="B1094" s="2" t="str">
        <f>"9/32 NORMAL BRASS"</f>
        <v>9/32 NORMAL BRASS</v>
      </c>
      <c r="C1094" s="4">
        <v>22.2</v>
      </c>
      <c r="D1094" s="5">
        <v>8.99</v>
      </c>
    </row>
    <row r="1095" spans="1:4" x14ac:dyDescent="0.25">
      <c r="A1095" s="2" t="str">
        <f>"N-080-BS"</f>
        <v>N-080-BS</v>
      </c>
      <c r="B1095" s="2" t="str">
        <f>"5/16 NORMAL BRASS"</f>
        <v>5/16 NORMAL BRASS</v>
      </c>
      <c r="C1095" s="4">
        <v>27.5</v>
      </c>
      <c r="D1095" s="5">
        <v>11.14</v>
      </c>
    </row>
    <row r="1096" spans="1:4" x14ac:dyDescent="0.25">
      <c r="A1096" s="2" t="str">
        <f>"G-035-BS"</f>
        <v>G-035-BS</v>
      </c>
      <c r="B1096" s="2" t="str">
        <f>"1/8   LONG BRASS"</f>
        <v>1/8   LONG BRASS</v>
      </c>
      <c r="C1096" s="4">
        <v>11.9</v>
      </c>
      <c r="D1096" s="5">
        <v>4.82</v>
      </c>
    </row>
    <row r="1097" spans="1:4" x14ac:dyDescent="0.25">
      <c r="A1097" s="2" t="str">
        <f>"G-040-BS"</f>
        <v>G-040-BS</v>
      </c>
      <c r="B1097" s="2" t="str">
        <f>"5/32   LONG BRASS"</f>
        <v>5/32   LONG BRASS</v>
      </c>
      <c r="C1097" s="4">
        <v>13.9</v>
      </c>
      <c r="D1097" s="5">
        <v>5.63</v>
      </c>
    </row>
    <row r="1098" spans="1:4" x14ac:dyDescent="0.25">
      <c r="A1098" s="2" t="str">
        <f>"G-050-BS"</f>
        <v>G-050-BS</v>
      </c>
      <c r="B1098" s="2" t="str">
        <f>"3/16   LONG BRASS"</f>
        <v>3/16   LONG BRASS</v>
      </c>
      <c r="C1098" s="4">
        <v>16</v>
      </c>
      <c r="D1098" s="5">
        <v>6.48</v>
      </c>
    </row>
    <row r="1099" spans="1:4" x14ac:dyDescent="0.25">
      <c r="A1099" s="2" t="str">
        <f>"G-060-BS"</f>
        <v>G-060-BS</v>
      </c>
      <c r="B1099" s="2" t="str">
        <f>"1/4   LONG BRASS"</f>
        <v>1/4   LONG BRASS</v>
      </c>
      <c r="C1099" s="4">
        <v>20.9</v>
      </c>
      <c r="D1099" s="5">
        <v>8.4600000000000009</v>
      </c>
    </row>
    <row r="1100" spans="1:4" x14ac:dyDescent="0.25">
      <c r="A1100" s="2" t="str">
        <f>"G-070-BS"</f>
        <v>G-070-BS</v>
      </c>
      <c r="B1100" s="2" t="str">
        <f>"9/32   LONG BRASS"</f>
        <v>9/32   LONG BRASS</v>
      </c>
      <c r="C1100" s="4">
        <v>27.7</v>
      </c>
      <c r="D1100" s="5">
        <v>11.22</v>
      </c>
    </row>
    <row r="1101" spans="1:4" x14ac:dyDescent="0.25">
      <c r="A1101" s="2" t="str">
        <f>"G-080-BS"</f>
        <v>G-080-BS</v>
      </c>
      <c r="B1101" s="2" t="str">
        <f>"5/16   LONG BRASS"</f>
        <v>5/16   LONG BRASS</v>
      </c>
      <c r="C1101" s="4">
        <v>36.200000000000003</v>
      </c>
      <c r="D1101" s="5">
        <v>14.66</v>
      </c>
    </row>
    <row r="1102" spans="1:4" x14ac:dyDescent="0.25">
      <c r="A1102" s="6" t="str">
        <f>"E-060-GS"</f>
        <v>E-060-GS</v>
      </c>
      <c r="B1102" s="6" t="str">
        <f>"1/4   EYELET GALVANIZED"</f>
        <v>1/4   EYELET GALVANIZED</v>
      </c>
      <c r="C1102" s="7">
        <v>14.8</v>
      </c>
      <c r="D1102" s="8">
        <v>5.99</v>
      </c>
    </row>
    <row r="1103" spans="1:4" x14ac:dyDescent="0.25">
      <c r="A1103" s="2" t="str">
        <f>"04368"</f>
        <v>04368</v>
      </c>
      <c r="B1103" s="2" t="str">
        <f>"FOIN ALU  - LARGE SCAFFOLD CARABINE"</f>
        <v>FOIN ALU  - LARGE SCAFFOLD CARABINE</v>
      </c>
      <c r="C1103" s="4">
        <v>177.9</v>
      </c>
      <c r="D1103" s="5">
        <v>72.05</v>
      </c>
    </row>
    <row r="1104" spans="1:4" x14ac:dyDescent="0.25">
      <c r="A1104" s="2" t="str">
        <f>"04237"</f>
        <v>04237</v>
      </c>
      <c r="B1104" s="2" t="str">
        <f>"FOIN ALU AUTO-LOCK CARABINER CLEAR"</f>
        <v>FOIN ALU AUTO-LOCK CARABINER CLEAR</v>
      </c>
      <c r="C1104" s="4">
        <v>88.9</v>
      </c>
      <c r="D1104" s="5">
        <v>36</v>
      </c>
    </row>
    <row r="1105" spans="1:4" x14ac:dyDescent="0.25">
      <c r="A1105" s="2" t="str">
        <f>"04423"</f>
        <v>04423</v>
      </c>
      <c r="B1105" s="2" t="str">
        <f>"FOIN ALU Q STRAIGHT GATE CARABINER"</f>
        <v>FOIN ALU Q STRAIGHT GATE CARABINER</v>
      </c>
      <c r="C1105" s="4">
        <v>69.900000000000006</v>
      </c>
      <c r="D1105" s="5">
        <v>28.31</v>
      </c>
    </row>
    <row r="1106" spans="1:4" x14ac:dyDescent="0.25">
      <c r="A1106" s="2" t="str">
        <f>"56020714390"</f>
        <v>56020714390</v>
      </c>
      <c r="B1106" s="2" t="str">
        <f>"EC47 GREASING KIT"</f>
        <v>EC47 GREASING KIT</v>
      </c>
      <c r="C1106" s="4">
        <v>0.8</v>
      </c>
      <c r="D1106" s="5">
        <v>0.32</v>
      </c>
    </row>
    <row r="1107" spans="1:4" x14ac:dyDescent="0.25">
      <c r="A1107" s="2" t="str">
        <f>"MQ00372"</f>
        <v>MQ00372</v>
      </c>
      <c r="B1107" s="2" t="str">
        <f>"COMPOSITE SNAP HOOK SIZE 1 (PACK OF 6)"</f>
        <v>COMPOSITE SNAP HOOK SIZE 1 (PACK OF 6)</v>
      </c>
      <c r="C1107" s="4">
        <v>14</v>
      </c>
      <c r="D1107" s="5">
        <v>5.67</v>
      </c>
    </row>
    <row r="1108" spans="1:4" x14ac:dyDescent="0.25">
      <c r="A1108" s="2" t="str">
        <f>"MQ00502"</f>
        <v>MQ00502</v>
      </c>
      <c r="B1108" s="2" t="str">
        <f>"COMPOSITE SNAP HOOK SIZE 2 (PACK OF 6)"</f>
        <v>COMPOSITE SNAP HOOK SIZE 2 (PACK OF 6)</v>
      </c>
      <c r="C1108" s="4">
        <v>16.3</v>
      </c>
      <c r="D1108" s="5">
        <v>6.6</v>
      </c>
    </row>
    <row r="1109" spans="1:4" x14ac:dyDescent="0.25">
      <c r="A1109" s="2" t="str">
        <f>"MQ00752"</f>
        <v>MQ00752</v>
      </c>
      <c r="B1109" s="2" t="str">
        <f>"COMPOSITE SNAP HOOK SIZE 3 (PACK OF 4)"</f>
        <v>COMPOSITE SNAP HOOK SIZE 3 (PACK OF 4)</v>
      </c>
      <c r="C1109" s="4">
        <v>15.2</v>
      </c>
      <c r="D1109" s="5">
        <v>6.16</v>
      </c>
    </row>
    <row r="1110" spans="1:4" x14ac:dyDescent="0.25">
      <c r="A1110" s="2" t="str">
        <f>"MQ01001"</f>
        <v>MQ01001</v>
      </c>
      <c r="B1110" s="2" t="str">
        <f>"COMPOSITE SNAP HOOK SIZE 4 (UNIT)"</f>
        <v>COMPOSITE SNAP HOOK SIZE 4 (UNIT)</v>
      </c>
      <c r="C1110" s="4">
        <v>4.5999999999999996</v>
      </c>
      <c r="D1110" s="5">
        <v>1.86</v>
      </c>
    </row>
    <row r="1111" spans="1:4" x14ac:dyDescent="0.25">
      <c r="A1111" s="2" t="str">
        <f>"MQ01002"</f>
        <v>MQ01002</v>
      </c>
      <c r="B1111" s="2" t="str">
        <f>"COMPOSITE SNAP HOOK SIZE 4 (PACK OF 2)"</f>
        <v>COMPOSITE SNAP HOOK SIZE 4 (PACK OF 2)</v>
      </c>
      <c r="C1111" s="4">
        <v>11.8</v>
      </c>
      <c r="D1111" s="5">
        <v>4.78</v>
      </c>
    </row>
    <row r="1112" spans="1:4" x14ac:dyDescent="0.25">
      <c r="A1112" s="2" t="str">
        <f>"MD00641"</f>
        <v>MD00641</v>
      </c>
      <c r="B1112" s="2" t="str">
        <f>"COMPOSITE DOUBLE SNAP HOOK (UNIT)"</f>
        <v>COMPOSITE DOUBLE SNAP HOOK (UNIT)</v>
      </c>
      <c r="C1112" s="4">
        <v>4.3</v>
      </c>
      <c r="D1112" s="5">
        <v>1.74</v>
      </c>
    </row>
    <row r="1113" spans="1:4" x14ac:dyDescent="0.25">
      <c r="A1113" s="2" t="str">
        <f>"MD00642"</f>
        <v>MD00642</v>
      </c>
      <c r="B1113" s="2" t="str">
        <f>"COMPOSITE DOUBLE SNAP HOOK (PACK OF 6)"</f>
        <v>COMPOSITE DOUBLE SNAP HOOK (PACK OF 6)</v>
      </c>
      <c r="C1113" s="4">
        <v>17.600000000000001</v>
      </c>
      <c r="D1113" s="5">
        <v>7.13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642"/>
  <sheetViews>
    <sheetView workbookViewId="0">
      <selection activeCell="D30" sqref="D30"/>
    </sheetView>
  </sheetViews>
  <sheetFormatPr defaultRowHeight="15" x14ac:dyDescent="0.25"/>
  <cols>
    <col min="1" max="1" width="19.85546875" style="2" bestFit="1" customWidth="1"/>
    <col min="2" max="2" width="43.7109375" style="2" bestFit="1" customWidth="1"/>
    <col min="3" max="3" width="11.5703125" style="2" bestFit="1" customWidth="1"/>
    <col min="4" max="4" width="17.42578125" style="2" bestFit="1" customWidth="1"/>
    <col min="5" max="5" width="9.140625" style="2"/>
    <col min="6" max="6" width="10.140625" style="10" bestFit="1" customWidth="1"/>
    <col min="7" max="16384" width="9.140625" style="2"/>
  </cols>
  <sheetData>
    <row r="6" spans="1:4" x14ac:dyDescent="0.25">
      <c r="A6" s="1" t="s">
        <v>0</v>
      </c>
      <c r="B6" s="1" t="s">
        <v>1</v>
      </c>
      <c r="C6" s="1" t="s">
        <v>2</v>
      </c>
      <c r="D6" s="1" t="s">
        <v>4</v>
      </c>
    </row>
    <row r="7" spans="1:4" x14ac:dyDescent="0.25">
      <c r="A7" s="2" t="str">
        <f>"LCI-32D"</f>
        <v>LCI-32D</v>
      </c>
      <c r="B7" s="2" t="str">
        <f>"LCI32 CLASSIC TBCKL CYL 14M 46FT D/CAGE"</f>
        <v>LCI32 CLASSIC TBCKL CYL 14M 46FT D/CAGE</v>
      </c>
      <c r="C7" s="4">
        <v>3671.1</v>
      </c>
      <c r="D7" s="10">
        <v>2022.0418800000002</v>
      </c>
    </row>
    <row r="8" spans="1:4" x14ac:dyDescent="0.25">
      <c r="A8" s="2" t="str">
        <f>"LCI-42D"</f>
        <v>LCI-42D</v>
      </c>
      <c r="B8" s="2" t="str">
        <f>"LCI42 CLASSIC TBCKL CYL 18M 60FT D/CAGE"</f>
        <v>LCI42 CLASSIC TBCKL CYL 18M 60FT D/CAGE</v>
      </c>
      <c r="C8" s="4">
        <v>6212.5</v>
      </c>
      <c r="D8" s="10">
        <v>3421.8450000000003</v>
      </c>
    </row>
    <row r="9" spans="1:4" x14ac:dyDescent="0.25">
      <c r="A9" s="2" t="str">
        <f>"NC-42D"</f>
        <v>NC-42D</v>
      </c>
      <c r="B9" s="2" t="str">
        <f>"NC42 CLASSIC 16M 52FT DOUBLE CAGE"</f>
        <v>NC42 CLASSIC 16M 52FT DOUBLE CAGE</v>
      </c>
      <c r="C9" s="4">
        <v>4566.8</v>
      </c>
      <c r="D9" s="10">
        <v>2515.3934400000007</v>
      </c>
    </row>
    <row r="10" spans="1:4" x14ac:dyDescent="0.25">
      <c r="A10" s="2" t="str">
        <f>"NCI-32D"</f>
        <v>NCI-32D</v>
      </c>
      <c r="B10" s="2" t="str">
        <f>"NCI32 CLASSIC TBCKL CYL 12M 40FT D/CAGE"</f>
        <v>NCI32 CLASSIC TBCKL CYL 12M 40FT D/CAGE</v>
      </c>
      <c r="C10" s="4">
        <v>3223.2999999999997</v>
      </c>
      <c r="D10" s="10">
        <v>1775.3936400000002</v>
      </c>
    </row>
    <row r="11" spans="1:4" x14ac:dyDescent="0.25">
      <c r="A11" s="2" t="str">
        <f>"NCI-42D"</f>
        <v>NCI-42D</v>
      </c>
      <c r="B11" s="2" t="str">
        <f>"NCI42 CLASSIC TBCKL CYL 16M 52FT D/CAGE"</f>
        <v>NCI42 CLASSIC TBCKL CYL 16M 52FT D/CAGE</v>
      </c>
      <c r="C11" s="4">
        <v>5093</v>
      </c>
      <c r="D11" s="10">
        <v>2805.2244000000001</v>
      </c>
    </row>
    <row r="12" spans="1:4" x14ac:dyDescent="0.25">
      <c r="A12" s="2" t="str">
        <f>"NDE2-C520-20M"</f>
        <v>NDE2-C520-20M</v>
      </c>
      <c r="B12" s="2" t="str">
        <f>"NDE2 C520 ELECTRIC FURLER 20M/65FT"</f>
        <v>NDE2 C520 ELECTRIC FURLER 20M/65FT</v>
      </c>
      <c r="C12" s="4">
        <v>20700.8</v>
      </c>
      <c r="D12" s="10">
        <v>11402.00064</v>
      </c>
    </row>
    <row r="13" spans="1:4" x14ac:dyDescent="0.25">
      <c r="A13" s="2" t="str">
        <f>"LC-32D"</f>
        <v>LC-32D</v>
      </c>
      <c r="B13" s="2" t="str">
        <f>"LC32 CLASSIC 14M 46FT DOUBLE CAGE"</f>
        <v>LC32 CLASSIC 14M 46FT DOUBLE CAGE</v>
      </c>
      <c r="C13" s="4">
        <v>3447.2</v>
      </c>
      <c r="D13" s="10">
        <v>1898.71776</v>
      </c>
    </row>
    <row r="14" spans="1:4" x14ac:dyDescent="0.25">
      <c r="A14" s="2" t="str">
        <f>"LC-42D"</f>
        <v>LC-42D</v>
      </c>
      <c r="B14" s="2" t="str">
        <f>"LC42 CLASSIC 18M 60FT DOUBLE CAGE"</f>
        <v>LC42 CLASSIC 18M 60FT DOUBLE CAGE</v>
      </c>
      <c r="C14" s="4">
        <v>5876.6</v>
      </c>
      <c r="D14" s="10">
        <v>3236.8312800000008</v>
      </c>
    </row>
    <row r="15" spans="1:4" x14ac:dyDescent="0.25">
      <c r="A15" s="2" t="str">
        <f>"NC-32D"</f>
        <v>NC-32D</v>
      </c>
      <c r="B15" s="2" t="str">
        <f>"NC32 CLASSIC 12M 40FT DOUBLE CAGE"</f>
        <v>NC32 CLASSIC 12M 40FT DOUBLE CAGE</v>
      </c>
      <c r="C15" s="4">
        <v>2999.4</v>
      </c>
      <c r="D15" s="10">
        <v>1652.06952</v>
      </c>
    </row>
    <row r="16" spans="1:4" x14ac:dyDescent="0.25">
      <c r="A16" s="2" t="str">
        <f>"R250"</f>
        <v>R250</v>
      </c>
      <c r="B16" s="2" t="str">
        <f>"R250 RACING 12M 40FT"</f>
        <v>R250 RACING 12M 40FT</v>
      </c>
      <c r="C16" s="4">
        <v>2350</v>
      </c>
      <c r="D16" s="10">
        <v>1294.3800000000003</v>
      </c>
    </row>
    <row r="17" spans="1:4" x14ac:dyDescent="0.25">
      <c r="A17" s="2" t="str">
        <f>"R25010J80"</f>
        <v>R25010J80</v>
      </c>
      <c r="B17" s="2" t="str">
        <f>"PROFURL J80 FURLER"</f>
        <v>PROFURL J80 FURLER</v>
      </c>
      <c r="C17" s="4">
        <v>2493.5</v>
      </c>
      <c r="D17" s="10">
        <v>1373.4198000000001</v>
      </c>
    </row>
    <row r="18" spans="1:4" x14ac:dyDescent="0.25">
      <c r="A18" s="2" t="str">
        <f>"R350"</f>
        <v>R350</v>
      </c>
      <c r="B18" s="2" t="str">
        <f>"R350 RACING 16M 52FT"</f>
        <v>R350 RACING 16M 52FT</v>
      </c>
      <c r="C18" s="4">
        <v>3917.4</v>
      </c>
      <c r="D18" s="10">
        <v>2157.7039200000004</v>
      </c>
    </row>
    <row r="19" spans="1:4" x14ac:dyDescent="0.25">
      <c r="A19" s="2" t="str">
        <f>"R420"</f>
        <v>R420</v>
      </c>
      <c r="B19" s="2" t="str">
        <f>"R420 RACING 18M 60FT"</f>
        <v>R420 RACING 18M 60FT</v>
      </c>
      <c r="C19" s="4">
        <v>5037</v>
      </c>
      <c r="D19" s="10">
        <v>2774.3796000000002</v>
      </c>
    </row>
    <row r="20" spans="1:4" x14ac:dyDescent="0.25">
      <c r="A20" s="2" t="str">
        <f>"R430"</f>
        <v>R430</v>
      </c>
      <c r="B20" s="2" t="str">
        <f>"R430 RACING 18M 60FT"</f>
        <v>R430 RACING 18M 60FT</v>
      </c>
      <c r="C20" s="4">
        <v>6380.5</v>
      </c>
      <c r="D20" s="10">
        <v>3514.3794000000007</v>
      </c>
    </row>
    <row r="21" spans="1:4" x14ac:dyDescent="0.25">
      <c r="A21" s="2" t="str">
        <f>"C260"</f>
        <v>C260</v>
      </c>
      <c r="B21" s="2" t="str">
        <f>"C260 COASTAL 8.50M 28FT"</f>
        <v>C260 COASTAL 8.50M 28FT</v>
      </c>
      <c r="C21" s="4">
        <v>670.7</v>
      </c>
      <c r="D21" s="10">
        <v>369.42156000000011</v>
      </c>
    </row>
    <row r="22" spans="1:4" x14ac:dyDescent="0.25">
      <c r="A22" s="2" t="str">
        <f>"C290"</f>
        <v>C290</v>
      </c>
      <c r="B22" s="2" t="str">
        <f>"C290 COASTAL 12M 40FT"</f>
        <v>C290 COASTAL 12M 40FT</v>
      </c>
      <c r="C22" s="4">
        <v>1846.1999999999998</v>
      </c>
      <c r="D22" s="10">
        <v>1016.8869599999999</v>
      </c>
    </row>
    <row r="23" spans="1:4" x14ac:dyDescent="0.25">
      <c r="A23" s="2" t="str">
        <f>"C320"</f>
        <v>C320</v>
      </c>
      <c r="B23" s="2" t="str">
        <f>"C320 COASTAL 14M 46FT"</f>
        <v>C320 COASTAL 14M 46FT</v>
      </c>
      <c r="C23" s="4">
        <v>2406</v>
      </c>
      <c r="D23" s="10">
        <v>1325.2248000000002</v>
      </c>
    </row>
    <row r="24" spans="1:4" x14ac:dyDescent="0.25">
      <c r="A24" s="2" t="str">
        <f>"C350"</f>
        <v>C350</v>
      </c>
      <c r="B24" s="2" t="str">
        <f>"C350 COASTAL 16M 52FT"</f>
        <v>C350 COASTAL 16M 52FT</v>
      </c>
      <c r="C24" s="4">
        <v>3189.7</v>
      </c>
      <c r="D24" s="10">
        <v>1756.8867600000001</v>
      </c>
    </row>
    <row r="25" spans="1:4" x14ac:dyDescent="0.25">
      <c r="A25" s="2" t="str">
        <f>"C420"</f>
        <v>C420</v>
      </c>
      <c r="B25" s="2" t="str">
        <f>"C420 COASTAL 18M 60FT"</f>
        <v>C420 COASTAL 18M 60FT</v>
      </c>
      <c r="C25" s="4">
        <v>4118.9000000000005</v>
      </c>
      <c r="D25" s="10">
        <v>2268.6901200000007</v>
      </c>
    </row>
    <row r="26" spans="1:4" x14ac:dyDescent="0.25">
      <c r="A26" s="2" t="str">
        <f>"C430"</f>
        <v>C430</v>
      </c>
      <c r="B26" s="2" t="str">
        <f>"C430 COASTAL 18M 60FT"</f>
        <v>C430 COASTAL 18M 60FT</v>
      </c>
      <c r="C26" s="4">
        <v>4757.1000000000004</v>
      </c>
      <c r="D26" s="10">
        <v>2620.2106800000006</v>
      </c>
    </row>
    <row r="27" spans="1:4" x14ac:dyDescent="0.25">
      <c r="A27" s="2" t="str">
        <f>"C480"</f>
        <v>C480</v>
      </c>
      <c r="B27" s="2" t="str">
        <f>"C480 COASTAL 20M 65FT"</f>
        <v>C480 COASTAL 20M 65FT</v>
      </c>
      <c r="C27" s="4">
        <v>9380.9</v>
      </c>
      <c r="D27" s="10">
        <v>5166.9997200000007</v>
      </c>
    </row>
    <row r="28" spans="1:4" x14ac:dyDescent="0.25">
      <c r="A28" s="2" t="str">
        <f>"C520"</f>
        <v>C520</v>
      </c>
      <c r="B28" s="2" t="str">
        <f>"C520 COASTAL 20M 65FT"</f>
        <v>C520 COASTAL 20M 65FT</v>
      </c>
      <c r="C28" s="4">
        <v>10019</v>
      </c>
      <c r="D28" s="10">
        <v>5518.4652000000006</v>
      </c>
    </row>
    <row r="29" spans="1:4" x14ac:dyDescent="0.25">
      <c r="A29" s="2" t="str">
        <f>"C530"</f>
        <v>C530</v>
      </c>
      <c r="B29" s="2" t="str">
        <f>"C530 COASTAL 22M 72FT"</f>
        <v>C530 COASTAL 22M 72FT</v>
      </c>
      <c r="C29" s="4">
        <v>11754.4</v>
      </c>
      <c r="D29" s="10">
        <v>6474.3235200000008</v>
      </c>
    </row>
    <row r="30" spans="1:4" x14ac:dyDescent="0.25">
      <c r="A30" s="2" t="str">
        <f>"P269032S"</f>
        <v>P269032S</v>
      </c>
      <c r="B30" s="2" t="str">
        <f>"COMPLETE EXTRUSION JOIN KIT C530"</f>
        <v>COMPLETE EXTRUSION JOIN KIT C530</v>
      </c>
      <c r="C30" s="4">
        <v>302.3</v>
      </c>
      <c r="D30" s="10">
        <v>166.50684000000004</v>
      </c>
    </row>
    <row r="31" spans="1:4" x14ac:dyDescent="0.25">
      <c r="A31" s="2" t="str">
        <f>"53656"</f>
        <v>53656</v>
      </c>
      <c r="B31" s="2" t="str">
        <f>"GEAR"</f>
        <v>GEAR</v>
      </c>
      <c r="C31" s="4">
        <v>0</v>
      </c>
      <c r="D31" s="10">
        <v>0</v>
      </c>
    </row>
    <row r="32" spans="1:4" x14ac:dyDescent="0.25">
      <c r="A32" s="2" t="str">
        <f>"MK-NDE2-C350"</f>
        <v>MK-NDE2-C350</v>
      </c>
      <c r="B32" s="2" t="str">
        <f>"MOTORIZATION KIT FOR NDE2 C350"</f>
        <v>MOTORIZATION KIT FOR NDE2 C350</v>
      </c>
      <c r="C32" s="4">
        <v>11184.5</v>
      </c>
      <c r="D32" s="10">
        <v>6160.4226000000008</v>
      </c>
    </row>
    <row r="33" spans="1:4" x14ac:dyDescent="0.25">
      <c r="A33" s="2" t="str">
        <f>"MK-NDE2-C420"</f>
        <v>MK-NDE2-C420</v>
      </c>
      <c r="B33" s="2" t="str">
        <f>"MOTORIZATION KIT NDE2 C420"</f>
        <v>MOTORIZATION KIT NDE2 C420</v>
      </c>
      <c r="C33" s="4">
        <v>12304.1</v>
      </c>
      <c r="D33" s="10">
        <v>6777.0982800000011</v>
      </c>
    </row>
    <row r="34" spans="1:4" x14ac:dyDescent="0.25">
      <c r="A34" s="2" t="str">
        <f>"MK-NDE2-C430"</f>
        <v>MK-NDE2-C430</v>
      </c>
      <c r="B34" s="2" t="str">
        <f>"MOTORIZATION KIT NDE2 C430"</f>
        <v>MOTORIZATION KIT NDE2 C430</v>
      </c>
      <c r="C34" s="4">
        <v>13423.6</v>
      </c>
      <c r="D34" s="10">
        <v>7393.7188800000013</v>
      </c>
    </row>
    <row r="35" spans="1:4" x14ac:dyDescent="0.25">
      <c r="A35" s="2" t="str">
        <f>"MK-NDE2-C480"</f>
        <v>MK-NDE2-C480</v>
      </c>
      <c r="B35" s="2" t="str">
        <f>"MOTORIZATION KIT NDE2 C480"</f>
        <v>MOTORIZATION KIT NDE2 C480</v>
      </c>
      <c r="C35" s="4">
        <v>16782.3</v>
      </c>
      <c r="D35" s="10">
        <v>9243.6908400000011</v>
      </c>
    </row>
    <row r="36" spans="1:4" x14ac:dyDescent="0.25">
      <c r="A36" s="2" t="str">
        <f>"MK-NDE2-C520"</f>
        <v>MK-NDE2-C520</v>
      </c>
      <c r="B36" s="2" t="str">
        <f>"MOTORIZATION KIT NDE2 C520"</f>
        <v>MOTORIZATION KIT NDE2 C520</v>
      </c>
      <c r="C36" s="4">
        <v>22380.199999999997</v>
      </c>
      <c r="D36" s="10">
        <v>12327.014159999999</v>
      </c>
    </row>
    <row r="37" spans="1:4" x14ac:dyDescent="0.25">
      <c r="A37" s="2" t="str">
        <f>"MK-NDE2-C530"</f>
        <v>MK-NDE2-C530</v>
      </c>
      <c r="B37" s="2" t="str">
        <f>"MOTORIZATION KIT NDE2 C530"</f>
        <v>MOTORIZATION KIT NDE2 C530</v>
      </c>
      <c r="C37" s="4">
        <v>26858.399999999998</v>
      </c>
      <c r="D37" s="10">
        <v>14793.606720000002</v>
      </c>
    </row>
    <row r="38" spans="1:4" x14ac:dyDescent="0.25">
      <c r="A38" s="2" t="str">
        <f>"MK-NDE2-C600"</f>
        <v>MK-NDE2-C600</v>
      </c>
      <c r="B38" s="2" t="str">
        <f>"MOTORIZATION KIT NDE2 C600"</f>
        <v>MOTORIZATION KIT NDE2 C600</v>
      </c>
      <c r="C38" s="4">
        <v>30217.1</v>
      </c>
      <c r="D38" s="10">
        <v>16643.578680000002</v>
      </c>
    </row>
    <row r="39" spans="1:4" x14ac:dyDescent="0.25">
      <c r="A39" s="2" t="str">
        <f>"NDE2-C350-14M"</f>
        <v>NDE2-C350-14M</v>
      </c>
      <c r="B39" s="2" t="str">
        <f>"NDE2 C350 ELECTRIC FURLER 14M/46FT"</f>
        <v>NDE2 C350 ELECTRIC FURLER 14M/46FT</v>
      </c>
      <c r="C39" s="4">
        <v>8161.7000000000007</v>
      </c>
      <c r="D39" s="10">
        <v>4495.4643600000009</v>
      </c>
    </row>
    <row r="40" spans="1:4" x14ac:dyDescent="0.25">
      <c r="A40" s="2" t="str">
        <f>"NDE2-C420-16M"</f>
        <v>NDE2-C420-16M</v>
      </c>
      <c r="B40" s="2" t="str">
        <f>"NDE2 C420 ELECTRIC FURLER 16M/52FT"</f>
        <v>NDE2 C420 ELECTRIC FURLER 16M/52FT</v>
      </c>
      <c r="C40" s="4">
        <v>11184.5</v>
      </c>
      <c r="D40" s="10">
        <v>6160.4226000000008</v>
      </c>
    </row>
    <row r="41" spans="1:4" x14ac:dyDescent="0.25">
      <c r="A41" s="2" t="str">
        <f>"NDE2-C430-18M"</f>
        <v>NDE2-C430-18M</v>
      </c>
      <c r="B41" s="2" t="str">
        <f>"NDE2 C430 ELECTRIC FURLER 18M/59FT"</f>
        <v>NDE2 C430 ELECTRIC FURLER 18M/59FT</v>
      </c>
      <c r="C41" s="4">
        <v>11698.4</v>
      </c>
      <c r="D41" s="10">
        <v>6443.478720000001</v>
      </c>
    </row>
    <row r="42" spans="1:4" x14ac:dyDescent="0.25">
      <c r="A42" s="2" t="str">
        <f>"NDE2-C480-SEE NOTE"</f>
        <v>NDE2-C480-SEE NOTE</v>
      </c>
      <c r="B42" s="2" t="str">
        <f>"NDE2 C480 ELECTRIC FURLER"</f>
        <v>NDE2 C480 ELECTRIC FURLER</v>
      </c>
      <c r="C42" s="4">
        <v>15103</v>
      </c>
      <c r="D42" s="10">
        <v>8318.7324000000026</v>
      </c>
    </row>
    <row r="43" spans="1:4" x14ac:dyDescent="0.25">
      <c r="A43" s="2" t="str">
        <f>"NDE2-C530-22M"</f>
        <v>NDE2-C530-22M</v>
      </c>
      <c r="B43" s="2" t="str">
        <f>"NDE2 C530 ELECTRIC FURLER 22M/72FT"</f>
        <v>NDE2 C530 ELECTRIC FURLER 22M/72FT</v>
      </c>
      <c r="C43" s="4">
        <v>25738.899999999998</v>
      </c>
      <c r="D43" s="10">
        <v>14176.986120000001</v>
      </c>
    </row>
    <row r="44" spans="1:4" x14ac:dyDescent="0.25">
      <c r="A44" s="2" t="str">
        <f>"NDE2-C600-24M"</f>
        <v>NDE2-C600-24M</v>
      </c>
      <c r="B44" s="2" t="str">
        <f>"NDE2 C600 ELECTRIC FURLER 24M/78FT"</f>
        <v>NDE2 C600 ELECTRIC FURLER 24M/78FT</v>
      </c>
      <c r="C44" s="4">
        <v>30217.1</v>
      </c>
      <c r="D44" s="10">
        <v>16643.578680000002</v>
      </c>
    </row>
    <row r="45" spans="1:4" x14ac:dyDescent="0.25">
      <c r="A45" s="2" t="str">
        <f>"P274V25SAV"</f>
        <v>P274V25SAV</v>
      </c>
      <c r="B45" s="2" t="str">
        <f>"KIT MOTORISATION NDE2 24V C520 C530"</f>
        <v>KIT MOTORISATION NDE2 24V C520 C530</v>
      </c>
      <c r="C45" s="4">
        <v>12146.800000000001</v>
      </c>
      <c r="D45" s="10">
        <v>6690.457440000001</v>
      </c>
    </row>
    <row r="46" spans="1:4" x14ac:dyDescent="0.25">
      <c r="A46" s="2" t="str">
        <f>"P274V26"</f>
        <v>P274V26</v>
      </c>
      <c r="B46" s="2" t="str">
        <f>"MOTORIZATION KIT NDE2 C480 24V"</f>
        <v>MOTORIZATION KIT NDE2 C480 24V</v>
      </c>
      <c r="C46" s="4">
        <v>7518.6</v>
      </c>
      <c r="D46" s="10">
        <v>4141.2448800000011</v>
      </c>
    </row>
    <row r="47" spans="1:4" x14ac:dyDescent="0.25">
      <c r="A47" s="2" t="str">
        <f>"P274V26SAV"</f>
        <v>P274V26SAV</v>
      </c>
      <c r="B47" s="2" t="str">
        <f>"MOTOR KIT FOR NDE2 24V C480"</f>
        <v>MOTOR KIT FOR NDE2 24V C480</v>
      </c>
      <c r="C47" s="4">
        <v>5263.6</v>
      </c>
      <c r="D47" s="10">
        <v>2899.1908800000006</v>
      </c>
    </row>
    <row r="48" spans="1:4" x14ac:dyDescent="0.25">
      <c r="A48" s="2" t="str">
        <f>"04446"</f>
        <v>04446</v>
      </c>
      <c r="B48" s="2" t="str">
        <f>"12V/63A BIPOLAR RELAY SWITCH"</f>
        <v>12V/63A BIPOLAR RELAY SWITCH</v>
      </c>
      <c r="C48" s="4">
        <v>838.6</v>
      </c>
      <c r="D48" s="10">
        <v>461.90088000000003</v>
      </c>
    </row>
    <row r="49" spans="1:4" x14ac:dyDescent="0.25">
      <c r="A49" s="2" t="str">
        <f>"P251040"</f>
        <v>P251040</v>
      </c>
      <c r="B49" s="2" t="str">
        <f>"TURNBUCKLE CYLINDER R250"</f>
        <v>TURNBUCKLE CYLINDER R250</v>
      </c>
      <c r="C49" s="4">
        <v>301.20000000000005</v>
      </c>
      <c r="D49" s="10">
        <v>165.90096000000005</v>
      </c>
    </row>
    <row r="50" spans="1:4" x14ac:dyDescent="0.25">
      <c r="A50" s="2" t="str">
        <f>"P252040"</f>
        <v>P252040</v>
      </c>
      <c r="B50" s="2" t="str">
        <f>"TURNBUCKLE CYLINDER C320"</f>
        <v>TURNBUCKLE CYLINDER C320</v>
      </c>
      <c r="C50" s="4">
        <v>379.6</v>
      </c>
      <c r="D50" s="10">
        <v>209.08368000000004</v>
      </c>
    </row>
    <row r="51" spans="1:4" x14ac:dyDescent="0.25">
      <c r="A51" s="2" t="str">
        <f>"P253040"</f>
        <v>P253040</v>
      </c>
      <c r="B51" s="2" t="str">
        <f>"TURNBUCKLE CYLINDER C350"</f>
        <v>TURNBUCKLE CYLINDER C350</v>
      </c>
      <c r="C51" s="4">
        <v>446.8</v>
      </c>
      <c r="D51" s="10">
        <v>246.09744000000001</v>
      </c>
    </row>
    <row r="52" spans="1:4" x14ac:dyDescent="0.25">
      <c r="A52" s="2" t="str">
        <f>"P255040"</f>
        <v>P255040</v>
      </c>
      <c r="B52" s="2" t="str">
        <f>"TURNBUCKLE CYLINDER R420/430"</f>
        <v>TURNBUCKLE CYLINDER R420/430</v>
      </c>
      <c r="C52" s="4">
        <v>491.5</v>
      </c>
      <c r="D52" s="10">
        <v>270.71820000000008</v>
      </c>
    </row>
    <row r="53" spans="1:4" x14ac:dyDescent="0.25">
      <c r="A53" s="2" t="str">
        <f>"P256040"</f>
        <v>P256040</v>
      </c>
      <c r="B53" s="2" t="str">
        <f>"TURNBUCKLE CYLINDER R350"</f>
        <v>TURNBUCKLE CYLINDER R350</v>
      </c>
      <c r="C53" s="4">
        <v>446.8</v>
      </c>
      <c r="D53" s="10">
        <v>246.09744000000001</v>
      </c>
    </row>
    <row r="54" spans="1:4" x14ac:dyDescent="0.25">
      <c r="A54" s="2" t="str">
        <f>"P265040"</f>
        <v>P265040</v>
      </c>
      <c r="B54" s="2" t="str">
        <f>"TURNBUCKLE CYLINDER C480"</f>
        <v>TURNBUCKLE CYLINDER C480</v>
      </c>
      <c r="C54" s="4">
        <v>547.5</v>
      </c>
      <c r="D54" s="10">
        <v>301.56299999999999</v>
      </c>
    </row>
    <row r="55" spans="1:4" x14ac:dyDescent="0.25">
      <c r="A55" s="2" t="str">
        <f>"P254040"</f>
        <v>P254040</v>
      </c>
      <c r="B55" s="2" t="str">
        <f>"TURNBUCKLE CYLINDER C420/C430/C42/R42"</f>
        <v>TURNBUCKLE CYLINDER C420/C430/C42/R42</v>
      </c>
      <c r="C55" s="4">
        <v>491.5</v>
      </c>
      <c r="D55" s="10">
        <v>270.71820000000008</v>
      </c>
    </row>
    <row r="56" spans="1:4" x14ac:dyDescent="0.25">
      <c r="A56" s="2" t="str">
        <f>"CK52-12V"</f>
        <v>CK52-12V</v>
      </c>
      <c r="B56" s="2" t="str">
        <f>"EX - 52 SERIES CONVERSION KIT 12VOL"</f>
        <v>EX - 52 SERIES CONVERSION KIT 12VOL</v>
      </c>
      <c r="C56" s="4">
        <v>14844.4</v>
      </c>
      <c r="D56" s="10">
        <v>8176.2955200000006</v>
      </c>
    </row>
    <row r="57" spans="1:4" x14ac:dyDescent="0.25">
      <c r="A57" s="2" t="str">
        <f>"NDEC42-24V"</f>
        <v>NDEC42-24V</v>
      </c>
      <c r="B57" s="2" t="str">
        <f>"EX -ELECTRIC SYSTEM NDEC42 16M 24V"</f>
        <v>EX -ELECTRIC SYSTEM NDEC42 16M 24V</v>
      </c>
      <c r="C57" s="4">
        <v>12560.5</v>
      </c>
      <c r="D57" s="10">
        <v>6918.323400000002</v>
      </c>
    </row>
    <row r="58" spans="1:4" x14ac:dyDescent="0.25">
      <c r="A58" s="2" t="str">
        <f>"C290-BEN"</f>
        <v>C290-BEN</v>
      </c>
      <c r="B58" s="2" t="str">
        <f>"C290 BEN COASTAL 12M 40FT"</f>
        <v>C290 BEN COASTAL 12M 40FT</v>
      </c>
      <c r="C58" s="4">
        <v>1846.1999999999998</v>
      </c>
      <c r="D58" s="10">
        <v>1016.8869599999999</v>
      </c>
    </row>
    <row r="59" spans="1:4" x14ac:dyDescent="0.25">
      <c r="A59" s="2" t="str">
        <f>"C420-BEN"</f>
        <v>C420-BEN</v>
      </c>
      <c r="B59" s="2" t="str">
        <f>"C420 BEN COASTAL 16M 52FT"</f>
        <v>C420 BEN COASTAL 16M 52FT</v>
      </c>
      <c r="C59" s="4">
        <v>3413.6</v>
      </c>
      <c r="D59" s="10">
        <v>1880.2108800000001</v>
      </c>
    </row>
    <row r="60" spans="1:4" x14ac:dyDescent="0.25">
      <c r="A60" s="2" t="str">
        <f>"119907"</f>
        <v>119907</v>
      </c>
      <c r="B60" s="2" t="str">
        <f>"THIMBLE (1) FOR NEX 0.9"</f>
        <v>THIMBLE (1) FOR NEX 0.9</v>
      </c>
      <c r="C60" s="4">
        <v>40.200000000000003</v>
      </c>
      <c r="D60" s="10">
        <v>22.142160000000008</v>
      </c>
    </row>
    <row r="61" spans="1:4" x14ac:dyDescent="0.25">
      <c r="A61" s="2" t="str">
        <f>"119908"</f>
        <v>119908</v>
      </c>
      <c r="B61" s="2" t="str">
        <f>"THIMBLE (1) FOR NEX 1.5"</f>
        <v>THIMBLE (1) FOR NEX 1.5</v>
      </c>
      <c r="C61" s="4">
        <v>45.800000000000004</v>
      </c>
      <c r="D61" s="10">
        <v>25.226640000000007</v>
      </c>
    </row>
    <row r="62" spans="1:4" x14ac:dyDescent="0.25">
      <c r="A62" s="2" t="str">
        <f>"54105"</f>
        <v>54105</v>
      </c>
      <c r="B62" s="2" t="str">
        <f>"2:1/3:1 SOLID SHEAVE NEX4.0V2"</f>
        <v>2:1/3:1 SOLID SHEAVE NEX4.0V2</v>
      </c>
      <c r="C62" s="4">
        <v>208.5</v>
      </c>
      <c r="D62" s="10">
        <v>114.84180000000001</v>
      </c>
    </row>
    <row r="63" spans="1:4" x14ac:dyDescent="0.25">
      <c r="A63" s="2" t="str">
        <f>"54554"</f>
        <v>54554</v>
      </c>
      <c r="B63" s="2" t="str">
        <f>"2:1/3:1 SOLID SHEAVE NEX6.5V2"</f>
        <v>2:1/3:1 SOLID SHEAVE NEX6.5V2</v>
      </c>
      <c r="C63" s="4">
        <v>323.70000000000005</v>
      </c>
      <c r="D63" s="10">
        <v>178.29396000000006</v>
      </c>
    </row>
    <row r="64" spans="1:4" x14ac:dyDescent="0.25">
      <c r="A64" s="2" t="str">
        <f>"54555"</f>
        <v>54555</v>
      </c>
      <c r="B64" s="2" t="str">
        <f>"2:1/3:1 SOLID SHEAVE NEX2.5V2"</f>
        <v>2:1/3:1 SOLID SHEAVE NEX2.5V2</v>
      </c>
      <c r="C64" s="4">
        <v>136.6</v>
      </c>
      <c r="D64" s="10">
        <v>75.239280000000008</v>
      </c>
    </row>
    <row r="65" spans="1:4" x14ac:dyDescent="0.25">
      <c r="A65" s="2" t="str">
        <f>"55018"</f>
        <v>55018</v>
      </c>
      <c r="B65" s="2" t="str">
        <f>"2:1/3:1 SOLID SHEAVE NEX1.5V2"</f>
        <v>2:1/3:1 SOLID SHEAVE NEX1.5V2</v>
      </c>
      <c r="C65" s="4">
        <v>109.5</v>
      </c>
      <c r="D65" s="10">
        <v>60.31260000000001</v>
      </c>
    </row>
    <row r="66" spans="1:4" x14ac:dyDescent="0.25">
      <c r="A66" s="2" t="str">
        <f>"56122"</f>
        <v>56122</v>
      </c>
      <c r="B66" s="2" t="str">
        <f>"13MM MARLOW PRO-DRIVE A/T CABLE/METER"</f>
        <v>13MM MARLOW PRO-DRIVE A/T CABLE/METER</v>
      </c>
      <c r="C66" s="4">
        <v>30.3</v>
      </c>
      <c r="D66" s="10">
        <v>16.689240000000002</v>
      </c>
    </row>
    <row r="67" spans="1:4" x14ac:dyDescent="0.25">
      <c r="A67" s="2" t="str">
        <f>"59025"</f>
        <v>59025</v>
      </c>
      <c r="B67" s="2" t="str">
        <f>"SS THIMBLE NEX1.5V2 - 11MM CABLE"</f>
        <v>SS THIMBLE NEX1.5V2 - 11MM CABLE</v>
      </c>
      <c r="C67" s="4">
        <v>20</v>
      </c>
      <c r="D67" s="10">
        <v>11.016000000000002</v>
      </c>
    </row>
    <row r="68" spans="1:4" x14ac:dyDescent="0.25">
      <c r="A68" s="2" t="str">
        <f>"59026"</f>
        <v>59026</v>
      </c>
      <c r="B68" s="2" t="str">
        <f>"SS THIMBLE NEX2.5V2 - 13MM CABLE"</f>
        <v>SS THIMBLE NEX2.5V2 - 13MM CABLE</v>
      </c>
      <c r="C68" s="4">
        <v>25.900000000000002</v>
      </c>
      <c r="D68" s="10">
        <v>14.265720000000002</v>
      </c>
    </row>
    <row r="69" spans="1:4" x14ac:dyDescent="0.25">
      <c r="A69" s="2" t="str">
        <f>"59027"</f>
        <v>59027</v>
      </c>
      <c r="B69" s="2" t="str">
        <f>"SS THIMBLE NEX4.0V2 - 15MM CABLE"</f>
        <v>SS THIMBLE NEX4.0V2 - 15MM CABLE</v>
      </c>
      <c r="C69" s="4">
        <v>34.6</v>
      </c>
      <c r="D69" s="10">
        <v>19.057680000000005</v>
      </c>
    </row>
    <row r="70" spans="1:4" x14ac:dyDescent="0.25">
      <c r="A70" s="2" t="str">
        <f>"59028"</f>
        <v>59028</v>
      </c>
      <c r="B70" s="2" t="str">
        <f>"SS THIMBLE NEX6.5/8.0V2 - 20MM CABLE"</f>
        <v>SS THIMBLE NEX6.5/8.0V2 - 20MM CABLE</v>
      </c>
      <c r="C70" s="4">
        <v>60.5</v>
      </c>
      <c r="D70" s="10">
        <v>33.323400000000007</v>
      </c>
    </row>
    <row r="71" spans="1:4" x14ac:dyDescent="0.25">
      <c r="A71" s="2" t="str">
        <f>"59096"</f>
        <v>59096</v>
      </c>
      <c r="B71" s="2" t="str">
        <f>"LASH EYE TERMINAL NEX0.9V2"</f>
        <v>LASH EYE TERMINAL NEX0.9V2</v>
      </c>
      <c r="C71" s="4">
        <v>59.6</v>
      </c>
      <c r="D71" s="10">
        <v>32.827680000000008</v>
      </c>
    </row>
    <row r="72" spans="1:4" x14ac:dyDescent="0.25">
      <c r="A72" s="2" t="str">
        <f>"59164"</f>
        <v>59164</v>
      </c>
      <c r="B72" s="2" t="str">
        <f>"SS THIMBLE NEX0.9V2 - 9MM CABLE"</f>
        <v>SS THIMBLE NEX0.9V2 - 9MM CABLE</v>
      </c>
      <c r="C72" s="4">
        <v>13</v>
      </c>
      <c r="D72" s="10">
        <v>7.1604000000000001</v>
      </c>
    </row>
    <row r="73" spans="1:4" x14ac:dyDescent="0.25">
      <c r="A73" s="2" t="str">
        <f>"59165"</f>
        <v>59165</v>
      </c>
      <c r="B73" s="2" t="str">
        <f>"ALLOY THIMBLE NEX1.5V2 - 11MM CABLE"</f>
        <v>ALLOY THIMBLE NEX1.5V2 - 11MM CABLE</v>
      </c>
      <c r="C73" s="4">
        <v>80.199999999999989</v>
      </c>
      <c r="D73" s="10">
        <v>44.174159999999993</v>
      </c>
    </row>
    <row r="74" spans="1:4" x14ac:dyDescent="0.25">
      <c r="A74" s="2" t="str">
        <f>"59166"</f>
        <v>59166</v>
      </c>
      <c r="B74" s="2" t="str">
        <f>"ALLOY THIMBLE NEX2.5V2 - 13MM CABLE"</f>
        <v>ALLOY THIMBLE NEX2.5V2 - 13MM CABLE</v>
      </c>
      <c r="C74" s="4">
        <v>86.899999999999991</v>
      </c>
      <c r="D74" s="10">
        <v>47.864519999999999</v>
      </c>
    </row>
    <row r="75" spans="1:4" x14ac:dyDescent="0.25">
      <c r="A75" s="2" t="str">
        <f>"59167"</f>
        <v>59167</v>
      </c>
      <c r="B75" s="2" t="str">
        <f>"ALLOY THIMBLE NEX4.0V2 - 15MM CABLE"</f>
        <v>ALLOY THIMBLE NEX4.0V2 - 15MM CABLE</v>
      </c>
      <c r="C75" s="4">
        <v>112.19999999999999</v>
      </c>
      <c r="D75" s="10">
        <v>61.799759999999999</v>
      </c>
    </row>
    <row r="76" spans="1:4" x14ac:dyDescent="0.25">
      <c r="A76" s="2" t="str">
        <f>"59168"</f>
        <v>59168</v>
      </c>
      <c r="B76" s="2" t="str">
        <f>"ALLOY THIMBLE NEX6.5/8.0V2 - 20MM CABLE"</f>
        <v>ALLOY THIMBLE NEX6.5/8.0V2 - 20MM CABLE</v>
      </c>
      <c r="C76" s="4">
        <v>287.70000000000005</v>
      </c>
      <c r="D76" s="10">
        <v>158.46516000000005</v>
      </c>
    </row>
    <row r="77" spans="1:4" x14ac:dyDescent="0.25">
      <c r="A77" s="2" t="str">
        <f>"59210"</f>
        <v>59210</v>
      </c>
      <c r="B77" s="2" t="str">
        <f>"CABLELESS THIMBLE TOP NEX2.5V2"</f>
        <v>CABLELESS THIMBLE TOP NEX2.5V2</v>
      </c>
      <c r="C77" s="4">
        <v>593.1</v>
      </c>
      <c r="D77" s="10">
        <v>326.67948000000007</v>
      </c>
    </row>
    <row r="78" spans="1:4" x14ac:dyDescent="0.25">
      <c r="A78" s="2" t="str">
        <f>"59211"</f>
        <v>59211</v>
      </c>
      <c r="B78" s="2" t="str">
        <f>"CABLELESS THIMBLE BOTTOM NEX2.5V2"</f>
        <v>CABLELESS THIMBLE BOTTOM NEX2.5V2</v>
      </c>
      <c r="C78" s="4">
        <v>634</v>
      </c>
      <c r="D78" s="10">
        <v>349.20720000000006</v>
      </c>
    </row>
    <row r="79" spans="1:4" x14ac:dyDescent="0.25">
      <c r="A79" s="2" t="str">
        <f>"59212"</f>
        <v>59212</v>
      </c>
      <c r="B79" s="2" t="str">
        <f>"CABLELESS THIMBLE TOP NEX4.0V2"</f>
        <v>CABLELESS THIMBLE TOP NEX4.0V2</v>
      </c>
      <c r="C79" s="4">
        <v>756.7</v>
      </c>
      <c r="D79" s="10">
        <v>416.79036000000002</v>
      </c>
    </row>
    <row r="80" spans="1:4" x14ac:dyDescent="0.25">
      <c r="A80" s="2" t="str">
        <f>"59213"</f>
        <v>59213</v>
      </c>
      <c r="B80" s="2" t="str">
        <f>"CABLELESS THIMBLE BOTTOM NEX4.0V2"</f>
        <v>CABLELESS THIMBLE BOTTOM NEX4.0V2</v>
      </c>
      <c r="C80" s="4">
        <v>782.2</v>
      </c>
      <c r="D80" s="10">
        <v>430.83576000000011</v>
      </c>
    </row>
    <row r="81" spans="1:4" x14ac:dyDescent="0.25">
      <c r="A81" s="2" t="str">
        <f>"59214"</f>
        <v>59214</v>
      </c>
      <c r="B81" s="2" t="str">
        <f>"CABLELESS THIMBLE TOP NEX6.5/8.0V2"</f>
        <v>CABLELESS THIMBLE TOP NEX6.5/8.0V2</v>
      </c>
      <c r="C81" s="4">
        <v>1053.1999999999998</v>
      </c>
      <c r="D81" s="10">
        <v>580.10256000000004</v>
      </c>
    </row>
    <row r="82" spans="1:4" x14ac:dyDescent="0.25">
      <c r="A82" s="2" t="str">
        <f>"59215"</f>
        <v>59215</v>
      </c>
      <c r="B82" s="2" t="str">
        <f>"CABLELESS THIMBLE BOTTOM NEX6.5/8.0V2"</f>
        <v>CABLELESS THIMBLE BOTTOM NEX6.5/8.0V2</v>
      </c>
      <c r="C82" s="4">
        <v>1104.3</v>
      </c>
      <c r="D82" s="10">
        <v>608.24843999999996</v>
      </c>
    </row>
    <row r="83" spans="1:4" x14ac:dyDescent="0.25">
      <c r="A83" s="2" t="str">
        <f>"NEC1T5CM"</f>
        <v>NEC1T5CM</v>
      </c>
      <c r="B83" s="2" t="str">
        <f>"NEC 1.5T - W/ SNAP - FLYING SAIL FU"</f>
        <v>NEC 1.5T - W/ SNAP - FLYING SAIL FU</v>
      </c>
      <c r="C83" s="4">
        <v>1289.3</v>
      </c>
      <c r="D83" s="10">
        <v>710.14643999999998</v>
      </c>
    </row>
    <row r="84" spans="1:4" x14ac:dyDescent="0.25">
      <c r="A84" s="2" t="str">
        <f>"NEX STR 5.0 NSEE"</f>
        <v>NEX STR 5.0 NSEE</v>
      </c>
      <c r="B84" s="2" t="str">
        <f>"NEX STRUCTUAL 5.0 BICONIC W/EYE TOP/LOWE"</f>
        <v>NEX STRUCTUAL 5.0 BICONIC W/EYE TOP/LOWE</v>
      </c>
      <c r="C84" s="4">
        <v>8059.8</v>
      </c>
      <c r="D84" s="10">
        <v>4439.3378400000011</v>
      </c>
    </row>
    <row r="85" spans="1:4" x14ac:dyDescent="0.25">
      <c r="A85" s="2" t="str">
        <f>"NEX0.9V2"</f>
        <v>NEX0.9V2</v>
      </c>
      <c r="B85" s="2" t="str">
        <f>"0.9T FLYING SAIL FURLER"</f>
        <v>0.9T FLYING SAIL FURLER</v>
      </c>
      <c r="C85" s="4">
        <v>1368.8</v>
      </c>
      <c r="D85" s="10">
        <v>753.93504000000007</v>
      </c>
    </row>
    <row r="86" spans="1:4" x14ac:dyDescent="0.25">
      <c r="A86" s="2" t="str">
        <f>"NEX1.5V2"</f>
        <v>NEX1.5V2</v>
      </c>
      <c r="B86" s="2" t="str">
        <f>"1.5T FLYING SAIL FURLER"</f>
        <v>1.5T FLYING SAIL FURLER</v>
      </c>
      <c r="C86" s="4">
        <v>1789.8999999999999</v>
      </c>
      <c r="D86" s="10">
        <v>985.87692000000015</v>
      </c>
    </row>
    <row r="87" spans="1:4" x14ac:dyDescent="0.25">
      <c r="A87" s="2" t="str">
        <f>"NEX2.5V2"</f>
        <v>NEX2.5V2</v>
      </c>
      <c r="B87" s="2" t="str">
        <f>"2.5T FLYING SAIL FURLER"</f>
        <v>2.5T FLYING SAIL FURLER</v>
      </c>
      <c r="C87" s="4">
        <v>2695.4</v>
      </c>
      <c r="D87" s="10">
        <v>1484.6263200000003</v>
      </c>
    </row>
    <row r="88" spans="1:4" x14ac:dyDescent="0.25">
      <c r="A88" s="2" t="str">
        <f>"NEX4.0V2"</f>
        <v>NEX4.0V2</v>
      </c>
      <c r="B88" s="2" t="str">
        <f>"4.0T FLYING SAIL FURLER"</f>
        <v>4.0T FLYING SAIL FURLER</v>
      </c>
      <c r="C88" s="4">
        <v>4422</v>
      </c>
      <c r="D88" s="10">
        <v>2435.6376</v>
      </c>
    </row>
    <row r="89" spans="1:4" x14ac:dyDescent="0.25">
      <c r="A89" s="2" t="str">
        <f>"NEX6.5V2"</f>
        <v>NEX6.5V2</v>
      </c>
      <c r="B89" s="2" t="str">
        <f>"6.5T FLYING SAIL FURLER"</f>
        <v>6.5T FLYING SAIL FURLER</v>
      </c>
      <c r="C89" s="4">
        <v>7580.6</v>
      </c>
      <c r="D89" s="10">
        <v>4175.3944800000008</v>
      </c>
    </row>
    <row r="90" spans="1:4" x14ac:dyDescent="0.25">
      <c r="A90" s="2" t="str">
        <f>"NEXE5.0V12"</f>
        <v>NEXE5.0V12</v>
      </c>
      <c r="B90" s="2" t="str">
        <f>"MOTORIZED FLYING SAIL FURLER 5T 12V"</f>
        <v>MOTORIZED FLYING SAIL FURLER 5T 12V</v>
      </c>
      <c r="C90" s="4">
        <v>12896.800000000001</v>
      </c>
      <c r="D90" s="10">
        <v>7103.5574400000005</v>
      </c>
    </row>
    <row r="91" spans="1:4" x14ac:dyDescent="0.25">
      <c r="A91" s="2" t="str">
        <f>"NEXE8.0V24"</f>
        <v>NEXE8.0V24</v>
      </c>
      <c r="B91" s="2" t="str">
        <f>"MOTORIZED FLYING SAIL FURLER 8T 24V"</f>
        <v>MOTORIZED FLYING SAIL FURLER 8T 24V</v>
      </c>
      <c r="C91" s="4">
        <v>10869.6</v>
      </c>
      <c r="D91" s="10">
        <v>5986.9756800000005</v>
      </c>
    </row>
    <row r="92" spans="1:4" x14ac:dyDescent="0.25">
      <c r="A92" s="2" t="str">
        <f>"P226038"</f>
        <v>P226038</v>
      </c>
      <c r="B92" s="2" t="str">
        <f>"THIMBLE (1) FOR NEC 2.5 T"</f>
        <v>THIMBLE (1) FOR NEC 2.5 T</v>
      </c>
      <c r="C92" s="4">
        <v>81.099999999999994</v>
      </c>
      <c r="D92" s="10">
        <v>44.669880000000006</v>
      </c>
    </row>
    <row r="93" spans="1:4" x14ac:dyDescent="0.25">
      <c r="A93" s="2" t="str">
        <f>"P542538"</f>
        <v>P542538</v>
      </c>
      <c r="B93" s="2" t="str">
        <f>"THIMBLE (1) FOR NEX 2.5"</f>
        <v>THIMBLE (1) FOR NEX 2.5</v>
      </c>
      <c r="C93" s="4">
        <v>145.5</v>
      </c>
      <c r="D93" s="10">
        <v>80.141400000000004</v>
      </c>
    </row>
    <row r="94" spans="1:4" x14ac:dyDescent="0.25">
      <c r="A94" s="2" t="str">
        <f>"P545038"</f>
        <v>P545038</v>
      </c>
      <c r="B94" s="2" t="str">
        <f>"THIMBLE (1) FOR NEX 5.0"</f>
        <v>THIMBLE (1) FOR NEX 5.0</v>
      </c>
      <c r="C94" s="4">
        <v>235</v>
      </c>
      <c r="D94" s="10">
        <v>129.43800000000002</v>
      </c>
    </row>
    <row r="95" spans="1:4" x14ac:dyDescent="0.25">
      <c r="A95" s="2" t="str">
        <f>"P591541"</f>
        <v>P591541</v>
      </c>
      <c r="B95" s="2" t="str">
        <f>"RATCHET MECHANISM NEX1.5V2"</f>
        <v>RATCHET MECHANISM NEX1.5V2</v>
      </c>
      <c r="C95" s="4">
        <v>258</v>
      </c>
      <c r="D95" s="10">
        <v>142.10640000000001</v>
      </c>
    </row>
    <row r="96" spans="1:4" x14ac:dyDescent="0.25">
      <c r="A96" s="2" t="str">
        <f>"P591545"</f>
        <v>P591545</v>
      </c>
      <c r="B96" s="2" t="str">
        <f>"LASH EYE TERMINAL NEX1.5V2"</f>
        <v>LASH EYE TERMINAL NEX1.5V2</v>
      </c>
      <c r="C96" s="4">
        <v>80.199999999999989</v>
      </c>
      <c r="D96" s="10">
        <v>44.174159999999993</v>
      </c>
    </row>
    <row r="97" spans="1:4" x14ac:dyDescent="0.25">
      <c r="A97" s="2" t="str">
        <f>"P592520"</f>
        <v>P592520</v>
      </c>
      <c r="B97" s="2" t="str">
        <f>"2:1 HALYARD BLOCK NEX2.5V2"</f>
        <v>2:1 HALYARD BLOCK NEX2.5V2</v>
      </c>
      <c r="C97" s="4">
        <v>543.80000000000007</v>
      </c>
      <c r="D97" s="10">
        <v>299.52504000000005</v>
      </c>
    </row>
    <row r="98" spans="1:4" x14ac:dyDescent="0.25">
      <c r="A98" s="2" t="str">
        <f>"P592541"</f>
        <v>P592541</v>
      </c>
      <c r="B98" s="2" t="str">
        <f>"RATCHET MECHANISM NEX2.5V2"</f>
        <v>RATCHET MECHANISM NEX2.5V2</v>
      </c>
      <c r="C98" s="4">
        <v>0</v>
      </c>
      <c r="D98" s="10">
        <v>0</v>
      </c>
    </row>
    <row r="99" spans="1:4" x14ac:dyDescent="0.25">
      <c r="A99" s="2" t="str">
        <f>"P592545"</f>
        <v>P592545</v>
      </c>
      <c r="B99" s="2" t="str">
        <f>"LASH EYE TERMINAL NEX2.5V2"</f>
        <v>LASH EYE TERMINAL NEX2.5V2</v>
      </c>
      <c r="C99" s="4">
        <v>100.69999999999999</v>
      </c>
      <c r="D99" s="10">
        <v>55.465560000000004</v>
      </c>
    </row>
    <row r="100" spans="1:4" x14ac:dyDescent="0.25">
      <c r="A100" s="2" t="str">
        <f>"P594030"</f>
        <v>P594030</v>
      </c>
      <c r="B100" s="2" t="str">
        <f>"2:1 HALYARD BLOCK NEX4.0V2"</f>
        <v>2:1 HALYARD BLOCK NEX4.0V2</v>
      </c>
      <c r="C100" s="4">
        <v>780.7</v>
      </c>
      <c r="D100" s="10">
        <v>430.00956000000008</v>
      </c>
    </row>
    <row r="101" spans="1:4" x14ac:dyDescent="0.25">
      <c r="A101" s="2" t="str">
        <f>"P594041"</f>
        <v>P594041</v>
      </c>
      <c r="B101" s="2" t="str">
        <f>"RATCHET MECHANISM NEX4.0V2"</f>
        <v>RATCHET MECHANISM NEX4.0V2</v>
      </c>
      <c r="C101" s="4">
        <v>308.20000000000005</v>
      </c>
      <c r="D101" s="10">
        <v>169.75656000000004</v>
      </c>
    </row>
    <row r="102" spans="1:4" x14ac:dyDescent="0.25">
      <c r="A102" s="2" t="str">
        <f>"P594045"</f>
        <v>P594045</v>
      </c>
      <c r="B102" s="2" t="str">
        <f>"LASH EYE TERMINAL NEX4.0V2"</f>
        <v>LASH EYE TERMINAL NEX4.0V2</v>
      </c>
      <c r="C102" s="4">
        <v>121.3</v>
      </c>
      <c r="D102" s="10">
        <v>66.81204000000001</v>
      </c>
    </row>
    <row r="103" spans="1:4" x14ac:dyDescent="0.25">
      <c r="A103" s="2" t="str">
        <f>"P596530"</f>
        <v>P596530</v>
      </c>
      <c r="B103" s="2" t="str">
        <f>"2:1 HALYARD BLOCK NEX6.5V2"</f>
        <v>2:1 HALYARD BLOCK NEX6.5V2</v>
      </c>
      <c r="C103" s="4">
        <v>1027.1999999999998</v>
      </c>
      <c r="D103" s="10">
        <v>565.78175999999996</v>
      </c>
    </row>
    <row r="104" spans="1:4" x14ac:dyDescent="0.25">
      <c r="A104" s="2" t="str">
        <f>"P596541"</f>
        <v>P596541</v>
      </c>
      <c r="B104" s="2" t="str">
        <f>"RATCHET MECHANISM NEX6.5V2"</f>
        <v>RATCHET MECHANISM NEX6.5V2</v>
      </c>
      <c r="C104" s="4">
        <v>369.8</v>
      </c>
      <c r="D104" s="10">
        <v>203.68584000000004</v>
      </c>
    </row>
    <row r="105" spans="1:4" x14ac:dyDescent="0.25">
      <c r="A105" s="2" t="str">
        <f>"P596545"</f>
        <v>P596545</v>
      </c>
      <c r="B105" s="2" t="str">
        <f>"LASH EYE TERMINAL NEX6.5V2"</f>
        <v>LASH EYE TERMINAL NEX6.5V2</v>
      </c>
      <c r="C105" s="4">
        <v>141.79999999999998</v>
      </c>
      <c r="D105" s="10">
        <v>78.103440000000006</v>
      </c>
    </row>
    <row r="106" spans="1:4" x14ac:dyDescent="0.25">
      <c r="A106" s="2" t="str">
        <f>"SPIN 0.9"</f>
        <v>SPIN 0.9</v>
      </c>
      <c r="B106" s="2" t="str">
        <f>"SPIN KIT FOR NEX 0.9"</f>
        <v>SPIN KIT FOR NEX 0.9</v>
      </c>
      <c r="C106" s="4">
        <v>1543.8999999999999</v>
      </c>
      <c r="D106" s="10">
        <v>850.38012000000015</v>
      </c>
    </row>
    <row r="107" spans="1:4" x14ac:dyDescent="0.25">
      <c r="A107" s="2" t="str">
        <f>"SPIN 1.5"</f>
        <v>SPIN 1.5</v>
      </c>
      <c r="B107" s="2" t="str">
        <f>"SPIN KIT FOR NEX 1.5"</f>
        <v>SPIN KIT FOR NEX 1.5</v>
      </c>
      <c r="C107" s="4">
        <v>1655.8999999999999</v>
      </c>
      <c r="D107" s="10">
        <v>912.06971999999996</v>
      </c>
    </row>
    <row r="108" spans="1:4" x14ac:dyDescent="0.25">
      <c r="A108" s="2" t="str">
        <f>"SPIN 2.5"</f>
        <v>SPIN 2.5</v>
      </c>
      <c r="B108" s="2" t="str">
        <f>"SPIN KIT FOR NEX 2.5"</f>
        <v>SPIN KIT FOR NEX 2.5</v>
      </c>
      <c r="C108" s="4">
        <v>2103.6999999999998</v>
      </c>
      <c r="D108" s="10">
        <v>1158.7179600000002</v>
      </c>
    </row>
    <row r="109" spans="1:4" x14ac:dyDescent="0.25">
      <c r="A109" s="2" t="str">
        <f>"SPIN 5.0"</f>
        <v>SPIN 5.0</v>
      </c>
      <c r="B109" s="2" t="str">
        <f>"SPIN KIT FOR NEX 5.0"</f>
        <v>SPIN KIT FOR NEX 5.0</v>
      </c>
      <c r="C109" s="4">
        <v>2327.6</v>
      </c>
      <c r="D109" s="10">
        <v>1282.0420800000002</v>
      </c>
    </row>
    <row r="110" spans="1:4" x14ac:dyDescent="0.25">
      <c r="A110" s="2" t="str">
        <f>"SPINEXE5.012V"</f>
        <v>SPINEXE5.012V</v>
      </c>
      <c r="B110" s="2" t="str">
        <f>"MOTORIZED FLYING SAIL 12V SPINKIT"</f>
        <v>MOTORIZED FLYING SAIL 12V SPINKIT</v>
      </c>
      <c r="C110" s="4">
        <v>13982.9</v>
      </c>
      <c r="D110" s="10">
        <v>7701.781320000001</v>
      </c>
    </row>
    <row r="111" spans="1:4" x14ac:dyDescent="0.25">
      <c r="A111" s="2" t="str">
        <f>"EC1500"</f>
        <v>EC1500</v>
      </c>
      <c r="B111" s="2" t="str">
        <f>"EC 1500 - FLYING SAIL FURLERS"</f>
        <v>EC 1500 - FLYING SAIL FURLERS</v>
      </c>
      <c r="C111" s="4">
        <v>1152.0999999999999</v>
      </c>
      <c r="D111" s="10">
        <v>634.57668000000001</v>
      </c>
    </row>
    <row r="112" spans="1:4" x14ac:dyDescent="0.25">
      <c r="A112" s="2" t="str">
        <f>"PRO AM 1.0"</f>
        <v>PRO AM 1.0</v>
      </c>
      <c r="B112" s="2" t="str">
        <f>"STRUCTUAL 1TON CONTINUOUS LINE FURLER"</f>
        <v>STRUCTUAL 1TON CONTINUOUS LINE FURLER</v>
      </c>
      <c r="C112" s="4">
        <v>2238.1</v>
      </c>
      <c r="D112" s="10">
        <v>1232.74548</v>
      </c>
    </row>
    <row r="113" spans="1:4" x14ac:dyDescent="0.25">
      <c r="A113" s="2" t="str">
        <f>"PRO AM 2.0"</f>
        <v>PRO AM 2.0</v>
      </c>
      <c r="B113" s="2" t="str">
        <f>"STRUCTUAL 2TON CONTINUOUS LINE FURLER"</f>
        <v>STRUCTUAL 2TON CONTINUOUS LINE FURLER</v>
      </c>
      <c r="C113" s="4">
        <v>2573.9</v>
      </c>
      <c r="D113" s="10">
        <v>1417.7041200000001</v>
      </c>
    </row>
    <row r="114" spans="1:4" x14ac:dyDescent="0.25">
      <c r="A114" s="2" t="str">
        <f>"MISCP"</f>
        <v>MISCP</v>
      </c>
      <c r="B114" s="2" t="str">
        <f>"MISCELLANEOUS  PARTS"</f>
        <v>MISCELLANEOUS  PARTS</v>
      </c>
      <c r="C114" s="4">
        <v>1087.8999999999999</v>
      </c>
      <c r="D114" s="10">
        <v>599.21532000000002</v>
      </c>
    </row>
    <row r="115" spans="1:4" x14ac:dyDescent="0.25">
      <c r="A115" s="2" t="str">
        <f>"MISCP"</f>
        <v>MISCP</v>
      </c>
      <c r="B115" s="2" t="str">
        <f>"MISCELLANEOUS  PARTS"</f>
        <v>MISCELLANEOUS  PARTS</v>
      </c>
      <c r="C115" s="4">
        <v>1087.8999999999999</v>
      </c>
      <c r="D115" s="10">
        <v>599.21532000000002</v>
      </c>
    </row>
    <row r="116" spans="1:4" x14ac:dyDescent="0.25">
      <c r="A116" s="2" t="str">
        <f>"02218"</f>
        <v>02218</v>
      </c>
      <c r="B116" s="2" t="str">
        <f>"BOTTOM EXTRUSION FOR 32 MODELS"</f>
        <v>BOTTOM EXTRUSION FOR 32 MODELS</v>
      </c>
      <c r="C116" s="4">
        <v>291.20000000000005</v>
      </c>
      <c r="D116" s="10">
        <v>160.39296000000004</v>
      </c>
    </row>
    <row r="117" spans="1:4" x14ac:dyDescent="0.25">
      <c r="A117" s="2" t="str">
        <f>"02220"</f>
        <v>02220</v>
      </c>
      <c r="B117" s="2" t="str">
        <f>"INTERMEDIATE EXTRUSION FOR 32 MODEL"</f>
        <v>INTERMEDIATE EXTRUSION FOR 32 MODEL</v>
      </c>
      <c r="C117" s="4">
        <v>198.79999999999998</v>
      </c>
      <c r="D117" s="10">
        <v>109.49903999999999</v>
      </c>
    </row>
    <row r="118" spans="1:4" x14ac:dyDescent="0.25">
      <c r="A118" s="2" t="str">
        <f>"02233"</f>
        <v>02233</v>
      </c>
      <c r="B118" s="2" t="str">
        <f>"""BOTTOM EXTRUSION FOR NC, LC &amp; C 42"""</f>
        <v>"BOTTOM EXTRUSION FOR NC, LC &amp; C 42"</v>
      </c>
      <c r="C118" s="4">
        <v>507.90000000000003</v>
      </c>
      <c r="D118" s="10">
        <v>279.75132000000008</v>
      </c>
    </row>
    <row r="119" spans="1:4" x14ac:dyDescent="0.25">
      <c r="A119" s="2" t="str">
        <f>"02234"</f>
        <v>02234</v>
      </c>
      <c r="B119" s="2" t="str">
        <f>"""INTERMEDIATE EXTRUSION NC, LC &amp;C 42"""</f>
        <v>"INTERMEDIATE EXTRUSION NC, LC &amp;C 42"</v>
      </c>
      <c r="C119" s="4">
        <v>364.1</v>
      </c>
      <c r="D119" s="10">
        <v>200.54628000000002</v>
      </c>
    </row>
    <row r="120" spans="1:4" x14ac:dyDescent="0.25">
      <c r="A120" s="2" t="str">
        <f>"02248"</f>
        <v>02248</v>
      </c>
      <c r="B120" s="2" t="str">
        <f>"BOTTOM EXTRUSION FOR 52 MODELS"</f>
        <v>BOTTOM EXTRUSION FOR 52 MODELS</v>
      </c>
      <c r="C120" s="4">
        <v>721.80000000000007</v>
      </c>
      <c r="D120" s="10">
        <v>397.56744000000009</v>
      </c>
    </row>
    <row r="121" spans="1:4" x14ac:dyDescent="0.25">
      <c r="A121" s="2" t="str">
        <f>"02250"</f>
        <v>02250</v>
      </c>
      <c r="B121" s="2" t="str">
        <f>"INTERMEDIATE EXTRUSION FOR 52 MODEL"</f>
        <v>INTERMEDIATE EXTRUSION FOR 52 MODEL</v>
      </c>
      <c r="C121" s="4">
        <v>530</v>
      </c>
      <c r="D121" s="10">
        <v>291.92400000000004</v>
      </c>
    </row>
    <row r="122" spans="1:4" x14ac:dyDescent="0.25">
      <c r="A122" s="2" t="str">
        <f>"50279"</f>
        <v>50279</v>
      </c>
      <c r="B122" s="2" t="str">
        <f>"GAINE INTERMEDIAIRE LC42R"</f>
        <v>GAINE INTERMEDIAIRE LC42R</v>
      </c>
      <c r="C122" s="4">
        <v>615.30000000000007</v>
      </c>
      <c r="D122" s="10">
        <v>338.90724000000006</v>
      </c>
    </row>
    <row r="123" spans="1:4" x14ac:dyDescent="0.25">
      <c r="A123" s="2" t="str">
        <f>"53055"</f>
        <v>53055</v>
      </c>
      <c r="B123" s="2" t="str">
        <f>"INTERMEDIATE EXTRUSION FOR R480"</f>
        <v>INTERMEDIATE EXTRUSION FOR R480</v>
      </c>
      <c r="C123" s="4">
        <v>485.6</v>
      </c>
      <c r="D123" s="10">
        <v>267.46848</v>
      </c>
    </row>
    <row r="124" spans="1:4" x14ac:dyDescent="0.25">
      <c r="A124" s="2" t="str">
        <f>"P260032"</f>
        <v>P260032</v>
      </c>
      <c r="B124" s="2" t="str">
        <f>"INTERMEDIATE EXTRUSION KIT C430"</f>
        <v>INTERMEDIATE EXTRUSION KIT C430</v>
      </c>
      <c r="C124" s="4">
        <v>271.8</v>
      </c>
      <c r="D124" s="10">
        <v>149.70744000000002</v>
      </c>
    </row>
    <row r="125" spans="1:4" x14ac:dyDescent="0.25">
      <c r="A125" s="2" t="str">
        <f>"02223"</f>
        <v>02223</v>
      </c>
      <c r="B125" s="2" t="str">
        <f>"BOTTOM EXTRUSION FOR R35"</f>
        <v>BOTTOM EXTRUSION FOR R35</v>
      </c>
      <c r="C125" s="4">
        <v>501.20000000000005</v>
      </c>
      <c r="D125" s="10">
        <v>276.06096000000008</v>
      </c>
    </row>
    <row r="126" spans="1:4" x14ac:dyDescent="0.25">
      <c r="A126" s="2" t="str">
        <f>"02225"</f>
        <v>02225</v>
      </c>
      <c r="B126" s="2" t="str">
        <f>"INTERMEDIATE EXTRUSION FOR R35"</f>
        <v>INTERMEDIATE EXTRUSION FOR R35</v>
      </c>
      <c r="C126" s="4">
        <v>403.90000000000003</v>
      </c>
      <c r="D126" s="10">
        <v>222.46812000000003</v>
      </c>
    </row>
    <row r="127" spans="1:4" x14ac:dyDescent="0.25">
      <c r="A127" s="2" t="str">
        <f>"02237"</f>
        <v>02237</v>
      </c>
      <c r="B127" s="2" t="str">
        <f>"INTERMEDIATE EXTRUSION R42"</f>
        <v>INTERMEDIATE EXTRUSION R42</v>
      </c>
      <c r="C127" s="4">
        <v>407.1</v>
      </c>
      <c r="D127" s="10">
        <v>224.23068000000004</v>
      </c>
    </row>
    <row r="128" spans="1:4" x14ac:dyDescent="0.25">
      <c r="A128" s="2" t="str">
        <f>"05834"</f>
        <v>05834</v>
      </c>
      <c r="B128" s="2" t="str">
        <f>"BOTTOM EXTRUSION R25"</f>
        <v>BOTTOM EXTRUSION R25</v>
      </c>
      <c r="C128" s="4">
        <v>294.3</v>
      </c>
      <c r="D128" s="10">
        <v>162.10044000000005</v>
      </c>
    </row>
    <row r="129" spans="1:4" x14ac:dyDescent="0.25">
      <c r="A129" s="2" t="str">
        <f>"52076"</f>
        <v>52076</v>
      </c>
      <c r="B129" s="2" t="str">
        <f>"EXTRUSION LOWER FOR R250"</f>
        <v>EXTRUSION LOWER FOR R250</v>
      </c>
      <c r="C129" s="4">
        <v>539.6</v>
      </c>
      <c r="D129" s="10">
        <v>297.21168000000006</v>
      </c>
    </row>
    <row r="130" spans="1:4" x14ac:dyDescent="0.25">
      <c r="A130" s="2" t="str">
        <f>"52077"</f>
        <v>52077</v>
      </c>
      <c r="B130" s="2" t="str">
        <f>"BOTTOM EXTRUSION FOR R350"</f>
        <v>BOTTOM EXTRUSION FOR R350</v>
      </c>
      <c r="C130" s="4">
        <v>511.1</v>
      </c>
      <c r="D130" s="10">
        <v>281.51388000000009</v>
      </c>
    </row>
    <row r="131" spans="1:4" x14ac:dyDescent="0.25">
      <c r="A131" s="2" t="str">
        <f>"52078"</f>
        <v>52078</v>
      </c>
      <c r="B131" s="2" t="str">
        <f>"BOTTOM EXTRUSION FOR R 420 &amp; 430"</f>
        <v>BOTTOM EXTRUSION FOR R 420 &amp; 430</v>
      </c>
      <c r="C131" s="4">
        <v>571.5</v>
      </c>
      <c r="D131" s="10">
        <v>314.78220000000005</v>
      </c>
    </row>
    <row r="132" spans="1:4" x14ac:dyDescent="0.25">
      <c r="A132" s="2" t="str">
        <f>"52111"</f>
        <v>52111</v>
      </c>
      <c r="B132" s="2" t="str">
        <f>"INTERMEDIATE EXTRUSION R250"</f>
        <v>INTERMEDIATE EXTRUSION R250</v>
      </c>
      <c r="C132" s="4">
        <v>232</v>
      </c>
      <c r="D132" s="10">
        <v>127.78560000000002</v>
      </c>
    </row>
    <row r="133" spans="1:4" x14ac:dyDescent="0.25">
      <c r="A133" s="2" t="str">
        <f>"52112"</f>
        <v>52112</v>
      </c>
      <c r="B133" s="2" t="str">
        <f>"EXTRUSION INTERMEDIATE FOR R350"</f>
        <v>EXTRUSION INTERMEDIATE FOR R350</v>
      </c>
      <c r="C133" s="4">
        <v>390.90000000000003</v>
      </c>
      <c r="D133" s="10">
        <v>215.30772000000007</v>
      </c>
    </row>
    <row r="134" spans="1:4" x14ac:dyDescent="0.25">
      <c r="A134" s="2" t="str">
        <f>"52113"</f>
        <v>52113</v>
      </c>
      <c r="B134" s="2" t="str">
        <f>"INTERMEDIATE EXTRUSION FOR R420 &amp; 4"</f>
        <v>INTERMEDIATE EXTRUSION FOR R420 &amp; 4</v>
      </c>
      <c r="C134" s="4">
        <v>410.90000000000003</v>
      </c>
      <c r="D134" s="10">
        <v>226.32372000000004</v>
      </c>
    </row>
    <row r="135" spans="1:4" x14ac:dyDescent="0.25">
      <c r="A135" s="2" t="str">
        <f>"53052"</f>
        <v>53052</v>
      </c>
      <c r="B135" s="2" t="str">
        <f>"BOTTOM EXTRUSION FOR R480"</f>
        <v>BOTTOM EXTRUSION FOR R480</v>
      </c>
      <c r="C135" s="4">
        <v>852.6</v>
      </c>
      <c r="D135" s="10">
        <v>469.61207999999999</v>
      </c>
    </row>
    <row r="136" spans="1:4" x14ac:dyDescent="0.25">
      <c r="A136" s="2" t="str">
        <f>"02235"</f>
        <v>02235</v>
      </c>
      <c r="B136" s="2" t="str">
        <f>"BOTTOM EXTRUSION FOR R42"</f>
        <v>BOTTOM EXTRUSION FOR R42</v>
      </c>
      <c r="C136" s="4">
        <v>891</v>
      </c>
      <c r="D136" s="10">
        <v>490.76280000000003</v>
      </c>
    </row>
    <row r="137" spans="1:4" x14ac:dyDescent="0.25">
      <c r="A137" s="2" t="str">
        <f>"51643"</f>
        <v>51643</v>
      </c>
      <c r="B137" s="2" t="str">
        <f>"LUFF EXTRUSION FOR MK2R"</f>
        <v>LUFF EXTRUSION FOR MK2R</v>
      </c>
      <c r="C137" s="4">
        <v>152.6</v>
      </c>
      <c r="D137" s="10">
        <v>84.052080000000004</v>
      </c>
    </row>
    <row r="138" spans="1:4" x14ac:dyDescent="0.25">
      <c r="A138" s="2" t="str">
        <f>"52031"</f>
        <v>52031</v>
      </c>
      <c r="B138" s="2" t="str">
        <f>"BOTTOM EXTRUSION FOR C350"</f>
        <v>BOTTOM EXTRUSION FOR C350</v>
      </c>
      <c r="C138" s="4">
        <v>440.1</v>
      </c>
      <c r="D138" s="10">
        <v>242.40708000000001</v>
      </c>
    </row>
    <row r="139" spans="1:4" x14ac:dyDescent="0.25">
      <c r="A139" s="2" t="str">
        <f>"52032"</f>
        <v>52032</v>
      </c>
      <c r="B139" s="2" t="str">
        <f>"INTERMEDIATE EXTRUSION FOR C350"</f>
        <v>INTERMEDIATE EXTRUSION FOR C350</v>
      </c>
      <c r="C139" s="4">
        <v>289.70000000000005</v>
      </c>
      <c r="D139" s="10">
        <v>159.56676000000004</v>
      </c>
    </row>
    <row r="140" spans="1:4" x14ac:dyDescent="0.25">
      <c r="A140" s="2" t="str">
        <f>"52074"</f>
        <v>52074</v>
      </c>
      <c r="B140" s="2" t="str">
        <f>"BOTTOM EXTRUSION FOR C320"</f>
        <v>BOTTOM EXTRUSION FOR C320</v>
      </c>
      <c r="C140" s="4">
        <v>331.40000000000003</v>
      </c>
      <c r="D140" s="10">
        <v>182.53512000000003</v>
      </c>
    </row>
    <row r="141" spans="1:4" x14ac:dyDescent="0.25">
      <c r="A141" s="2" t="str">
        <f>"52075"</f>
        <v>52075</v>
      </c>
      <c r="B141" s="2" t="str">
        <f>"BOTTOM EXTRUSION FOR C420 &amp; C430"</f>
        <v>BOTTOM EXTRUSION FOR C420 &amp; C430</v>
      </c>
      <c r="C141" s="4">
        <v>507.90000000000003</v>
      </c>
      <c r="D141" s="10">
        <v>279.75132000000008</v>
      </c>
    </row>
    <row r="142" spans="1:4" x14ac:dyDescent="0.25">
      <c r="A142" s="2" t="str">
        <f>"53051"</f>
        <v>53051</v>
      </c>
      <c r="B142" s="2" t="str">
        <f>"EXTRUSION LOWER FOR C480"</f>
        <v>EXTRUSION LOWER FOR C480</v>
      </c>
      <c r="C142" s="4">
        <v>666.80000000000007</v>
      </c>
      <c r="D142" s="10">
        <v>367.27344000000011</v>
      </c>
    </row>
    <row r="143" spans="1:4" x14ac:dyDescent="0.25">
      <c r="A143" s="2" t="str">
        <f>"53053"</f>
        <v>53053</v>
      </c>
      <c r="B143" s="2" t="str">
        <f>"""EXTRUSION LOWER FOR C520, 530"""</f>
        <v>"EXTRUSION LOWER FOR C520, 530"</v>
      </c>
      <c r="C143" s="4">
        <v>737.4</v>
      </c>
      <c r="D143" s="10">
        <v>406.15992000000006</v>
      </c>
    </row>
    <row r="144" spans="1:4" x14ac:dyDescent="0.25">
      <c r="A144" s="2" t="str">
        <f>"53054"</f>
        <v>53054</v>
      </c>
      <c r="B144" s="2" t="str">
        <f>"EXTRUSION C480"</f>
        <v>EXTRUSION C480</v>
      </c>
      <c r="C144" s="4">
        <v>429.90000000000003</v>
      </c>
      <c r="D144" s="10">
        <v>236.78892000000005</v>
      </c>
    </row>
    <row r="145" spans="1:4" x14ac:dyDescent="0.25">
      <c r="A145" s="2" t="str">
        <f>"53056"</f>
        <v>53056</v>
      </c>
      <c r="B145" s="2" t="str">
        <f>"""EXTRUSION INTERMEDIATE FOR C520, 53"""</f>
        <v>"EXTRUSION INTERMEDIATE FOR C520, 53"</v>
      </c>
      <c r="C145" s="4">
        <v>532.5</v>
      </c>
      <c r="D145" s="10">
        <v>293.30100000000004</v>
      </c>
    </row>
    <row r="146" spans="1:4" x14ac:dyDescent="0.25">
      <c r="A146" s="2" t="str">
        <f>"50116"</f>
        <v>50116</v>
      </c>
      <c r="B146" s="2" t="str">
        <f>"INTERMEDIATE EXTRUSION FOR C290 &amp; B"</f>
        <v>INTERMEDIATE EXTRUSION FOR C290 &amp; B</v>
      </c>
      <c r="C146" s="4">
        <v>174.1</v>
      </c>
      <c r="D146" s="10">
        <v>95.894280000000009</v>
      </c>
    </row>
    <row r="147" spans="1:4" x14ac:dyDescent="0.25">
      <c r="A147" s="2" t="str">
        <f>"50117"</f>
        <v>50117</v>
      </c>
      <c r="B147" s="2" t="str">
        <f>"BOTTOM EXTRUSION B29"</f>
        <v>BOTTOM EXTRUSION B29</v>
      </c>
      <c r="C147" s="4">
        <v>306.8</v>
      </c>
      <c r="D147" s="10">
        <v>168.98544000000001</v>
      </c>
    </row>
    <row r="148" spans="1:4" x14ac:dyDescent="0.25">
      <c r="A148" s="2" t="str">
        <f>"50453"</f>
        <v>50453</v>
      </c>
      <c r="B148" s="2" t="str">
        <f>"FEEDER EXTRUSION ONLY FOR MK1 &amp; 2"</f>
        <v>FEEDER EXTRUSION ONLY FOR MK1 &amp; 2</v>
      </c>
      <c r="C148" s="4">
        <v>426.70000000000005</v>
      </c>
      <c r="D148" s="10">
        <v>235.02636000000007</v>
      </c>
    </row>
    <row r="149" spans="1:4" x14ac:dyDescent="0.25">
      <c r="A149" s="2" t="str">
        <f>"50985"</f>
        <v>50985</v>
      </c>
      <c r="B149" s="2" t="str">
        <f>"LOWER EXTRUSION T26"</f>
        <v>LOWER EXTRUSION T26</v>
      </c>
      <c r="C149" s="4">
        <v>146.6</v>
      </c>
      <c r="D149" s="10">
        <v>80.747280000000003</v>
      </c>
    </row>
    <row r="150" spans="1:4" x14ac:dyDescent="0.25">
      <c r="A150" s="2" t="str">
        <f>"50633"</f>
        <v>50633</v>
      </c>
      <c r="B150" s="2" t="str">
        <f>"SAIL FEEDER EXTRUSION ONLY MK3"</f>
        <v>SAIL FEEDER EXTRUSION ONLY MK3</v>
      </c>
      <c r="C150" s="4">
        <v>303</v>
      </c>
      <c r="D150" s="10">
        <v>166.89240000000004</v>
      </c>
    </row>
    <row r="151" spans="1:4" x14ac:dyDescent="0.25">
      <c r="A151" s="2" t="str">
        <f>"51483"</f>
        <v>51483</v>
      </c>
      <c r="B151" s="2" t="str">
        <f>"LUFF EXTRUSION FOR MK3R"</f>
        <v>LUFF EXTRUSION FOR MK3R</v>
      </c>
      <c r="C151" s="4">
        <v>232.1</v>
      </c>
      <c r="D151" s="10">
        <v>127.84067999999999</v>
      </c>
    </row>
    <row r="152" spans="1:4" x14ac:dyDescent="0.25">
      <c r="A152" s="2" t="str">
        <f>"P208031"</f>
        <v>P208031</v>
      </c>
      <c r="B152" s="2" t="str">
        <f>"MK2R COMPLETE FEEDER PROFILE"</f>
        <v>MK2R COMPLETE FEEDER PROFILE</v>
      </c>
      <c r="C152" s="4">
        <v>907.80000000000007</v>
      </c>
      <c r="D152" s="10">
        <v>500.01624000000004</v>
      </c>
    </row>
    <row r="153" spans="1:4" x14ac:dyDescent="0.25">
      <c r="A153" s="2" t="str">
        <f>"NUT1224"</f>
        <v>NUT1224</v>
      </c>
      <c r="B153" s="2" t="str">
        <f>"10MM PROFURL NUT"</f>
        <v>10MM PROFURL NUT</v>
      </c>
      <c r="C153" s="4">
        <v>2.8000000000000003</v>
      </c>
      <c r="D153" s="10">
        <v>1.5422400000000005</v>
      </c>
    </row>
    <row r="154" spans="1:4" x14ac:dyDescent="0.25">
      <c r="A154" s="2" t="str">
        <f>"04300"</f>
        <v>04300</v>
      </c>
      <c r="B154" s="2" t="str">
        <f>"SOCKET HEAD CAP SCREW M4X16"</f>
        <v>SOCKET HEAD CAP SCREW M4X16</v>
      </c>
      <c r="C154" s="4">
        <v>2.9</v>
      </c>
      <c r="D154" s="10">
        <v>1.5973200000000001</v>
      </c>
    </row>
    <row r="155" spans="1:4" x14ac:dyDescent="0.25">
      <c r="A155" s="2" t="str">
        <f>"05144"</f>
        <v>05144</v>
      </c>
      <c r="B155" s="2" t="str">
        <f>"SOCKET SET SCREWM8X8+DOG POINT"</f>
        <v>SOCKET SET SCREWM8X8+DOG POINT</v>
      </c>
      <c r="C155" s="4">
        <v>16.700000000000003</v>
      </c>
      <c r="D155" s="10">
        <v>9.1983600000000028</v>
      </c>
    </row>
    <row r="156" spans="1:4" x14ac:dyDescent="0.25">
      <c r="A156" s="2" t="str">
        <f>"05501"</f>
        <v>05501</v>
      </c>
      <c r="B156" s="2" t="str">
        <f>"SOCKET SET SCREW M6X8"</f>
        <v>SOCKET SET SCREW M6X8</v>
      </c>
      <c r="C156" s="4">
        <v>2.9</v>
      </c>
      <c r="D156" s="10">
        <v>1.5973200000000001</v>
      </c>
    </row>
    <row r="157" spans="1:4" x14ac:dyDescent="0.25">
      <c r="A157" s="2" t="str">
        <f>"50265"</f>
        <v>50265</v>
      </c>
      <c r="B157" s="2" t="str">
        <f>"SOCKET SET SCREW M4X8"</f>
        <v>SOCKET SET SCREW M4X8</v>
      </c>
      <c r="C157" s="4">
        <v>2.1</v>
      </c>
      <c r="D157" s="10">
        <v>1.1566800000000002</v>
      </c>
    </row>
    <row r="158" spans="1:4" x14ac:dyDescent="0.25">
      <c r="A158" s="2" t="str">
        <f>"50699"</f>
        <v>50699</v>
      </c>
      <c r="B158" s="2" t="str">
        <f>"SOCKET FLAT HEAD SCREW M6X16"</f>
        <v>SOCKET FLAT HEAD SCREW M6X16</v>
      </c>
      <c r="C158" s="4">
        <v>1.8</v>
      </c>
      <c r="D158" s="10">
        <v>0.9914400000000001</v>
      </c>
    </row>
    <row r="159" spans="1:4" x14ac:dyDescent="0.25">
      <c r="A159" s="2" t="str">
        <f>"53079"</f>
        <v>53079</v>
      </c>
      <c r="B159" s="2" t="str">
        <f>"""M6X10 SET SCREWS FOR C/R480,C520/530"""</f>
        <v>"M6X10 SET SCREWS FOR C/R480,C520/530"</v>
      </c>
      <c r="C159" s="4">
        <v>3.9</v>
      </c>
      <c r="D159" s="10">
        <v>2.14812</v>
      </c>
    </row>
    <row r="160" spans="1:4" x14ac:dyDescent="0.25">
      <c r="A160" s="2" t="str">
        <f>"50253"</f>
        <v>50253</v>
      </c>
      <c r="B160" s="2" t="str">
        <f>"DRUM SCREW M8X8 (02346-PRO)"</f>
        <v>DRUM SCREW M8X8 (02346-PRO)</v>
      </c>
      <c r="C160" s="4">
        <v>9.1</v>
      </c>
      <c r="D160" s="10">
        <v>5.0122800000000005</v>
      </c>
    </row>
    <row r="161" spans="1:4" x14ac:dyDescent="0.25">
      <c r="A161" s="2" t="str">
        <f>"50380"</f>
        <v>50380</v>
      </c>
      <c r="B161" s="2" t="str">
        <f>"SOCKET SET SCREWM6X10+DOGPOINT"</f>
        <v>SOCKET SET SCREWM6X10+DOGPOINT</v>
      </c>
      <c r="C161" s="4">
        <v>3.3000000000000003</v>
      </c>
      <c r="D161" s="10">
        <v>1.8176400000000001</v>
      </c>
    </row>
    <row r="162" spans="1:4" x14ac:dyDescent="0.25">
      <c r="A162" s="2" t="str">
        <f>"52071"</f>
        <v>52071</v>
      </c>
      <c r="B162" s="2" t="str">
        <f>"SOCKET SET SCREWM8X12+DOGPOINT"</f>
        <v>SOCKET SET SCREWM8X12+DOGPOINT</v>
      </c>
      <c r="C162" s="4">
        <v>3.9</v>
      </c>
      <c r="D162" s="10">
        <v>2.14812</v>
      </c>
    </row>
    <row r="163" spans="1:4" x14ac:dyDescent="0.25">
      <c r="A163" s="2" t="str">
        <f>"52072"</f>
        <v>52072</v>
      </c>
      <c r="B163" s="2" t="str">
        <f>"6MM EXTRUSION SET SCREW FOR R25-5861"</f>
        <v>6MM EXTRUSION SET SCREW FOR R25-5861</v>
      </c>
      <c r="C163" s="4">
        <v>2.6</v>
      </c>
      <c r="D163" s="10">
        <v>1.4320800000000002</v>
      </c>
    </row>
    <row r="164" spans="1:4" x14ac:dyDescent="0.25">
      <c r="A164" s="2" t="str">
        <f>"52178"</f>
        <v>52178</v>
      </c>
      <c r="B164" s="2" t="str">
        <f>"BOTTOM SCREW FOR SHAPE ADAPTOR C290"</f>
        <v>BOTTOM SCREW FOR SHAPE ADAPTOR C290</v>
      </c>
      <c r="C164" s="4">
        <v>12</v>
      </c>
      <c r="D164" s="10">
        <v>6.6096000000000004</v>
      </c>
    </row>
    <row r="165" spans="1:4" x14ac:dyDescent="0.25">
      <c r="A165" s="2" t="str">
        <f>"52179"</f>
        <v>52179</v>
      </c>
      <c r="B165" s="2" t="str">
        <f>"TOP SCREW FOR SHAPE ADAPTOR C290 &amp; BASIC"</f>
        <v>TOP SCREW FOR SHAPE ADAPTOR C290 &amp; BASIC</v>
      </c>
      <c r="C165" s="4">
        <v>19.3</v>
      </c>
      <c r="D165" s="10">
        <v>10.63044</v>
      </c>
    </row>
    <row r="166" spans="1:4" x14ac:dyDescent="0.25">
      <c r="A166" s="2" t="str">
        <f>"02133"</f>
        <v>02133</v>
      </c>
      <c r="B166" s="2" t="str">
        <f>"LINK PLATE FIXING SCREW 32 CLASSIC"</f>
        <v>LINK PLATE FIXING SCREW 32 CLASSIC</v>
      </c>
      <c r="C166" s="4">
        <v>29</v>
      </c>
      <c r="D166" s="10">
        <v>15.973200000000002</v>
      </c>
    </row>
    <row r="167" spans="1:4" x14ac:dyDescent="0.25">
      <c r="A167" s="2" t="str">
        <f>"05798"</f>
        <v>05798</v>
      </c>
      <c r="B167" s="2" t="str">
        <f>"LINK PLATE SCREW FOR R25"</f>
        <v>LINK PLATE SCREW FOR R25</v>
      </c>
      <c r="C167" s="4">
        <v>22.1</v>
      </c>
      <c r="D167" s="10">
        <v>12.172680000000001</v>
      </c>
    </row>
    <row r="168" spans="1:4" x14ac:dyDescent="0.25">
      <c r="A168" s="2" t="str">
        <f>"51979"</f>
        <v>51979</v>
      </c>
      <c r="B168" s="2" t="str">
        <f>"LINK PLATE FIXING SCREW 42"</f>
        <v>LINK PLATE FIXING SCREW 42</v>
      </c>
      <c r="C168" s="4">
        <v>36.800000000000004</v>
      </c>
      <c r="D168" s="10">
        <v>20.269440000000003</v>
      </c>
    </row>
    <row r="169" spans="1:4" x14ac:dyDescent="0.25">
      <c r="A169" s="2" t="str">
        <f>"50063"</f>
        <v>50063</v>
      </c>
      <c r="B169" s="2" t="str">
        <f>"8MM DRUM CAGE SCREW FOR B29 &amp; B35"</f>
        <v>8MM DRUM CAGE SCREW FOR B29 &amp; B35</v>
      </c>
      <c r="C169" s="4">
        <v>6.3</v>
      </c>
      <c r="D169" s="10">
        <v>3.47004</v>
      </c>
    </row>
    <row r="170" spans="1:4" x14ac:dyDescent="0.25">
      <c r="A170" s="2" t="str">
        <f>"52119"</f>
        <v>52119</v>
      </c>
      <c r="B170" s="2" t="str">
        <f>"CAGE SCREW NEW LINE"</f>
        <v>CAGE SCREW NEW LINE</v>
      </c>
      <c r="C170" s="4">
        <v>6.3</v>
      </c>
      <c r="D170" s="10">
        <v>3.47004</v>
      </c>
    </row>
    <row r="171" spans="1:4" x14ac:dyDescent="0.25">
      <c r="A171" s="2" t="str">
        <f>"53078"</f>
        <v>53078</v>
      </c>
      <c r="B171" s="2" t="str">
        <f>"C530 CAGE ARM SET SCREW"</f>
        <v>C530 CAGE ARM SET SCREW</v>
      </c>
      <c r="C171" s="4">
        <v>12</v>
      </c>
      <c r="D171" s="10">
        <v>6.6096000000000004</v>
      </c>
    </row>
    <row r="172" spans="1:4" x14ac:dyDescent="0.25">
      <c r="A172" s="2" t="str">
        <f>"P035013"</f>
        <v>P035013</v>
      </c>
      <c r="B172" s="2" t="str">
        <f>"CAGE GUARD SCREW FOR 42 SERIES D12"</f>
        <v>CAGE GUARD SCREW FOR 42 SERIES D12</v>
      </c>
      <c r="C172" s="4">
        <v>38.300000000000004</v>
      </c>
      <c r="D172" s="10">
        <v>21.095640000000007</v>
      </c>
    </row>
    <row r="173" spans="1:4" x14ac:dyDescent="0.25">
      <c r="A173" s="2" t="str">
        <f>"P039013"</f>
        <v>P039013</v>
      </c>
      <c r="B173" s="2" t="str">
        <f>"CAGE GUARD SCREW FOR 32 SERIES D10"</f>
        <v>CAGE GUARD SCREW FOR 32 SERIES D10</v>
      </c>
      <c r="C173" s="4">
        <v>29</v>
      </c>
      <c r="D173" s="10">
        <v>15.973200000000002</v>
      </c>
    </row>
    <row r="174" spans="1:4" x14ac:dyDescent="0.25">
      <c r="A174" s="2" t="str">
        <f>"00065"</f>
        <v>00065</v>
      </c>
      <c r="B174" s="2" t="str">
        <f>"DRUM IMMOBILIZING SCREW FOR N &amp; L31"</f>
        <v>DRUM IMMOBILIZING SCREW FOR N &amp; L31</v>
      </c>
      <c r="C174" s="4">
        <v>8.9</v>
      </c>
      <c r="D174" s="10">
        <v>4.9021200000000009</v>
      </c>
    </row>
    <row r="175" spans="1:4" x14ac:dyDescent="0.25">
      <c r="A175" s="2" t="str">
        <f>"00094"</f>
        <v>00094</v>
      </c>
      <c r="B175" s="2" t="str">
        <f>"LOCKNUT M12"</f>
        <v>LOCKNUT M12</v>
      </c>
      <c r="C175" s="4">
        <v>4.3</v>
      </c>
      <c r="D175" s="10">
        <v>2.3684400000000001</v>
      </c>
    </row>
    <row r="176" spans="1:4" x14ac:dyDescent="0.25">
      <c r="A176" s="2" t="str">
        <f>"00116"</f>
        <v>00116</v>
      </c>
      <c r="B176" s="2" t="str">
        <f>"SCREW FOR DRUM IMMOB.  N &amp; L42"</f>
        <v>SCREW FOR DRUM IMMOB.  N &amp; L42</v>
      </c>
      <c r="C176" s="4">
        <v>22</v>
      </c>
      <c r="D176" s="10">
        <v>12.117600000000001</v>
      </c>
    </row>
    <row r="177" spans="1:4" x14ac:dyDescent="0.25">
      <c r="A177" s="2" t="str">
        <f>"01407"</f>
        <v>01407</v>
      </c>
      <c r="B177" s="2" t="str">
        <f>"SCREW FOR DRUM 31/42"</f>
        <v>SCREW FOR DRUM 31/42</v>
      </c>
      <c r="C177" s="4">
        <v>20.8</v>
      </c>
      <c r="D177" s="10">
        <v>11.456640000000002</v>
      </c>
    </row>
    <row r="178" spans="1:4" x14ac:dyDescent="0.25">
      <c r="A178" s="2" t="str">
        <f>"02066"</f>
        <v>02066</v>
      </c>
      <c r="B178" s="2" t="str">
        <f>"NYLSTOP   SERTIR M12     IND B"</f>
        <v>NYLSTOP   SERTIR M12     IND B</v>
      </c>
      <c r="C178" s="4">
        <v>16.400000000000002</v>
      </c>
      <c r="D178" s="10">
        <v>9.0331200000000038</v>
      </c>
    </row>
    <row r="179" spans="1:4" x14ac:dyDescent="0.25">
      <c r="A179" s="2" t="str">
        <f>"02194"</f>
        <v>02194</v>
      </c>
      <c r="B179" s="2" t="str">
        <f>"STOP FIXING SCREW C520/C530"</f>
        <v>STOP FIXING SCREW C520/C530</v>
      </c>
      <c r="C179" s="4">
        <v>39.1</v>
      </c>
      <c r="D179" s="10">
        <v>21.536280000000005</v>
      </c>
    </row>
    <row r="180" spans="1:4" x14ac:dyDescent="0.25">
      <c r="A180" s="2" t="str">
        <f>"02258"</f>
        <v>02258</v>
      </c>
      <c r="B180" s="2" t="str">
        <f>"LOCKNUT M14 A2"</f>
        <v>LOCKNUT M14 A2</v>
      </c>
      <c r="C180" s="4">
        <v>8.6999999999999993</v>
      </c>
      <c r="D180" s="10">
        <v>4.7919600000000004</v>
      </c>
    </row>
    <row r="181" spans="1:4" x14ac:dyDescent="0.25">
      <c r="A181" s="2" t="str">
        <f>"02540"</f>
        <v>02540</v>
      </c>
      <c r="B181" s="2" t="str">
        <f>"SCREW M5 FOR CAGE CLAMP NEW LINE"</f>
        <v>SCREW M5 FOR CAGE CLAMP NEW LINE</v>
      </c>
      <c r="C181" s="4">
        <v>1.4000000000000001</v>
      </c>
      <c r="D181" s="10">
        <v>0.77112000000000025</v>
      </c>
    </row>
    <row r="182" spans="1:4" x14ac:dyDescent="0.25">
      <c r="A182" s="2" t="str">
        <f>"05778"</f>
        <v>05778</v>
      </c>
      <c r="B182" s="2" t="str">
        <f>"NYLSTOP   SERTIR M8"</f>
        <v>NYLSTOP   SERTIR M8</v>
      </c>
      <c r="C182" s="4">
        <v>11.5</v>
      </c>
      <c r="D182" s="10">
        <v>6.3342000000000001</v>
      </c>
    </row>
    <row r="183" spans="1:4" x14ac:dyDescent="0.25">
      <c r="A183" s="2" t="str">
        <f>"05857"</f>
        <v>05857</v>
      </c>
      <c r="B183" s="2" t="str">
        <f>"SCREW FOR DRUM FOR R25"</f>
        <v>SCREW FOR DRUM FOR R25</v>
      </c>
      <c r="C183" s="4">
        <v>9</v>
      </c>
      <c r="D183" s="10">
        <v>4.9572000000000003</v>
      </c>
    </row>
    <row r="184" spans="1:4" x14ac:dyDescent="0.25">
      <c r="A184" s="2" t="str">
        <f>"50161"</f>
        <v>50161</v>
      </c>
      <c r="B184" s="2" t="str">
        <f>"DRILL CENTRING GUIDE"</f>
        <v>DRILL CENTRING GUIDE</v>
      </c>
      <c r="C184" s="4">
        <v>7.3</v>
      </c>
      <c r="D184" s="10">
        <v>4.0208400000000006</v>
      </c>
    </row>
    <row r="185" spans="1:4" x14ac:dyDescent="0.25">
      <c r="A185" s="2" t="str">
        <f>"50705"</f>
        <v>50705</v>
      </c>
      <c r="B185" s="2" t="str">
        <f>"SCREW FOR STAINLESS STELL TUBE"</f>
        <v>SCREW FOR STAINLESS STELL TUBE</v>
      </c>
      <c r="C185" s="4">
        <v>54.800000000000004</v>
      </c>
      <c r="D185" s="10">
        <v>30.183840000000004</v>
      </c>
    </row>
    <row r="186" spans="1:4" x14ac:dyDescent="0.25">
      <c r="A186" s="2" t="str">
        <f>"50829"</f>
        <v>50829</v>
      </c>
      <c r="B186" s="2" t="str">
        <f>"SCREW FOR IMMOBILIZING N/LCI42"</f>
        <v>SCREW FOR IMMOBILIZING N/LCI42</v>
      </c>
      <c r="C186" s="4">
        <v>40.200000000000003</v>
      </c>
      <c r="D186" s="10">
        <v>22.142160000000008</v>
      </c>
    </row>
    <row r="187" spans="1:4" x14ac:dyDescent="0.25">
      <c r="A187" s="2" t="str">
        <f>"50991"</f>
        <v>50991</v>
      </c>
      <c r="B187" s="2" t="str">
        <f>"SCREW FOR STAINLESS STELL TUBE"</f>
        <v>SCREW FOR STAINLESS STELL TUBE</v>
      </c>
      <c r="C187" s="4">
        <v>67.099999999999994</v>
      </c>
      <c r="D187" s="10">
        <v>36.958680000000008</v>
      </c>
    </row>
    <row r="188" spans="1:4" x14ac:dyDescent="0.25">
      <c r="A188" s="2" t="str">
        <f>"51111"</f>
        <v>51111</v>
      </c>
      <c r="B188" s="2" t="str">
        <f>"10MM WASHER FOR VERTICAL GN PIN FOR"</f>
        <v>10MM WASHER FOR VERTICAL GN PIN FOR</v>
      </c>
      <c r="C188" s="4">
        <v>1.2000000000000002</v>
      </c>
      <c r="D188" s="10">
        <v>0.66096000000000021</v>
      </c>
    </row>
    <row r="189" spans="1:4" x14ac:dyDescent="0.25">
      <c r="A189" s="2" t="str">
        <f>"52173"</f>
        <v>52173</v>
      </c>
      <c r="B189" s="2" t="str">
        <f>"SCREW FOR DRUM IMMOB. 42 &amp; 52"</f>
        <v>SCREW FOR DRUM IMMOB. 42 &amp; 52</v>
      </c>
      <c r="C189" s="4">
        <v>21.5</v>
      </c>
      <c r="D189" s="10">
        <v>11.842200000000002</v>
      </c>
    </row>
    <row r="190" spans="1:4" x14ac:dyDescent="0.25">
      <c r="A190" s="2" t="str">
        <f>"52180"</f>
        <v>52180</v>
      </c>
      <c r="B190" s="2" t="str">
        <f>"C290 &amp; B29 DRUM SCREW"</f>
        <v>C290 &amp; B29 DRUM SCREW</v>
      </c>
      <c r="C190" s="4">
        <v>9.1</v>
      </c>
      <c r="D190" s="10">
        <v>5.0122800000000005</v>
      </c>
    </row>
    <row r="191" spans="1:4" x14ac:dyDescent="0.25">
      <c r="A191" s="2" t="str">
        <f>"52181"</f>
        <v>52181</v>
      </c>
      <c r="B191" s="2" t="str">
        <f>"SCREW FOR R250 TURNBUCKLE TUBE"</f>
        <v>SCREW FOR R250 TURNBUCKLE TUBE</v>
      </c>
      <c r="C191" s="4">
        <v>44.800000000000004</v>
      </c>
      <c r="D191" s="10">
        <v>24.675840000000008</v>
      </c>
    </row>
    <row r="192" spans="1:4" x14ac:dyDescent="0.25">
      <c r="A192" s="2" t="str">
        <f>"52219"</f>
        <v>52219</v>
      </c>
      <c r="B192" s="2" t="str">
        <f>"ADJUSTING SCREW M8 B29 &amp; B35"</f>
        <v>ADJUSTING SCREW M8 B29 &amp; B35</v>
      </c>
      <c r="C192" s="4">
        <v>27.3</v>
      </c>
      <c r="D192" s="10">
        <v>15.03684</v>
      </c>
    </row>
    <row r="193" spans="1:4" x14ac:dyDescent="0.25">
      <c r="A193" s="2" t="str">
        <f>"52223"</f>
        <v>52223</v>
      </c>
      <c r="B193" s="2" t="str">
        <f>"SCREW FOR SLIDING TACK RING FOR B35"</f>
        <v>SCREW FOR SLIDING TACK RING FOR B35</v>
      </c>
      <c r="C193" s="4">
        <v>8</v>
      </c>
      <c r="D193" s="10">
        <v>4.4064000000000005</v>
      </c>
    </row>
    <row r="194" spans="1:4" x14ac:dyDescent="0.25">
      <c r="A194" s="2" t="str">
        <f>"52227"</f>
        <v>52227</v>
      </c>
      <c r="B194" s="2" t="str">
        <f>"""C350 Foil Set Screws, 6mm x 8mm cone po"</f>
        <v>"C350 Foil Set Screws, 6mm x 8mm cone po</v>
      </c>
      <c r="C194" s="4">
        <v>1.3</v>
      </c>
      <c r="D194" s="10">
        <v>0.71604000000000012</v>
      </c>
    </row>
    <row r="195" spans="1:4" x14ac:dyDescent="0.25">
      <c r="A195" s="2" t="str">
        <f>"53044"</f>
        <v>53044</v>
      </c>
      <c r="B195" s="2" t="str">
        <f>"""TORQUE TUBE EXT. SCREWS 480, 520, 5"""</f>
        <v>"TORQUE TUBE EXT. SCREWS 480, 520, 5"</v>
      </c>
      <c r="C195" s="4">
        <v>13.6</v>
      </c>
      <c r="D195" s="10">
        <v>7.4908800000000015</v>
      </c>
    </row>
    <row r="196" spans="1:4" x14ac:dyDescent="0.25">
      <c r="A196" s="2" t="str">
        <f>"53060"</f>
        <v>53060</v>
      </c>
      <c r="B196" s="2" t="str">
        <f>"""TORQUE TUBE MOUNTING SCREWS 480, 52"""</f>
        <v>"TORQUE TUBE MOUNTING SCREWS 480, 52"</v>
      </c>
      <c r="C196" s="4">
        <v>12.1</v>
      </c>
      <c r="D196" s="10">
        <v>6.6646799999999997</v>
      </c>
    </row>
    <row r="197" spans="1:4" x14ac:dyDescent="0.25">
      <c r="A197" s="2" t="str">
        <f>"P042013"</f>
        <v>P042013</v>
      </c>
      <c r="B197" s="2" t="str">
        <f>"LOCKED SCREW                52"</f>
        <v>LOCKED SCREW                52</v>
      </c>
      <c r="C197" s="4">
        <v>55.9</v>
      </c>
      <c r="D197" s="10">
        <v>30.789719999999999</v>
      </c>
    </row>
    <row r="198" spans="1:4" x14ac:dyDescent="0.25">
      <c r="A198" s="2" t="str">
        <f>"P177039"</f>
        <v>P177039</v>
      </c>
      <c r="B198" s="2" t="str">
        <f>"SLIDE SCREWS-ROUND"</f>
        <v>SLIDE SCREWS-ROUND</v>
      </c>
      <c r="C198" s="4">
        <v>36.1</v>
      </c>
      <c r="D198" s="10">
        <v>19.883880000000005</v>
      </c>
    </row>
    <row r="199" spans="1:4" x14ac:dyDescent="0.25">
      <c r="A199" s="2" t="str">
        <f>"50257"</f>
        <v>50257</v>
      </c>
      <c r="B199" s="2" t="str">
        <f>"SCREW M6X6"</f>
        <v>SCREW M6X6</v>
      </c>
      <c r="C199" s="4">
        <v>2.6</v>
      </c>
      <c r="D199" s="10">
        <v>1.4320800000000002</v>
      </c>
    </row>
    <row r="200" spans="1:4" x14ac:dyDescent="0.25">
      <c r="A200" s="2" t="str">
        <f>"52172"</f>
        <v>52172</v>
      </c>
      <c r="B200" s="2" t="str">
        <f>"STOP SCREW REPLACES 00057"</f>
        <v>STOP SCREW REPLACES 00057</v>
      </c>
      <c r="C200" s="4">
        <v>20.3</v>
      </c>
      <c r="D200" s="10">
        <v>11.181240000000003</v>
      </c>
    </row>
    <row r="201" spans="1:4" x14ac:dyDescent="0.25">
      <c r="A201" s="2" t="str">
        <f>"52175"</f>
        <v>52175</v>
      </c>
      <c r="B201" s="2" t="str">
        <f>"SCREW FOR IMMOBILIZING"</f>
        <v>SCREW FOR IMMOBILIZING</v>
      </c>
      <c r="C201" s="4">
        <v>11.9</v>
      </c>
      <c r="D201" s="10">
        <v>6.554520000000001</v>
      </c>
    </row>
    <row r="202" spans="1:4" x14ac:dyDescent="0.25">
      <c r="A202" s="2" t="str">
        <f>"52176"</f>
        <v>52176</v>
      </c>
      <c r="B202" s="2" t="str">
        <f>"SCREW FOR EXTRUSION C&amp;R  32/42"</f>
        <v>SCREW FOR EXTRUSION C&amp;R  32/42</v>
      </c>
      <c r="C202" s="4">
        <v>12</v>
      </c>
      <c r="D202" s="10">
        <v>6.6096000000000004</v>
      </c>
    </row>
    <row r="203" spans="1:4" x14ac:dyDescent="0.25">
      <c r="A203" s="2" t="str">
        <f>"51109"</f>
        <v>51109</v>
      </c>
      <c r="B203" s="2" t="str">
        <f>"15.2 X 26 X 1.4 WASHER FOR MK0 PINS"</f>
        <v>15.2 X 26 X 1.4 WASHER FOR MK0 PINS</v>
      </c>
      <c r="C203" s="4">
        <v>1.8</v>
      </c>
      <c r="D203" s="10">
        <v>0.9914400000000001</v>
      </c>
    </row>
    <row r="204" spans="1:4" x14ac:dyDescent="0.25">
      <c r="A204" s="2" t="str">
        <f>"02219"</f>
        <v>02219</v>
      </c>
      <c r="B204" s="2" t="str">
        <f>"BOTTOM BEARING HOLDER FOR 32 MODELS"</f>
        <v>BOTTOM BEARING HOLDER FOR 32 MODELS</v>
      </c>
      <c r="C204" s="4">
        <v>57</v>
      </c>
      <c r="D204" s="10">
        <v>31.395600000000009</v>
      </c>
    </row>
    <row r="205" spans="1:4" x14ac:dyDescent="0.25">
      <c r="A205" s="2" t="str">
        <f>"02221"</f>
        <v>02221</v>
      </c>
      <c r="B205" s="2" t="str">
        <f>"JOINING TORQUE LINK FOR 32 MODELS"</f>
        <v>JOINING TORQUE LINK FOR 32 MODELS</v>
      </c>
      <c r="C205" s="4">
        <v>35.5</v>
      </c>
      <c r="D205" s="10">
        <v>19.553400000000003</v>
      </c>
    </row>
    <row r="206" spans="1:4" x14ac:dyDescent="0.25">
      <c r="A206" s="2" t="str">
        <f>"02222"</f>
        <v>02222</v>
      </c>
      <c r="B206" s="2" t="str">
        <f>"TOP BEARING HOLDER FOR 32 MODELS"</f>
        <v>TOP BEARING HOLDER FOR 32 MODELS</v>
      </c>
      <c r="C206" s="4">
        <v>45.300000000000004</v>
      </c>
      <c r="D206" s="10">
        <v>24.951240000000006</v>
      </c>
    </row>
    <row r="207" spans="1:4" x14ac:dyDescent="0.25">
      <c r="A207" s="2" t="str">
        <f>"02229"</f>
        <v>02229</v>
      </c>
      <c r="B207" s="2" t="str">
        <f>"BOTTOM BEARING HOLDER FOR 42 MODELS"</f>
        <v>BOTTOM BEARING HOLDER FOR 42 MODELS</v>
      </c>
      <c r="C207" s="4">
        <v>81</v>
      </c>
      <c r="D207" s="10">
        <v>44.614800000000002</v>
      </c>
    </row>
    <row r="208" spans="1:4" x14ac:dyDescent="0.25">
      <c r="A208" s="2" t="str">
        <f>"02231"</f>
        <v>02231</v>
      </c>
      <c r="B208" s="2" t="str">
        <f>"JOINING TORQUE LINK FOR 42 MODELS"</f>
        <v>JOINING TORQUE LINK FOR 42 MODELS</v>
      </c>
      <c r="C208" s="4">
        <v>40.4</v>
      </c>
      <c r="D208" s="10">
        <v>22.252320000000001</v>
      </c>
    </row>
    <row r="209" spans="1:4" x14ac:dyDescent="0.25">
      <c r="A209" s="2" t="str">
        <f>"02232"</f>
        <v>02232</v>
      </c>
      <c r="B209" s="2" t="str">
        <f>"TOP BEARING HOLDER FOR 42 MODELS"</f>
        <v>TOP BEARING HOLDER FOR 42 MODELS</v>
      </c>
      <c r="C209" s="4">
        <v>75.399999999999991</v>
      </c>
      <c r="D209" s="10">
        <v>41.530319999999996</v>
      </c>
    </row>
    <row r="210" spans="1:4" x14ac:dyDescent="0.25">
      <c r="A210" s="2" t="str">
        <f>"02252"</f>
        <v>02252</v>
      </c>
      <c r="B210" s="2" t="str">
        <f>"TOP BEARING HOLDER FOR 52 MODLES"</f>
        <v>TOP BEARING HOLDER FOR 52 MODLES</v>
      </c>
      <c r="C210" s="4">
        <v>129.1</v>
      </c>
      <c r="D210" s="10">
        <v>71.108279999999993</v>
      </c>
    </row>
    <row r="211" spans="1:4" x14ac:dyDescent="0.25">
      <c r="A211" s="2" t="str">
        <f>"04141"</f>
        <v>04141</v>
      </c>
      <c r="B211" s="2" t="str">
        <f>"INTERMED. BEARING/TORQUE -PAIR"</f>
        <v>INTERMED. BEARING/TORQUE -PAIR</v>
      </c>
      <c r="C211" s="4">
        <v>38.9</v>
      </c>
      <c r="D211" s="10">
        <v>21.426120000000004</v>
      </c>
    </row>
    <row r="212" spans="1:4" x14ac:dyDescent="0.25">
      <c r="A212" s="2" t="str">
        <f>"P054034"</f>
        <v>P054034</v>
      </c>
      <c r="B212" s="2" t="str">
        <f>"CMP JOIN KIT FOR N52"</f>
        <v>CMP JOIN KIT FOR N52</v>
      </c>
      <c r="C212" s="4">
        <v>116.69999999999999</v>
      </c>
      <c r="D212" s="10">
        <v>64.278360000000006</v>
      </c>
    </row>
    <row r="213" spans="1:4" x14ac:dyDescent="0.25">
      <c r="A213" s="2" t="str">
        <f>"P053034"</f>
        <v>P053034</v>
      </c>
      <c r="B213" s="2" t="str">
        <f>"CMP JOIN KIT FOR L52"</f>
        <v>CMP JOIN KIT FOR L52</v>
      </c>
      <c r="C213" s="4">
        <v>171.9</v>
      </c>
      <c r="D213" s="10">
        <v>94.682520000000011</v>
      </c>
    </row>
    <row r="214" spans="1:4" x14ac:dyDescent="0.25">
      <c r="A214" s="2" t="str">
        <f>"02224"</f>
        <v>02224</v>
      </c>
      <c r="B214" s="2" t="str">
        <f>"BOTTOM BEARING HOLDER FOR R35"</f>
        <v>BOTTOM BEARING HOLDER FOR R35</v>
      </c>
      <c r="C214" s="4">
        <v>76.5</v>
      </c>
      <c r="D214" s="10">
        <v>42.136200000000002</v>
      </c>
    </row>
    <row r="215" spans="1:4" x14ac:dyDescent="0.25">
      <c r="A215" s="2" t="str">
        <f>"02226"</f>
        <v>02226</v>
      </c>
      <c r="B215" s="2" t="str">
        <f>"JOINING TORQUE LINK FOR R35"</f>
        <v>JOINING TORQUE LINK FOR R35</v>
      </c>
      <c r="C215" s="4">
        <v>62.300000000000004</v>
      </c>
      <c r="D215" s="10">
        <v>34.314840000000011</v>
      </c>
    </row>
    <row r="216" spans="1:4" x14ac:dyDescent="0.25">
      <c r="A216" s="2" t="str">
        <f>"02227"</f>
        <v>02227</v>
      </c>
      <c r="B216" s="2" t="str">
        <f>"TOP BEARING HOLDER FOR R35"</f>
        <v>TOP BEARING HOLDER FOR R35</v>
      </c>
      <c r="C216" s="4">
        <v>76.5</v>
      </c>
      <c r="D216" s="10">
        <v>42.136200000000002</v>
      </c>
    </row>
    <row r="217" spans="1:4" x14ac:dyDescent="0.25">
      <c r="A217" s="2" t="str">
        <f>"02236"</f>
        <v>02236</v>
      </c>
      <c r="B217" s="2" t="str">
        <f>"BOTTOM BEARING HOLDER R42"</f>
        <v>BOTTOM BEARING HOLDER R42</v>
      </c>
      <c r="C217" s="4">
        <v>81.399999999999991</v>
      </c>
      <c r="D217" s="10">
        <v>44.835120000000003</v>
      </c>
    </row>
    <row r="218" spans="1:4" x14ac:dyDescent="0.25">
      <c r="A218" s="2" t="str">
        <f>"02238"</f>
        <v>02238</v>
      </c>
      <c r="B218" s="2" t="str">
        <f>"JOINING TORQUE LINK R42"</f>
        <v>JOINING TORQUE LINK R42</v>
      </c>
      <c r="C218" s="4">
        <v>42.6</v>
      </c>
      <c r="D218" s="10">
        <v>23.464080000000006</v>
      </c>
    </row>
    <row r="219" spans="1:4" x14ac:dyDescent="0.25">
      <c r="A219" s="2" t="str">
        <f>"02239"</f>
        <v>02239</v>
      </c>
      <c r="B219" s="2" t="str">
        <f>"TOP BEARING HOLDER R42"</f>
        <v>TOP BEARING HOLDER R42</v>
      </c>
      <c r="C219" s="4">
        <v>79.199999999999989</v>
      </c>
      <c r="D219" s="10">
        <v>43.623359999999998</v>
      </c>
    </row>
    <row r="220" spans="1:4" x14ac:dyDescent="0.25">
      <c r="A220" s="2" t="str">
        <f>"05805"</f>
        <v>05805</v>
      </c>
      <c r="B220" s="2" t="str">
        <f>"BOTTOM BEARING HOLDERS FOR R25"</f>
        <v>BOTTOM BEARING HOLDERS FOR R25</v>
      </c>
      <c r="C220" s="4">
        <v>44.300000000000004</v>
      </c>
      <c r="D220" s="10">
        <v>24.400440000000007</v>
      </c>
    </row>
    <row r="221" spans="1:4" x14ac:dyDescent="0.25">
      <c r="A221" s="2" t="str">
        <f>"05806"</f>
        <v>05806</v>
      </c>
      <c r="B221" s="2" t="str">
        <f>"JOINING TORQUE LINK FOR R25"</f>
        <v>JOINING TORQUE LINK FOR R25</v>
      </c>
      <c r="C221" s="4">
        <v>23.700000000000003</v>
      </c>
      <c r="D221" s="10">
        <v>13.053960000000004</v>
      </c>
    </row>
    <row r="222" spans="1:4" x14ac:dyDescent="0.25">
      <c r="A222" s="2" t="str">
        <f>"05807"</f>
        <v>05807</v>
      </c>
      <c r="B222" s="2" t="str">
        <f>"TOP BEARING HOLDERFOR R25"</f>
        <v>TOP BEARING HOLDERFOR R25</v>
      </c>
      <c r="C222" s="4">
        <v>38.200000000000003</v>
      </c>
      <c r="D222" s="10">
        <v>21.040560000000003</v>
      </c>
    </row>
    <row r="223" spans="1:4" x14ac:dyDescent="0.25">
      <c r="A223" s="2" t="str">
        <f>"51948"</f>
        <v>51948</v>
      </c>
      <c r="B223" s="2" t="str">
        <f>"JOINING TORQUE LINK R430"</f>
        <v>JOINING TORQUE LINK R430</v>
      </c>
      <c r="C223" s="4">
        <v>44.300000000000004</v>
      </c>
      <c r="D223" s="10">
        <v>24.400440000000007</v>
      </c>
    </row>
    <row r="224" spans="1:4" x14ac:dyDescent="0.25">
      <c r="A224" s="2" t="str">
        <f>"51951"</f>
        <v>51951</v>
      </c>
      <c r="B224" s="2" t="str">
        <f>"TOP BEARING HOLDER R430"</f>
        <v>TOP BEARING HOLDER R430</v>
      </c>
      <c r="C224" s="4">
        <v>79.199999999999989</v>
      </c>
      <c r="D224" s="10">
        <v>43.623359999999998</v>
      </c>
    </row>
    <row r="225" spans="1:4" x14ac:dyDescent="0.25">
      <c r="A225" s="2" t="str">
        <f>"53027"</f>
        <v>53027</v>
      </c>
      <c r="B225" s="2" t="str">
        <f>"JOINING TORQUE LINK C480"</f>
        <v>JOINING TORQUE LINK C480</v>
      </c>
      <c r="C225" s="4">
        <v>110.69999999999999</v>
      </c>
      <c r="D225" s="10">
        <v>60.973560000000006</v>
      </c>
    </row>
    <row r="226" spans="1:4" x14ac:dyDescent="0.25">
      <c r="A226" s="2" t="str">
        <f>"53030"</f>
        <v>53030</v>
      </c>
      <c r="B226" s="2" t="str">
        <f>"JOINING TORQUE LINK R480"</f>
        <v>JOINING TORQUE LINK R480</v>
      </c>
      <c r="C226" s="4">
        <v>110.69999999999999</v>
      </c>
      <c r="D226" s="10">
        <v>60.973560000000006</v>
      </c>
    </row>
    <row r="227" spans="1:4" x14ac:dyDescent="0.25">
      <c r="A227" s="2" t="str">
        <f>"53031"</f>
        <v>53031</v>
      </c>
      <c r="B227" s="2" t="str">
        <f>"BOTTOM BEARING HOLDER FOR R480"</f>
        <v>BOTTOM BEARING HOLDER FOR R480</v>
      </c>
      <c r="C227" s="4">
        <v>130.4</v>
      </c>
      <c r="D227" s="10">
        <v>71.824320000000014</v>
      </c>
    </row>
    <row r="228" spans="1:4" x14ac:dyDescent="0.25">
      <c r="A228" s="2" t="str">
        <f>"53032"</f>
        <v>53032</v>
      </c>
      <c r="B228" s="2" t="str">
        <f>"TOP BEARING HOLDER R480"</f>
        <v>TOP BEARING HOLDER R480</v>
      </c>
      <c r="C228" s="4">
        <v>130.4</v>
      </c>
      <c r="D228" s="10">
        <v>71.824320000000014</v>
      </c>
    </row>
    <row r="229" spans="1:4" x14ac:dyDescent="0.25">
      <c r="A229" s="2" t="str">
        <f>"52080"</f>
        <v>52080</v>
      </c>
      <c r="B229" s="2" t="str">
        <f>"BOTTOM BEARING HOLDER FOR C350"</f>
        <v>BOTTOM BEARING HOLDER FOR C350</v>
      </c>
      <c r="C229" s="4">
        <v>85.199999999999989</v>
      </c>
      <c r="D229" s="10">
        <v>46.928160000000005</v>
      </c>
    </row>
    <row r="230" spans="1:4" x14ac:dyDescent="0.25">
      <c r="A230" s="2" t="str">
        <f>"52081"</f>
        <v>52081</v>
      </c>
      <c r="B230" s="2" t="str">
        <f>"INTERMEDIATE BEARING HOLDER FOR C35"</f>
        <v>INTERMEDIATE BEARING HOLDER FOR C35</v>
      </c>
      <c r="C230" s="4">
        <v>41.9</v>
      </c>
      <c r="D230" s="10">
        <v>23.078520000000001</v>
      </c>
    </row>
    <row r="231" spans="1:4" x14ac:dyDescent="0.25">
      <c r="A231" s="2" t="str">
        <f>"52082"</f>
        <v>52082</v>
      </c>
      <c r="B231" s="2" t="str">
        <f>"TOP BEARING HOLDER FOR C350"</f>
        <v>TOP BEARING HOLDER FOR C350</v>
      </c>
      <c r="C231" s="4">
        <v>83</v>
      </c>
      <c r="D231" s="10">
        <v>45.716400000000007</v>
      </c>
    </row>
    <row r="232" spans="1:4" x14ac:dyDescent="0.25">
      <c r="A232" s="2" t="str">
        <f>"53034"</f>
        <v>53034</v>
      </c>
      <c r="B232" s="2" t="str">
        <f>"""LOWER BEARING HOLDER C520, C530"""</f>
        <v>"LOWER BEARING HOLDER C520, C530"</v>
      </c>
      <c r="C232" s="4">
        <v>142.6</v>
      </c>
      <c r="D232" s="10">
        <v>78.544080000000008</v>
      </c>
    </row>
    <row r="233" spans="1:4" x14ac:dyDescent="0.25">
      <c r="A233" s="2" t="str">
        <f>"53035"</f>
        <v>53035</v>
      </c>
      <c r="B233" s="2" t="str">
        <f>"""TOP BEARING HOLDER C520, 530"""</f>
        <v>"TOP BEARING HOLDER C520, 530"</v>
      </c>
      <c r="C233" s="4">
        <v>142.6</v>
      </c>
      <c r="D233" s="10">
        <v>78.544080000000008</v>
      </c>
    </row>
    <row r="234" spans="1:4" x14ac:dyDescent="0.25">
      <c r="A234" s="2" t="str">
        <f>"P268034S"</f>
        <v>P268034S</v>
      </c>
      <c r="B234" s="2" t="str">
        <f>"INTERMEDIATE JOIN KIT FOR C520"</f>
        <v>INTERMEDIATE JOIN KIT FOR C520</v>
      </c>
      <c r="C234" s="4">
        <v>93</v>
      </c>
      <c r="D234" s="10">
        <v>51.224400000000003</v>
      </c>
    </row>
    <row r="235" spans="1:4" x14ac:dyDescent="0.25">
      <c r="A235" s="2" t="str">
        <f>"P269034S"</f>
        <v>P269034S</v>
      </c>
      <c r="B235" s="2" t="str">
        <f>"C530 INTER JOIN KIT"</f>
        <v>C530 INTER JOIN KIT</v>
      </c>
      <c r="C235" s="4">
        <v>141.29999999999998</v>
      </c>
      <c r="D235" s="10">
        <v>77.828039999999987</v>
      </c>
    </row>
    <row r="236" spans="1:4" x14ac:dyDescent="0.25">
      <c r="A236" s="2" t="str">
        <f>"50622"</f>
        <v>50622</v>
      </c>
      <c r="B236" s="2" t="str">
        <f>"BUSHING CONNECT/ARTIC. MK3"</f>
        <v>BUSHING CONNECT/ARTIC. MK3</v>
      </c>
      <c r="C236" s="4">
        <v>3</v>
      </c>
      <c r="D236" s="10">
        <v>1.6524000000000001</v>
      </c>
    </row>
    <row r="237" spans="1:4" x14ac:dyDescent="0.25">
      <c r="A237" s="2" t="str">
        <f>"50065"</f>
        <v>50065</v>
      </c>
      <c r="B237" s="2" t="str">
        <f>"BOTTOM BEARING HOLDERS B35"</f>
        <v>BOTTOM BEARING HOLDERS B35</v>
      </c>
      <c r="C237" s="4">
        <v>48.9</v>
      </c>
      <c r="D237" s="10">
        <v>26.934120000000004</v>
      </c>
    </row>
    <row r="238" spans="1:4" x14ac:dyDescent="0.25">
      <c r="A238" s="2" t="str">
        <f>"50066"</f>
        <v>50066</v>
      </c>
      <c r="B238" s="2" t="str">
        <f>"TOP BEARING HOLDER B35"</f>
        <v>TOP BEARING HOLDER B35</v>
      </c>
      <c r="C238" s="4">
        <v>38.700000000000003</v>
      </c>
      <c r="D238" s="10">
        <v>21.315960000000004</v>
      </c>
    </row>
    <row r="239" spans="1:4" x14ac:dyDescent="0.25">
      <c r="A239" s="2" t="str">
        <f>"50118"</f>
        <v>50118</v>
      </c>
      <c r="B239" s="2" t="str">
        <f>"INTERMEDIATE BEARING HOLDER C290 &amp;"</f>
        <v>INTERMEDIATE BEARING HOLDER C290 &amp;</v>
      </c>
      <c r="C239" s="4">
        <v>17.100000000000001</v>
      </c>
      <c r="D239" s="10">
        <v>9.4186800000000019</v>
      </c>
    </row>
    <row r="240" spans="1:4" x14ac:dyDescent="0.25">
      <c r="A240" s="2" t="str">
        <f>"50119"</f>
        <v>50119</v>
      </c>
      <c r="B240" s="2" t="str">
        <f>"TOP BEARING HOLDER B29S/L"</f>
        <v>TOP BEARING HOLDER B29S/L</v>
      </c>
      <c r="C240" s="4">
        <v>35.5</v>
      </c>
      <c r="D240" s="10">
        <v>19.553400000000003</v>
      </c>
    </row>
    <row r="241" spans="1:4" x14ac:dyDescent="0.25">
      <c r="A241" s="2" t="str">
        <f>"50370"</f>
        <v>50370</v>
      </c>
      <c r="B241" s="2" t="str">
        <f>"BOTTOM ENDING BEARING HOLDER FOR C290"</f>
        <v>BOTTOM ENDING BEARING HOLDER FOR C290</v>
      </c>
      <c r="C241" s="4">
        <v>22</v>
      </c>
      <c r="D241" s="10">
        <v>12.117600000000001</v>
      </c>
    </row>
    <row r="242" spans="1:4" x14ac:dyDescent="0.25">
      <c r="A242" s="2" t="str">
        <f>"53028"</f>
        <v>53028</v>
      </c>
      <c r="B242" s="2" t="str">
        <f>"BOTTOM BEARING HOLDER C480"</f>
        <v>BOTTOM BEARING HOLDER C480</v>
      </c>
      <c r="C242" s="4">
        <v>130.4</v>
      </c>
      <c r="D242" s="10">
        <v>71.824320000000014</v>
      </c>
    </row>
    <row r="243" spans="1:4" x14ac:dyDescent="0.25">
      <c r="A243" s="2" t="str">
        <f>"53029"</f>
        <v>53029</v>
      </c>
      <c r="B243" s="2" t="str">
        <f>"TOP BEARING HOLDER FOR C480"</f>
        <v>TOP BEARING HOLDER FOR C480</v>
      </c>
      <c r="C243" s="4">
        <v>130.4</v>
      </c>
      <c r="D243" s="10">
        <v>71.824320000000014</v>
      </c>
    </row>
    <row r="244" spans="1:4" x14ac:dyDescent="0.25">
      <c r="A244" s="2" t="str">
        <f>"00917"</f>
        <v>00917</v>
      </c>
      <c r="B244" s="2" t="str">
        <f>"DRUM IMMOBILIZING SCREW FOR NCI &amp; L"</f>
        <v>DRUM IMMOBILIZING SCREW FOR NCI &amp; L</v>
      </c>
      <c r="C244" s="4">
        <v>12.6</v>
      </c>
      <c r="D244" s="10">
        <v>6.94008</v>
      </c>
    </row>
    <row r="245" spans="1:4" x14ac:dyDescent="0.25">
      <c r="A245" s="2" t="str">
        <f>"50108"</f>
        <v>50108</v>
      </c>
      <c r="B245" s="2" t="str">
        <f>"SS DRUM FOR EC1500"</f>
        <v>SS DRUM FOR EC1500</v>
      </c>
      <c r="C245" s="4">
        <v>96.699999999999989</v>
      </c>
      <c r="D245" s="10">
        <v>53.262360000000001</v>
      </c>
    </row>
    <row r="246" spans="1:4" x14ac:dyDescent="0.25">
      <c r="A246" s="2" t="str">
        <f>"52006"</f>
        <v>52006</v>
      </c>
      <c r="B246" s="2" t="str">
        <f>"CAGE CLAMP PLASTIC PLATE C290 &amp; C32"</f>
        <v>CAGE CLAMP PLASTIC PLATE C290 &amp; C32</v>
      </c>
      <c r="C246" s="4">
        <v>36.800000000000004</v>
      </c>
      <c r="D246" s="10">
        <v>20.269440000000003</v>
      </c>
    </row>
    <row r="247" spans="1:4" x14ac:dyDescent="0.25">
      <c r="A247" s="2" t="str">
        <f>"52008"</f>
        <v>52008</v>
      </c>
      <c r="B247" s="2" t="str">
        <f>"""CAGE CLAMP PLASTIC PLATE C350, C420"""</f>
        <v>"CAGE CLAMP PLASTIC PLATE C350, C420"</v>
      </c>
      <c r="C247" s="4">
        <v>36.800000000000004</v>
      </c>
      <c r="D247" s="10">
        <v>20.269440000000003</v>
      </c>
    </row>
    <row r="248" spans="1:4" x14ac:dyDescent="0.25">
      <c r="A248" s="2" t="str">
        <f>"P035012"</f>
        <v>P035012</v>
      </c>
      <c r="B248" s="2" t="str">
        <f>"DRUM N 42 &amp; NC 42"</f>
        <v>DRUM N 42 &amp; NC 42</v>
      </c>
      <c r="C248" s="4">
        <v>306.10000000000002</v>
      </c>
      <c r="D248" s="10">
        <v>168.59988000000004</v>
      </c>
    </row>
    <row r="249" spans="1:4" x14ac:dyDescent="0.25">
      <c r="A249" s="2" t="str">
        <f>"P036012"</f>
        <v>P036012</v>
      </c>
      <c r="B249" s="2" t="str">
        <f>"DRUM FOR L &amp; LC 42"</f>
        <v>DRUM FOR L &amp; LC 42</v>
      </c>
      <c r="C249" s="4">
        <v>306.10000000000002</v>
      </c>
      <c r="D249" s="10">
        <v>168.59988000000004</v>
      </c>
    </row>
    <row r="250" spans="1:4" x14ac:dyDescent="0.25">
      <c r="A250" s="2" t="str">
        <f>"P037012"</f>
        <v>P037012</v>
      </c>
      <c r="B250" s="2" t="str">
        <f>"DRUM FOR C &amp; R 42"</f>
        <v>DRUM FOR C &amp; R 42</v>
      </c>
      <c r="C250" s="4">
        <v>306.10000000000002</v>
      </c>
      <c r="D250" s="10">
        <v>168.59988000000004</v>
      </c>
    </row>
    <row r="251" spans="1:4" x14ac:dyDescent="0.25">
      <c r="A251" s="2" t="str">
        <f>"P039012"</f>
        <v>P039012</v>
      </c>
      <c r="B251" s="2" t="str">
        <f>"DRUM FOR N 31 &amp; NC32"</f>
        <v>DRUM FOR N 31 &amp; NC32</v>
      </c>
      <c r="C251" s="4">
        <v>159.79999999999998</v>
      </c>
      <c r="D251" s="10">
        <v>88.017840000000007</v>
      </c>
    </row>
    <row r="252" spans="1:4" x14ac:dyDescent="0.25">
      <c r="A252" s="2" t="str">
        <f>"P120012"</f>
        <v>P120012</v>
      </c>
      <c r="B252" s="2" t="str">
        <f>"DRUM FOR LCI-42"</f>
        <v>DRUM FOR LCI-42</v>
      </c>
      <c r="C252" s="4">
        <v>329.1</v>
      </c>
      <c r="D252" s="10">
        <v>181.26828000000003</v>
      </c>
    </row>
    <row r="253" spans="1:4" x14ac:dyDescent="0.25">
      <c r="A253" s="2" t="str">
        <f>"P125012"</f>
        <v>P125012</v>
      </c>
      <c r="B253" s="2" t="str">
        <f>"""DRUM FOR NI, NCI &amp; LI, LCI 42"""</f>
        <v>"DRUM FOR NI, NCI &amp; LI, LCI 42"</v>
      </c>
      <c r="C253" s="4">
        <v>228.4</v>
      </c>
      <c r="D253" s="10">
        <v>125.80272000000002</v>
      </c>
    </row>
    <row r="254" spans="1:4" x14ac:dyDescent="0.25">
      <c r="A254" s="2" t="str">
        <f>"P150012"</f>
        <v>P150012</v>
      </c>
      <c r="B254" s="2" t="str">
        <f>"DRUM ONLY FOR NC32"</f>
        <v>DRUM ONLY FOR NC32</v>
      </c>
      <c r="C254" s="4">
        <v>301.20000000000005</v>
      </c>
      <c r="D254" s="10">
        <v>165.90096000000005</v>
      </c>
    </row>
    <row r="255" spans="1:4" x14ac:dyDescent="0.25">
      <c r="A255" s="2" t="str">
        <f>"P151012"</f>
        <v>P151012</v>
      </c>
      <c r="B255" s="2" t="str">
        <f>"DRUM ONLY FOR B35L"</f>
        <v>DRUM ONLY FOR B35L</v>
      </c>
      <c r="C255" s="4">
        <v>207.6</v>
      </c>
      <c r="D255" s="10">
        <v>114.34608000000001</v>
      </c>
    </row>
    <row r="256" spans="1:4" x14ac:dyDescent="0.25">
      <c r="A256" s="2" t="str">
        <f>"P251013"</f>
        <v>P251013</v>
      </c>
      <c r="B256" s="2" t="str">
        <f>"DRUM ONLY R250"</f>
        <v>DRUM ONLY R250</v>
      </c>
      <c r="C256" s="4">
        <v>188.1</v>
      </c>
      <c r="D256" s="10">
        <v>103.60548</v>
      </c>
    </row>
    <row r="257" spans="1:4" x14ac:dyDescent="0.25">
      <c r="A257" s="2" t="str">
        <f>"P252013"</f>
        <v>P252013</v>
      </c>
      <c r="B257" s="2" t="str">
        <f>"DRUM ONLY C320"</f>
        <v>DRUM ONLY C320</v>
      </c>
      <c r="C257" s="4">
        <v>291.70000000000005</v>
      </c>
      <c r="D257" s="10">
        <v>160.66836000000006</v>
      </c>
    </row>
    <row r="258" spans="1:4" x14ac:dyDescent="0.25">
      <c r="A258" s="2" t="str">
        <f>"P253013"</f>
        <v>P253013</v>
      </c>
      <c r="B258" s="2" t="str">
        <f>"DRUM ONLY C350"</f>
        <v>DRUM ONLY C350</v>
      </c>
      <c r="C258" s="4">
        <v>207.6</v>
      </c>
      <c r="D258" s="10">
        <v>114.34608000000001</v>
      </c>
    </row>
    <row r="259" spans="1:4" x14ac:dyDescent="0.25">
      <c r="A259" s="2" t="str">
        <f>"P254013"</f>
        <v>P254013</v>
      </c>
      <c r="B259" s="2" t="str">
        <f>"DRUM ONLY C420 &amp; C430"</f>
        <v>DRUM ONLY C420 &amp; C430</v>
      </c>
      <c r="C259" s="4">
        <v>306.10000000000002</v>
      </c>
      <c r="D259" s="10">
        <v>168.59988000000004</v>
      </c>
    </row>
    <row r="260" spans="1:4" x14ac:dyDescent="0.25">
      <c r="A260" s="2" t="str">
        <f>"00715"</f>
        <v>00715</v>
      </c>
      <c r="B260" s="2" t="str">
        <f>"BUSHINGS R42 UPPER SWIVEL"</f>
        <v>BUSHINGS R42 UPPER SWIVEL</v>
      </c>
      <c r="C260" s="4">
        <v>23.8</v>
      </c>
      <c r="D260" s="10">
        <v>13.109040000000002</v>
      </c>
    </row>
    <row r="261" spans="1:4" x14ac:dyDescent="0.25">
      <c r="A261" s="2" t="str">
        <f>"53048"</f>
        <v>53048</v>
      </c>
      <c r="B261" s="2" t="str">
        <f>"SWIVLE BUSHING FOR C520/530"</f>
        <v>SWIVLE BUSHING FOR C520/530</v>
      </c>
      <c r="C261" s="4">
        <v>41.6</v>
      </c>
      <c r="D261" s="10">
        <v>22.913280000000004</v>
      </c>
    </row>
    <row r="262" spans="1:4" x14ac:dyDescent="0.25">
      <c r="A262" s="2" t="str">
        <f>"P028029"</f>
        <v>P028029</v>
      </c>
      <c r="B262" s="2" t="str">
        <f>"BUSHINGS KIT FOR C32 SWIVEL"</f>
        <v>BUSHINGS KIT FOR C32 SWIVEL</v>
      </c>
      <c r="C262" s="4">
        <v>29</v>
      </c>
      <c r="D262" s="10">
        <v>15.973200000000002</v>
      </c>
    </row>
    <row r="263" spans="1:4" x14ac:dyDescent="0.25">
      <c r="A263" s="2" t="str">
        <f>"P035029"</f>
        <v>P035029</v>
      </c>
      <c r="B263" s="2" t="str">
        <f>"SWIVEL BUSHING KIT FOR 42 MODELS"</f>
        <v>SWIVEL BUSHING KIT FOR 42 MODELS</v>
      </c>
      <c r="C263" s="4">
        <v>33.300000000000004</v>
      </c>
      <c r="D263" s="10">
        <v>18.341640000000005</v>
      </c>
    </row>
    <row r="264" spans="1:4" x14ac:dyDescent="0.25">
      <c r="A264" s="2" t="str">
        <f>"P041029"</f>
        <v>P041029</v>
      </c>
      <c r="B264" s="2" t="str">
        <f>"SWIVEL BUSHINGS KIT FOR R 35"</f>
        <v>SWIVEL BUSHINGS KIT FOR R 35</v>
      </c>
      <c r="C264" s="4">
        <v>30.8</v>
      </c>
      <c r="D264" s="10">
        <v>16.964640000000003</v>
      </c>
    </row>
    <row r="265" spans="1:4" x14ac:dyDescent="0.25">
      <c r="A265" s="2" t="str">
        <f>"P042029"</f>
        <v>P042029</v>
      </c>
      <c r="B265" s="2" t="str">
        <f>"SWIVEL BUSHINGS KIT FOR 52 MODELS"</f>
        <v>SWIVEL BUSHINGS KIT FOR 52 MODELS</v>
      </c>
      <c r="C265" s="4">
        <v>45.7</v>
      </c>
      <c r="D265" s="10">
        <v>25.171560000000003</v>
      </c>
    </row>
    <row r="266" spans="1:4" x14ac:dyDescent="0.25">
      <c r="A266" s="2" t="str">
        <f>"P139029"</f>
        <v>P139029</v>
      </c>
      <c r="B266" s="2" t="str">
        <f>"SWIVEL BUSHINGS KIT FOR R 25"</f>
        <v>SWIVEL BUSHINGS KIT FOR R 25</v>
      </c>
      <c r="C266" s="4">
        <v>23.1</v>
      </c>
      <c r="D266" s="10">
        <v>12.723480000000002</v>
      </c>
    </row>
    <row r="267" spans="1:4" x14ac:dyDescent="0.25">
      <c r="A267" s="2" t="str">
        <f>"P153029"</f>
        <v>P153029</v>
      </c>
      <c r="B267" s="2" t="str">
        <f>"SWIVEL BUSHINGS FOR B35"</f>
        <v>SWIVEL BUSHINGS FOR B35</v>
      </c>
      <c r="C267" s="4">
        <v>30.8</v>
      </c>
      <c r="D267" s="10">
        <v>16.964640000000003</v>
      </c>
    </row>
    <row r="268" spans="1:4" x14ac:dyDescent="0.25">
      <c r="A268" s="2" t="str">
        <f>"P155029"</f>
        <v>P155029</v>
      </c>
      <c r="B268" s="2" t="str">
        <f>"SWIVEL BUSHINGS FOR B29"</f>
        <v>SWIVEL BUSHINGS FOR B29</v>
      </c>
      <c r="C268" s="4">
        <v>26.200000000000003</v>
      </c>
      <c r="D268" s="10">
        <v>14.430960000000002</v>
      </c>
    </row>
    <row r="269" spans="1:4" x14ac:dyDescent="0.25">
      <c r="A269" s="2" t="str">
        <f>"P251029"</f>
        <v>P251029</v>
      </c>
      <c r="B269" s="2" t="str">
        <f>"Bushings kit R250"</f>
        <v>Bushings kit R250</v>
      </c>
      <c r="C269" s="4">
        <v>37</v>
      </c>
      <c r="D269" s="10">
        <v>20.379600000000003</v>
      </c>
    </row>
    <row r="270" spans="1:4" x14ac:dyDescent="0.25">
      <c r="A270" s="2" t="str">
        <f>"00051"</f>
        <v>00051</v>
      </c>
      <c r="B270" s="2" t="str">
        <f>"""PLASTIC SLEEVES B29, 31, 32, &amp; R35"""</f>
        <v>"PLASTIC SLEEVES B29, 31, 32, &amp; R35"</v>
      </c>
      <c r="C270" s="4">
        <v>12.299999999999999</v>
      </c>
      <c r="D270" s="10">
        <v>6.7748400000000002</v>
      </c>
    </row>
    <row r="271" spans="1:4" x14ac:dyDescent="0.25">
      <c r="A271" s="2" t="str">
        <f>"00729"</f>
        <v>00729</v>
      </c>
      <c r="B271" s="2" t="str">
        <f>"PLASTIC SLEEVES R420"</f>
        <v>PLASTIC SLEEVES R420</v>
      </c>
      <c r="C271" s="4">
        <v>21.3</v>
      </c>
      <c r="D271" s="10">
        <v>11.732040000000003</v>
      </c>
    </row>
    <row r="272" spans="1:4" x14ac:dyDescent="0.25">
      <c r="A272" s="2" t="str">
        <f>"01320"</f>
        <v>01320</v>
      </c>
      <c r="B272" s="2" t="str">
        <f>"PLASTIC SLEEVES N42 &amp; NC42"</f>
        <v>PLASTIC SLEEVES N42 &amp; NC42</v>
      </c>
      <c r="C272" s="4">
        <v>21.3</v>
      </c>
      <c r="D272" s="10">
        <v>11.732040000000003</v>
      </c>
    </row>
    <row r="273" spans="1:4" x14ac:dyDescent="0.25">
      <c r="A273" s="2" t="str">
        <f>"01321"</f>
        <v>01321</v>
      </c>
      <c r="B273" s="2" t="str">
        <f>"PLASTIC SLEEVES L42 &amp;LC42 &amp;C42"</f>
        <v>PLASTIC SLEEVES L42 &amp;LC42 &amp;C42</v>
      </c>
      <c r="C273" s="4">
        <v>21.3</v>
      </c>
      <c r="D273" s="10">
        <v>11.732040000000003</v>
      </c>
    </row>
    <row r="274" spans="1:4" x14ac:dyDescent="0.25">
      <c r="A274" s="2" t="str">
        <f>"05826"</f>
        <v>05826</v>
      </c>
      <c r="B274" s="2" t="str">
        <f>"PLASTIC SLEEVES R25/R250"</f>
        <v>PLASTIC SLEEVES R25/R250</v>
      </c>
      <c r="C274" s="4">
        <v>13.6</v>
      </c>
      <c r="D274" s="10">
        <v>7.4908800000000015</v>
      </c>
    </row>
    <row r="275" spans="1:4" x14ac:dyDescent="0.25">
      <c r="A275" s="2" t="str">
        <f>"50172"</f>
        <v>50172</v>
      </c>
      <c r="B275" s="2" t="str">
        <f>"PLASTIC SLEEVE B35 (C350)"</f>
        <v>PLASTIC SLEEVE B35 (C350)</v>
      </c>
      <c r="C275" s="4">
        <v>17.200000000000003</v>
      </c>
      <c r="D275" s="10">
        <v>9.4737600000000022</v>
      </c>
    </row>
    <row r="276" spans="1:4" x14ac:dyDescent="0.25">
      <c r="A276" s="2" t="str">
        <f>"50277"</f>
        <v>50277</v>
      </c>
      <c r="B276" s="2" t="str">
        <f>"""PLASTIC SLEEVES/PALIER FOR LC,LCI42"""</f>
        <v>"PLASTIC SLEEVES/PALIER FOR LC,LCI42"</v>
      </c>
      <c r="C276" s="4">
        <v>127.5</v>
      </c>
      <c r="D276" s="10">
        <v>70.227000000000004</v>
      </c>
    </row>
    <row r="277" spans="1:4" x14ac:dyDescent="0.25">
      <c r="A277" s="2" t="str">
        <f>"50493"</f>
        <v>50493</v>
      </c>
      <c r="B277" s="2" t="str">
        <f>"PALIER NYLON 8X11X13"</f>
        <v>PALIER NYLON 8X11X13</v>
      </c>
      <c r="C277" s="4">
        <v>4.3</v>
      </c>
      <c r="D277" s="10">
        <v>2.3684400000000001</v>
      </c>
    </row>
    <row r="278" spans="1:4" x14ac:dyDescent="0.25">
      <c r="A278" s="2" t="str">
        <f>"50587"</f>
        <v>50587</v>
      </c>
      <c r="B278" s="2" t="str">
        <f>"REAR MANDREL BUSHING FOR MK 3"</f>
        <v>REAR MANDREL BUSHING FOR MK 3</v>
      </c>
      <c r="C278" s="4">
        <v>225.2</v>
      </c>
      <c r="D278" s="10">
        <v>124.04015999999999</v>
      </c>
    </row>
    <row r="279" spans="1:4" x14ac:dyDescent="0.25">
      <c r="A279" s="2" t="str">
        <f>"51947"</f>
        <v>51947</v>
      </c>
      <c r="B279" s="2" t="str">
        <f>"PLASTIC SLEEVES R430"</f>
        <v>PLASTIC SLEEVES R430</v>
      </c>
      <c r="C279" s="4">
        <v>22.1</v>
      </c>
      <c r="D279" s="10">
        <v>12.172680000000001</v>
      </c>
    </row>
    <row r="280" spans="1:4" x14ac:dyDescent="0.25">
      <c r="A280" s="2" t="str">
        <f>"53040"</f>
        <v>53040</v>
      </c>
      <c r="B280" s="2" t="str">
        <f>"PLASTIC BUSHING FOR C480"</f>
        <v>PLASTIC BUSHING FOR C480</v>
      </c>
      <c r="C280" s="4">
        <v>26.8</v>
      </c>
      <c r="D280" s="10">
        <v>14.761440000000002</v>
      </c>
    </row>
    <row r="281" spans="1:4" x14ac:dyDescent="0.25">
      <c r="A281" s="2" t="str">
        <f>"53041"</f>
        <v>53041</v>
      </c>
      <c r="B281" s="2" t="str">
        <f>"PLASTIC DLEEVE BEARINGS FOR R480"</f>
        <v>PLASTIC DLEEVE BEARINGS FOR R480</v>
      </c>
      <c r="C281" s="4">
        <v>26.8</v>
      </c>
      <c r="D281" s="10">
        <v>14.761440000000002</v>
      </c>
    </row>
    <row r="282" spans="1:4" x14ac:dyDescent="0.25">
      <c r="A282" s="2" t="str">
        <f>"53042"</f>
        <v>53042</v>
      </c>
      <c r="B282" s="2" t="str">
        <f>"PLASTIC BUSHING FOR C520"</f>
        <v>PLASTIC BUSHING FOR C520</v>
      </c>
      <c r="C282" s="4">
        <v>48.2</v>
      </c>
      <c r="D282" s="10">
        <v>26.548560000000005</v>
      </c>
    </row>
    <row r="283" spans="1:4" x14ac:dyDescent="0.25">
      <c r="A283" s="2" t="str">
        <f>"53043"</f>
        <v>53043</v>
      </c>
      <c r="B283" s="2" t="str">
        <f>"PLASTIC BUSHING FOR C530"</f>
        <v>PLASTIC BUSHING FOR C530</v>
      </c>
      <c r="C283" s="4">
        <v>30.200000000000003</v>
      </c>
      <c r="D283" s="10">
        <v>16.634160000000005</v>
      </c>
    </row>
    <row r="284" spans="1:4" x14ac:dyDescent="0.25">
      <c r="A284" s="2" t="str">
        <f>"P035060"</f>
        <v>P035060</v>
      </c>
      <c r="B284" s="2" t="str">
        <f>"""WRAPSTOP FOR B35, 42 &amp; 52 MODELS"""</f>
        <v>"WRAPSTOP FOR B35, 42 &amp; 52 MODELS"</v>
      </c>
      <c r="C284" s="4">
        <v>130.79999999999998</v>
      </c>
      <c r="D284" s="10">
        <v>72.044640000000001</v>
      </c>
    </row>
    <row r="285" spans="1:4" x14ac:dyDescent="0.25">
      <c r="A285" s="2" t="str">
        <f>"P039060"</f>
        <v>P039060</v>
      </c>
      <c r="B285" s="2" t="str">
        <f>"""WRAPSTOP FOR B29, 31, 32 &amp; R 35 MOD"""</f>
        <v>"WRAPSTOP FOR B29, 31, 32 &amp; R 35 MOD"</v>
      </c>
      <c r="C285" s="4">
        <v>128</v>
      </c>
      <c r="D285" s="10">
        <v>70.502400000000009</v>
      </c>
    </row>
    <row r="286" spans="1:4" x14ac:dyDescent="0.25">
      <c r="A286" s="2" t="str">
        <f>"P139060"</f>
        <v>P139060</v>
      </c>
      <c r="B286" s="2" t="str">
        <f>"WRAPSTOP FOR R 25"</f>
        <v>WRAPSTOP FOR R 25</v>
      </c>
      <c r="C286" s="4">
        <v>102.3</v>
      </c>
      <c r="D286" s="10">
        <v>56.346840000000007</v>
      </c>
    </row>
    <row r="287" spans="1:4" x14ac:dyDescent="0.25">
      <c r="A287" s="2" t="str">
        <f>"50010"</f>
        <v>50010</v>
      </c>
      <c r="B287" s="2" t="str">
        <f>"PIN WASHER D=10 C32"</f>
        <v>PIN WASHER D=10 C32</v>
      </c>
      <c r="C287" s="4">
        <v>3.9</v>
      </c>
      <c r="D287" s="10">
        <v>2.14812</v>
      </c>
    </row>
    <row r="288" spans="1:4" x14ac:dyDescent="0.25">
      <c r="A288" s="2" t="str">
        <f>"50011"</f>
        <v>50011</v>
      </c>
      <c r="B288" s="2" t="str">
        <f>"PIN WASHER D=1/2   N42"</f>
        <v>PIN WASHER D=1/2   N42</v>
      </c>
      <c r="C288" s="4">
        <v>4</v>
      </c>
      <c r="D288" s="10">
        <v>2.2032000000000003</v>
      </c>
    </row>
    <row r="289" spans="1:4" x14ac:dyDescent="0.25">
      <c r="A289" s="2" t="str">
        <f>"50012"</f>
        <v>50012</v>
      </c>
      <c r="B289" s="2" t="str">
        <f>"14MM PLASTIC WASHER FOR 52 CLEVIS"</f>
        <v>14MM PLASTIC WASHER FOR 52 CLEVIS</v>
      </c>
      <c r="C289" s="4">
        <v>7.1</v>
      </c>
      <c r="D289" s="10">
        <v>3.9106800000000002</v>
      </c>
    </row>
    <row r="290" spans="1:4" x14ac:dyDescent="0.25">
      <c r="A290" s="2" t="str">
        <f>"50608"</f>
        <v>50608</v>
      </c>
      <c r="B290" s="2" t="str">
        <f>"NYLON WASHER 25.2 X 40 X 1.7MM FOR"</f>
        <v>NYLON WASHER 25.2 X 40 X 1.7MM FOR</v>
      </c>
      <c r="C290" s="4">
        <v>7.8</v>
      </c>
      <c r="D290" s="10">
        <v>4.2962400000000001</v>
      </c>
    </row>
    <row r="291" spans="1:4" x14ac:dyDescent="0.25">
      <c r="A291" s="2" t="str">
        <f>"00769"</f>
        <v>00769</v>
      </c>
      <c r="B291" s="2" t="str">
        <f>"PLASTIC ANTI-UV WASHER FOR 32&amp;35 SW"</f>
        <v>PLASTIC ANTI-UV WASHER FOR 32&amp;35 SW</v>
      </c>
      <c r="C291" s="4">
        <v>12.299999999999999</v>
      </c>
      <c r="D291" s="10">
        <v>6.7748400000000002</v>
      </c>
    </row>
    <row r="292" spans="1:4" x14ac:dyDescent="0.25">
      <c r="A292" s="2" t="str">
        <f>"50488"</f>
        <v>50488</v>
      </c>
      <c r="B292" s="2" t="str">
        <f>"""RONDELLE NYLON 21,2*34*1,5"""</f>
        <v>"RONDELLE NYLON 21,2*34*1,5"</v>
      </c>
      <c r="C292" s="4">
        <v>5.3999999999999995</v>
      </c>
      <c r="D292" s="10">
        <v>2.9743199999999996</v>
      </c>
    </row>
    <row r="293" spans="1:4" x14ac:dyDescent="0.25">
      <c r="A293" s="2" t="str">
        <f>"P153311"</f>
        <v>P153311</v>
      </c>
      <c r="B293" s="2" t="str">
        <f>"PIN LOCKER SET  3/8   B35"</f>
        <v>PIN LOCKER SET  3/8   B35</v>
      </c>
      <c r="C293" s="4">
        <v>19.200000000000003</v>
      </c>
      <c r="D293" s="10">
        <v>10.575360000000003</v>
      </c>
    </row>
    <row r="294" spans="1:4" x14ac:dyDescent="0.25">
      <c r="A294" s="2" t="str">
        <f>"P153312"</f>
        <v>P153312</v>
      </c>
      <c r="B294" s="2" t="str">
        <f>"PIN LOCKER SET &gt;7/16    B35"</f>
        <v>PIN LOCKER SET &gt;7/16    B35</v>
      </c>
      <c r="C294" s="4">
        <v>19.200000000000003</v>
      </c>
      <c r="D294" s="10">
        <v>10.575360000000003</v>
      </c>
    </row>
    <row r="295" spans="1:4" x14ac:dyDescent="0.25">
      <c r="A295" s="2" t="str">
        <f>"P155311"</f>
        <v>P155311</v>
      </c>
      <c r="B295" s="2" t="str">
        <f>"B29 PIN LOCKER SET FOR 8 MM CLEVIN"</f>
        <v>B29 PIN LOCKER SET FOR 8 MM CLEVIN</v>
      </c>
      <c r="C295" s="4">
        <v>19.200000000000003</v>
      </c>
      <c r="D295" s="10">
        <v>10.575360000000003</v>
      </c>
    </row>
    <row r="296" spans="1:4" x14ac:dyDescent="0.25">
      <c r="A296" s="2" t="str">
        <f>"P155312"</f>
        <v>P155312</v>
      </c>
      <c r="B296" s="2" t="str">
        <f>"PIN LOCKER SET &gt;5/16   B29"</f>
        <v>PIN LOCKER SET &gt;5/16   B29</v>
      </c>
      <c r="C296" s="4">
        <v>19.200000000000003</v>
      </c>
      <c r="D296" s="10">
        <v>10.575360000000003</v>
      </c>
    </row>
    <row r="297" spans="1:4" x14ac:dyDescent="0.25">
      <c r="A297" s="2" t="str">
        <f>"P265101"</f>
        <v>P265101</v>
      </c>
      <c r="B297" s="2" t="str">
        <f>"LOCKERS C/R480-C520-C530"</f>
        <v>LOCKERS C/R480-C520-C530</v>
      </c>
      <c r="C297" s="4">
        <v>68.3</v>
      </c>
      <c r="D297" s="10">
        <v>37.619640000000004</v>
      </c>
    </row>
    <row r="298" spans="1:4" x14ac:dyDescent="0.25">
      <c r="A298" s="2" t="str">
        <f>"P028070"</f>
        <v>P028070</v>
      </c>
      <c r="B298" s="2" t="str">
        <f>"INTEGR. TURNBUCKLE CYL.C32&amp;R35"</f>
        <v>INTEGR. TURNBUCKLE CYL.C32&amp;R35</v>
      </c>
      <c r="C298" s="4">
        <v>297.3</v>
      </c>
      <c r="D298" s="10">
        <v>163.75284000000002</v>
      </c>
    </row>
    <row r="299" spans="1:4" x14ac:dyDescent="0.25">
      <c r="A299" s="2" t="str">
        <f>"P268040"</f>
        <v>P268040</v>
      </c>
      <c r="B299" s="2" t="str">
        <f>"TURNBUCKLE CYLINDER FOR C520/C530"</f>
        <v>TURNBUCKLE CYLINDER FOR C520/C530</v>
      </c>
      <c r="C299" s="4">
        <v>569.9</v>
      </c>
      <c r="D299" s="10">
        <v>313.90092000000004</v>
      </c>
    </row>
    <row r="300" spans="1:4" x14ac:dyDescent="0.25">
      <c r="A300" s="2" t="str">
        <f>"05001"</f>
        <v>05001</v>
      </c>
      <c r="B300" s="2" t="str">
        <f>"""SS DRUM CAGE FOR N, L, NI &amp; LI52"""</f>
        <v>"SS DRUM CAGE FOR N, L, NI &amp; LI52"</v>
      </c>
      <c r="C300" s="4">
        <v>557.1</v>
      </c>
      <c r="D300" s="10">
        <v>306.85068000000007</v>
      </c>
    </row>
    <row r="301" spans="1:4" x14ac:dyDescent="0.25">
      <c r="A301" s="2" t="str">
        <f>"05002"</f>
        <v>05002</v>
      </c>
      <c r="B301" s="2" t="str">
        <f>"""SS DRUM CAGE FOR L, LC, LCI 42"""</f>
        <v>"SS DRUM CAGE FOR L, LC, LCI 42"</v>
      </c>
      <c r="C301" s="4">
        <v>349.6</v>
      </c>
      <c r="D301" s="10">
        <v>192.55968000000004</v>
      </c>
    </row>
    <row r="302" spans="1:4" x14ac:dyDescent="0.25">
      <c r="A302" s="2" t="str">
        <f>"05002D"</f>
        <v>05002D</v>
      </c>
      <c r="B302" s="2" t="str">
        <f>"DOUBLE RING S/S CAGE FOR LC/LCI 42"</f>
        <v>DOUBLE RING S/S CAGE FOR LC/LCI 42</v>
      </c>
      <c r="C302" s="4">
        <v>305.70000000000005</v>
      </c>
      <c r="D302" s="10">
        <v>168.37956000000003</v>
      </c>
    </row>
    <row r="303" spans="1:4" x14ac:dyDescent="0.25">
      <c r="A303" s="2" t="str">
        <f>"05003D"</f>
        <v>05003D</v>
      </c>
      <c r="B303" s="2" t="str">
        <f>"""SS DRUM CAGE FOR N, NI, NC &amp; NCI 42 DOU"</f>
        <v>"SS DRUM CAGE FOR N, NI, NC &amp; NCI 42 DOU</v>
      </c>
      <c r="C303" s="4">
        <v>305.70000000000005</v>
      </c>
      <c r="D303" s="10">
        <v>168.37956000000003</v>
      </c>
    </row>
    <row r="304" spans="1:4" x14ac:dyDescent="0.25">
      <c r="A304" s="2" t="str">
        <f>"05004"</f>
        <v>05004</v>
      </c>
      <c r="B304" s="2" t="str">
        <f>"""SS DRUM CAGE FOR L, LI 31 &amp; LC, LCI"""</f>
        <v>"SS DRUM CAGE FOR L, LI 31 &amp; LC, LCI"</v>
      </c>
      <c r="C304" s="4">
        <v>204.5</v>
      </c>
      <c r="D304" s="10">
        <v>112.63860000000001</v>
      </c>
    </row>
    <row r="305" spans="1:4" x14ac:dyDescent="0.25">
      <c r="A305" s="2" t="str">
        <f>"05004 - EC4000"</f>
        <v>05004 - EC4000</v>
      </c>
      <c r="B305" s="2" t="str">
        <f>"SS DRUM CAGE FOR EC4000"</f>
        <v>SS DRUM CAGE FOR EC4000</v>
      </c>
      <c r="C305" s="4">
        <v>259.5</v>
      </c>
      <c r="D305" s="10">
        <v>142.93260000000004</v>
      </c>
    </row>
    <row r="306" spans="1:4" x14ac:dyDescent="0.25">
      <c r="A306" s="2" t="str">
        <f>"50073"</f>
        <v>50073</v>
      </c>
      <c r="B306" s="2" t="str">
        <f>"SS DRUM CAGE FOR B35M"</f>
        <v>SS DRUM CAGE FOR B35M</v>
      </c>
      <c r="C306" s="4">
        <v>305.70000000000005</v>
      </c>
      <c r="D306" s="10">
        <v>168.37956000000003</v>
      </c>
    </row>
    <row r="307" spans="1:4" x14ac:dyDescent="0.25">
      <c r="A307" s="2" t="str">
        <f>"50107"</f>
        <v>50107</v>
      </c>
      <c r="B307" s="2" t="str">
        <f>"SS DRUM CAGE B29L"</f>
        <v>SS DRUM CAGE B29L</v>
      </c>
      <c r="C307" s="4">
        <v>198.5</v>
      </c>
      <c r="D307" s="10">
        <v>109.33380000000001</v>
      </c>
    </row>
    <row r="308" spans="1:4" x14ac:dyDescent="0.25">
      <c r="A308" s="2" t="str">
        <f>"50112"</f>
        <v>50112</v>
      </c>
      <c r="B308" s="2" t="str">
        <f>"SS DRUM CAGE FOR B35S"</f>
        <v>SS DRUM CAGE FOR B35S</v>
      </c>
      <c r="C308" s="4">
        <v>276.8</v>
      </c>
      <c r="D308" s="10">
        <v>152.46144000000004</v>
      </c>
    </row>
    <row r="309" spans="1:4" x14ac:dyDescent="0.25">
      <c r="A309" s="2" t="str">
        <f>"50114"</f>
        <v>50114</v>
      </c>
      <c r="B309" s="2" t="str">
        <f>"SS DRUM CAGE FOR B35L"</f>
        <v>SS DRUM CAGE FOR B35L</v>
      </c>
      <c r="C309" s="4">
        <v>315.10000000000002</v>
      </c>
      <c r="D309" s="10">
        <v>173.55708000000004</v>
      </c>
    </row>
    <row r="310" spans="1:4" x14ac:dyDescent="0.25">
      <c r="A310" s="2" t="str">
        <f>"50335"</f>
        <v>50335</v>
      </c>
      <c r="B310" s="2" t="str">
        <f>"DRUM CAGE ARM"</f>
        <v>DRUM CAGE ARM</v>
      </c>
      <c r="C310" s="4">
        <v>589</v>
      </c>
      <c r="D310" s="10">
        <v>324.4212</v>
      </c>
    </row>
    <row r="311" spans="1:4" x14ac:dyDescent="0.25">
      <c r="A311" s="2" t="str">
        <f>"50970"</f>
        <v>50970</v>
      </c>
      <c r="B311" s="2" t="str">
        <f>"DRUM CAGE ROLLER FOR T26"</f>
        <v>DRUM CAGE ROLLER FOR T26</v>
      </c>
      <c r="C311" s="4">
        <v>10.9</v>
      </c>
      <c r="D311" s="10">
        <v>6.0037200000000004</v>
      </c>
    </row>
    <row r="312" spans="1:4" x14ac:dyDescent="0.25">
      <c r="A312" s="2" t="str">
        <f>"P250001"</f>
        <v>P250001</v>
      </c>
      <c r="B312" s="2" t="str">
        <f>"CAGE CLAMP METAL PLATE - NEW LINE"</f>
        <v>CAGE CLAMP METAL PLATE - NEW LINE</v>
      </c>
      <c r="C312" s="4">
        <v>18.5</v>
      </c>
      <c r="D312" s="10">
        <v>10.189800000000002</v>
      </c>
    </row>
    <row r="313" spans="1:4" x14ac:dyDescent="0.25">
      <c r="A313" s="2" t="str">
        <f>"P250002"</f>
        <v>P250002</v>
      </c>
      <c r="B313" s="2" t="str">
        <f>"DRUM CAGE BRACKET"</f>
        <v>DRUM CAGE BRACKET</v>
      </c>
      <c r="C313" s="4">
        <v>34.5</v>
      </c>
      <c r="D313" s="10">
        <v>19.002600000000001</v>
      </c>
    </row>
    <row r="314" spans="1:4" x14ac:dyDescent="0.25">
      <c r="A314" s="2" t="str">
        <f>"P250003"</f>
        <v>P250003</v>
      </c>
      <c r="B314" s="2" t="str">
        <f>"COMPLETE CAGE CLAMP ASSEMBLY"</f>
        <v>COMPLETE CAGE CLAMP ASSEMBLY</v>
      </c>
      <c r="C314" s="4">
        <v>34.5</v>
      </c>
      <c r="D314" s="10">
        <v>19.002600000000001</v>
      </c>
    </row>
    <row r="315" spans="1:4" x14ac:dyDescent="0.25">
      <c r="A315" s="2" t="str">
        <f>"P250018"</f>
        <v>P250018</v>
      </c>
      <c r="B315" s="2" t="str">
        <f>"DRUM CAGE C290"</f>
        <v>DRUM CAGE C290</v>
      </c>
      <c r="C315" s="4">
        <v>198.5</v>
      </c>
      <c r="D315" s="10">
        <v>109.33380000000001</v>
      </c>
    </row>
    <row r="316" spans="1:4" x14ac:dyDescent="0.25">
      <c r="A316" s="2" t="str">
        <f>"P251018"</f>
        <v>P251018</v>
      </c>
      <c r="B316" s="2" t="str">
        <f>"R250 CAGE (2PC)"</f>
        <v>R250 CAGE (2PC)</v>
      </c>
      <c r="C316" s="4">
        <v>143.4</v>
      </c>
      <c r="D316" s="10">
        <v>78.984720000000024</v>
      </c>
    </row>
    <row r="317" spans="1:4" x14ac:dyDescent="0.25">
      <c r="A317" s="2" t="str">
        <f>"P252018"</f>
        <v>P252018</v>
      </c>
      <c r="B317" s="2" t="str">
        <f>"DRUM CAGE C320"</f>
        <v>DRUM CAGE C320</v>
      </c>
      <c r="C317" s="4">
        <v>213.1</v>
      </c>
      <c r="D317" s="10">
        <v>117.37548000000001</v>
      </c>
    </row>
    <row r="318" spans="1:4" x14ac:dyDescent="0.25">
      <c r="A318" s="2" t="str">
        <f>"P253018"</f>
        <v>P253018</v>
      </c>
      <c r="B318" s="2" t="str">
        <f>"DRUM CAGE C350"</f>
        <v>DRUM CAGE C350</v>
      </c>
      <c r="C318" s="4">
        <v>276.8</v>
      </c>
      <c r="D318" s="10">
        <v>152.46144000000004</v>
      </c>
    </row>
    <row r="319" spans="1:4" x14ac:dyDescent="0.25">
      <c r="A319" s="2" t="str">
        <f>"P254018"</f>
        <v>P254018</v>
      </c>
      <c r="B319" s="2" t="str">
        <f>"""DRUM CAGE C420, C430"""</f>
        <v>"DRUM CAGE C420, C430"</v>
      </c>
      <c r="C319" s="4">
        <v>408.20000000000005</v>
      </c>
      <c r="D319" s="10">
        <v>224.83656000000008</v>
      </c>
    </row>
    <row r="320" spans="1:4" x14ac:dyDescent="0.25">
      <c r="A320" s="2" t="str">
        <f>"P265019"</f>
        <v>P265019</v>
      </c>
      <c r="B320" s="2" t="str">
        <f>"DRUM CAGE C480(SOLD BY EACH HALF)"</f>
        <v>DRUM CAGE C480(SOLD BY EACH HALF)</v>
      </c>
      <c r="C320" s="4">
        <v>306.10000000000002</v>
      </c>
      <c r="D320" s="10">
        <v>168.59988000000004</v>
      </c>
    </row>
    <row r="321" spans="1:4" x14ac:dyDescent="0.25">
      <c r="A321" s="2" t="str">
        <f>"P180025"</f>
        <v>P180025</v>
      </c>
      <c r="B321" s="2" t="str">
        <f>"SS REINFORCED MAINSHEET BAIL FOR MK"</f>
        <v>SS REINFORCED MAINSHEET BAIL FOR MK</v>
      </c>
      <c r="C321" s="4">
        <v>266.20000000000005</v>
      </c>
      <c r="D321" s="10">
        <v>146.62296000000006</v>
      </c>
    </row>
    <row r="322" spans="1:4" x14ac:dyDescent="0.25">
      <c r="A322" s="2" t="str">
        <f>"50384"</f>
        <v>50384</v>
      </c>
      <c r="B322" s="2" t="str">
        <f>"""HOLED PLATE/LATTE FOR SWIVEL LC, LC"""</f>
        <v>"HOLED PLATE/LATTE FOR SWIVEL LC, LC"</v>
      </c>
      <c r="C322" s="4">
        <v>137.79999999999998</v>
      </c>
      <c r="D322" s="10">
        <v>75.900239999999997</v>
      </c>
    </row>
    <row r="323" spans="1:4" x14ac:dyDescent="0.25">
      <c r="A323" s="2" t="str">
        <f>"P035111"</f>
        <v>P035111</v>
      </c>
      <c r="B323" s="2" t="str">
        <f>"SHORT LINK PLATES FOR 42 MODELS"</f>
        <v>SHORT LINK PLATES FOR 42 MODELS</v>
      </c>
      <c r="C323" s="4">
        <v>119.5</v>
      </c>
      <c r="D323" s="10">
        <v>65.820599999999999</v>
      </c>
    </row>
    <row r="324" spans="1:4" x14ac:dyDescent="0.25">
      <c r="A324" s="2" t="str">
        <f>"P035211"</f>
        <v>P035211</v>
      </c>
      <c r="B324" s="2" t="str">
        <f>"LONG LINK PLATES FOR 42 MODELS"</f>
        <v>LONG LINK PLATES FOR 42 MODELS</v>
      </c>
      <c r="C324" s="4">
        <v>375.90000000000003</v>
      </c>
      <c r="D324" s="10">
        <v>207.04572000000005</v>
      </c>
    </row>
    <row r="325" spans="1:4" x14ac:dyDescent="0.25">
      <c r="A325" s="2" t="str">
        <f>"P035211-B43"</f>
        <v>P035211-B43</v>
      </c>
      <c r="B325" s="2" t="str">
        <f>"LONG LINK PLATES FOR 42 MODELS FOR"</f>
        <v>LONG LINK PLATES FOR 42 MODELS FOR</v>
      </c>
      <c r="C325" s="4">
        <v>332.6</v>
      </c>
      <c r="D325" s="10">
        <v>183.19608000000002</v>
      </c>
    </row>
    <row r="326" spans="1:4" x14ac:dyDescent="0.25">
      <c r="A326" s="2" t="str">
        <f>"P035211-B50"</f>
        <v>P035211-B50</v>
      </c>
      <c r="B326" s="2" t="str">
        <f>"LONG LINK PLATES FOR 42 MODELS FOR"</f>
        <v>LONG LINK PLATES FOR 42 MODELS FOR</v>
      </c>
      <c r="C326" s="4">
        <v>332.6</v>
      </c>
      <c r="D326" s="10">
        <v>183.19608000000002</v>
      </c>
    </row>
    <row r="327" spans="1:4" x14ac:dyDescent="0.25">
      <c r="A327" s="2" t="str">
        <f>"P039111"</f>
        <v>P039111</v>
      </c>
      <c r="B327" s="2" t="str">
        <f>"SHORT LINK PLATES           31"</f>
        <v>SHORT LINK PLATES           31</v>
      </c>
      <c r="C327" s="4">
        <v>125.39999999999999</v>
      </c>
      <c r="D327" s="10">
        <v>69.070320000000009</v>
      </c>
    </row>
    <row r="328" spans="1:4" x14ac:dyDescent="0.25">
      <c r="A328" s="2" t="str">
        <f>"P039211"</f>
        <v>P039211</v>
      </c>
      <c r="B328" s="2" t="str">
        <f>"""LONG LINK PLATE FOR 31, 32 &amp; R 35 M"""</f>
        <v>"LONG LINK PLATE FOR 31, 32 &amp; R 35 M"</v>
      </c>
      <c r="C328" s="4">
        <v>271.90000000000003</v>
      </c>
      <c r="D328" s="10">
        <v>149.76252000000002</v>
      </c>
    </row>
    <row r="329" spans="1:4" x14ac:dyDescent="0.25">
      <c r="A329" s="2" t="str">
        <f>"P039211-B34"</f>
        <v>P039211-B34</v>
      </c>
      <c r="B329" s="2" t="str">
        <f>"LONG LINK PLATE FOR 32 FOR B34"</f>
        <v>LONG LINK PLATE FOR 32 FOR B34</v>
      </c>
      <c r="C329" s="4">
        <v>250.5</v>
      </c>
      <c r="D329" s="10">
        <v>137.97540000000001</v>
      </c>
    </row>
    <row r="330" spans="1:4" x14ac:dyDescent="0.25">
      <c r="A330" s="2" t="str">
        <f>"P039211-B37"</f>
        <v>P039211-B37</v>
      </c>
      <c r="B330" s="2" t="str">
        <f>"LONG LINK PLATE FOR 32 FOR B37"</f>
        <v>LONG LINK PLATE FOR 32 FOR B37</v>
      </c>
      <c r="C330" s="4">
        <v>250.5</v>
      </c>
      <c r="D330" s="10">
        <v>137.97540000000001</v>
      </c>
    </row>
    <row r="331" spans="1:4" x14ac:dyDescent="0.25">
      <c r="A331" s="2" t="str">
        <f>"P039211-B40"</f>
        <v>P039211-B40</v>
      </c>
      <c r="B331" s="2" t="str">
        <f>"LONG LINK PLATE FOR 32 FOR B40"</f>
        <v>LONG LINK PLATE FOR 32 FOR B40</v>
      </c>
      <c r="C331" s="4">
        <v>250.5</v>
      </c>
      <c r="D331" s="10">
        <v>137.97540000000001</v>
      </c>
    </row>
    <row r="332" spans="1:4" x14ac:dyDescent="0.25">
      <c r="A332" s="2" t="str">
        <f>"P042111"</f>
        <v>P042111</v>
      </c>
      <c r="B332" s="2" t="str">
        <f>"SHORT LINK PLATES FOR 52 MODELS"</f>
        <v>SHORT LINK PLATES FOR 52 MODELS</v>
      </c>
      <c r="C332" s="4">
        <v>235.9</v>
      </c>
      <c r="D332" s="10">
        <v>129.93371999999999</v>
      </c>
    </row>
    <row r="333" spans="1:4" x14ac:dyDescent="0.25">
      <c r="A333" s="2" t="str">
        <f>"P139111"</f>
        <v>P139111</v>
      </c>
      <c r="B333" s="2" t="str">
        <f>"SHORT LINK PLATES FOR R 25"</f>
        <v>SHORT LINK PLATES FOR R 25</v>
      </c>
      <c r="C333" s="4">
        <v>100.5</v>
      </c>
      <c r="D333" s="10">
        <v>55.35540000000001</v>
      </c>
    </row>
    <row r="334" spans="1:4" x14ac:dyDescent="0.25">
      <c r="A334" s="2" t="str">
        <f>"P139211"</f>
        <v>P139211</v>
      </c>
      <c r="B334" s="2" t="str">
        <f>"LONG LINK PLATES FOR R 25"</f>
        <v>LONG LINK PLATES FOR R 25</v>
      </c>
      <c r="C334" s="4">
        <v>311.70000000000005</v>
      </c>
      <c r="D334" s="10">
        <v>171.68436000000003</v>
      </c>
    </row>
    <row r="335" spans="1:4" x14ac:dyDescent="0.25">
      <c r="A335" s="2" t="str">
        <f>"P155211"</f>
        <v>P155211</v>
      </c>
      <c r="B335" s="2" t="str">
        <f>"LONG LINK PLATES FOR B29"</f>
        <v>LONG LINK PLATES FOR B29</v>
      </c>
      <c r="C335" s="4">
        <v>190.5</v>
      </c>
      <c r="D335" s="10">
        <v>104.92740000000002</v>
      </c>
    </row>
    <row r="336" spans="1:4" x14ac:dyDescent="0.25">
      <c r="A336" s="2" t="str">
        <f>"P250310"</f>
        <v>P250310</v>
      </c>
      <c r="B336" s="2" t="str">
        <f>"SHORT LINK PLATES FOR C290/C320/R25"</f>
        <v>SHORT LINK PLATES FOR C290/C320/R25</v>
      </c>
      <c r="C336" s="4">
        <v>99.199999999999989</v>
      </c>
      <c r="D336" s="10">
        <v>54.639360000000011</v>
      </c>
    </row>
    <row r="337" spans="1:4" x14ac:dyDescent="0.25">
      <c r="A337" s="2" t="str">
        <f>"P250312"</f>
        <v>P250312</v>
      </c>
      <c r="B337" s="2" t="str">
        <f>"LINK PLATES 180MM C290/320 PAIR"</f>
        <v>LINK PLATES 180MM C290/320 PAIR</v>
      </c>
      <c r="C337" s="4">
        <v>196</v>
      </c>
      <c r="D337" s="10">
        <v>107.9568</v>
      </c>
    </row>
    <row r="338" spans="1:4" x14ac:dyDescent="0.25">
      <c r="A338" s="2" t="str">
        <f>"P250313"</f>
        <v>P250313</v>
      </c>
      <c r="B338" s="2" t="str">
        <f>"LONG LINK PLATES C320 PAIR"</f>
        <v>LONG LINK PLATES C320 PAIR</v>
      </c>
      <c r="C338" s="4">
        <v>211.6</v>
      </c>
      <c r="D338" s="10">
        <v>116.54928000000001</v>
      </c>
    </row>
    <row r="339" spans="1:4" x14ac:dyDescent="0.25">
      <c r="A339" s="2" t="str">
        <f>"P253311"</f>
        <v>P253311</v>
      </c>
      <c r="B339" s="2" t="str">
        <f>"MED LKP C340-420-430-R420-430 g&lt;40mm"</f>
        <v>MED LKP C340-420-430-R420-430 g&lt;40mm</v>
      </c>
      <c r="C339" s="4">
        <v>260.60000000000002</v>
      </c>
      <c r="D339" s="10">
        <v>143.53848000000002</v>
      </c>
    </row>
    <row r="340" spans="1:4" x14ac:dyDescent="0.25">
      <c r="A340" s="2" t="str">
        <f>"P253312"</f>
        <v>P253312</v>
      </c>
      <c r="B340" s="2" t="str">
        <f>"LONG LKP C340-420-430-R420-430 g&lt;40mm"</f>
        <v>LONG LKP C340-420-430-R420-430 g&lt;40mm</v>
      </c>
      <c r="C340" s="4">
        <v>280.20000000000005</v>
      </c>
      <c r="D340" s="10">
        <v>154.33416000000005</v>
      </c>
    </row>
    <row r="341" spans="1:4" x14ac:dyDescent="0.25">
      <c r="A341" s="2" t="str">
        <f>"P253322"</f>
        <v>P253322</v>
      </c>
      <c r="B341" s="2" t="str">
        <f>"LONG LINK PLATES + LOCK"</f>
        <v>LONG LINK PLATES + LOCK</v>
      </c>
      <c r="C341" s="4">
        <v>249</v>
      </c>
      <c r="D341" s="10">
        <v>137.14920000000004</v>
      </c>
    </row>
    <row r="342" spans="1:4" x14ac:dyDescent="0.25">
      <c r="A342" s="2" t="str">
        <f>"P265211"</f>
        <v>P265211</v>
      </c>
      <c r="B342" s="2" t="str">
        <f>"MEDIUM LINK PLATES C520/C530/R480"</f>
        <v>MEDIUM LINK PLATES C520/C530/R480</v>
      </c>
      <c r="C342" s="4">
        <v>460.70000000000005</v>
      </c>
      <c r="D342" s="10">
        <v>253.75356000000005</v>
      </c>
    </row>
    <row r="343" spans="1:4" x14ac:dyDescent="0.25">
      <c r="A343" s="2" t="str">
        <f>"P265212"</f>
        <v>P265212</v>
      </c>
      <c r="B343" s="2" t="str">
        <f>"""LONG LINK PLATE C/R480, 520 &amp; 530"""</f>
        <v>"LONG LINK PLATE C/R480, 520 &amp; 530"</v>
      </c>
      <c r="C343" s="4">
        <v>530.70000000000005</v>
      </c>
      <c r="D343" s="10">
        <v>292.30956000000003</v>
      </c>
    </row>
    <row r="344" spans="1:4" x14ac:dyDescent="0.25">
      <c r="A344" s="2" t="str">
        <f>"01965"</f>
        <v>01965</v>
      </c>
      <c r="B344" s="2" t="str">
        <f>"SS HOLED PLATE FOR 42 SWIVEL"</f>
        <v>SS HOLED PLATE FOR 42 SWIVEL</v>
      </c>
      <c r="C344" s="4">
        <v>89.199999999999989</v>
      </c>
      <c r="D344" s="10">
        <v>49.131360000000001</v>
      </c>
    </row>
    <row r="345" spans="1:4" x14ac:dyDescent="0.25">
      <c r="A345" s="2" t="str">
        <f>"02019"</f>
        <v>02019</v>
      </c>
      <c r="B345" s="2" t="str">
        <f>"SS HOLED PLATE FOR 32 SWIVEL"</f>
        <v>SS HOLED PLATE FOR 32 SWIVEL</v>
      </c>
      <c r="C345" s="4">
        <v>81.199999999999989</v>
      </c>
      <c r="D345" s="10">
        <v>44.724959999999996</v>
      </c>
    </row>
    <row r="346" spans="1:4" x14ac:dyDescent="0.25">
      <c r="A346" s="2" t="str">
        <f>"02145"</f>
        <v>02145</v>
      </c>
      <c r="B346" s="2" t="str">
        <f>"SS HOLED PLATE FOR 52 SWIVEL MODELS"</f>
        <v>SS HOLED PLATE FOR 52 SWIVEL MODELS</v>
      </c>
      <c r="C346" s="4">
        <v>156.9</v>
      </c>
      <c r="D346" s="10">
        <v>86.42052000000001</v>
      </c>
    </row>
    <row r="347" spans="1:4" x14ac:dyDescent="0.25">
      <c r="A347" s="2" t="str">
        <f>"05801"</f>
        <v>05801</v>
      </c>
      <c r="B347" s="2" t="str">
        <f>"SS HOLED PLATE FOR R25"</f>
        <v>SS HOLED PLATE FOR R25</v>
      </c>
      <c r="C347" s="4">
        <v>40.800000000000004</v>
      </c>
      <c r="D347" s="10">
        <v>22.472640000000002</v>
      </c>
    </row>
    <row r="348" spans="1:4" x14ac:dyDescent="0.25">
      <c r="A348" s="2" t="str">
        <f>"01313"</f>
        <v>01313</v>
      </c>
      <c r="B348" s="2" t="str">
        <f>"PROFURL NEWLINE TACK SHACKLE"</f>
        <v>PROFURL NEWLINE TACK SHACKLE</v>
      </c>
      <c r="C348" s="4">
        <v>23.5</v>
      </c>
      <c r="D348" s="10">
        <v>12.943800000000001</v>
      </c>
    </row>
    <row r="349" spans="1:4" x14ac:dyDescent="0.25">
      <c r="A349" s="2" t="str">
        <f>"01314"</f>
        <v>01314</v>
      </c>
      <c r="B349" s="2" t="str">
        <f>"PROFURL NEWLINE TACK SHACKLE"</f>
        <v>PROFURL NEWLINE TACK SHACKLE</v>
      </c>
      <c r="C349" s="4">
        <v>32.200000000000003</v>
      </c>
      <c r="D349" s="10">
        <v>17.735760000000006</v>
      </c>
    </row>
    <row r="350" spans="1:4" x14ac:dyDescent="0.25">
      <c r="A350" s="2" t="str">
        <f>"50020"</f>
        <v>50020</v>
      </c>
      <c r="B350" s="2" t="str">
        <f>"EC4000 LOWER MECHANISM SHACKLE"</f>
        <v>EC4000 LOWER MECHANISM SHACKLE</v>
      </c>
      <c r="C350" s="4">
        <v>118.3</v>
      </c>
      <c r="D350" s="10">
        <v>65.15964000000001</v>
      </c>
    </row>
    <row r="351" spans="1:4" x14ac:dyDescent="0.25">
      <c r="A351" s="2" t="str">
        <f>"50111"</f>
        <v>50111</v>
      </c>
      <c r="B351" s="2" t="str">
        <f>"8MM SHACKLE B35"</f>
        <v>8MM SHACKLE B35</v>
      </c>
      <c r="C351" s="4">
        <v>43.6</v>
      </c>
      <c r="D351" s="10">
        <v>24.014880000000002</v>
      </c>
    </row>
    <row r="352" spans="1:4" x14ac:dyDescent="0.25">
      <c r="A352" s="2" t="str">
        <f>"50120"</f>
        <v>50120</v>
      </c>
      <c r="B352" s="2" t="str">
        <f>"6MM SHACKLE FOR B29"</f>
        <v>6MM SHACKLE FOR B29</v>
      </c>
      <c r="C352" s="4">
        <v>29.700000000000003</v>
      </c>
      <c r="D352" s="10">
        <v>16.358760000000004</v>
      </c>
    </row>
    <row r="353" spans="1:4" x14ac:dyDescent="0.25">
      <c r="A353" s="2" t="str">
        <f>"50154"</f>
        <v>50154</v>
      </c>
      <c r="B353" s="2" t="str">
        <f>"8MM SHACKLE FOR EC1500"</f>
        <v>8MM SHACKLE FOR EC1500</v>
      </c>
      <c r="C353" s="4">
        <v>62.4</v>
      </c>
      <c r="D353" s="10">
        <v>34.36992</v>
      </c>
    </row>
    <row r="354" spans="1:4" x14ac:dyDescent="0.25">
      <c r="A354" s="2" t="str">
        <f>"P250080"</f>
        <v>P250080</v>
      </c>
      <c r="B354" s="2" t="str">
        <f>"SWIVEL ATTACHMENT R350"</f>
        <v>SWIVEL ATTACHMENT R350</v>
      </c>
      <c r="C354" s="4">
        <v>147.69999999999999</v>
      </c>
      <c r="D354" s="10">
        <v>81.353160000000003</v>
      </c>
    </row>
    <row r="355" spans="1:4" x14ac:dyDescent="0.25">
      <c r="A355" s="2" t="str">
        <f>"P253080"</f>
        <v>P253080</v>
      </c>
      <c r="B355" s="2" t="str">
        <f>"SWIV.ATT.C420/R420"</f>
        <v>SWIV.ATT.C420/R420</v>
      </c>
      <c r="C355" s="4">
        <v>184.7</v>
      </c>
      <c r="D355" s="10">
        <v>101.73276</v>
      </c>
    </row>
    <row r="356" spans="1:4" x14ac:dyDescent="0.25">
      <c r="A356" s="2" t="str">
        <f>"P256080"</f>
        <v>P256080</v>
      </c>
      <c r="B356" s="2" t="str">
        <f>"SWIVEL ATTACHMENT R420/C420 R430/C430"</f>
        <v>SWIVEL ATTACHMENT R420/C420 R430/C430</v>
      </c>
      <c r="C356" s="4">
        <v>275.20000000000005</v>
      </c>
      <c r="D356" s="10">
        <v>151.58016000000003</v>
      </c>
    </row>
    <row r="357" spans="1:4" x14ac:dyDescent="0.25">
      <c r="A357" s="2" t="str">
        <f>"P260080"</f>
        <v>P260080</v>
      </c>
      <c r="B357" s="2" t="str">
        <f>"SWIVEL ATTACHMENT R480/C520"</f>
        <v>SWIVEL ATTACHMENT R480/C520</v>
      </c>
      <c r="C357" s="4">
        <v>187.9</v>
      </c>
      <c r="D357" s="10">
        <v>103.49532000000002</v>
      </c>
    </row>
    <row r="358" spans="1:4" x14ac:dyDescent="0.25">
      <c r="A358" s="2" t="str">
        <f>"01312"</f>
        <v>01312</v>
      </c>
      <c r="B358" s="2" t="str">
        <f>"PROFURL NEWLINE TACK SHACKLE"</f>
        <v>PROFURL NEWLINE TACK SHACKLE</v>
      </c>
      <c r="C358" s="4">
        <v>22.900000000000002</v>
      </c>
      <c r="D358" s="10">
        <v>12.613320000000003</v>
      </c>
    </row>
    <row r="359" spans="1:4" x14ac:dyDescent="0.25">
      <c r="A359" s="2" t="str">
        <f>"50714"</f>
        <v>50714</v>
      </c>
      <c r="B359" s="2" t="str">
        <f>"STAINLESS STEEL TUBE FOR NDEC &amp; NDE"</f>
        <v>STAINLESS STEEL TUBE FOR NDEC &amp; NDE</v>
      </c>
      <c r="C359" s="4">
        <v>1074.3</v>
      </c>
      <c r="D359" s="10">
        <v>591.72443999999996</v>
      </c>
    </row>
    <row r="360" spans="1:4" x14ac:dyDescent="0.25">
      <c r="A360" s="2" t="str">
        <f>"50935"</f>
        <v>50935</v>
      </c>
      <c r="B360" s="2" t="str">
        <f>"STAINLESS STEEL TUBE NDEC &amp; NDEH 52"</f>
        <v>STAINLESS STEEL TUBE NDEC &amp; NDEH 52</v>
      </c>
      <c r="C360" s="4">
        <v>1605.8</v>
      </c>
      <c r="D360" s="10">
        <v>884.47464000000002</v>
      </c>
    </row>
    <row r="361" spans="1:4" x14ac:dyDescent="0.25">
      <c r="A361" s="2" t="str">
        <f>"53120"</f>
        <v>53120</v>
      </c>
      <c r="B361" s="2" t="str">
        <f>"STAINLESS STEEL TUBE NDEC &amp; NDEH 52"</f>
        <v>STAINLESS STEEL TUBE NDEC &amp; NDEH 52</v>
      </c>
      <c r="C361" s="4">
        <v>1384.3</v>
      </c>
      <c r="D361" s="10">
        <v>762.47244000000012</v>
      </c>
    </row>
    <row r="362" spans="1:4" x14ac:dyDescent="0.25">
      <c r="A362" s="2" t="str">
        <f>"52084"</f>
        <v>52084</v>
      </c>
      <c r="B362" s="2" t="str">
        <f>"VELCRO STRAP FOR NEW LINE SS FEEDER"</f>
        <v>VELCRO STRAP FOR NEW LINE SS FEEDER</v>
      </c>
      <c r="C362" s="4">
        <v>5.6</v>
      </c>
      <c r="D362" s="10">
        <v>3.0844800000000001</v>
      </c>
    </row>
    <row r="363" spans="1:4" x14ac:dyDescent="0.25">
      <c r="A363" s="2" t="str">
        <f>"53091"</f>
        <v>53091</v>
      </c>
      <c r="B363" s="2" t="str">
        <f>"VELCRO STRAP FOR FEEDER 480/520/530"</f>
        <v>VELCRO STRAP FOR FEEDER 480/520/530</v>
      </c>
      <c r="C363" s="4">
        <v>7.1999999999999993</v>
      </c>
      <c r="D363" s="10">
        <v>3.96576</v>
      </c>
    </row>
    <row r="364" spans="1:4" x14ac:dyDescent="0.25">
      <c r="A364" s="2" t="str">
        <f>"P251005"</f>
        <v>P251005</v>
      </c>
      <c r="B364" s="2" t="str">
        <f>"COMPLETE FEEDER &amp; VELCRO STRAP"</f>
        <v>COMPLETE FEEDER &amp; VELCRO STRAP</v>
      </c>
      <c r="C364" s="4">
        <v>139</v>
      </c>
      <c r="D364" s="10">
        <v>76.561200000000014</v>
      </c>
    </row>
    <row r="365" spans="1:4" x14ac:dyDescent="0.25">
      <c r="A365" s="2" t="str">
        <f>"P265005"</f>
        <v>P265005</v>
      </c>
      <c r="B365" s="2" t="str">
        <f>"""FEEDER W/VELCRO FOR 480, 520, 530"""</f>
        <v>"FEEDER W/VELCRO FOR 480, 520, 530"</v>
      </c>
      <c r="C365" s="4">
        <v>162</v>
      </c>
      <c r="D365" s="10">
        <v>89.229600000000005</v>
      </c>
    </row>
    <row r="366" spans="1:4" x14ac:dyDescent="0.25">
      <c r="A366" s="2" t="str">
        <f>"50008"</f>
        <v>50008</v>
      </c>
      <c r="B366" s="2" t="str">
        <f>"FEEDER TYPE 2"</f>
        <v>FEEDER TYPE 2</v>
      </c>
      <c r="C366" s="4">
        <v>258.40000000000003</v>
      </c>
      <c r="D366" s="10">
        <v>142.32672000000005</v>
      </c>
    </row>
    <row r="367" spans="1:4" x14ac:dyDescent="0.25">
      <c r="A367" s="2" t="str">
        <f>"04359"</f>
        <v>04359</v>
      </c>
      <c r="B367" s="2" t="str">
        <f>"EC4000 SWIVEL PIN"</f>
        <v>EC4000 SWIVEL PIN</v>
      </c>
      <c r="C367" s="4">
        <v>81.199999999999989</v>
      </c>
      <c r="D367" s="10">
        <v>44.724959999999996</v>
      </c>
    </row>
    <row r="368" spans="1:4" x14ac:dyDescent="0.25">
      <c r="A368" s="2" t="str">
        <f>"50803"</f>
        <v>50803</v>
      </c>
      <c r="B368" s="2" t="str">
        <f>"AXE ARTICUL.ASSEMBLEE MK1+2"</f>
        <v>AXE ARTICUL.ASSEMBLEE MK1+2</v>
      </c>
      <c r="C368" s="4">
        <v>887.1</v>
      </c>
      <c r="D368" s="10">
        <v>488.61468000000002</v>
      </c>
    </row>
    <row r="369" spans="1:4" x14ac:dyDescent="0.25">
      <c r="A369" s="2" t="str">
        <f>"51417"</f>
        <v>51417</v>
      </c>
      <c r="B369" s="2" t="str">
        <f>"AXE HALEBASASSEMBLE MK3R IND A"</f>
        <v>AXE HALEBASASSEMBLE MK3R IND A</v>
      </c>
      <c r="C369" s="4">
        <v>1040.1999999999998</v>
      </c>
      <c r="D369" s="10">
        <v>572.94215999999994</v>
      </c>
    </row>
    <row r="370" spans="1:4" x14ac:dyDescent="0.25">
      <c r="A370" s="2" t="str">
        <f>"51856"</f>
        <v>51856</v>
      </c>
      <c r="B370" s="2" t="str">
        <f>"REPLACEMENT PINS EC1500"</f>
        <v>REPLACEMENT PINS EC1500</v>
      </c>
      <c r="C370" s="4">
        <v>18.5</v>
      </c>
      <c r="D370" s="10">
        <v>10.189800000000002</v>
      </c>
    </row>
    <row r="371" spans="1:4" x14ac:dyDescent="0.25">
      <c r="A371" s="2" t="str">
        <f>"P144013"</f>
        <v>P144013</v>
      </c>
      <c r="B371" s="2" t="str">
        <f>"AXE DE FIXATION COMPLET EC4000"</f>
        <v>AXE DE FIXATION COMPLET EC4000</v>
      </c>
      <c r="C371" s="4">
        <v>86.5</v>
      </c>
      <c r="D371" s="10">
        <v>47.644200000000012</v>
      </c>
    </row>
    <row r="372" spans="1:4" x14ac:dyDescent="0.25">
      <c r="A372" s="2" t="str">
        <f>"P177017"</f>
        <v>P177017</v>
      </c>
      <c r="B372" s="2" t="str">
        <f>"CLEW SLIDE FOR MK1 &amp; 2"</f>
        <v>CLEW SLIDE FOR MK1 &amp; 2</v>
      </c>
      <c r="C372" s="4">
        <v>52.9</v>
      </c>
      <c r="D372" s="10">
        <v>29.137320000000003</v>
      </c>
    </row>
    <row r="373" spans="1:4" x14ac:dyDescent="0.25">
      <c r="A373" s="2" t="str">
        <f>"P177019"</f>
        <v>P177019</v>
      </c>
      <c r="B373" s="2" t="str">
        <f>"CLEW PIN MK 1 &amp; 2"</f>
        <v>CLEW PIN MK 1 &amp; 2</v>
      </c>
      <c r="C373" s="4">
        <v>172.5</v>
      </c>
      <c r="D373" s="10">
        <v>95.013000000000005</v>
      </c>
    </row>
    <row r="374" spans="1:4" x14ac:dyDescent="0.25">
      <c r="A374" s="2" t="str">
        <f>"P250112"</f>
        <v>P250112</v>
      </c>
      <c r="B374" s="2" t="str">
        <f>"15/32 PIN WITH SS LOCKING DEVICE (12MM)"</f>
        <v>15/32 PIN WITH SS LOCKING DEVICE (12MM)</v>
      </c>
      <c r="C374" s="4">
        <v>231.4</v>
      </c>
      <c r="D374" s="10">
        <v>127.45512000000001</v>
      </c>
    </row>
    <row r="375" spans="1:4" x14ac:dyDescent="0.25">
      <c r="A375" s="2" t="str">
        <f>"P250201"</f>
        <v>P250201</v>
      </c>
      <c r="B375" s="2" t="str">
        <f>"""S/S LOCKING DEVICE FOR C290,320,R250,35"</f>
        <v>"S/S LOCKING DEVICE FOR C290,320,R250,35</v>
      </c>
      <c r="C375" s="4">
        <v>238.1</v>
      </c>
      <c r="D375" s="10">
        <v>131.14548000000002</v>
      </c>
    </row>
    <row r="376" spans="1:4" x14ac:dyDescent="0.25">
      <c r="A376" s="2" t="str">
        <f>"P250213"</f>
        <v>P250213</v>
      </c>
      <c r="B376" s="2" t="str">
        <f>"S/S LOCKING DEVICE for C320"</f>
        <v>S/S LOCKING DEVICE for C320</v>
      </c>
      <c r="C376" s="4">
        <v>418.5</v>
      </c>
      <c r="D376" s="10">
        <v>230.50980000000007</v>
      </c>
    </row>
    <row r="377" spans="1:4" x14ac:dyDescent="0.25">
      <c r="A377" s="2" t="str">
        <f>"P253111"</f>
        <v>P253111</v>
      </c>
      <c r="B377" s="2" t="str">
        <f>"35/64 PIN WITH SS LOCKING DEVICE (14MM)"</f>
        <v>35/64 PIN WITH SS LOCKING DEVICE (14MM)</v>
      </c>
      <c r="C377" s="4">
        <v>266.60000000000002</v>
      </c>
      <c r="D377" s="10">
        <v>146.84328000000002</v>
      </c>
    </row>
    <row r="378" spans="1:4" x14ac:dyDescent="0.25">
      <c r="A378" s="2" t="str">
        <f>"P253112"</f>
        <v>P253112</v>
      </c>
      <c r="B378" s="2" t="str">
        <f>"5/8 PIN WITH SS LOCKING DEVICE (16MM)"</f>
        <v>5/8 PIN WITH SS LOCKING DEVICE (16MM)</v>
      </c>
      <c r="C378" s="4">
        <v>266.60000000000002</v>
      </c>
      <c r="D378" s="10">
        <v>146.84328000000002</v>
      </c>
    </row>
    <row r="379" spans="1:4" x14ac:dyDescent="0.25">
      <c r="A379" s="2" t="str">
        <f>"P253113"</f>
        <v>P253113</v>
      </c>
      <c r="B379" s="2" t="str">
        <f>"18MM PIN WITH S/S LOCKING DEVICE"</f>
        <v>18MM PIN WITH S/S LOCKING DEVICE</v>
      </c>
      <c r="C379" s="4">
        <v>481.5</v>
      </c>
      <c r="D379" s="10">
        <v>265.21019999999999</v>
      </c>
    </row>
    <row r="380" spans="1:4" x14ac:dyDescent="0.25">
      <c r="A380" s="2" t="str">
        <f>"P253114"</f>
        <v>P253114</v>
      </c>
      <c r="B380" s="2" t="str">
        <f>"3/4 PIN WITH SS LOCKING DEVICE (19MM)"</f>
        <v>3/4 PIN WITH SS LOCKING DEVICE (19MM)</v>
      </c>
      <c r="C380" s="4">
        <v>266.60000000000002</v>
      </c>
      <c r="D380" s="10">
        <v>146.84328000000002</v>
      </c>
    </row>
    <row r="381" spans="1:4" x14ac:dyDescent="0.25">
      <c r="A381" s="2" t="str">
        <f>"P253201"</f>
        <v>P253201</v>
      </c>
      <c r="B381" s="2" t="str">
        <f>"""S/S LOCKING DEVICE-C350,420,430,R420,43"</f>
        <v>"S/S LOCKING DEVICE-C350,420,430,R420,43</v>
      </c>
      <c r="C381" s="4">
        <v>266.60000000000002</v>
      </c>
      <c r="D381" s="10">
        <v>146.84328000000002</v>
      </c>
    </row>
    <row r="382" spans="1:4" x14ac:dyDescent="0.25">
      <c r="A382" s="2" t="str">
        <f>"P035222"</f>
        <v>P035222</v>
      </c>
      <c r="B382" s="2" t="str">
        <f>"THREADED CL. PIN 9/16  &amp;NUTS 42"</f>
        <v>THREADED CL. PIN 9/16  &amp;NUTS 42</v>
      </c>
      <c r="C382" s="4">
        <v>105.3</v>
      </c>
      <c r="D382" s="10">
        <v>57.999240000000007</v>
      </c>
    </row>
    <row r="383" spans="1:4" x14ac:dyDescent="0.25">
      <c r="A383" s="2" t="str">
        <f>"P035232"</f>
        <v>P035232</v>
      </c>
      <c r="B383" s="2" t="str">
        <f>"THREADED CL. PIN 5/8   &amp;NUTS 42"</f>
        <v>THREADED CL. PIN 5/8   &amp;NUTS 42</v>
      </c>
      <c r="C383" s="4">
        <v>109.5</v>
      </c>
      <c r="D383" s="10">
        <v>60.31260000000001</v>
      </c>
    </row>
    <row r="384" spans="1:4" x14ac:dyDescent="0.25">
      <c r="A384" s="2" t="str">
        <f>"P035242"</f>
        <v>P035242</v>
      </c>
      <c r="B384" s="2" t="str">
        <f>"THREADED CL. PIN 18MM &amp;NUTS 42"</f>
        <v>THREADED CL. PIN 18MM &amp;NUTS 42</v>
      </c>
      <c r="C384" s="4">
        <v>128.5</v>
      </c>
      <c r="D384" s="10">
        <v>70.777800000000013</v>
      </c>
    </row>
    <row r="385" spans="1:4" x14ac:dyDescent="0.25">
      <c r="A385" s="2" t="str">
        <f>"P035252"</f>
        <v>P035252</v>
      </c>
      <c r="B385" s="2" t="str">
        <f>"THREADED CL. PIN 3/4   &amp;NUTS 42"</f>
        <v>THREADED CL. PIN 3/4   &amp;NUTS 42</v>
      </c>
      <c r="C385" s="4">
        <v>132.9</v>
      </c>
      <c r="D385" s="10">
        <v>73.20132000000001</v>
      </c>
    </row>
    <row r="386" spans="1:4" x14ac:dyDescent="0.25">
      <c r="A386" s="2" t="str">
        <f>"P035262"</f>
        <v>P035262</v>
      </c>
      <c r="B386" s="2" t="str">
        <f>"THREADED CL.PIN 1/2   &amp; NUTS 42"</f>
        <v>THREADED CL.PIN 1/2   &amp; NUTS 42</v>
      </c>
      <c r="C386" s="4">
        <v>101.39999999999999</v>
      </c>
      <c r="D386" s="10">
        <v>55.851120000000002</v>
      </c>
    </row>
    <row r="387" spans="1:4" x14ac:dyDescent="0.25">
      <c r="A387" s="2" t="str">
        <f>"P035282"</f>
        <v>P035282</v>
      </c>
      <c r="B387" s="2" t="str">
        <f>"THREADED CL. PIN 7/8   &amp;NUTS 42"</f>
        <v>THREADED CL. PIN 7/8   &amp;NUTS 42</v>
      </c>
      <c r="C387" s="4">
        <v>136.1</v>
      </c>
      <c r="D387" s="10">
        <v>74.963880000000003</v>
      </c>
    </row>
    <row r="388" spans="1:4" x14ac:dyDescent="0.25">
      <c r="A388" s="2" t="str">
        <f>"P039212"</f>
        <v>P039212</v>
      </c>
      <c r="B388" s="2" t="str">
        <f>"THREADED CLEVIS PIN -32 10MM"</f>
        <v>THREADED CLEVIS PIN -32 10MM</v>
      </c>
      <c r="C388" s="4">
        <v>9.6999999999999993</v>
      </c>
      <c r="D388" s="10">
        <v>5.3427600000000002</v>
      </c>
    </row>
    <row r="389" spans="1:4" x14ac:dyDescent="0.25">
      <c r="A389" s="2" t="str">
        <f>"P039222"</f>
        <v>P039222</v>
      </c>
      <c r="B389" s="2" t="str">
        <f>"THREADED CL. PIN 3/8   &amp;NUTS 31"</f>
        <v>THREADED CL. PIN 3/8   &amp;NUTS 31</v>
      </c>
      <c r="C389" s="4">
        <v>79.199999999999989</v>
      </c>
      <c r="D389" s="10">
        <v>43.623359999999998</v>
      </c>
    </row>
    <row r="390" spans="1:4" x14ac:dyDescent="0.25">
      <c r="A390" s="2" t="str">
        <f>"P039232"</f>
        <v>P039232</v>
      </c>
      <c r="B390" s="2" t="str">
        <f>"THREADED PIN 12MM(1/2) &amp; NUTS 32"</f>
        <v>THREADED PIN 12MM(1/2) &amp; NUTS 32</v>
      </c>
      <c r="C390" s="4">
        <v>79.199999999999989</v>
      </c>
      <c r="D390" s="10">
        <v>43.623359999999998</v>
      </c>
    </row>
    <row r="391" spans="1:4" x14ac:dyDescent="0.25">
      <c r="A391" s="2" t="str">
        <f>"P039242"</f>
        <v>P039242</v>
      </c>
      <c r="B391" s="2" t="str">
        <f>"THREADED CL. PIN 1/2   &amp;NUTS 31"</f>
        <v>THREADED CL. PIN 1/2   &amp;NUTS 31</v>
      </c>
      <c r="C391" s="4">
        <v>94.399999999999991</v>
      </c>
      <c r="D391" s="10">
        <v>51.995519999999999</v>
      </c>
    </row>
    <row r="392" spans="1:4" x14ac:dyDescent="0.25">
      <c r="A392" s="2" t="str">
        <f>"P039252"</f>
        <v>P039252</v>
      </c>
      <c r="B392" s="2" t="str">
        <f>"THREADED CL. PIN 9/16  &amp;NUTS 31"</f>
        <v>THREADED CL. PIN 9/16  &amp;NUTS 31</v>
      </c>
      <c r="C392" s="4">
        <v>105.3</v>
      </c>
      <c r="D392" s="10">
        <v>57.999240000000007</v>
      </c>
    </row>
    <row r="393" spans="1:4" x14ac:dyDescent="0.25">
      <c r="A393" s="2" t="str">
        <f>"P039282"</f>
        <v>P039282</v>
      </c>
      <c r="B393" s="2" t="str">
        <f>"THREADED CL. PIN 5/8   &amp;NUTS 31"</f>
        <v>THREADED CL. PIN 5/8   &amp;NUTS 31</v>
      </c>
      <c r="C393" s="4">
        <v>109.5</v>
      </c>
      <c r="D393" s="10">
        <v>60.31260000000001</v>
      </c>
    </row>
    <row r="394" spans="1:4" x14ac:dyDescent="0.25">
      <c r="A394" s="2" t="str">
        <f>"P042222"</f>
        <v>P042222</v>
      </c>
      <c r="B394" s="2" t="str">
        <f>"THREADED CL. PIN 18MM &amp;NUTS 52"</f>
        <v>THREADED CL. PIN 18MM &amp;NUTS 52</v>
      </c>
      <c r="C394" s="4">
        <v>132.9</v>
      </c>
      <c r="D394" s="10">
        <v>73.20132000000001</v>
      </c>
    </row>
    <row r="395" spans="1:4" x14ac:dyDescent="0.25">
      <c r="A395" s="2" t="str">
        <f>"P042232"</f>
        <v>P042232</v>
      </c>
      <c r="B395" s="2" t="str">
        <f>"THREADED CL. PIN 3/4   &amp;NUTS 52"</f>
        <v>THREADED CL. PIN 3/4   &amp;NUTS 52</v>
      </c>
      <c r="C395" s="4">
        <v>142.5</v>
      </c>
      <c r="D395" s="10">
        <v>78.489000000000004</v>
      </c>
    </row>
    <row r="396" spans="1:4" x14ac:dyDescent="0.25">
      <c r="A396" s="2" t="str">
        <f>"P042242"</f>
        <v>P042242</v>
      </c>
      <c r="B396" s="2" t="str">
        <f>"THREADED CL. PIN 7/8   &amp;NUTS 52"</f>
        <v>THREADED CL. PIN 7/8   &amp;NUTS 52</v>
      </c>
      <c r="C396" s="4">
        <v>151.79999999999998</v>
      </c>
      <c r="D396" s="10">
        <v>83.611439999999988</v>
      </c>
    </row>
    <row r="397" spans="1:4" x14ac:dyDescent="0.25">
      <c r="A397" s="2" t="str">
        <f>"P139212"</f>
        <v>P139212</v>
      </c>
      <c r="B397" s="2" t="str">
        <f>"THREADED CL.PIN(5/16)+NUTS R25"</f>
        <v>THREADED CL.PIN(5/16)+NUTS R25</v>
      </c>
      <c r="C397" s="4">
        <v>71.099999999999994</v>
      </c>
      <c r="D397" s="10">
        <v>39.161879999999996</v>
      </c>
    </row>
    <row r="398" spans="1:4" x14ac:dyDescent="0.25">
      <c r="A398" s="2" t="str">
        <f>"P139222"</f>
        <v>P139222</v>
      </c>
      <c r="B398" s="2" t="str">
        <f>"THREADED CL.PIN 3/8  &amp;NUTS R25"</f>
        <v>THREADED CL.PIN 3/8  &amp;NUTS R25</v>
      </c>
      <c r="C398" s="4">
        <v>68</v>
      </c>
      <c r="D398" s="10">
        <v>37.4544</v>
      </c>
    </row>
    <row r="399" spans="1:4" x14ac:dyDescent="0.25">
      <c r="A399" s="2" t="str">
        <f>"P139232"</f>
        <v>P139232</v>
      </c>
      <c r="B399" s="2" t="str">
        <f>"THREADED CL.PIN7/16  +NUTS R25"</f>
        <v>THREADED CL.PIN7/16  +NUTS R25</v>
      </c>
      <c r="C399" s="4">
        <v>68</v>
      </c>
      <c r="D399" s="10">
        <v>37.4544</v>
      </c>
    </row>
    <row r="400" spans="1:4" x14ac:dyDescent="0.25">
      <c r="A400" s="2" t="str">
        <f>"P139242"</f>
        <v>P139242</v>
      </c>
      <c r="B400" s="2" t="str">
        <f>"THREADED CL.PIN 12MM+NUTS R25"</f>
        <v>THREADED CL.PIN 12MM+NUTS R25</v>
      </c>
      <c r="C400" s="4">
        <v>68</v>
      </c>
      <c r="D400" s="10">
        <v>37.4544</v>
      </c>
    </row>
    <row r="401" spans="1:4" x14ac:dyDescent="0.25">
      <c r="A401" s="2" t="str">
        <f>"P139252"</f>
        <v>P139252</v>
      </c>
      <c r="B401" s="2" t="str">
        <f>"THREADED CL.PIN 1/2  +NUTS R25"</f>
        <v>THREADED CL.PIN 1/2  +NUTS R25</v>
      </c>
      <c r="C401" s="4">
        <v>96.899999999999991</v>
      </c>
      <c r="D401" s="10">
        <v>53.372520000000002</v>
      </c>
    </row>
    <row r="402" spans="1:4" x14ac:dyDescent="0.25">
      <c r="A402" s="2" t="str">
        <f>"P193232"</f>
        <v>P193232</v>
      </c>
      <c r="B402" s="2" t="str">
        <f>"THREAD.CL. PIN 3/4 &amp;NUTS NDE52"</f>
        <v>THREAD.CL. PIN 3/4 &amp;NUTS NDE52</v>
      </c>
      <c r="C402" s="4">
        <v>236.4</v>
      </c>
      <c r="D402" s="10">
        <v>130.20912000000001</v>
      </c>
    </row>
    <row r="403" spans="1:4" x14ac:dyDescent="0.25">
      <c r="A403" s="2" t="str">
        <f>"P250511"</f>
        <v>P250511</v>
      </c>
      <c r="B403" s="2" t="str">
        <f>"5/16 THREADED CLEVIS PIN (8MM) COASTAL"</f>
        <v>5/16 THREADED CLEVIS PIN (8MM) COASTAL</v>
      </c>
      <c r="C403" s="4">
        <v>93.899999999999991</v>
      </c>
      <c r="D403" s="10">
        <v>51.720120000000001</v>
      </c>
    </row>
    <row r="404" spans="1:4" x14ac:dyDescent="0.25">
      <c r="A404" s="2" t="str">
        <f>"P250512"</f>
        <v>P250512</v>
      </c>
      <c r="B404" s="2" t="str">
        <f>"3/8 THREADED CLEVIS PIN (10MM) COASTAL"</f>
        <v>3/8 THREADED CLEVIS PIN (10MM) COASTAL</v>
      </c>
      <c r="C404" s="4">
        <v>91.199999999999989</v>
      </c>
      <c r="D404" s="10">
        <v>50.232959999999999</v>
      </c>
    </row>
    <row r="405" spans="1:4" x14ac:dyDescent="0.25">
      <c r="A405" s="2" t="str">
        <f>"P250514"</f>
        <v>P250514</v>
      </c>
      <c r="B405" s="2" t="str">
        <f>"15-32 THREADED CLEVIS PIN (12MM) COASTAL"</f>
        <v>15-32 THREADED CLEVIS PIN (12MM) COASTAL</v>
      </c>
      <c r="C405" s="4">
        <v>87.6</v>
      </c>
      <c r="D405" s="10">
        <v>48.250079999999997</v>
      </c>
    </row>
    <row r="406" spans="1:4" x14ac:dyDescent="0.25">
      <c r="A406" s="2" t="str">
        <f>"P250516"</f>
        <v>P250516</v>
      </c>
      <c r="B406" s="2" t="str">
        <f>"35/64 THREADED CLEVIS (14MM)"</f>
        <v>35/64 THREADED CLEVIS (14MM)</v>
      </c>
      <c r="C406" s="4">
        <v>96.699999999999989</v>
      </c>
      <c r="D406" s="10">
        <v>53.262360000000001</v>
      </c>
    </row>
    <row r="407" spans="1:4" x14ac:dyDescent="0.25">
      <c r="A407" s="2" t="str">
        <f>"P250517"</f>
        <v>P250517</v>
      </c>
      <c r="B407" s="2" t="str">
        <f>"5/8 THREADED CLEVIS PIN (16MM)"</f>
        <v>5/8 THREADED CLEVIS PIN (16MM)</v>
      </c>
      <c r="C407" s="4">
        <v>101</v>
      </c>
      <c r="D407" s="10">
        <v>55.630800000000008</v>
      </c>
    </row>
    <row r="408" spans="1:4" x14ac:dyDescent="0.25">
      <c r="A408" s="2" t="str">
        <f>"P253511"</f>
        <v>P253511</v>
      </c>
      <c r="B408" s="2" t="str">
        <f>"15/32 THREADED CL PIN (12MM)"</f>
        <v>15/32 THREADED CL PIN (12MM)</v>
      </c>
      <c r="C408" s="4">
        <v>113.69999999999999</v>
      </c>
      <c r="D408" s="10">
        <v>62.625960000000006</v>
      </c>
    </row>
    <row r="409" spans="1:4" x14ac:dyDescent="0.25">
      <c r="A409" s="2" t="str">
        <f>"P253513"</f>
        <v>P253513</v>
      </c>
      <c r="B409" s="2" t="str">
        <f>"35/64 THREADED CLEVIS PIN (14MM)"</f>
        <v>35/64 THREADED CLEVIS PIN (14MM)</v>
      </c>
      <c r="C409" s="4">
        <v>113.69999999999999</v>
      </c>
      <c r="D409" s="10">
        <v>62.625960000000006</v>
      </c>
    </row>
    <row r="410" spans="1:4" x14ac:dyDescent="0.25">
      <c r="A410" s="2" t="str">
        <f>"P253514"</f>
        <v>P253514</v>
      </c>
      <c r="B410" s="2" t="str">
        <f>"5/8 THREADED CLEVIS PIN (16MM)"</f>
        <v>5/8 THREADED CLEVIS PIN (16MM)</v>
      </c>
      <c r="C410" s="4">
        <v>113.69999999999999</v>
      </c>
      <c r="D410" s="10">
        <v>62.625960000000006</v>
      </c>
    </row>
    <row r="411" spans="1:4" x14ac:dyDescent="0.25">
      <c r="A411" s="2" t="str">
        <f>"P253516"</f>
        <v>P253516</v>
      </c>
      <c r="B411" s="2" t="str">
        <f>"3/4 THREADED CLEVIS PIN (19MM)"</f>
        <v>3/4 THREADED CLEVIS PIN (19MM)</v>
      </c>
      <c r="C411" s="4">
        <v>128</v>
      </c>
      <c r="D411" s="10">
        <v>70.502400000000009</v>
      </c>
    </row>
    <row r="412" spans="1:4" x14ac:dyDescent="0.25">
      <c r="A412" s="2" t="str">
        <f>"P253517"</f>
        <v>P253517</v>
      </c>
      <c r="B412" s="2" t="str">
        <f>"55/64 THREADED CLEVIS PIN (22MM)"</f>
        <v>55/64 THREADED CLEVIS PIN (22MM)</v>
      </c>
      <c r="C412" s="4">
        <v>143.9</v>
      </c>
      <c r="D412" s="10">
        <v>79.260120000000001</v>
      </c>
    </row>
    <row r="413" spans="1:4" x14ac:dyDescent="0.25">
      <c r="A413" s="2" t="str">
        <f>"P253521"</f>
        <v>P253521</v>
      </c>
      <c r="B413" s="2" t="str">
        <f>"5/8 THREADED CLEVIS PIN (16MM)"</f>
        <v>5/8 THREADED CLEVIS PIN (16MM)</v>
      </c>
      <c r="C413" s="4">
        <v>113.69999999999999</v>
      </c>
      <c r="D413" s="10">
        <v>62.625960000000006</v>
      </c>
    </row>
    <row r="414" spans="1:4" x14ac:dyDescent="0.25">
      <c r="A414" s="2" t="str">
        <f>"P253523"</f>
        <v>P253523</v>
      </c>
      <c r="B414" s="2" t="str">
        <f>"3/4 THREADED CLEVIS PIN (19MM)"</f>
        <v>3/4 THREADED CLEVIS PIN (19MM)</v>
      </c>
      <c r="C414" s="4">
        <v>130.79999999999998</v>
      </c>
      <c r="D414" s="10">
        <v>72.044640000000001</v>
      </c>
    </row>
    <row r="415" spans="1:4" x14ac:dyDescent="0.25">
      <c r="A415" s="2" t="str">
        <f>"P253524"</f>
        <v>P253524</v>
      </c>
      <c r="B415" s="2" t="str">
        <f>"55/64 THREADED CLEVIS PIN (22MM)"</f>
        <v>55/64 THREADED CLEVIS PIN (22MM)</v>
      </c>
      <c r="C415" s="4">
        <v>149.4</v>
      </c>
      <c r="D415" s="10">
        <v>82.28952000000001</v>
      </c>
    </row>
    <row r="416" spans="1:4" x14ac:dyDescent="0.25">
      <c r="A416" s="2" t="str">
        <f>"P253525"</f>
        <v>P253525</v>
      </c>
      <c r="B416" s="2" t="str">
        <f>"63/64 THREADED CLEVIS PIN (25MM)"</f>
        <v>63/64 THREADED CLEVIS PIN (25MM)</v>
      </c>
      <c r="C416" s="4">
        <v>155.69999999999999</v>
      </c>
      <c r="D416" s="10">
        <v>85.759560000000008</v>
      </c>
    </row>
    <row r="417" spans="1:4" x14ac:dyDescent="0.25">
      <c r="A417" s="2" t="str">
        <f>"P265311"</f>
        <v>P265311</v>
      </c>
      <c r="B417" s="2" t="str">
        <f>"THREADED CLEVIS PIN D16"</f>
        <v>THREADED CLEVIS PIN D16</v>
      </c>
      <c r="C417" s="4">
        <v>109.3</v>
      </c>
      <c r="D417" s="10">
        <v>60.202439999999996</v>
      </c>
    </row>
    <row r="418" spans="1:4" x14ac:dyDescent="0.25">
      <c r="A418" s="2" t="str">
        <f>"P265312"</f>
        <v>P265312</v>
      </c>
      <c r="B418" s="2" t="str">
        <f>"THREADED CLEVIS PIN D18"</f>
        <v>THREADED CLEVIS PIN D18</v>
      </c>
      <c r="C418" s="4">
        <v>109.3</v>
      </c>
      <c r="D418" s="10">
        <v>60.202439999999996</v>
      </c>
    </row>
    <row r="419" spans="1:4" x14ac:dyDescent="0.25">
      <c r="A419" s="2" t="str">
        <f>"P265313"</f>
        <v>P265313</v>
      </c>
      <c r="B419" s="2" t="str">
        <f>"""THREADED CL. PIN 3/4   &amp;NUTS C520,"""</f>
        <v>"THREADED CL. PIN 3/4   &amp;NUTS C520,"</v>
      </c>
      <c r="C419" s="4">
        <v>130.79999999999998</v>
      </c>
      <c r="D419" s="10">
        <v>72.044640000000001</v>
      </c>
    </row>
    <row r="420" spans="1:4" x14ac:dyDescent="0.25">
      <c r="A420" s="2" t="str">
        <f>"P265314"</f>
        <v>P265314</v>
      </c>
      <c r="B420" s="2" t="str">
        <f>"PIN D22 THREADED"</f>
        <v>PIN D22 THREADED</v>
      </c>
      <c r="C420" s="4">
        <v>109.3</v>
      </c>
      <c r="D420" s="10">
        <v>60.202439999999996</v>
      </c>
    </row>
    <row r="421" spans="1:4" x14ac:dyDescent="0.25">
      <c r="A421" s="2" t="str">
        <f>"P265315"</f>
        <v>P265315</v>
      </c>
      <c r="B421" s="2" t="str">
        <f>"THREADED CLEVIS PIN D25"</f>
        <v>THREADED CLEVIS PIN D25</v>
      </c>
      <c r="C421" s="4">
        <v>109.3</v>
      </c>
      <c r="D421" s="10">
        <v>60.202439999999996</v>
      </c>
    </row>
    <row r="422" spans="1:4" x14ac:dyDescent="0.25">
      <c r="A422" s="2" t="str">
        <f>"P265316"</f>
        <v>P265316</v>
      </c>
      <c r="B422" s="2" t="str">
        <f>"THREADED CLEVIS PIN D31.5"</f>
        <v>THREADED CLEVIS PIN D31.5</v>
      </c>
      <c r="C422" s="4">
        <v>109.3</v>
      </c>
      <c r="D422" s="10">
        <v>60.202439999999996</v>
      </c>
    </row>
    <row r="423" spans="1:4" x14ac:dyDescent="0.25">
      <c r="A423" s="2" t="str">
        <f>"P265411"</f>
        <v>P265411</v>
      </c>
      <c r="B423" s="2" t="str">
        <f>"THREADED CLEVIS PIN D28"</f>
        <v>THREADED CLEVIS PIN D28</v>
      </c>
      <c r="C423" s="4">
        <v>109.3</v>
      </c>
      <c r="D423" s="10">
        <v>60.202439999999996</v>
      </c>
    </row>
    <row r="424" spans="1:4" x14ac:dyDescent="0.25">
      <c r="A424" s="2" t="str">
        <f>"02039"</f>
        <v>02039</v>
      </c>
      <c r="B424" s="2" t="str">
        <f>"CLEVIS PIN 9/16   (14MM)     42"</f>
        <v>CLEVIS PIN 9/16   (14MM)     42</v>
      </c>
      <c r="C424" s="4">
        <v>78.099999999999994</v>
      </c>
      <c r="D424" s="10">
        <v>43.017479999999999</v>
      </c>
    </row>
    <row r="425" spans="1:4" x14ac:dyDescent="0.25">
      <c r="A425" s="2" t="str">
        <f>"02040"</f>
        <v>02040</v>
      </c>
      <c r="B425" s="2" t="str">
        <f>"16MM (5/8) SMOOTH CLEVIS PIN FOR 35"</f>
        <v>16MM (5/8) SMOOTH CLEVIS PIN FOR 35</v>
      </c>
      <c r="C425" s="4">
        <v>82.6</v>
      </c>
      <c r="D425" s="10">
        <v>45.496079999999999</v>
      </c>
    </row>
    <row r="426" spans="1:4" x14ac:dyDescent="0.25">
      <c r="A426" s="2" t="str">
        <f>"02041"</f>
        <v>02041</v>
      </c>
      <c r="B426" s="2" t="str">
        <f>"18MM SMOOTH CLEVIS PIN 35 &amp; 42"</f>
        <v>18MM SMOOTH CLEVIS PIN 35 &amp; 42</v>
      </c>
      <c r="C426" s="4">
        <v>94.1</v>
      </c>
      <c r="D426" s="10">
        <v>51.830280000000002</v>
      </c>
    </row>
    <row r="427" spans="1:4" x14ac:dyDescent="0.25">
      <c r="A427" s="2" t="str">
        <f>"02042"</f>
        <v>02042</v>
      </c>
      <c r="B427" s="2" t="str">
        <f>"CLEVIS PIN 3/4   (19MM)      42"</f>
        <v>CLEVIS PIN 3/4   (19MM)      42</v>
      </c>
      <c r="C427" s="4">
        <v>103</v>
      </c>
      <c r="D427" s="10">
        <v>56.732400000000005</v>
      </c>
    </row>
    <row r="428" spans="1:4" x14ac:dyDescent="0.25">
      <c r="A428" s="2" t="str">
        <f>"02044"</f>
        <v>02044</v>
      </c>
      <c r="B428" s="2" t="str">
        <f>"25MM (1) SMOOTH CLEVIS PIN FOR 42 M"</f>
        <v>25MM (1) SMOOTH CLEVIS PIN FOR 42 M</v>
      </c>
      <c r="C428" s="4">
        <v>47.2</v>
      </c>
      <c r="D428" s="10">
        <v>25.997760000000007</v>
      </c>
    </row>
    <row r="429" spans="1:4" x14ac:dyDescent="0.25">
      <c r="A429" s="2" t="str">
        <f>"02073"</f>
        <v>02073</v>
      </c>
      <c r="B429" s="2" t="str">
        <f>"CLEVIS PIN 1/2   (12MM)   B35 SMOOTH"</f>
        <v>CLEVIS PIN 1/2   (12MM)   B35 SMOOTH</v>
      </c>
      <c r="C429" s="4">
        <v>67.3</v>
      </c>
      <c r="D429" s="10">
        <v>37.068840000000002</v>
      </c>
    </row>
    <row r="430" spans="1:4" x14ac:dyDescent="0.25">
      <c r="A430" s="2" t="str">
        <f>"02080"</f>
        <v>02080</v>
      </c>
      <c r="B430" s="2" t="str">
        <f>"CLEVIS PIN 5/16   (8MM)      31"</f>
        <v>CLEVIS PIN 5/16   (8MM)      31</v>
      </c>
      <c r="C430" s="4">
        <v>45.5</v>
      </c>
      <c r="D430" s="10">
        <v>25.061399999999999</v>
      </c>
    </row>
    <row r="431" spans="1:4" x14ac:dyDescent="0.25">
      <c r="A431" s="2" t="str">
        <f>"02081"</f>
        <v>02081</v>
      </c>
      <c r="B431" s="2" t="str">
        <f>"CLEVIS PIN 3/8   (10MM)      31"</f>
        <v>CLEVIS PIN 3/8   (10MM)      31</v>
      </c>
      <c r="C431" s="4">
        <v>58.9</v>
      </c>
      <c r="D431" s="10">
        <v>32.442119999999996</v>
      </c>
    </row>
    <row r="432" spans="1:4" x14ac:dyDescent="0.25">
      <c r="A432" s="2" t="str">
        <f>"02083"</f>
        <v>02083</v>
      </c>
      <c r="B432" s="2" t="str">
        <f>"CLEVIS PIN 7/16   (11MM)     31"</f>
        <v>CLEVIS PIN 7/16   (11MM)     31</v>
      </c>
      <c r="C432" s="4">
        <v>67.3</v>
      </c>
      <c r="D432" s="10">
        <v>37.068840000000002</v>
      </c>
    </row>
    <row r="433" spans="1:4" x14ac:dyDescent="0.25">
      <c r="A433" s="2" t="str">
        <f>"02084"</f>
        <v>02084</v>
      </c>
      <c r="B433" s="2" t="str">
        <f>"CLEVIS PIN 1/2   (12MM)      31"</f>
        <v>CLEVIS PIN 1/2   (12MM)      31</v>
      </c>
      <c r="C433" s="4">
        <v>67.3</v>
      </c>
      <c r="D433" s="10">
        <v>37.068840000000002</v>
      </c>
    </row>
    <row r="434" spans="1:4" x14ac:dyDescent="0.25">
      <c r="A434" s="2" t="str">
        <f>"02086"</f>
        <v>02086</v>
      </c>
      <c r="B434" s="2" t="str">
        <f>"CLEVIS PIN 9/16   (14MM)     31"</f>
        <v>CLEVIS PIN 9/16   (14MM)     31</v>
      </c>
      <c r="C434" s="4">
        <v>78.099999999999994</v>
      </c>
      <c r="D434" s="10">
        <v>43.017479999999999</v>
      </c>
    </row>
    <row r="435" spans="1:4" x14ac:dyDescent="0.25">
      <c r="A435" s="2" t="str">
        <f>"02182"</f>
        <v>02182</v>
      </c>
      <c r="B435" s="2" t="str">
        <f>"CLEVIS PIN 5/8               52"</f>
        <v>CLEVIS PIN 5/8               52</v>
      </c>
      <c r="C435" s="4">
        <v>105.3</v>
      </c>
      <c r="D435" s="10">
        <v>57.999240000000007</v>
      </c>
    </row>
    <row r="436" spans="1:4" x14ac:dyDescent="0.25">
      <c r="A436" s="2" t="str">
        <f>"02183"</f>
        <v>02183</v>
      </c>
      <c r="B436" s="2" t="str">
        <f>"18MM SMOOTH CLEVIS PIN FOR 52 MODEL"</f>
        <v>18MM SMOOTH CLEVIS PIN FOR 52 MODEL</v>
      </c>
      <c r="C436" s="4">
        <v>105.3</v>
      </c>
      <c r="D436" s="10">
        <v>57.999240000000007</v>
      </c>
    </row>
    <row r="437" spans="1:4" x14ac:dyDescent="0.25">
      <c r="A437" s="2" t="str">
        <f>"02184"</f>
        <v>02184</v>
      </c>
      <c r="B437" s="2" t="str">
        <f>"CLEVIS PIN 3/4   (19MM)      52"</f>
        <v>CLEVIS PIN 3/4   (19MM)      52</v>
      </c>
      <c r="C437" s="4">
        <v>105.3</v>
      </c>
      <c r="D437" s="10">
        <v>57.999240000000007</v>
      </c>
    </row>
    <row r="438" spans="1:4" x14ac:dyDescent="0.25">
      <c r="A438" s="2" t="str">
        <f>"02185"</f>
        <v>02185</v>
      </c>
      <c r="B438" s="2" t="str">
        <f>"CLEVIS PIN 7/8   (22MM)      52"</f>
        <v>CLEVIS PIN 7/8   (22MM)      52</v>
      </c>
      <c r="C438" s="4">
        <v>105.3</v>
      </c>
      <c r="D438" s="10">
        <v>57.999240000000007</v>
      </c>
    </row>
    <row r="439" spans="1:4" x14ac:dyDescent="0.25">
      <c r="A439" s="2" t="str">
        <f>"02186"</f>
        <v>02186</v>
      </c>
      <c r="B439" s="2" t="str">
        <f>"25MM (1) SMOOTH CLEVIS PIN FOR 52 M"</f>
        <v>25MM (1) SMOOTH CLEVIS PIN FOR 52 M</v>
      </c>
      <c r="C439" s="4">
        <v>105.3</v>
      </c>
      <c r="D439" s="10">
        <v>57.999240000000007</v>
      </c>
    </row>
    <row r="440" spans="1:4" x14ac:dyDescent="0.25">
      <c r="A440" s="2" t="str">
        <f>"02860"</f>
        <v>02860</v>
      </c>
      <c r="B440" s="2" t="str">
        <f>"16MM (5/8) CLEVIS PIN FOR 31"</f>
        <v>16MM (5/8) CLEVIS PIN FOR 31</v>
      </c>
      <c r="C440" s="4">
        <v>82.6</v>
      </c>
      <c r="D440" s="10">
        <v>45.496079999999999</v>
      </c>
    </row>
    <row r="441" spans="1:4" x14ac:dyDescent="0.25">
      <c r="A441" s="2" t="str">
        <f>"03217"</f>
        <v>03217</v>
      </c>
      <c r="B441" s="2" t="str">
        <f>"CLEVIS PIN 7/8 42"</f>
        <v>CLEVIS PIN 7/8 42</v>
      </c>
      <c r="C441" s="4">
        <v>105.3</v>
      </c>
      <c r="D441" s="10">
        <v>57.999240000000007</v>
      </c>
    </row>
    <row r="442" spans="1:4" x14ac:dyDescent="0.25">
      <c r="A442" s="2" t="str">
        <f>"05508"</f>
        <v>05508</v>
      </c>
      <c r="B442" s="2" t="str">
        <f>"CLEVIS PIN  1/2    N31"</f>
        <v>CLEVIS PIN  1/2    N31</v>
      </c>
      <c r="C442" s="4">
        <v>72.099999999999994</v>
      </c>
      <c r="D442" s="10">
        <v>39.712679999999999</v>
      </c>
    </row>
    <row r="443" spans="1:4" x14ac:dyDescent="0.25">
      <c r="A443" s="2" t="str">
        <f>"05510"</f>
        <v>05510</v>
      </c>
      <c r="B443" s="2" t="str">
        <f>"CLEVIS PIN 1/2    42"</f>
        <v>CLEVIS PIN 1/2    42</v>
      </c>
      <c r="C443" s="4">
        <v>70.5</v>
      </c>
      <c r="D443" s="10">
        <v>38.831400000000009</v>
      </c>
    </row>
    <row r="444" spans="1:4" x14ac:dyDescent="0.25">
      <c r="A444" s="2" t="str">
        <f>"05851"</f>
        <v>05851</v>
      </c>
      <c r="B444" s="2" t="str">
        <f>"8MM (5/16) SMOOTH CLEVIS PIN FOR R2"</f>
        <v>8MM (5/16) SMOOTH CLEVIS PIN FOR R2</v>
      </c>
      <c r="C444" s="4">
        <v>29.5</v>
      </c>
      <c r="D444" s="10">
        <v>16.248600000000003</v>
      </c>
    </row>
    <row r="445" spans="1:4" x14ac:dyDescent="0.25">
      <c r="A445" s="2" t="str">
        <f>"05853"</f>
        <v>05853</v>
      </c>
      <c r="B445" s="2" t="str">
        <f>"12MM (15/32) SMOOTH CLEVIS PIN FOR"</f>
        <v>12MM (15/32) SMOOTH CLEVIS PIN FOR</v>
      </c>
      <c r="C445" s="4">
        <v>36.1</v>
      </c>
      <c r="D445" s="10">
        <v>19.883880000000005</v>
      </c>
    </row>
    <row r="446" spans="1:4" x14ac:dyDescent="0.25">
      <c r="A446" s="2" t="str">
        <f>"50001"</f>
        <v>50001</v>
      </c>
      <c r="B446" s="2" t="str">
        <f>"10MM (3/8) SMOOTH CLEVIS PIN FOR R2"</f>
        <v>10MM (3/8) SMOOTH CLEVIS PIN FOR R2</v>
      </c>
      <c r="C446" s="4">
        <v>33.700000000000003</v>
      </c>
      <c r="D446" s="10">
        <v>18.561960000000006</v>
      </c>
    </row>
    <row r="447" spans="1:4" x14ac:dyDescent="0.25">
      <c r="A447" s="2" t="str">
        <f>"50002"</f>
        <v>50002</v>
      </c>
      <c r="B447" s="2" t="str">
        <f>"12MM (15/32) SMOOTH CLEVIS PIN FOR"</f>
        <v>12MM (15/32) SMOOTH CLEVIS PIN FOR</v>
      </c>
      <c r="C447" s="4">
        <v>38.5</v>
      </c>
      <c r="D447" s="10">
        <v>21.205800000000004</v>
      </c>
    </row>
    <row r="448" spans="1:4" x14ac:dyDescent="0.25">
      <c r="A448" s="2" t="str">
        <f>"50005"</f>
        <v>50005</v>
      </c>
      <c r="B448" s="2" t="str">
        <f>"11MM (7/16) SMOOTH CLEVIS PIN FOR R"</f>
        <v>11MM (7/16) SMOOTH CLEVIS PIN FOR R</v>
      </c>
      <c r="C448" s="4">
        <v>35.5</v>
      </c>
      <c r="D448" s="10">
        <v>19.553400000000003</v>
      </c>
    </row>
    <row r="449" spans="1:4" x14ac:dyDescent="0.25">
      <c r="A449" s="2" t="str">
        <f>"50072"</f>
        <v>50072</v>
      </c>
      <c r="B449" s="2" t="str">
        <f>"10MM (3/8) SMOOTH CLEVIS PIN FOR B3"</f>
        <v>10MM (3/8) SMOOTH CLEVIS PIN FOR B3</v>
      </c>
      <c r="C449" s="4">
        <v>58.9</v>
      </c>
      <c r="D449" s="10">
        <v>32.442119999999996</v>
      </c>
    </row>
    <row r="450" spans="1:4" x14ac:dyDescent="0.25">
      <c r="A450" s="2" t="str">
        <f>"50074"</f>
        <v>50074</v>
      </c>
      <c r="B450" s="2" t="str">
        <f>"11MM SMOOTH CLEVIS PIN FOR B35"</f>
        <v>11MM SMOOTH CLEVIS PIN FOR B35</v>
      </c>
      <c r="C450" s="4">
        <v>67.3</v>
      </c>
      <c r="D450" s="10">
        <v>37.068840000000002</v>
      </c>
    </row>
    <row r="451" spans="1:4" x14ac:dyDescent="0.25">
      <c r="A451" s="2" t="str">
        <f>"50097"</f>
        <v>50097</v>
      </c>
      <c r="B451" s="2" t="str">
        <f>"10MM (3/8)SMOOTH CLEVIS PIN B29"</f>
        <v>10MM (3/8)SMOOTH CLEVIS PIN B29</v>
      </c>
      <c r="C451" s="4">
        <v>33.700000000000003</v>
      </c>
      <c r="D451" s="10">
        <v>18.561960000000006</v>
      </c>
    </row>
    <row r="452" spans="1:4" x14ac:dyDescent="0.25">
      <c r="A452" s="2" t="str">
        <f>"50098"</f>
        <v>50098</v>
      </c>
      <c r="B452" s="2" t="str">
        <f>"11MM (7/16) SMOOTH CLEVIS PIN FOR B"</f>
        <v>11MM (7/16) SMOOTH CLEVIS PIN FOR B</v>
      </c>
      <c r="C452" s="4">
        <v>35.5</v>
      </c>
      <c r="D452" s="10">
        <v>19.553400000000003</v>
      </c>
    </row>
    <row r="453" spans="1:4" x14ac:dyDescent="0.25">
      <c r="A453" s="2" t="str">
        <f>"50099"</f>
        <v>50099</v>
      </c>
      <c r="B453" s="2" t="str">
        <f>"12MM (15/32) SMOOTH CLEVIS PIN FOR"</f>
        <v>12MM (15/32) SMOOTH CLEVIS PIN FOR</v>
      </c>
      <c r="C453" s="4">
        <v>44.6</v>
      </c>
      <c r="D453" s="10">
        <v>24.565680000000004</v>
      </c>
    </row>
    <row r="454" spans="1:4" x14ac:dyDescent="0.25">
      <c r="A454" s="2" t="str">
        <f>"50100"</f>
        <v>50100</v>
      </c>
      <c r="B454" s="2" t="str">
        <f>"1/2 (12.7MM) SMOOTH CLEVIS PIN FOR"</f>
        <v>1/2 (12.7MM) SMOOTH CLEVIS PIN FOR</v>
      </c>
      <c r="C454" s="4">
        <v>38.5</v>
      </c>
      <c r="D454" s="10">
        <v>21.205800000000004</v>
      </c>
    </row>
    <row r="455" spans="1:4" x14ac:dyDescent="0.25">
      <c r="A455" s="2" t="str">
        <f>"P250111"</f>
        <v>P250111</v>
      </c>
      <c r="B455" s="2" t="str">
        <f>"3/8 PIN WITH SS LOCKING DEVICE (10MM)"</f>
        <v>3/8 PIN WITH SS LOCKING DEVICE (10MM)</v>
      </c>
      <c r="C455" s="4">
        <v>231.4</v>
      </c>
      <c r="D455" s="10">
        <v>127.45512000000001</v>
      </c>
    </row>
    <row r="456" spans="1:4" x14ac:dyDescent="0.25">
      <c r="A456" s="2" t="str">
        <f>"P250113"</f>
        <v>P250113</v>
      </c>
      <c r="B456" s="2" t="str">
        <f>"35/64 PIN WITH SS LOCING DEVICE (14MM)"</f>
        <v>35/64 PIN WITH SS LOCING DEVICE (14MM)</v>
      </c>
      <c r="C456" s="4">
        <v>290.10000000000002</v>
      </c>
      <c r="D456" s="10">
        <v>159.78708000000003</v>
      </c>
    </row>
    <row r="457" spans="1:4" x14ac:dyDescent="0.25">
      <c r="A457" s="2" t="str">
        <f>"P250114"</f>
        <v>P250114</v>
      </c>
      <c r="B457" s="2" t="str">
        <f>"5/8 PIN WITH SS LOCKING DEVICE (16MM)"</f>
        <v>5/8 PIN WITH SS LOCKING DEVICE (16MM)</v>
      </c>
      <c r="C457" s="4">
        <v>231.4</v>
      </c>
      <c r="D457" s="10">
        <v>127.45512000000001</v>
      </c>
    </row>
    <row r="458" spans="1:4" x14ac:dyDescent="0.25">
      <c r="A458" s="2" t="str">
        <f>"P253115"</f>
        <v>P253115</v>
      </c>
      <c r="B458" s="2" t="str">
        <f>"55/64 PIN WITH SS LOCKING DEVICE (22MM)"</f>
        <v>55/64 PIN WITH SS LOCKING DEVICE (22MM)</v>
      </c>
      <c r="C458" s="4">
        <v>266.60000000000002</v>
      </c>
      <c r="D458" s="10">
        <v>146.84328000000002</v>
      </c>
    </row>
    <row r="459" spans="1:4" x14ac:dyDescent="0.25">
      <c r="A459" s="2" t="str">
        <f>"P271502"</f>
        <v>P271502</v>
      </c>
      <c r="B459" s="2" t="str">
        <f>"STAY PIN"</f>
        <v>STAY PIN</v>
      </c>
      <c r="C459" s="4">
        <v>435.1</v>
      </c>
      <c r="D459" s="10">
        <v>239.65308000000007</v>
      </c>
    </row>
    <row r="460" spans="1:4" x14ac:dyDescent="0.25">
      <c r="A460" s="2" t="str">
        <f>"P271504A"</f>
        <v>P271504A</v>
      </c>
      <c r="B460" s="2" t="str">
        <f>"FORESTAY PIN 25MM"</f>
        <v>FORESTAY PIN 25MM</v>
      </c>
      <c r="C460" s="4">
        <v>0</v>
      </c>
      <c r="D460" s="10">
        <v>0</v>
      </c>
    </row>
    <row r="461" spans="1:4" x14ac:dyDescent="0.25">
      <c r="A461" s="2" t="str">
        <f>"P035016"</f>
        <v>P035016</v>
      </c>
      <c r="B461" s="2" t="str">
        <f>"DRUM REFIT KIT FOR 42"</f>
        <v>DRUM REFIT KIT FOR 42</v>
      </c>
      <c r="C461" s="4">
        <v>183.4</v>
      </c>
      <c r="D461" s="10">
        <v>101.01672000000002</v>
      </c>
    </row>
    <row r="462" spans="1:4" x14ac:dyDescent="0.25">
      <c r="A462" s="2" t="str">
        <f>"P042016"</f>
        <v>P042016</v>
      </c>
      <c r="B462" s="2" t="str">
        <f>"BEARING REFIT KIT FOR N-52 DRUM"</f>
        <v>BEARING REFIT KIT FOR N-52 DRUM</v>
      </c>
      <c r="C462" s="4">
        <v>677.80000000000007</v>
      </c>
      <c r="D462" s="10">
        <v>373.33224000000007</v>
      </c>
    </row>
    <row r="463" spans="1:4" x14ac:dyDescent="0.25">
      <c r="A463" s="2" t="str">
        <f>"P044016"</f>
        <v>P044016</v>
      </c>
      <c r="B463" s="2" t="str">
        <f>"BEARING REFIT KIT FOR L52 DRUM"</f>
        <v>BEARING REFIT KIT FOR L52 DRUM</v>
      </c>
      <c r="C463" s="4">
        <v>409.40000000000003</v>
      </c>
      <c r="D463" s="10">
        <v>225.49752000000004</v>
      </c>
    </row>
    <row r="464" spans="1:4" x14ac:dyDescent="0.25">
      <c r="A464" s="2" t="str">
        <f>"P122016"</f>
        <v>P122016</v>
      </c>
      <c r="B464" s="2" t="str">
        <f>"BEARING REFIT KIT FOR LC 42R"</f>
        <v>BEARING REFIT KIT FOR LC 42R</v>
      </c>
      <c r="C464" s="4">
        <v>792.5</v>
      </c>
      <c r="D464" s="10">
        <v>436.50900000000013</v>
      </c>
    </row>
    <row r="465" spans="1:4" x14ac:dyDescent="0.25">
      <c r="A465" s="2" t="str">
        <f>"P139016"</f>
        <v>P139016</v>
      </c>
      <c r="B465" s="2" t="str">
        <f>"BEARING REFIT KIT FOR R 25"</f>
        <v>BEARING REFIT KIT FOR R 25</v>
      </c>
      <c r="C465" s="4">
        <v>209.7</v>
      </c>
      <c r="D465" s="10">
        <v>115.50275999999999</v>
      </c>
    </row>
    <row r="466" spans="1:4" x14ac:dyDescent="0.25">
      <c r="A466" s="2" t="str">
        <f>"P143016"</f>
        <v>P143016</v>
      </c>
      <c r="B466" s="2" t="str">
        <f>"BEARING REFIT KIT FOR 32 MODELS"</f>
        <v>BEARING REFIT KIT FOR 32 MODELS</v>
      </c>
      <c r="C466" s="4">
        <v>182</v>
      </c>
      <c r="D466" s="10">
        <v>100.2456</v>
      </c>
    </row>
    <row r="467" spans="1:4" x14ac:dyDescent="0.25">
      <c r="A467" s="2" t="str">
        <f>"P153012"</f>
        <v>P153012</v>
      </c>
      <c r="B467" s="2" t="str">
        <f>"DRUM FOR B35S"</f>
        <v>DRUM FOR B35S</v>
      </c>
      <c r="C467" s="4">
        <v>207.6</v>
      </c>
      <c r="D467" s="10">
        <v>114.34608000000001</v>
      </c>
    </row>
    <row r="468" spans="1:4" x14ac:dyDescent="0.25">
      <c r="A468" s="2" t="str">
        <f>"P155016"</f>
        <v>P155016</v>
      </c>
      <c r="B468" s="2" t="str">
        <f>"BEARING REFIT KIT FOR B29"</f>
        <v>BEARING REFIT KIT FOR B29</v>
      </c>
      <c r="C468" s="4">
        <v>147</v>
      </c>
      <c r="D468" s="10">
        <v>80.967600000000019</v>
      </c>
    </row>
    <row r="469" spans="1:4" x14ac:dyDescent="0.25">
      <c r="A469" s="2" t="str">
        <f>"P250016"</f>
        <v>P250016</v>
      </c>
      <c r="B469" s="2" t="str">
        <f>"BEARING REFIT KIT C290 DRUM"</f>
        <v>BEARING REFIT KIT C290 DRUM</v>
      </c>
      <c r="C469" s="4">
        <v>266.8</v>
      </c>
      <c r="D469" s="10">
        <v>146.95344</v>
      </c>
    </row>
    <row r="470" spans="1:4" x14ac:dyDescent="0.25">
      <c r="A470" s="2" t="str">
        <f>"P251016"</f>
        <v>P251016</v>
      </c>
      <c r="B470" s="2" t="str">
        <f>"BEARING REFIT KIT R250 SWIVEL"</f>
        <v>BEARING REFIT KIT R250 SWIVEL</v>
      </c>
      <c r="C470" s="4">
        <v>0</v>
      </c>
      <c r="D470" s="10">
        <v>0</v>
      </c>
    </row>
    <row r="471" spans="1:4" x14ac:dyDescent="0.25">
      <c r="A471" s="2" t="str">
        <f>"P252016"</f>
        <v>P252016</v>
      </c>
      <c r="B471" s="2" t="str">
        <f>"BEARING REFIT KIT C320 DRUM"</f>
        <v>BEARING REFIT KIT C320 DRUM</v>
      </c>
      <c r="C471" s="4">
        <v>0</v>
      </c>
      <c r="D471" s="10">
        <v>0</v>
      </c>
    </row>
    <row r="472" spans="1:4" x14ac:dyDescent="0.25">
      <c r="A472" s="2" t="str">
        <f>"P253016"</f>
        <v>P253016</v>
      </c>
      <c r="B472" s="2" t="str">
        <f>"BEARING REFIT KIT C350 DRUM"</f>
        <v>BEARING REFIT KIT C350 DRUM</v>
      </c>
      <c r="C472" s="4">
        <v>0</v>
      </c>
      <c r="D472" s="10">
        <v>0</v>
      </c>
    </row>
    <row r="473" spans="1:4" x14ac:dyDescent="0.25">
      <c r="A473" s="2" t="str">
        <f>"P254016"</f>
        <v>P254016</v>
      </c>
      <c r="B473" s="2" t="str">
        <f>"BEARING REFIT KIT C420 DRUM"</f>
        <v>BEARING REFIT KIT C420 DRUM</v>
      </c>
      <c r="C473" s="4">
        <v>0</v>
      </c>
      <c r="D473" s="10">
        <v>0</v>
      </c>
    </row>
    <row r="474" spans="1:4" x14ac:dyDescent="0.25">
      <c r="A474" s="2" t="str">
        <f>"P255016"</f>
        <v>P255016</v>
      </c>
      <c r="B474" s="2" t="str">
        <f>"BEARING REFIT KIT R420 DRUM"</f>
        <v>BEARING REFIT KIT R420 DRUM</v>
      </c>
      <c r="C474" s="4">
        <v>0</v>
      </c>
      <c r="D474" s="10">
        <v>0</v>
      </c>
    </row>
    <row r="475" spans="1:4" x14ac:dyDescent="0.25">
      <c r="A475" s="2" t="str">
        <f>"P256016"</f>
        <v>P256016</v>
      </c>
      <c r="B475" s="2" t="str">
        <f>"BEARING REFIT KIT R350 DRUM"</f>
        <v>BEARING REFIT KIT R350 DRUM</v>
      </c>
      <c r="C475" s="4">
        <v>0</v>
      </c>
      <c r="D475" s="10">
        <v>0</v>
      </c>
    </row>
    <row r="476" spans="1:4" x14ac:dyDescent="0.25">
      <c r="A476" s="2" t="str">
        <f>"P260016"</f>
        <v>P260016</v>
      </c>
      <c r="B476" s="2" t="str">
        <f>"BEARING REFIT KIT C430 DRUM"</f>
        <v>BEARING REFIT KIT C430 DRUM</v>
      </c>
      <c r="C476" s="4">
        <v>0</v>
      </c>
      <c r="D476" s="10">
        <v>0</v>
      </c>
    </row>
    <row r="477" spans="1:4" x14ac:dyDescent="0.25">
      <c r="A477" s="2" t="str">
        <f>"P035026"</f>
        <v>P035026</v>
      </c>
      <c r="B477" s="2" t="str">
        <f>"SWIVEL BEARING REFIT FOR 42"</f>
        <v>SWIVEL BEARING REFIT FOR 42</v>
      </c>
      <c r="C477" s="4">
        <v>183.4</v>
      </c>
      <c r="D477" s="10">
        <v>101.01672000000002</v>
      </c>
    </row>
    <row r="478" spans="1:4" x14ac:dyDescent="0.25">
      <c r="A478" s="2" t="str">
        <f>"P039026"</f>
        <v>P039026</v>
      </c>
      <c r="B478" s="2" t="str">
        <f>"BEARING REFIT KIT FOR N &amp; L 31"</f>
        <v>BEARING REFIT KIT FOR N &amp; L 31</v>
      </c>
      <c r="C478" s="4">
        <v>184.1</v>
      </c>
      <c r="D478" s="10">
        <v>101.40228</v>
      </c>
    </row>
    <row r="479" spans="1:4" x14ac:dyDescent="0.25">
      <c r="A479" s="2" t="str">
        <f>"P042026"</f>
        <v>P042026</v>
      </c>
      <c r="B479" s="2" t="str">
        <f>"BEARING REFIT KIT FOR L52 SWIVEL KIT"</f>
        <v>BEARING REFIT KIT FOR L52 SWIVEL KIT</v>
      </c>
      <c r="C479" s="4">
        <v>721.6</v>
      </c>
      <c r="D479" s="10">
        <v>397.45728000000003</v>
      </c>
    </row>
    <row r="480" spans="1:4" x14ac:dyDescent="0.25">
      <c r="A480" s="2" t="str">
        <f>"P179026"</f>
        <v>P179026</v>
      </c>
      <c r="B480" s="2" t="str">
        <f>"BEARING REFIT KIT FOR LC 42S"</f>
        <v>BEARING REFIT KIT FOR LC 42S</v>
      </c>
      <c r="C480" s="4">
        <v>397.8</v>
      </c>
      <c r="D480" s="10">
        <v>219.10824000000002</v>
      </c>
    </row>
    <row r="481" spans="1:4" x14ac:dyDescent="0.25">
      <c r="A481" s="2" t="str">
        <f>"P250026"</f>
        <v>P250026</v>
      </c>
      <c r="B481" s="2" t="str">
        <f>"BEARING REFIT KIT C290 SWIVEL"</f>
        <v>BEARING REFIT KIT C290 SWIVEL</v>
      </c>
      <c r="C481" s="4">
        <v>266.90000000000003</v>
      </c>
      <c r="D481" s="10">
        <v>147.00852000000003</v>
      </c>
    </row>
    <row r="482" spans="1:4" x14ac:dyDescent="0.25">
      <c r="A482" s="2" t="str">
        <f>"P251026"</f>
        <v>P251026</v>
      </c>
      <c r="B482" s="2" t="str">
        <f>"BEARING REFIT KIT R250 SWIVEL"</f>
        <v>BEARING REFIT KIT R250 SWIVEL</v>
      </c>
      <c r="C482" s="4">
        <v>0</v>
      </c>
      <c r="D482" s="10">
        <v>0</v>
      </c>
    </row>
    <row r="483" spans="1:4" x14ac:dyDescent="0.25">
      <c r="A483" s="2" t="str">
        <f>"P252026"</f>
        <v>P252026</v>
      </c>
      <c r="B483" s="2" t="str">
        <f>"BEARING REFIT KIT C320 SWIVEL"</f>
        <v>BEARING REFIT KIT C320 SWIVEL</v>
      </c>
      <c r="C483" s="4">
        <v>0</v>
      </c>
      <c r="D483" s="10">
        <v>0</v>
      </c>
    </row>
    <row r="484" spans="1:4" x14ac:dyDescent="0.25">
      <c r="A484" s="2" t="str">
        <f>"P253026"</f>
        <v>P253026</v>
      </c>
      <c r="B484" s="2" t="str">
        <f>"BEARING REFIT KIT C350 SWIVEL"</f>
        <v>BEARING REFIT KIT C350 SWIVEL</v>
      </c>
      <c r="C484" s="4">
        <v>0</v>
      </c>
      <c r="D484" s="10">
        <v>0</v>
      </c>
    </row>
    <row r="485" spans="1:4" x14ac:dyDescent="0.25">
      <c r="A485" s="2" t="str">
        <f>"P254026"</f>
        <v>P254026</v>
      </c>
      <c r="B485" s="2" t="str">
        <f>"BEARING REFIT KIT C420 SWIVEL"</f>
        <v>BEARING REFIT KIT C420 SWIVEL</v>
      </c>
      <c r="C485" s="4">
        <v>0</v>
      </c>
      <c r="D485" s="10">
        <v>0</v>
      </c>
    </row>
    <row r="486" spans="1:4" x14ac:dyDescent="0.25">
      <c r="A486" s="2" t="str">
        <f>"P255026"</f>
        <v>P255026</v>
      </c>
      <c r="B486" s="2" t="str">
        <f>"BEARING REFIT KIT R420 SWIVEL"</f>
        <v>BEARING REFIT KIT R420 SWIVEL</v>
      </c>
      <c r="C486" s="4">
        <v>0</v>
      </c>
      <c r="D486" s="10">
        <v>0</v>
      </c>
    </row>
    <row r="487" spans="1:4" x14ac:dyDescent="0.25">
      <c r="A487" s="2" t="str">
        <f>"P256026"</f>
        <v>P256026</v>
      </c>
      <c r="B487" s="2" t="str">
        <f>"BEARING REFIT KIT R350 SWIVEL"</f>
        <v>BEARING REFIT KIT R350 SWIVEL</v>
      </c>
      <c r="C487" s="4">
        <v>0</v>
      </c>
      <c r="D487" s="10">
        <v>0</v>
      </c>
    </row>
    <row r="488" spans="1:4" x14ac:dyDescent="0.25">
      <c r="A488" s="2" t="str">
        <f>"P551520"</f>
        <v>P551520</v>
      </c>
      <c r="B488" s="2" t="str">
        <f>"SWIVEL ONLY FOR NEX 1.5"</f>
        <v>SWIVEL ONLY FOR NEX 1.5</v>
      </c>
      <c r="C488" s="4">
        <v>502.70000000000005</v>
      </c>
      <c r="D488" s="10">
        <v>276.88716000000005</v>
      </c>
    </row>
    <row r="489" spans="1:4" x14ac:dyDescent="0.25">
      <c r="A489" s="2" t="str">
        <f>"P552520"</f>
        <v>P552520</v>
      </c>
      <c r="B489" s="2" t="str">
        <f>"SWIVEL ONLY FOR NEX 2.5"</f>
        <v>SWIVEL ONLY FOR NEX 2.5</v>
      </c>
      <c r="C489" s="4">
        <v>670.7</v>
      </c>
      <c r="D489" s="10">
        <v>369.42156000000011</v>
      </c>
    </row>
    <row r="490" spans="1:4" x14ac:dyDescent="0.25">
      <c r="A490" s="2" t="str">
        <f>"E043011"</f>
        <v>E043011</v>
      </c>
      <c r="B490" s="2" t="str">
        <f>"DRUM MECHANISM FOR NI &amp; LI 52 ELITE"</f>
        <v>DRUM MECHANISM FOR NI &amp; LI 52 ELITE</v>
      </c>
      <c r="C490" s="4">
        <v>6473.9000000000005</v>
      </c>
      <c r="D490" s="10">
        <v>3565.8241200000007</v>
      </c>
    </row>
    <row r="491" spans="1:4" x14ac:dyDescent="0.25">
      <c r="A491" s="2" t="str">
        <f>"P035011"</f>
        <v>P035011</v>
      </c>
      <c r="B491" s="2" t="str">
        <f>"DRUM MECHANISM FOR N &amp; NC 42"</f>
        <v>DRUM MECHANISM FOR N &amp; NC 42</v>
      </c>
      <c r="C491" s="4">
        <v>1447.3999999999999</v>
      </c>
      <c r="D491" s="10">
        <v>797.22792000000004</v>
      </c>
    </row>
    <row r="492" spans="1:4" x14ac:dyDescent="0.25">
      <c r="A492" s="2" t="str">
        <f>"P036011"</f>
        <v>P036011</v>
      </c>
      <c r="B492" s="2" t="str">
        <f>"DRUM MECHANISM FOR L &amp; LC 42"</f>
        <v>DRUM MECHANISM FOR L &amp; LC 42</v>
      </c>
      <c r="C492" s="4">
        <v>1589.6</v>
      </c>
      <c r="D492" s="10">
        <v>875.55168000000015</v>
      </c>
    </row>
    <row r="493" spans="1:4" x14ac:dyDescent="0.25">
      <c r="A493" s="2" t="str">
        <f>"P125011"</f>
        <v>P125011</v>
      </c>
      <c r="B493" s="2" t="str">
        <f>"DRUM MECHANISM NCI/LCI/NI/LI 42"</f>
        <v>DRUM MECHANISM NCI/LCI/NI/LI 42</v>
      </c>
      <c r="C493" s="4">
        <v>1888.8</v>
      </c>
      <c r="D493" s="10">
        <v>1040.35104</v>
      </c>
    </row>
    <row r="494" spans="1:4" x14ac:dyDescent="0.25">
      <c r="A494" s="2" t="str">
        <f>"P150011"</f>
        <v>P150011</v>
      </c>
      <c r="B494" s="2" t="str">
        <f>"DRUM MECHANISM FOR NCI 32"</f>
        <v>DRUM MECHANISM FOR NCI 32</v>
      </c>
      <c r="C494" s="4">
        <v>1247.3999999999999</v>
      </c>
      <c r="D494" s="10">
        <v>687.06792000000007</v>
      </c>
    </row>
    <row r="495" spans="1:4" x14ac:dyDescent="0.25">
      <c r="A495" s="2" t="str">
        <f>"P139011"</f>
        <v>P139011</v>
      </c>
      <c r="B495" s="2" t="str">
        <f>"DRUM MECANISM R 25"</f>
        <v>DRUM MECANISM R 25</v>
      </c>
      <c r="C495" s="4">
        <v>525.1</v>
      </c>
      <c r="D495" s="10">
        <v>289.22508000000005</v>
      </c>
    </row>
    <row r="496" spans="1:4" x14ac:dyDescent="0.25">
      <c r="A496" s="2" t="str">
        <f>"P141011"</f>
        <v>P141011</v>
      </c>
      <c r="B496" s="2" t="str">
        <f>"DRUM MECANISM FOR RI 25"</f>
        <v>DRUM MECANISM FOR RI 25</v>
      </c>
      <c r="C496" s="4">
        <v>858.80000000000007</v>
      </c>
      <c r="D496" s="10">
        <v>473.02704</v>
      </c>
    </row>
    <row r="497" spans="1:4" x14ac:dyDescent="0.25">
      <c r="A497" s="2" t="str">
        <f>"P251011"</f>
        <v>P251011</v>
      </c>
      <c r="B497" s="2" t="str">
        <f>"DRUM MECHANISM R250"</f>
        <v>DRUM MECHANISM R250</v>
      </c>
      <c r="C497" s="4">
        <v>584.4</v>
      </c>
      <c r="D497" s="10">
        <v>321.88751999999999</v>
      </c>
    </row>
    <row r="498" spans="1:4" x14ac:dyDescent="0.25">
      <c r="A498" s="2" t="str">
        <f>"P250011"</f>
        <v>P250011</v>
      </c>
      <c r="B498" s="2" t="str">
        <f>"DRUM MECH. C290"</f>
        <v>DRUM MECH. C290</v>
      </c>
      <c r="C498" s="4">
        <v>694.2</v>
      </c>
      <c r="D498" s="10">
        <v>382.36536000000007</v>
      </c>
    </row>
    <row r="499" spans="1:4" x14ac:dyDescent="0.25">
      <c r="A499" s="2" t="str">
        <f>"P252011"</f>
        <v>P252011</v>
      </c>
      <c r="B499" s="2" t="str">
        <f>"DRUM MECH. C320"</f>
        <v>DRUM MECH. C320</v>
      </c>
      <c r="C499" s="4">
        <v>687.6</v>
      </c>
      <c r="D499" s="10">
        <v>378.73008000000004</v>
      </c>
    </row>
    <row r="500" spans="1:4" x14ac:dyDescent="0.25">
      <c r="A500" s="2" t="str">
        <f>"P253011"</f>
        <v>P253011</v>
      </c>
      <c r="B500" s="2" t="str">
        <f>"DRUM MECH. C350"</f>
        <v>DRUM MECH. C350</v>
      </c>
      <c r="C500" s="4">
        <v>968</v>
      </c>
      <c r="D500" s="10">
        <v>533.17440000000011</v>
      </c>
    </row>
    <row r="501" spans="1:4" x14ac:dyDescent="0.25">
      <c r="A501" s="2" t="str">
        <f>"P254011"</f>
        <v>P254011</v>
      </c>
      <c r="B501" s="2" t="str">
        <f>"""DRUM MECH. C420, C430"""</f>
        <v>"DRUM MECH. C420, C430"</v>
      </c>
      <c r="C501" s="4">
        <v>1326.1</v>
      </c>
      <c r="D501" s="10">
        <v>730.41588000000002</v>
      </c>
    </row>
    <row r="502" spans="1:4" x14ac:dyDescent="0.25">
      <c r="A502" s="2" t="str">
        <f>"P265011"</f>
        <v>P265011</v>
      </c>
      <c r="B502" s="2" t="str">
        <f>"DRUM MECHANISM FOR C520"</f>
        <v>DRUM MECHANISM FOR C520</v>
      </c>
      <c r="C502" s="4">
        <v>3035.7999999999997</v>
      </c>
      <c r="D502" s="10">
        <v>1672.1186400000001</v>
      </c>
    </row>
    <row r="503" spans="1:4" x14ac:dyDescent="0.25">
      <c r="A503" s="2" t="str">
        <f>"P265012"</f>
        <v>P265012</v>
      </c>
      <c r="B503" s="2" t="str">
        <f>"COMPLETE DRUM MECH. C480"</f>
        <v>COMPLETE DRUM MECH. C480</v>
      </c>
      <c r="C503" s="4">
        <v>3432.9</v>
      </c>
      <c r="D503" s="10">
        <v>1890.8413200000005</v>
      </c>
    </row>
    <row r="504" spans="1:4" x14ac:dyDescent="0.25">
      <c r="A504" s="2" t="str">
        <f>"P268012"</f>
        <v>P268012</v>
      </c>
      <c r="B504" s="2" t="str">
        <f>"COMPLETE DRUM MECH. C520"</f>
        <v>COMPLETE DRUM MECH. C520</v>
      </c>
      <c r="C504" s="4">
        <v>4670.3</v>
      </c>
      <c r="D504" s="10">
        <v>2572.4012400000006</v>
      </c>
    </row>
    <row r="505" spans="1:4" x14ac:dyDescent="0.25">
      <c r="A505" s="2" t="str">
        <f>"P269011"</f>
        <v>P269011</v>
      </c>
      <c r="B505" s="2" t="str">
        <f>"DRUM MECH. C530"</f>
        <v>DRUM MECH. C530</v>
      </c>
      <c r="C505" s="4">
        <v>3418</v>
      </c>
      <c r="D505" s="10">
        <v>1882.6344000000004</v>
      </c>
    </row>
    <row r="506" spans="1:4" x14ac:dyDescent="0.25">
      <c r="A506" s="2" t="str">
        <f>"P269012"</f>
        <v>P269012</v>
      </c>
      <c r="B506" s="2" t="str">
        <f>"COMPLETE DRUM MECH. C530"</f>
        <v>COMPLETE DRUM MECH. C530</v>
      </c>
      <c r="C506" s="4">
        <v>4906.7000000000007</v>
      </c>
      <c r="D506" s="10">
        <v>2702.610360000001</v>
      </c>
    </row>
    <row r="507" spans="1:4" x14ac:dyDescent="0.25">
      <c r="A507" s="2" t="str">
        <f>"P146011"</f>
        <v>P146011</v>
      </c>
      <c r="B507" s="2" t="str">
        <f>"DRUM MECANISM FOR B29S"</f>
        <v>DRUM MECANISM FOR B29S</v>
      </c>
      <c r="C507" s="4">
        <v>694.2</v>
      </c>
      <c r="D507" s="10">
        <v>382.36536000000007</v>
      </c>
    </row>
    <row r="508" spans="1:4" x14ac:dyDescent="0.25">
      <c r="A508" s="2" t="str">
        <f>"P155012"</f>
        <v>P155012</v>
      </c>
      <c r="B508" s="2" t="str">
        <f>"DRUM B29L"</f>
        <v>DRUM B29L</v>
      </c>
      <c r="C508" s="4">
        <v>182.6</v>
      </c>
      <c r="D508" s="10">
        <v>100.57608000000002</v>
      </c>
    </row>
    <row r="509" spans="1:4" x14ac:dyDescent="0.25">
      <c r="A509" s="2" t="str">
        <f>"NEX 5.0 DRUM ONLY"</f>
        <v>NEX 5.0 DRUM ONLY</v>
      </c>
      <c r="B509" s="2" t="str">
        <f>"NEX 5.0 FREE FLYING FURLER DRUM ONLY"</f>
        <v>NEX 5.0 FREE FLYING FURLER DRUM ONLY</v>
      </c>
      <c r="C509" s="4">
        <v>5432.7000000000007</v>
      </c>
      <c r="D509" s="10">
        <v>2992.3311600000006</v>
      </c>
    </row>
    <row r="510" spans="1:4" x14ac:dyDescent="0.25">
      <c r="A510" s="2" t="str">
        <f>"P555020"</f>
        <v>P555020</v>
      </c>
      <c r="B510" s="2" t="str">
        <f>"NEX 5.0 FREE FLYING FURLER SWIVEL ONLY"</f>
        <v>NEX 5.0 FREE FLYING FURLER SWIVEL ONLY</v>
      </c>
      <c r="C510" s="4">
        <v>2076.4</v>
      </c>
      <c r="D510" s="10">
        <v>1143.6811200000004</v>
      </c>
    </row>
    <row r="511" spans="1:4" x14ac:dyDescent="0.25">
      <c r="A511" s="2" t="str">
        <f>"N171011"</f>
        <v>N171011</v>
      </c>
      <c r="B511" s="2" t="str">
        <f>"DRUM MECHANISM FOR EC6000"</f>
        <v>DRUM MECHANISM FOR EC6000</v>
      </c>
      <c r="C511" s="4">
        <v>2573.2999999999997</v>
      </c>
      <c r="D511" s="10">
        <v>1417.37364</v>
      </c>
    </row>
    <row r="512" spans="1:4" x14ac:dyDescent="0.25">
      <c r="A512" s="2" t="str">
        <f>"P144011"</f>
        <v>P144011</v>
      </c>
      <c r="B512" s="2" t="str">
        <f>"DRUM MECHANISM FOR FOR EC4000"</f>
        <v>DRUM MECHANISM FOR FOR EC4000</v>
      </c>
      <c r="C512" s="4">
        <v>1510</v>
      </c>
      <c r="D512" s="10">
        <v>831.7080000000002</v>
      </c>
    </row>
    <row r="513" spans="1:4" x14ac:dyDescent="0.25">
      <c r="A513" s="2" t="str">
        <f>"P159011"</f>
        <v>P159011</v>
      </c>
      <c r="B513" s="2" t="str">
        <f>"DRUM MECHANISM FOR EC1500"</f>
        <v>DRUM MECHANISM FOR EC1500</v>
      </c>
      <c r="C513" s="4">
        <v>867.2</v>
      </c>
      <c r="D513" s="10">
        <v>477.65376000000003</v>
      </c>
    </row>
    <row r="514" spans="1:4" x14ac:dyDescent="0.25">
      <c r="A514" s="2" t="str">
        <f>"P035021"</f>
        <v>P035021</v>
      </c>
      <c r="B514" s="2" t="str">
        <f>"SWIVEL MECHANISM FOR 42 MODELS"</f>
        <v>SWIVEL MECHANISM FOR 42 MODELS</v>
      </c>
      <c r="C514" s="4">
        <v>1497.8</v>
      </c>
      <c r="D514" s="10">
        <v>824.98824000000002</v>
      </c>
    </row>
    <row r="515" spans="1:4" x14ac:dyDescent="0.25">
      <c r="A515" s="2" t="str">
        <f>"P044021"</f>
        <v>P044021</v>
      </c>
      <c r="B515" s="2" t="str">
        <f>"SWIVEL MECHANISM FOR 52 MODELS"</f>
        <v>SWIVEL MECHANISM FOR 52 MODELS</v>
      </c>
      <c r="C515" s="4">
        <v>4131.4000000000005</v>
      </c>
      <c r="D515" s="10">
        <v>2275.5751200000009</v>
      </c>
    </row>
    <row r="516" spans="1:4" x14ac:dyDescent="0.25">
      <c r="A516" s="2" t="str">
        <f>"P143021"</f>
        <v>P143021</v>
      </c>
      <c r="B516" s="2" t="str">
        <f>"SWIVEL MECHANISM FOR NC &amp; LC32"</f>
        <v>SWIVEL MECHANISM FOR NC &amp; LC32</v>
      </c>
      <c r="C516" s="4">
        <v>878.9</v>
      </c>
      <c r="D516" s="10">
        <v>484.09812000000011</v>
      </c>
    </row>
    <row r="517" spans="1:4" x14ac:dyDescent="0.25">
      <c r="A517" s="2" t="str">
        <f>"P179021"</f>
        <v>P179021</v>
      </c>
      <c r="B517" s="2" t="str">
        <f>"SWIVEL MECANISM FOR LC 42S"</f>
        <v>SWIVEL MECANISM FOR LC 42S</v>
      </c>
      <c r="C517" s="4">
        <v>2016.1999999999998</v>
      </c>
      <c r="D517" s="10">
        <v>1110.5229600000002</v>
      </c>
    </row>
    <row r="518" spans="1:4" x14ac:dyDescent="0.25">
      <c r="A518" s="2" t="str">
        <f>"02842"</f>
        <v>02842</v>
      </c>
      <c r="B518" s="2" t="str">
        <f>"SWIVEL. ATT. R250"</f>
        <v>SWIVEL. ATT. R250</v>
      </c>
      <c r="C518" s="4">
        <v>1614.8</v>
      </c>
      <c r="D518" s="10">
        <v>889.43184000000019</v>
      </c>
    </row>
    <row r="519" spans="1:4" x14ac:dyDescent="0.25">
      <c r="A519" s="2" t="str">
        <f>"P041021E"</f>
        <v>P041021E</v>
      </c>
      <c r="B519" s="2" t="str">
        <f>"SWIVEL MECHANISM FOR R 35 ELITE"</f>
        <v>SWIVEL MECHANISM FOR R 35 ELITE</v>
      </c>
      <c r="C519" s="4">
        <v>981.6</v>
      </c>
      <c r="D519" s="10">
        <v>540.66528000000005</v>
      </c>
    </row>
    <row r="520" spans="1:4" x14ac:dyDescent="0.25">
      <c r="A520" s="2" t="str">
        <f>"P251021"</f>
        <v>P251021</v>
      </c>
      <c r="B520" s="2" t="str">
        <f>"R250 SWIVEL ONLY"</f>
        <v>R250 SWIVEL ONLY</v>
      </c>
      <c r="C520" s="4">
        <v>540.20000000000005</v>
      </c>
      <c r="D520" s="10">
        <v>297.54216000000002</v>
      </c>
    </row>
    <row r="521" spans="1:4" x14ac:dyDescent="0.25">
      <c r="A521" s="2" t="str">
        <f>"P251080"</f>
        <v>P251080</v>
      </c>
      <c r="B521" s="2" t="str">
        <f>"SWIVEL ATTACHMENT R250"</f>
        <v>SWIVEL ATTACHMENT R250</v>
      </c>
      <c r="C521" s="4">
        <v>102.39999999999999</v>
      </c>
      <c r="D521" s="10">
        <v>56.401920000000004</v>
      </c>
    </row>
    <row r="522" spans="1:4" x14ac:dyDescent="0.25">
      <c r="A522" s="2" t="str">
        <f>"P255020"</f>
        <v>P255020</v>
      </c>
      <c r="B522" s="2" t="str">
        <f>"COMPLETE SWIVLE R420"</f>
        <v>COMPLETE SWIVLE R420</v>
      </c>
      <c r="C522" s="4">
        <v>1698.8</v>
      </c>
      <c r="D522" s="10">
        <v>935.69904000000008</v>
      </c>
    </row>
    <row r="523" spans="1:4" x14ac:dyDescent="0.25">
      <c r="A523" s="2" t="str">
        <f>"P261020"</f>
        <v>P261020</v>
      </c>
      <c r="B523" s="2" t="str">
        <f>"COMPLETE SWIVEL R430"</f>
        <v>COMPLETE SWIVEL R430</v>
      </c>
      <c r="C523" s="4">
        <v>2165.9</v>
      </c>
      <c r="D523" s="10">
        <v>1192.9777200000003</v>
      </c>
    </row>
    <row r="524" spans="1:4" x14ac:dyDescent="0.25">
      <c r="A524" s="2" t="str">
        <f>"P252021"</f>
        <v>P252021</v>
      </c>
      <c r="B524" s="2" t="str">
        <f>"SWIVEL C320"</f>
        <v>SWIVEL C320</v>
      </c>
      <c r="C524" s="4">
        <v>815.1</v>
      </c>
      <c r="D524" s="10">
        <v>448.95708000000002</v>
      </c>
    </row>
    <row r="525" spans="1:4" x14ac:dyDescent="0.25">
      <c r="A525" s="2" t="str">
        <f>"P254021"</f>
        <v>P254021</v>
      </c>
      <c r="B525" s="2" t="str">
        <f>"SWIVEL C420"</f>
        <v>SWIVEL C420</v>
      </c>
      <c r="C525" s="4">
        <v>1487.1</v>
      </c>
      <c r="D525" s="10">
        <v>819.09468000000004</v>
      </c>
    </row>
    <row r="526" spans="1:4" x14ac:dyDescent="0.25">
      <c r="A526" s="2" t="str">
        <f>"P256021"</f>
        <v>P256021</v>
      </c>
      <c r="B526" s="2" t="str">
        <f>"SWIVEL R350"</f>
        <v>SWIVEL R350</v>
      </c>
      <c r="C526" s="4">
        <v>920.80000000000007</v>
      </c>
      <c r="D526" s="10">
        <v>507.17664000000008</v>
      </c>
    </row>
    <row r="527" spans="1:4" x14ac:dyDescent="0.25">
      <c r="A527" s="2" t="str">
        <f>"P260021"</f>
        <v>P260021</v>
      </c>
      <c r="B527" s="2" t="str">
        <f>"SWIVEL C430"</f>
        <v>SWIVEL C430</v>
      </c>
      <c r="C527" s="4">
        <v>1440.5</v>
      </c>
      <c r="D527" s="10">
        <v>793.42740000000015</v>
      </c>
    </row>
    <row r="528" spans="1:4" x14ac:dyDescent="0.25">
      <c r="A528" s="2" t="str">
        <f>"P265021"</f>
        <v>P265021</v>
      </c>
      <c r="B528" s="2" t="str">
        <f>"SWIVEL MECH. C480"</f>
        <v>SWIVEL MECH. C480</v>
      </c>
      <c r="C528" s="4">
        <v>3398.4</v>
      </c>
      <c r="D528" s="10">
        <v>1871.8387200000004</v>
      </c>
    </row>
    <row r="529" spans="1:4" x14ac:dyDescent="0.25">
      <c r="A529" s="2" t="str">
        <f>"P266020"</f>
        <v>P266020</v>
      </c>
      <c r="B529" s="2" t="str">
        <f>"R480 HALYARD SWIVEL COMPLETE"</f>
        <v>R480 HALYARD SWIVEL COMPLETE</v>
      </c>
      <c r="C529" s="4">
        <v>0</v>
      </c>
      <c r="D529" s="10">
        <v>0</v>
      </c>
    </row>
    <row r="530" spans="1:4" x14ac:dyDescent="0.25">
      <c r="A530" s="2" t="str">
        <f>"P268020"</f>
        <v>P268020</v>
      </c>
      <c r="B530" s="2" t="str">
        <f>"SWIVEL MECH. C520"</f>
        <v>SWIVEL MECH. C520</v>
      </c>
      <c r="C530" s="4">
        <v>3749.1</v>
      </c>
      <c r="D530" s="10">
        <v>2065.0042800000001</v>
      </c>
    </row>
    <row r="531" spans="1:4" x14ac:dyDescent="0.25">
      <c r="A531" s="2" t="str">
        <f>"P268021"</f>
        <v>P268021</v>
      </c>
      <c r="B531" s="2" t="str">
        <f>"SWIVEL MECH. C520"</f>
        <v>SWIVEL MECH. C520</v>
      </c>
      <c r="C531" s="4">
        <v>3398.4</v>
      </c>
      <c r="D531" s="10">
        <v>1871.8387200000004</v>
      </c>
    </row>
    <row r="532" spans="1:4" x14ac:dyDescent="0.25">
      <c r="A532" s="2" t="str">
        <f>"P269021"</f>
        <v>P269021</v>
      </c>
      <c r="B532" s="2" t="str">
        <f>"SWIVEL MECH. C530"</f>
        <v>SWIVEL MECH. C530</v>
      </c>
      <c r="C532" s="4">
        <v>3398.4</v>
      </c>
      <c r="D532" s="10">
        <v>1871.8387200000004</v>
      </c>
    </row>
    <row r="533" spans="1:4" x14ac:dyDescent="0.25">
      <c r="A533" s="2" t="str">
        <f>"P250021"</f>
        <v>P250021</v>
      </c>
      <c r="B533" s="2" t="str">
        <f>"SWIVEL ONLY C290"</f>
        <v>SWIVEL ONLY C290</v>
      </c>
      <c r="C533" s="4">
        <v>489</v>
      </c>
      <c r="D533" s="10">
        <v>269.34120000000001</v>
      </c>
    </row>
    <row r="534" spans="1:4" x14ac:dyDescent="0.25">
      <c r="A534" s="2" t="str">
        <f>"P253021"</f>
        <v>P253021</v>
      </c>
      <c r="B534" s="2" t="str">
        <f>"SWIVEL C350"</f>
        <v>SWIVEL C350</v>
      </c>
      <c r="C534" s="4">
        <v>1045.6999999999998</v>
      </c>
      <c r="D534" s="10">
        <v>575.97155999999995</v>
      </c>
    </row>
    <row r="535" spans="1:4" x14ac:dyDescent="0.25">
      <c r="A535" s="2" t="str">
        <f>"P144020"</f>
        <v>P144020</v>
      </c>
      <c r="B535" s="2" t="str">
        <f>"SWIVEL MECHANISM FOR EC4000"</f>
        <v>SWIVEL MECHANISM FOR EC4000</v>
      </c>
      <c r="C535" s="4">
        <v>1582.8999999999999</v>
      </c>
      <c r="D535" s="10">
        <v>871.86132000000009</v>
      </c>
    </row>
    <row r="536" spans="1:4" x14ac:dyDescent="0.25">
      <c r="A536" s="2" t="str">
        <f>"P159020"</f>
        <v>P159020</v>
      </c>
      <c r="B536" s="2" t="str">
        <f>"COMPLETE SWIVEL MECHANISM FOR EC150"</f>
        <v>COMPLETE SWIVEL MECHANISM FOR EC150</v>
      </c>
      <c r="C536" s="4">
        <v>787.4</v>
      </c>
      <c r="D536" s="10">
        <v>433.69992000000002</v>
      </c>
    </row>
    <row r="537" spans="1:4" x14ac:dyDescent="0.25">
      <c r="A537" s="2" t="str">
        <f>"P171010"</f>
        <v>P171010</v>
      </c>
      <c r="B537" s="2" t="str">
        <f>"COMPLETE DRUM MECHANISM FOR EC 6000"</f>
        <v>COMPLETE DRUM MECHANISM FOR EC 6000</v>
      </c>
      <c r="C537" s="4">
        <v>5479.4000000000005</v>
      </c>
      <c r="D537" s="10">
        <v>3018.0535200000004</v>
      </c>
    </row>
    <row r="538" spans="1:4" x14ac:dyDescent="0.25">
      <c r="A538" s="2" t="str">
        <f>"50162"</f>
        <v>50162</v>
      </c>
      <c r="B538" s="2" t="str">
        <f>"CIRCUIT BREAKER ETA 63A"</f>
        <v>CIRCUIT BREAKER ETA 63A</v>
      </c>
      <c r="C538" s="4">
        <v>508.20000000000005</v>
      </c>
      <c r="D538" s="10">
        <v>279.91656000000012</v>
      </c>
    </row>
    <row r="539" spans="1:4" x14ac:dyDescent="0.25">
      <c r="A539" s="2" t="str">
        <f>"03761"</f>
        <v>03761</v>
      </c>
      <c r="B539" s="2" t="str">
        <f>"24V-500W MOTOR FOR ED42 (AND 52)"</f>
        <v>24V-500W MOTOR FOR ED42 (AND 52)</v>
      </c>
      <c r="C539" s="4">
        <v>1598.5</v>
      </c>
      <c r="D539" s="10">
        <v>880.4538</v>
      </c>
    </row>
    <row r="540" spans="1:4" x14ac:dyDescent="0.25">
      <c r="A540" s="2" t="str">
        <f>"51042"</f>
        <v>51042</v>
      </c>
      <c r="B540" s="2" t="str">
        <f>"BRUSHES FOR ELECTRIC MOTOR"</f>
        <v>BRUSHES FOR ELECTRIC MOTOR</v>
      </c>
      <c r="C540" s="4">
        <v>323.20000000000005</v>
      </c>
      <c r="D540" s="10">
        <v>178.01856000000004</v>
      </c>
    </row>
    <row r="541" spans="1:4" x14ac:dyDescent="0.25">
      <c r="A541" s="2" t="str">
        <f>"51069"</f>
        <v>51069</v>
      </c>
      <c r="B541" s="2" t="str">
        <f>"MOTOR 12V -850W-CSC8845- NDEC 42 &amp;"</f>
        <v>MOTOR 12V -850W-CSC8845- NDEC 42 &amp;</v>
      </c>
      <c r="C541" s="4">
        <v>3978.2</v>
      </c>
      <c r="D541" s="10">
        <v>2191.19256</v>
      </c>
    </row>
    <row r="542" spans="1:4" x14ac:dyDescent="0.25">
      <c r="A542" s="2" t="str">
        <f>"53726"</f>
        <v>53726</v>
      </c>
      <c r="B542" s="2" t="str">
        <f>"MOTOR 24V NDE2 C550/C600"</f>
        <v>MOTOR 24V NDE2 C550/C600</v>
      </c>
      <c r="C542" s="4">
        <v>0</v>
      </c>
      <c r="D542" s="10">
        <v>0</v>
      </c>
    </row>
    <row r="543" spans="1:4" x14ac:dyDescent="0.25">
      <c r="A543" s="2" t="str">
        <f>"P190V24"</f>
        <v>P190V24</v>
      </c>
      <c r="B543" s="2" t="str">
        <f>"COMPLETE MOTOR &amp; HOUSING FOR NDE 42-24V"</f>
        <v>COMPLETE MOTOR &amp; HOUSING FOR NDE 42-24V</v>
      </c>
      <c r="C543" s="4">
        <v>18058.899999999998</v>
      </c>
      <c r="D543" s="10">
        <v>9946.8421200000012</v>
      </c>
    </row>
    <row r="544" spans="1:4" x14ac:dyDescent="0.25">
      <c r="A544" s="2" t="str">
        <f>"53321"</f>
        <v>53321</v>
      </c>
      <c r="B544" s="2" t="str">
        <f>"MOTOR 24V-850W-CSC8845-NDEC 42/52"</f>
        <v>MOTOR 24V-850W-CSC8845-NDEC 42/52</v>
      </c>
      <c r="C544" s="4">
        <v>3768.1</v>
      </c>
      <c r="D544" s="10">
        <v>2075.4694800000002</v>
      </c>
    </row>
    <row r="545" spans="1:4" x14ac:dyDescent="0.25">
      <c r="A545" s="2" t="str">
        <f>"P193V12"</f>
        <v>P193V12</v>
      </c>
      <c r="B545" s="2" t="str">
        <f>"COMPLETE MOTOR &amp; HOUSING FOR 12V ND"</f>
        <v>COMPLETE MOTOR &amp; HOUSING FOR 12V ND</v>
      </c>
      <c r="C545" s="4">
        <v>18475.199999999997</v>
      </c>
      <c r="D545" s="10">
        <v>10176.140159999999</v>
      </c>
    </row>
    <row r="546" spans="1:4" x14ac:dyDescent="0.25">
      <c r="A546" s="2" t="str">
        <f>"P270505"</f>
        <v>P270505</v>
      </c>
      <c r="B546" s="2" t="str">
        <f>"FORESTAY PIN D22 NDE/H"</f>
        <v>FORESTAY PIN D22 NDE/H</v>
      </c>
      <c r="C546" s="4">
        <v>367.3</v>
      </c>
      <c r="D546" s="10">
        <v>202.30884000000003</v>
      </c>
    </row>
    <row r="547" spans="1:4" x14ac:dyDescent="0.25">
      <c r="A547" s="2" t="str">
        <f>"P271501"</f>
        <v>P271501</v>
      </c>
      <c r="B547" s="2" t="str">
        <f>"FORESTAY PIN 18MM - NDE/H"</f>
        <v>FORESTAY PIN 18MM - NDE/H</v>
      </c>
      <c r="C547" s="4">
        <v>522.1</v>
      </c>
      <c r="D547" s="10">
        <v>287.57268000000005</v>
      </c>
    </row>
    <row r="548" spans="1:4" x14ac:dyDescent="0.25">
      <c r="A548" s="2" t="str">
        <f>"50716"</f>
        <v>50716</v>
      </c>
      <c r="B548" s="2" t="str">
        <f>"ANTI CORROSION BUSHING NDE/H42"</f>
        <v>ANTI CORROSION BUSHING NDE/H42</v>
      </c>
      <c r="C548" s="4">
        <v>237</v>
      </c>
      <c r="D548" s="10">
        <v>130.53960000000004</v>
      </c>
    </row>
    <row r="549" spans="1:4" x14ac:dyDescent="0.25">
      <c r="A549" s="2" t="str">
        <f>"50718"</f>
        <v>50718</v>
      </c>
      <c r="B549" s="2" t="str">
        <f>"HANDLE SOCKET CAP"</f>
        <v>HANDLE SOCKET CAP</v>
      </c>
      <c r="C549" s="4">
        <v>93.199999999999989</v>
      </c>
      <c r="D549" s="10">
        <v>51.334559999999996</v>
      </c>
    </row>
    <row r="550" spans="1:4" x14ac:dyDescent="0.25">
      <c r="A550" s="2" t="str">
        <f>"50821"</f>
        <v>50821</v>
      </c>
      <c r="B550" s="2" t="str">
        <f>"BRACE FOR SCREW NDEC &amp; NDEH 52 &amp; 52"</f>
        <v>BRACE FOR SCREW NDEC &amp; NDEH 52 &amp; 52</v>
      </c>
      <c r="C550" s="4">
        <v>45.4</v>
      </c>
      <c r="D550" s="10">
        <v>25.006320000000002</v>
      </c>
    </row>
    <row r="551" spans="1:4" x14ac:dyDescent="0.25">
      <c r="A551" s="2" t="str">
        <f>"50828"</f>
        <v>50828</v>
      </c>
      <c r="B551" s="2" t="str">
        <f>"ENTRETOISE DE VIS NDE/H42"</f>
        <v>ENTRETOISE DE VIS NDE/H42</v>
      </c>
      <c r="C551" s="4">
        <v>28.3</v>
      </c>
      <c r="D551" s="10">
        <v>15.587640000000004</v>
      </c>
    </row>
    <row r="552" spans="1:4" x14ac:dyDescent="0.25">
      <c r="A552" s="2" t="str">
        <f>"50988"</f>
        <v>50988</v>
      </c>
      <c r="B552" s="2" t="str">
        <f>"ANTI CORROSION BUSHING NDE/H52"</f>
        <v>ANTI CORROSION BUSHING NDE/H52</v>
      </c>
      <c r="C552" s="4">
        <v>280.70000000000005</v>
      </c>
      <c r="D552" s="10">
        <v>154.60956000000002</v>
      </c>
    </row>
    <row r="553" spans="1:4" x14ac:dyDescent="0.25">
      <c r="A553" s="2" t="str">
        <f>"53121"</f>
        <v>53121</v>
      </c>
      <c r="B553" s="2" t="str">
        <f>"SS TOGGLE FOR NDEC &amp; NDEH 520"</f>
        <v>SS TOGGLE FOR NDEC &amp; NDEH 520</v>
      </c>
      <c r="C553" s="4">
        <v>1703.6</v>
      </c>
      <c r="D553" s="10">
        <v>938.34288000000004</v>
      </c>
    </row>
    <row r="554" spans="1:4" x14ac:dyDescent="0.25">
      <c r="A554" s="2" t="str">
        <f>"53310"</f>
        <v>53310</v>
      </c>
      <c r="B554" s="2" t="str">
        <f>"RADIO (WIRELESS) REMOTE FOR NDE2 ELEC."</f>
        <v>RADIO (WIRELESS) REMOTE FOR NDE2 ELEC.</v>
      </c>
      <c r="C554" s="4">
        <v>839.7</v>
      </c>
      <c r="D554" s="10">
        <v>462.5067600000001</v>
      </c>
    </row>
    <row r="555" spans="1:4" x14ac:dyDescent="0.25">
      <c r="A555" s="2" t="str">
        <f>"53320"</f>
        <v>53320</v>
      </c>
      <c r="B555" s="2" t="str">
        <f>"WIRED REMOTE FOR NEXE/SPINEXE"</f>
        <v>WIRED REMOTE FOR NEXE/SPINEXE</v>
      </c>
      <c r="C555" s="4">
        <v>263</v>
      </c>
      <c r="D555" s="10">
        <v>144.86040000000003</v>
      </c>
    </row>
    <row r="556" spans="1:4" x14ac:dyDescent="0.25">
      <c r="A556" s="2" t="str">
        <f>"53618"</f>
        <v>53618</v>
      </c>
      <c r="B556" s="2" t="str">
        <f>"SOCKET FOR HANDLE"</f>
        <v>SOCKET FOR HANDLE</v>
      </c>
      <c r="C556" s="4">
        <v>207.7</v>
      </c>
      <c r="D556" s="10">
        <v>114.40115999999999</v>
      </c>
    </row>
    <row r="557" spans="1:4" x14ac:dyDescent="0.25">
      <c r="A557" s="2" t="str">
        <f>"P190043"</f>
        <v>P190043</v>
      </c>
      <c r="B557" s="2" t="str">
        <f>"CRANK FOR NDE/H 42/52"</f>
        <v>CRANK FOR NDE/H 42/52</v>
      </c>
      <c r="C557" s="4">
        <v>302.8</v>
      </c>
      <c r="D557" s="10">
        <v>166.78224000000003</v>
      </c>
    </row>
    <row r="558" spans="1:4" x14ac:dyDescent="0.25">
      <c r="A558" s="2" t="str">
        <f>"P274035"</f>
        <v>P274035</v>
      </c>
      <c r="B558" s="2" t="str">
        <f>"RELAY BOX &amp; CIRCUIT BREAKER (C600 24V)"</f>
        <v>RELAY BOX &amp; CIRCUIT BREAKER (C600 24V)</v>
      </c>
      <c r="C558" s="4">
        <v>1087</v>
      </c>
      <c r="D558" s="10">
        <v>598.71960000000013</v>
      </c>
    </row>
    <row r="559" spans="1:4" x14ac:dyDescent="0.25">
      <c r="A559" s="2" t="str">
        <f>"P274038"</f>
        <v>P274038</v>
      </c>
      <c r="B559" s="2" t="str">
        <f>"POWER SUPPLY BOX 40A NEXE 12V"</f>
        <v>POWER SUPPLY BOX 40A NEXE 12V</v>
      </c>
      <c r="C559" s="4">
        <v>1941.6</v>
      </c>
      <c r="D559" s="10">
        <v>1069.43328</v>
      </c>
    </row>
    <row r="560" spans="1:4" x14ac:dyDescent="0.25">
      <c r="A560" s="2" t="str">
        <f>"02012"</f>
        <v>02012</v>
      </c>
      <c r="B560" s="2" t="str">
        <f>"SHAPE ADAPTER FOR C32"</f>
        <v>SHAPE ADAPTER FOR C32</v>
      </c>
      <c r="C560" s="4">
        <v>94.1</v>
      </c>
      <c r="D560" s="10">
        <v>51.830280000000002</v>
      </c>
    </row>
    <row r="561" spans="1:4" x14ac:dyDescent="0.25">
      <c r="A561" s="2" t="str">
        <f>"02029"</f>
        <v>02029</v>
      </c>
      <c r="B561" s="2" t="str">
        <f>"SHAPE ADAPTOR FOR R35"</f>
        <v>SHAPE ADAPTOR FOR R35</v>
      </c>
      <c r="C561" s="4">
        <v>120</v>
      </c>
      <c r="D561" s="10">
        <v>66.096000000000018</v>
      </c>
    </row>
    <row r="562" spans="1:4" x14ac:dyDescent="0.25">
      <c r="A562" s="2" t="str">
        <f>"02050"</f>
        <v>02050</v>
      </c>
      <c r="B562" s="2" t="str">
        <f>"SHAPE ADAPTER FOR C420"</f>
        <v>SHAPE ADAPTER FOR C420</v>
      </c>
      <c r="C562" s="4">
        <v>162</v>
      </c>
      <c r="D562" s="10">
        <v>89.229600000000005</v>
      </c>
    </row>
    <row r="563" spans="1:4" x14ac:dyDescent="0.25">
      <c r="A563" s="2" t="str">
        <f>"52011"</f>
        <v>52011</v>
      </c>
      <c r="B563" s="2" t="str">
        <f>"SHAPE ADAPTOR C290"</f>
        <v>SHAPE ADAPTOR C290</v>
      </c>
      <c r="C563" s="4">
        <v>179.2</v>
      </c>
      <c r="D563" s="10">
        <v>98.703360000000004</v>
      </c>
    </row>
    <row r="564" spans="1:4" x14ac:dyDescent="0.25">
      <c r="A564" s="2" t="str">
        <f>"52012"</f>
        <v>52012</v>
      </c>
      <c r="B564" s="2" t="str">
        <f>"SHAPE ADAPTOR C350"</f>
        <v>SHAPE ADAPTOR C350</v>
      </c>
      <c r="C564" s="4">
        <v>179.2</v>
      </c>
      <c r="D564" s="10">
        <v>98.703360000000004</v>
      </c>
    </row>
    <row r="565" spans="1:4" x14ac:dyDescent="0.25">
      <c r="A565" s="2" t="str">
        <f>"52014"</f>
        <v>52014</v>
      </c>
      <c r="B565" s="2" t="str">
        <f>"SHAPE ADAPTOR R250"</f>
        <v>SHAPE ADAPTOR R250</v>
      </c>
      <c r="C565" s="4">
        <v>179.2</v>
      </c>
      <c r="D565" s="10">
        <v>98.703360000000004</v>
      </c>
    </row>
    <row r="566" spans="1:4" x14ac:dyDescent="0.25">
      <c r="A566" s="2" t="str">
        <f>"53036"</f>
        <v>53036</v>
      </c>
      <c r="B566" s="2" t="str">
        <f>"SHAPE ADAPTER FOR C 480"</f>
        <v>SHAPE ADAPTER FOR C 480</v>
      </c>
      <c r="C566" s="4">
        <v>162</v>
      </c>
      <c r="D566" s="10">
        <v>89.229600000000005</v>
      </c>
    </row>
    <row r="567" spans="1:4" x14ac:dyDescent="0.25">
      <c r="A567" s="2" t="str">
        <f>"53038"</f>
        <v>53038</v>
      </c>
      <c r="B567" s="2" t="str">
        <f>"SHAPE ADAPTER C530"</f>
        <v>SHAPE ADAPTER C530</v>
      </c>
      <c r="C567" s="4">
        <v>179.29999999999998</v>
      </c>
      <c r="D567" s="10">
        <v>98.758440000000007</v>
      </c>
    </row>
    <row r="568" spans="1:4" x14ac:dyDescent="0.25">
      <c r="A568" s="2" t="str">
        <f>"P028014"</f>
        <v>P028014</v>
      </c>
      <c r="B568" s="2" t="str">
        <f>"ROUND SHAPE ADAPTER WITH SCREWS C32"</f>
        <v>ROUND SHAPE ADAPTER WITH SCREWS C32</v>
      </c>
      <c r="C568" s="4">
        <v>99.399999999999991</v>
      </c>
      <c r="D568" s="10">
        <v>54.749519999999997</v>
      </c>
    </row>
    <row r="569" spans="1:4" x14ac:dyDescent="0.25">
      <c r="A569" s="2" t="str">
        <f>"P037014"</f>
        <v>P037014</v>
      </c>
      <c r="B569" s="2" t="str">
        <f>"SHAPE ADAPTER FOR C42"</f>
        <v>SHAPE ADAPTER FOR C42</v>
      </c>
      <c r="C569" s="4">
        <v>204.1</v>
      </c>
      <c r="D569" s="10">
        <v>112.41828000000001</v>
      </c>
    </row>
    <row r="570" spans="1:4" x14ac:dyDescent="0.25">
      <c r="A570" s="2" t="str">
        <f>"P038014"</f>
        <v>P038014</v>
      </c>
      <c r="B570" s="2" t="str">
        <f>"SHAPE ADAPTER FOR R 42"</f>
        <v>SHAPE ADAPTER FOR R 42</v>
      </c>
      <c r="C570" s="4">
        <v>204.1</v>
      </c>
      <c r="D570" s="10">
        <v>112.41828000000001</v>
      </c>
    </row>
    <row r="571" spans="1:4" x14ac:dyDescent="0.25">
      <c r="A571" s="2" t="str">
        <f>"P041014"</f>
        <v>P041014</v>
      </c>
      <c r="B571" s="2" t="str">
        <f>"SHAPE ADAPTER FOR R 35"</f>
        <v>SHAPE ADAPTER FOR R 35</v>
      </c>
      <c r="C571" s="4">
        <v>218.4</v>
      </c>
      <c r="D571" s="10">
        <v>120.29472</v>
      </c>
    </row>
    <row r="572" spans="1:4" x14ac:dyDescent="0.25">
      <c r="A572" s="2" t="str">
        <f>"P155115"</f>
        <v>P155115</v>
      </c>
      <c r="B572" s="2" t="str">
        <f>"ADJUSTABLE TACK FITTING FOR B29"</f>
        <v>ADJUSTABLE TACK FITTING FOR B29</v>
      </c>
      <c r="C572" s="4">
        <v>109.69999999999999</v>
      </c>
      <c r="D572" s="10">
        <v>60.422760000000011</v>
      </c>
    </row>
    <row r="573" spans="1:4" x14ac:dyDescent="0.25">
      <c r="A573" s="2" t="str">
        <f>"P250014"</f>
        <v>P250014</v>
      </c>
      <c r="B573" s="2" t="str">
        <f>"C290 SHAPE ADAPTER"</f>
        <v>C290 SHAPE ADAPTER</v>
      </c>
      <c r="C573" s="4">
        <v>99.399999999999991</v>
      </c>
      <c r="D573" s="10">
        <v>54.749519999999997</v>
      </c>
    </row>
    <row r="574" spans="1:4" x14ac:dyDescent="0.25">
      <c r="A574" s="2" t="str">
        <f>"P251014"</f>
        <v>P251014</v>
      </c>
      <c r="B574" s="2" t="str">
        <f>"R250 SHAPE ADAPTER"</f>
        <v>R250 SHAPE ADAPTER</v>
      </c>
      <c r="C574" s="4">
        <v>99.399999999999991</v>
      </c>
      <c r="D574" s="10">
        <v>54.749519999999997</v>
      </c>
    </row>
    <row r="575" spans="1:4" x14ac:dyDescent="0.25">
      <c r="A575" s="2" t="str">
        <f>"P252014"</f>
        <v>P252014</v>
      </c>
      <c r="B575" s="2" t="str">
        <f>"COMPLETE SHAPE ADAPTOR C320"</f>
        <v>COMPLETE SHAPE ADAPTOR C320</v>
      </c>
      <c r="C575" s="4">
        <v>99.399999999999991</v>
      </c>
      <c r="D575" s="10">
        <v>54.749519999999997</v>
      </c>
    </row>
    <row r="576" spans="1:4" x14ac:dyDescent="0.25">
      <c r="A576" s="2" t="str">
        <f>"P253014"</f>
        <v>P253014</v>
      </c>
      <c r="B576" s="2" t="str">
        <f>"C350 SHAPE ADAPTER"</f>
        <v>C350 SHAPE ADAPTER</v>
      </c>
      <c r="C576" s="4">
        <v>99.399999999999991</v>
      </c>
      <c r="D576" s="10">
        <v>54.749519999999997</v>
      </c>
    </row>
    <row r="577" spans="1:4" x14ac:dyDescent="0.25">
      <c r="A577" s="2" t="str">
        <f>"P255014"</f>
        <v>P255014</v>
      </c>
      <c r="B577" s="2" t="str">
        <f>"R420-430 SHAPE ADAPTER"</f>
        <v>R420-430 SHAPE ADAPTER</v>
      </c>
      <c r="C577" s="4">
        <v>204.1</v>
      </c>
      <c r="D577" s="10">
        <v>112.41828000000001</v>
      </c>
    </row>
    <row r="578" spans="1:4" x14ac:dyDescent="0.25">
      <c r="A578" s="2" t="str">
        <f>"P256014"</f>
        <v>P256014</v>
      </c>
      <c r="B578" s="2" t="str">
        <f>"R350 SHAPE ADAPTER"</f>
        <v>R350 SHAPE ADAPTER</v>
      </c>
      <c r="C578" s="4">
        <v>111.19999999999999</v>
      </c>
      <c r="D578" s="10">
        <v>61.248960000000004</v>
      </c>
    </row>
    <row r="579" spans="1:4" x14ac:dyDescent="0.25">
      <c r="A579" s="2" t="str">
        <f>"P265014"</f>
        <v>P265014</v>
      </c>
      <c r="B579" s="2" t="str">
        <f>"C480 SHAPE ADAPTER"</f>
        <v>C480 SHAPE ADAPTER</v>
      </c>
      <c r="C579" s="4">
        <v>204.1</v>
      </c>
      <c r="D579" s="10">
        <v>112.41828000000001</v>
      </c>
    </row>
    <row r="580" spans="1:4" x14ac:dyDescent="0.25">
      <c r="A580" s="2" t="str">
        <f>"50556"</f>
        <v>50556</v>
      </c>
      <c r="B580" s="2" t="str">
        <f>"ARTICULATION BRACKET FOR MK3 BOOM"</f>
        <v>ARTICULATION BRACKET FOR MK3 BOOM</v>
      </c>
      <c r="C580" s="4">
        <v>310.10000000000002</v>
      </c>
      <c r="D580" s="10">
        <v>170.80308000000002</v>
      </c>
    </row>
    <row r="581" spans="1:4" x14ac:dyDescent="0.25">
      <c r="A581" s="2" t="str">
        <f>"51057"</f>
        <v>51057</v>
      </c>
      <c r="B581" s="2" t="str">
        <f>"ARTICULATIONA FORK"</f>
        <v>ARTICULATIONA FORK</v>
      </c>
      <c r="C581" s="4">
        <v>190.6</v>
      </c>
      <c r="D581" s="10">
        <v>104.98248000000001</v>
      </c>
    </row>
    <row r="582" spans="1:4" x14ac:dyDescent="0.25">
      <c r="A582" s="2" t="str">
        <f>"51340"</f>
        <v>51340</v>
      </c>
      <c r="B582" s="2" t="str">
        <f>"GOOSENECK YOKE FOR MK3R"</f>
        <v>GOOSENECK YOKE FOR MK3R</v>
      </c>
      <c r="C582" s="4">
        <v>1992.3999999999999</v>
      </c>
      <c r="D582" s="10">
        <v>1097.4139200000002</v>
      </c>
    </row>
    <row r="583" spans="1:4" x14ac:dyDescent="0.25">
      <c r="A583" s="2" t="str">
        <f>"51429"</f>
        <v>51429</v>
      </c>
      <c r="B583" s="2" t="str">
        <f>"GOOSENECK MAST BRACKET FOR MK2R"</f>
        <v>GOOSENECK MAST BRACKET FOR MK2R</v>
      </c>
      <c r="C583" s="4">
        <v>732.4</v>
      </c>
      <c r="D583" s="10">
        <v>403.40592000000004</v>
      </c>
    </row>
    <row r="584" spans="1:4" x14ac:dyDescent="0.25">
      <c r="A584" s="2" t="str">
        <f>"55043"</f>
        <v>55043</v>
      </c>
      <c r="B584" s="2" t="str">
        <f>"MAST GOOSENECK ATTACHMENT FOR MK4"</f>
        <v>MAST GOOSENECK ATTACHMENT FOR MK4</v>
      </c>
      <c r="C584" s="4">
        <v>1856.6999999999998</v>
      </c>
      <c r="D584" s="10">
        <v>1022.6703600000001</v>
      </c>
    </row>
    <row r="585" spans="1:4" x14ac:dyDescent="0.25">
      <c r="A585" s="2" t="str">
        <f>"P177033"</f>
        <v>P177033</v>
      </c>
      <c r="B585" s="2" t="str">
        <f>"COMPLETE HEAD BLOCK FOR MK1 &amp; 2"</f>
        <v>COMPLETE HEAD BLOCK FOR MK1 &amp; 2</v>
      </c>
      <c r="C585" s="4">
        <v>1018.6</v>
      </c>
      <c r="D585" s="10">
        <v>561.04488000000003</v>
      </c>
    </row>
    <row r="586" spans="1:4" x14ac:dyDescent="0.25">
      <c r="A586" s="2" t="str">
        <f>"P177034"</f>
        <v>P177034</v>
      </c>
      <c r="B586" s="2" t="str">
        <f>"COMPLETE BRACKET &amp; CONNECTOR FOR MK"</f>
        <v>COMPLETE BRACKET &amp; CONNECTOR FOR MK</v>
      </c>
      <c r="C586" s="4">
        <v>331.8</v>
      </c>
      <c r="D586" s="10">
        <v>182.75544000000002</v>
      </c>
    </row>
    <row r="587" spans="1:4" x14ac:dyDescent="0.25">
      <c r="A587" s="2" t="str">
        <f>"P177041"</f>
        <v>P177041</v>
      </c>
      <c r="B587" s="2" t="str">
        <f>"ARTICULATION BRACKET"</f>
        <v>ARTICULATION BRACKET</v>
      </c>
      <c r="C587" s="4">
        <v>150</v>
      </c>
      <c r="D587" s="10">
        <v>82.620000000000019</v>
      </c>
    </row>
    <row r="588" spans="1:4" x14ac:dyDescent="0.25">
      <c r="A588" s="2" t="str">
        <f>"P180011"</f>
        <v>P180011</v>
      </c>
      <c r="B588" s="2" t="str">
        <f>"DRUM HOUSING FOR MK 3"</f>
        <v>DRUM HOUSING FOR MK 3</v>
      </c>
      <c r="C588" s="4">
        <v>2009.3</v>
      </c>
      <c r="D588" s="10">
        <v>1106.7224400000002</v>
      </c>
    </row>
    <row r="589" spans="1:4" x14ac:dyDescent="0.25">
      <c r="A589" s="2" t="str">
        <f>"P180018"</f>
        <v>P180018</v>
      </c>
      <c r="B589" s="2" t="str">
        <f>"BOOM CAP WITH SS FOR MK3 &amp; 3R"</f>
        <v>BOOM CAP WITH SS FOR MK3 &amp; 3R</v>
      </c>
      <c r="C589" s="4">
        <v>903.9</v>
      </c>
      <c r="D589" s="10">
        <v>497.86812000000009</v>
      </c>
    </row>
    <row r="590" spans="1:4" x14ac:dyDescent="0.25">
      <c r="A590" s="2" t="str">
        <f>"P180041"</f>
        <v>P180041</v>
      </c>
      <c r="B590" s="2" t="str">
        <f>"MAST BRACKET FOR MK3 &amp; 3R"</f>
        <v>MAST BRACKET FOR MK3 &amp; 3R</v>
      </c>
      <c r="C590" s="4">
        <v>160.79999999999998</v>
      </c>
      <c r="D590" s="10">
        <v>88.568640000000002</v>
      </c>
    </row>
    <row r="591" spans="1:4" x14ac:dyDescent="0.25">
      <c r="A591" s="2" t="str">
        <f>"P207033"</f>
        <v>P207033</v>
      </c>
      <c r="B591" s="2" t="str">
        <f>"MK3R HALYARD DEFLECTOR"</f>
        <v>MK3R HALYARD DEFLECTOR</v>
      </c>
      <c r="C591" s="4">
        <v>1527.5</v>
      </c>
      <c r="D591" s="10">
        <v>841.34700000000009</v>
      </c>
    </row>
    <row r="592" spans="1:4" x14ac:dyDescent="0.25">
      <c r="A592" s="2" t="str">
        <f>"P207210"</f>
        <v>P207210</v>
      </c>
      <c r="B592" s="2" t="str">
        <f>"COMPLETE MK3R VANG ATTACHMENT"</f>
        <v>COMPLETE MK3R VANG ATTACHMENT</v>
      </c>
      <c r="C592" s="4">
        <v>1811.3999999999999</v>
      </c>
      <c r="D592" s="10">
        <v>997.71912000000009</v>
      </c>
    </row>
    <row r="593" spans="1:4" x14ac:dyDescent="0.25">
      <c r="A593" s="2" t="str">
        <f>"P208042"</f>
        <v>P208042</v>
      </c>
      <c r="B593" s="2" t="str">
        <f>"COMPLETE CONNECTOR MK2R"</f>
        <v>COMPLETE CONNECTOR MK2R</v>
      </c>
      <c r="C593" s="4">
        <v>51.7</v>
      </c>
      <c r="D593" s="10">
        <v>28.476360000000007</v>
      </c>
    </row>
    <row r="594" spans="1:4" x14ac:dyDescent="0.25">
      <c r="A594" s="2" t="str">
        <f>"50486"</f>
        <v>50486</v>
      </c>
      <c r="B594" s="2" t="str">
        <f>"POP RIVET 4.8 X 16 FOR MK 1 &amp; 2"</f>
        <v>POP RIVET 4.8 X 16 FOR MK 1 &amp; 2</v>
      </c>
      <c r="C594" s="4">
        <v>2.2000000000000002</v>
      </c>
      <c r="D594" s="10">
        <v>1.2117600000000002</v>
      </c>
    </row>
    <row r="595" spans="1:4" x14ac:dyDescent="0.25">
      <c r="A595" s="2" t="str">
        <f>"50592"</f>
        <v>50592</v>
      </c>
      <c r="B595" s="2" t="str">
        <f>"GAS JACK 3500N FOR VANG"</f>
        <v>GAS JACK 3500N FOR VANG</v>
      </c>
      <c r="C595" s="4">
        <v>673.4</v>
      </c>
      <c r="D595" s="10">
        <v>370.90872000000002</v>
      </c>
    </row>
    <row r="596" spans="1:4" x14ac:dyDescent="0.25">
      <c r="A596" s="2" t="str">
        <f>"50593"</f>
        <v>50593</v>
      </c>
      <c r="B596" s="2" t="str">
        <f>"GAS JACK 5000N FOR VANG"</f>
        <v>GAS JACK 5000N FOR VANG</v>
      </c>
      <c r="C596" s="4">
        <v>817.1</v>
      </c>
      <c r="D596" s="10">
        <v>450.05868000000004</v>
      </c>
    </row>
    <row r="597" spans="1:4" x14ac:dyDescent="0.25">
      <c r="A597" s="2" t="str">
        <f>"50594"</f>
        <v>50594</v>
      </c>
      <c r="B597" s="2" t="str">
        <f>"GAS SPRING FOR MK0 &amp; MK1 VANG"</f>
        <v>GAS SPRING FOR MK0 &amp; MK1 VANG</v>
      </c>
      <c r="C597" s="4">
        <v>613.30000000000007</v>
      </c>
      <c r="D597" s="10">
        <v>337.8056400000001</v>
      </c>
    </row>
    <row r="598" spans="1:4" x14ac:dyDescent="0.25">
      <c r="A598" s="2" t="str">
        <f>"50668"</f>
        <v>50668</v>
      </c>
      <c r="B598" s="2" t="str">
        <f>"""O-RING D=8X2,4MM"""</f>
        <v>"O-RING D=8X2,4MM"</v>
      </c>
      <c r="C598" s="4">
        <v>2.2000000000000002</v>
      </c>
      <c r="D598" s="10">
        <v>1.2117600000000002</v>
      </c>
    </row>
    <row r="599" spans="1:4" x14ac:dyDescent="0.25">
      <c r="A599" s="2" t="str">
        <f>"50983"</f>
        <v>50983</v>
      </c>
      <c r="B599" s="2" t="str">
        <f>"STARLOCK CAP FOR T26 DRUM CAGE ROLLERS"</f>
        <v>STARLOCK CAP FOR T26 DRUM CAGE ROLLERS</v>
      </c>
      <c r="C599" s="4">
        <v>5.8999999999999995</v>
      </c>
      <c r="D599" s="10">
        <v>3.2497199999999999</v>
      </c>
    </row>
    <row r="600" spans="1:4" x14ac:dyDescent="0.25">
      <c r="A600" s="2" t="str">
        <f>"51029"</f>
        <v>51029</v>
      </c>
      <c r="B600" s="2" t="str">
        <f>"STARLOCK LOCKING WASHER FOR T26"</f>
        <v>STARLOCK LOCKING WASHER FOR T26</v>
      </c>
      <c r="C600" s="4">
        <v>2.3000000000000003</v>
      </c>
      <c r="D600" s="10">
        <v>1.2668400000000002</v>
      </c>
    </row>
    <row r="601" spans="1:4" x14ac:dyDescent="0.25">
      <c r="A601" s="2" t="str">
        <f>"51342"</f>
        <v>51342</v>
      </c>
      <c r="B601" s="2" t="str">
        <f>"GOOSE NECK BRACKET FOR MK3R"</f>
        <v>GOOSE NECK BRACKET FOR MK3R</v>
      </c>
      <c r="C601" s="4">
        <v>902.6</v>
      </c>
      <c r="D601" s="10">
        <v>497.15208000000001</v>
      </c>
    </row>
    <row r="602" spans="1:4" x14ac:dyDescent="0.25">
      <c r="A602" s="2" t="str">
        <f>"51391"</f>
        <v>51391</v>
      </c>
      <c r="B602" s="2" t="str">
        <f>"GOOSENECK BRACKET PLATES FOR MK3R"</f>
        <v>GOOSENECK BRACKET PLATES FOR MK3R</v>
      </c>
      <c r="C602" s="4">
        <v>115.1</v>
      </c>
      <c r="D602" s="10">
        <v>63.39708000000001</v>
      </c>
    </row>
    <row r="603" spans="1:4" x14ac:dyDescent="0.25">
      <c r="A603" s="2" t="str">
        <f>"P177016"</f>
        <v>P177016</v>
      </c>
      <c r="B603" s="2" t="str">
        <f>"TACK SLIDE FOR MK1 &amp; 2"</f>
        <v>TACK SLIDE FOR MK1 &amp; 2</v>
      </c>
      <c r="C603" s="4">
        <v>82.899999999999991</v>
      </c>
      <c r="D603" s="10">
        <v>45.661320000000003</v>
      </c>
    </row>
    <row r="604" spans="1:4" x14ac:dyDescent="0.25">
      <c r="A604" s="2" t="str">
        <f>"P177037"</f>
        <v>P177037</v>
      </c>
      <c r="B604" s="2" t="str">
        <f>"SHEAVE FOR MK1 &amp; 2"</f>
        <v>SHEAVE FOR MK1 &amp; 2</v>
      </c>
      <c r="C604" s="4">
        <v>231.9</v>
      </c>
      <c r="D604" s="10">
        <v>127.73052000000003</v>
      </c>
    </row>
    <row r="605" spans="1:4" x14ac:dyDescent="0.25">
      <c r="A605" s="2" t="str">
        <f>"P177040"</f>
        <v>P177040</v>
      </c>
      <c r="B605" s="2" t="str">
        <f>"SHEAVE PIN AND COTTER PIN FOR MK1 &amp;"</f>
        <v>SHEAVE PIN AND COTTER PIN FOR MK1 &amp;</v>
      </c>
      <c r="C605" s="4">
        <v>46.4</v>
      </c>
      <c r="D605" s="10">
        <v>25.557120000000001</v>
      </c>
    </row>
    <row r="606" spans="1:4" x14ac:dyDescent="0.25">
      <c r="A606" s="2" t="str">
        <f>"P180016"</f>
        <v>P180016</v>
      </c>
      <c r="B606" s="2" t="str">
        <f>"TACK SLIDE PIN FOR MK3 &amp; 3R"</f>
        <v>TACK SLIDE PIN FOR MK3 &amp; 3R</v>
      </c>
      <c r="C606" s="4">
        <v>129.79999999999998</v>
      </c>
      <c r="D606" s="10">
        <v>71.493840000000006</v>
      </c>
    </row>
    <row r="607" spans="1:4" x14ac:dyDescent="0.25">
      <c r="A607" s="2" t="str">
        <f>"P180100"</f>
        <v>P180100</v>
      </c>
      <c r="B607" s="2" t="str">
        <f>"COMPLETE VANG MK 3 &amp; 3R"</f>
        <v>COMPLETE VANG MK 3 &amp; 3R</v>
      </c>
      <c r="C607" s="4">
        <v>2458.6</v>
      </c>
      <c r="D607" s="10">
        <v>1354.19688</v>
      </c>
    </row>
    <row r="608" spans="1:4" x14ac:dyDescent="0.25">
      <c r="A608" s="2" t="str">
        <f>"P181100"</f>
        <v>P181100</v>
      </c>
      <c r="B608" s="2" t="str">
        <f>"COMPLETE VANG FOR MK2"</f>
        <v>COMPLETE VANG FOR MK2</v>
      </c>
      <c r="C608" s="4">
        <v>2170</v>
      </c>
      <c r="D608" s="10">
        <v>1195.2360000000001</v>
      </c>
    </row>
    <row r="609" spans="1:4" x14ac:dyDescent="0.25">
      <c r="A609" s="2" t="str">
        <f>"P191100"</f>
        <v>P191100</v>
      </c>
      <c r="B609" s="2" t="str">
        <f>"COMPLETE VANG FOR MK 0"</f>
        <v>COMPLETE VANG FOR MK 0</v>
      </c>
      <c r="C609" s="4">
        <v>1024.3</v>
      </c>
      <c r="D609" s="10">
        <v>564.18444000000011</v>
      </c>
    </row>
    <row r="610" spans="1:4" x14ac:dyDescent="0.25">
      <c r="A610" s="2" t="str">
        <f>"00056"</f>
        <v>00056</v>
      </c>
      <c r="B610" s="2" t="str">
        <f>"""STOP C290,C320,NC/LC32,B29"""</f>
        <v>"STOP C290,C320,NC/LC32,B29"</v>
      </c>
      <c r="C610" s="4">
        <v>18.100000000000001</v>
      </c>
      <c r="D610" s="10">
        <v>9.9694800000000008</v>
      </c>
    </row>
    <row r="611" spans="1:4" x14ac:dyDescent="0.25">
      <c r="A611" s="2" t="str">
        <f>"02103"</f>
        <v>02103</v>
      </c>
      <c r="B611" s="2" t="str">
        <f>"TOP BEARING HOLDER STOP 42 MODELS &amp;"</f>
        <v>TOP BEARING HOLDER STOP 42 MODELS &amp;</v>
      </c>
      <c r="C611" s="4">
        <v>20.400000000000002</v>
      </c>
      <c r="D611" s="10">
        <v>11.236320000000001</v>
      </c>
    </row>
    <row r="612" spans="1:4" x14ac:dyDescent="0.25">
      <c r="A612" s="2" t="str">
        <f>"02256"</f>
        <v>02256</v>
      </c>
      <c r="B612" s="2" t="str">
        <f>"TOP BEARING HOLDER STOP FOR 52 MODE"</f>
        <v>TOP BEARING HOLDER STOP FOR 52 MODE</v>
      </c>
      <c r="C612" s="4">
        <v>69.8</v>
      </c>
      <c r="D612" s="10">
        <v>38.445839999999997</v>
      </c>
    </row>
    <row r="613" spans="1:4" x14ac:dyDescent="0.25">
      <c r="A613" s="2" t="str">
        <f>"50000"</f>
        <v>50000</v>
      </c>
      <c r="B613" s="2" t="str">
        <f>"TOP BEARING HOLDER STOP R25"</f>
        <v>TOP BEARING HOLDER STOP R25</v>
      </c>
      <c r="C613" s="4">
        <v>15</v>
      </c>
      <c r="D613" s="10">
        <v>8.2620000000000022</v>
      </c>
    </row>
    <row r="614" spans="1:4" x14ac:dyDescent="0.25">
      <c r="A614" s="2" t="str">
        <f>"53039"</f>
        <v>53039</v>
      </c>
      <c r="B614" s="2" t="str">
        <f>"""STOP 480, 520, 530"""</f>
        <v>"STOP 480, 520, 530"</v>
      </c>
      <c r="C614" s="4">
        <v>33.300000000000004</v>
      </c>
      <c r="D614" s="10">
        <v>18.341640000000005</v>
      </c>
    </row>
    <row r="615" spans="1:4" x14ac:dyDescent="0.25">
      <c r="A615" s="2" t="str">
        <f>"P042035"</f>
        <v>P042035</v>
      </c>
      <c r="B615" s="2" t="str">
        <f>"COMPLETE ALUMINUM FEEDER FOR 52 MOD"</f>
        <v>COMPLETE ALUMINUM FEEDER FOR 52 MOD</v>
      </c>
      <c r="C615" s="4">
        <v>975.4</v>
      </c>
      <c r="D615" s="10">
        <v>537.2503200000001</v>
      </c>
    </row>
    <row r="616" spans="1:4" x14ac:dyDescent="0.25">
      <c r="A616" s="2" t="str">
        <f>"00053"</f>
        <v>00053</v>
      </c>
      <c r="B616" s="2" t="str">
        <f>"FEEDER STOP TC M5X6 N&amp;L"</f>
        <v>FEEDER STOP TC M5X6 N&amp;L</v>
      </c>
      <c r="C616" s="4">
        <v>3.1</v>
      </c>
      <c r="D616" s="10">
        <v>1.7074800000000003</v>
      </c>
    </row>
    <row r="617" spans="1:4" x14ac:dyDescent="0.25">
      <c r="A617" s="2" t="str">
        <f>"01654"</f>
        <v>01654</v>
      </c>
      <c r="B617" s="2" t="str">
        <f>"LOWER SWIVEL BUSHING 32 MODEL"</f>
        <v>LOWER SWIVEL BUSHING 32 MODEL</v>
      </c>
      <c r="C617" s="4">
        <v>9.2999999999999989</v>
      </c>
      <c r="D617" s="10">
        <v>5.1224400000000001</v>
      </c>
    </row>
    <row r="618" spans="1:4" x14ac:dyDescent="0.25">
      <c r="A618" s="2" t="str">
        <f>"01659"</f>
        <v>01659</v>
      </c>
      <c r="B618" s="2" t="str">
        <f>"5MM MAINSHEET BAIL"</f>
        <v>5MM MAINSHEET BAIL</v>
      </c>
      <c r="C618" s="4">
        <v>103.5</v>
      </c>
      <c r="D618" s="10">
        <v>57.00780000000001</v>
      </c>
    </row>
    <row r="619" spans="1:4" x14ac:dyDescent="0.25">
      <c r="A619" s="2" t="str">
        <f>"02748"</f>
        <v>02748</v>
      </c>
      <c r="B619" s="2" t="str">
        <f>"ALIGNMENT PIN C260"</f>
        <v>ALIGNMENT PIN C260</v>
      </c>
      <c r="C619" s="4">
        <v>12.6</v>
      </c>
      <c r="D619" s="10">
        <v>6.94008</v>
      </c>
    </row>
    <row r="620" spans="1:4" x14ac:dyDescent="0.25">
      <c r="A620" s="2" t="str">
        <f>"03245"</f>
        <v>03245</v>
      </c>
      <c r="B620" s="2" t="str">
        <f>"CHAPE FIXATION 812 ED/HD"</f>
        <v>CHAPE FIXATION 812 ED/HD</v>
      </c>
      <c r="C620" s="4">
        <v>2142.6</v>
      </c>
      <c r="D620" s="10">
        <v>1180.1440800000003</v>
      </c>
    </row>
    <row r="621" spans="1:4" x14ac:dyDescent="0.25">
      <c r="A621" s="2" t="str">
        <f>"04199"</f>
        <v>04199</v>
      </c>
      <c r="B621" s="2" t="str">
        <f>"SHEAVE BOX HOUSING T26"</f>
        <v>SHEAVE BOX HOUSING T26</v>
      </c>
      <c r="C621" s="4">
        <v>65</v>
      </c>
      <c r="D621" s="10">
        <v>35.802</v>
      </c>
    </row>
    <row r="622" spans="1:4" x14ac:dyDescent="0.25">
      <c r="A622" s="2" t="str">
        <f>"04366"</f>
        <v>04366</v>
      </c>
      <c r="B622" s="2" t="str">
        <f>"SWIVEL RING EC4000"</f>
        <v>SWIVEL RING EC4000</v>
      </c>
      <c r="C622" s="4">
        <v>72.5</v>
      </c>
      <c r="D622" s="10">
        <v>39.933000000000007</v>
      </c>
    </row>
    <row r="623" spans="1:4" x14ac:dyDescent="0.25">
      <c r="A623" s="2" t="str">
        <f>"05005"</f>
        <v>05005</v>
      </c>
      <c r="B623" s="2" t="str">
        <f>"""SS DRUM CAGE FOR N, NI 31 &amp; NC, NCI"""</f>
        <v>"SS DRUM CAGE FOR N, NI 31 &amp; NC, NCI"</v>
      </c>
      <c r="C623" s="4">
        <v>180.5</v>
      </c>
      <c r="D623" s="10">
        <v>99.41940000000001</v>
      </c>
    </row>
    <row r="624" spans="1:4" x14ac:dyDescent="0.25">
      <c r="A624" s="2" t="str">
        <f>"50053"</f>
        <v>50053</v>
      </c>
      <c r="B624" s="2" t="str">
        <f>"TOP BUSHING FOR B35 SWIVEL"</f>
        <v>TOP BUSHING FOR B35 SWIVEL</v>
      </c>
      <c r="C624" s="4">
        <v>15.5</v>
      </c>
      <c r="D624" s="10">
        <v>8.5374000000000017</v>
      </c>
    </row>
    <row r="625" spans="1:4" x14ac:dyDescent="0.25">
      <c r="A625" s="2" t="str">
        <f>"50054"</f>
        <v>50054</v>
      </c>
      <c r="B625" s="2" t="str">
        <f>"BOTTOM BUSHING FOR B35 SWIVEL"</f>
        <v>BOTTOM BUSHING FOR B35 SWIVEL</v>
      </c>
      <c r="C625" s="4">
        <v>15.5</v>
      </c>
      <c r="D625" s="10">
        <v>8.5374000000000017</v>
      </c>
    </row>
    <row r="626" spans="1:4" x14ac:dyDescent="0.25">
      <c r="A626" s="2" t="str">
        <f>"50102"</f>
        <v>50102</v>
      </c>
      <c r="B626" s="2" t="str">
        <f>"UPPER BUSHING FOR 32 SWIVEL"</f>
        <v>UPPER BUSHING FOR 32 SWIVEL</v>
      </c>
      <c r="C626" s="4">
        <v>9.2999999999999989</v>
      </c>
      <c r="D626" s="10">
        <v>5.1224400000000001</v>
      </c>
    </row>
    <row r="627" spans="1:4" x14ac:dyDescent="0.25">
      <c r="A627" s="2" t="str">
        <f>"50103"</f>
        <v>50103</v>
      </c>
      <c r="B627" s="2" t="str">
        <f>"TOP BUSHING FOR B29 SWIVEL"</f>
        <v>TOP BUSHING FOR B29 SWIVEL</v>
      </c>
      <c r="C627" s="4">
        <v>9</v>
      </c>
      <c r="D627" s="10">
        <v>4.9572000000000003</v>
      </c>
    </row>
    <row r="628" spans="1:4" x14ac:dyDescent="0.25">
      <c r="A628" s="2" t="str">
        <f>"50324"</f>
        <v>50324</v>
      </c>
      <c r="B628" s="2" t="str">
        <f>"BOTTOM EXTRUSION STOP SCREW LC/LCI4"</f>
        <v>BOTTOM EXTRUSION STOP SCREW LC/LCI4</v>
      </c>
      <c r="C628" s="4">
        <v>67.599999999999994</v>
      </c>
      <c r="D628" s="10">
        <v>37.234079999999999</v>
      </c>
    </row>
    <row r="629" spans="1:4" x14ac:dyDescent="0.25">
      <c r="A629" s="2" t="str">
        <f>"50456"</f>
        <v>50456</v>
      </c>
      <c r="B629" s="2" t="str">
        <f>"FLASQUE VIT MULET BM1"</f>
        <v>FLASQUE VIT MULET BM1</v>
      </c>
      <c r="C629" s="4">
        <v>62.1</v>
      </c>
      <c r="D629" s="10">
        <v>34.204680000000003</v>
      </c>
    </row>
    <row r="630" spans="1:4" x14ac:dyDescent="0.25">
      <c r="A630" s="2" t="str">
        <f>"50658"</f>
        <v>50658</v>
      </c>
      <c r="B630" s="2" t="str">
        <f>"LEXAN ADH.300*120*0.25 RAL9006"</f>
        <v>LEXAN ADH.300*120*0.25 RAL9006</v>
      </c>
      <c r="C630" s="4">
        <v>64.8</v>
      </c>
      <c r="D630" s="10">
        <v>35.691840000000006</v>
      </c>
    </row>
    <row r="631" spans="1:4" x14ac:dyDescent="0.25">
      <c r="A631" s="2" t="str">
        <f>"50967"</f>
        <v>50967</v>
      </c>
      <c r="B631" s="2" t="str">
        <f>"STOPPER FOR C260"</f>
        <v>STOPPER FOR C260</v>
      </c>
      <c r="C631" s="4">
        <v>50.9</v>
      </c>
      <c r="D631" s="10">
        <v>28.035720000000005</v>
      </c>
    </row>
    <row r="632" spans="1:4" x14ac:dyDescent="0.25">
      <c r="A632" s="2" t="str">
        <f>"50975"</f>
        <v>50975</v>
      </c>
      <c r="B632" s="2" t="str">
        <f>"BOTTOM BEARING FOR THE C260"</f>
        <v>BOTTOM BEARING FOR THE C260</v>
      </c>
      <c r="C632" s="4">
        <v>65.3</v>
      </c>
      <c r="D632" s="10">
        <v>35.967240000000004</v>
      </c>
    </row>
    <row r="633" spans="1:4" x14ac:dyDescent="0.25">
      <c r="A633" s="2" t="str">
        <f>"ICONNECT 0.9"</f>
        <v>ICONNECT 0.9</v>
      </c>
      <c r="B633" s="2" t="str">
        <f>"ICONNECT KIT FOR NEX 0.9"</f>
        <v>ICONNECT KIT FOR NEX 0.9</v>
      </c>
      <c r="C633" s="4">
        <v>312</v>
      </c>
      <c r="D633" s="10">
        <v>171.84960000000001</v>
      </c>
    </row>
    <row r="634" spans="1:4" x14ac:dyDescent="0.25">
      <c r="A634" s="2" t="str">
        <f>"P265013"</f>
        <v>P265013</v>
      </c>
      <c r="B634" s="2" t="str">
        <f>"DRUM C480"</f>
        <v>DRUM C480</v>
      </c>
      <c r="C634" s="4">
        <v>505.3</v>
      </c>
      <c r="D634" s="10">
        <v>278.31924000000009</v>
      </c>
    </row>
    <row r="635" spans="1:4" x14ac:dyDescent="0.25">
      <c r="A635" s="2" t="str">
        <f>"01439"</f>
        <v>01439</v>
      </c>
      <c r="B635" s="2" t="str">
        <f>"TOP SWIVEL BUSHING FOR 42"</f>
        <v>TOP SWIVEL BUSHING FOR 42</v>
      </c>
      <c r="C635" s="4">
        <v>15.7</v>
      </c>
      <c r="D635" s="10">
        <v>8.6475600000000004</v>
      </c>
    </row>
    <row r="636" spans="1:4" x14ac:dyDescent="0.25">
      <c r="A636" s="2" t="str">
        <f>"P253110"</f>
        <v>P253110</v>
      </c>
      <c r="B636" s="2" t="str">
        <f>"15/32 PIN WITH SS LOCKING DEVICE (12MM)"</f>
        <v>15/32 PIN WITH SS LOCKING DEVICE (12MM)</v>
      </c>
      <c r="C636" s="4">
        <v>198.5</v>
      </c>
      <c r="D636" s="10">
        <v>109.33380000000001</v>
      </c>
    </row>
    <row r="637" spans="1:4" x14ac:dyDescent="0.25">
      <c r="A637" s="2" t="str">
        <f>"PF8141-L"</f>
        <v>PF8141-L</v>
      </c>
      <c r="B637" s="2" t="str">
        <f>"PROFURL SOFTSHELL JACKET L"</f>
        <v>PROFURL SOFTSHELL JACKET L</v>
      </c>
      <c r="C637" s="4">
        <v>218.9</v>
      </c>
      <c r="D637" s="10">
        <v>120.57012</v>
      </c>
    </row>
    <row r="638" spans="1:4" x14ac:dyDescent="0.25">
      <c r="A638" s="2" t="str">
        <f>"P153010"</f>
        <v>P153010</v>
      </c>
      <c r="B638" s="2" t="str">
        <f>"COMPLETE DRUM MECHANISM FOR B35 S &amp;"</f>
        <v>COMPLETE DRUM MECHANISM FOR B35 S &amp;</v>
      </c>
      <c r="C638" s="4">
        <v>1268.0999999999999</v>
      </c>
      <c r="D638" s="10">
        <v>698.46948000000009</v>
      </c>
    </row>
    <row r="639" spans="1:4" x14ac:dyDescent="0.25">
      <c r="A639" s="2" t="str">
        <f>"P250012"</f>
        <v>P250012</v>
      </c>
      <c r="B639" s="2" t="str">
        <f>"COMPLETE DRUM MECH. C290"</f>
        <v>COMPLETE DRUM MECH. C290</v>
      </c>
      <c r="C639" s="4">
        <v>791.9</v>
      </c>
      <c r="D639" s="10">
        <v>436.17852000000011</v>
      </c>
    </row>
    <row r="640" spans="1:4" x14ac:dyDescent="0.25">
      <c r="A640" s="2" t="str">
        <f>"P252020"</f>
        <v>P252020</v>
      </c>
      <c r="B640" s="2" t="str">
        <f>"C 320 SWIVEL"</f>
        <v>C 320 SWIVEL</v>
      </c>
      <c r="C640" s="4">
        <v>912</v>
      </c>
      <c r="D640" s="10">
        <v>502.32960000000014</v>
      </c>
    </row>
    <row r="641" spans="1:4" x14ac:dyDescent="0.25">
      <c r="A641" s="2" t="str">
        <f>"P253020"</f>
        <v>P253020</v>
      </c>
      <c r="B641" s="2" t="str">
        <f>"CMP SWIVEL C350"</f>
        <v>CMP SWIVEL C350</v>
      </c>
      <c r="C641" s="4">
        <v>1062.6999999999998</v>
      </c>
      <c r="D641" s="10">
        <v>585.33515999999997</v>
      </c>
    </row>
    <row r="642" spans="1:4" x14ac:dyDescent="0.25">
      <c r="A642" s="2" t="str">
        <f>"P269020"</f>
        <v>P269020</v>
      </c>
      <c r="B642" s="2" t="str">
        <f>"COMPLETE SWIVEL FOR C530"</f>
        <v>COMPLETE SWIVEL FOR C530</v>
      </c>
      <c r="C642" s="4">
        <v>4220.1000000000004</v>
      </c>
      <c r="D642" s="10">
        <v>2324.4310800000003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443"/>
  <sheetViews>
    <sheetView workbookViewId="0">
      <selection activeCell="B18" sqref="B18"/>
    </sheetView>
  </sheetViews>
  <sheetFormatPr defaultRowHeight="15" x14ac:dyDescent="0.25"/>
  <cols>
    <col min="1" max="1" width="14.7109375" style="2" bestFit="1" customWidth="1"/>
    <col min="2" max="2" width="46.42578125" style="2" bestFit="1" customWidth="1"/>
    <col min="3" max="3" width="11.5703125" style="2" bestFit="1" customWidth="1"/>
    <col min="4" max="4" width="15.5703125" style="2" bestFit="1" customWidth="1"/>
    <col min="5" max="16384" width="9.140625" style="2"/>
  </cols>
  <sheetData>
    <row r="6" spans="1:4" x14ac:dyDescent="0.25">
      <c r="A6" s="1" t="s">
        <v>0</v>
      </c>
      <c r="B6" s="1" t="s">
        <v>1</v>
      </c>
      <c r="C6" s="1" t="s">
        <v>2</v>
      </c>
      <c r="D6" s="1" t="s">
        <v>5</v>
      </c>
    </row>
    <row r="7" spans="1:4" x14ac:dyDescent="0.25">
      <c r="A7" s="2" t="str">
        <f>"24000091130"</f>
        <v>24000091130</v>
      </c>
      <c r="B7" s="2" t="str">
        <f>"FXSUN 13MM ROPE CLAMP"</f>
        <v>FXSUN 13MM ROPE CLAMP</v>
      </c>
      <c r="C7" s="4">
        <v>0</v>
      </c>
      <c r="D7" s="9" t="e">
        <f>#REF!*0.9</f>
        <v>#REF!</v>
      </c>
    </row>
    <row r="8" spans="1:4" x14ac:dyDescent="0.25">
      <c r="A8" s="2" t="str">
        <f>"24004000000"</f>
        <v>24004000000</v>
      </c>
      <c r="B8" s="2" t="str">
        <f>"FXSUN SPLICED FURLING LINE"</f>
        <v>FXSUN SPLICED FURLING LINE</v>
      </c>
      <c r="C8" s="4">
        <v>81.599999999999994</v>
      </c>
      <c r="D8" s="9">
        <v>44.945280000000004</v>
      </c>
    </row>
    <row r="9" spans="1:4" x14ac:dyDescent="0.25">
      <c r="A9" s="2" t="str">
        <f>"24011113000"</f>
        <v>24011113000</v>
      </c>
      <c r="B9" s="2" t="str">
        <f>"FXSUN D13 ANTI-TORSION ROPE PER METER"</f>
        <v>FXSUN D13 ANTI-TORSION ROPE PER METER</v>
      </c>
      <c r="C9" s="4">
        <v>20.400000000000002</v>
      </c>
      <c r="D9" s="9">
        <v>11.236320000000001</v>
      </c>
    </row>
    <row r="10" spans="1:4" x14ac:dyDescent="0.25">
      <c r="A10" s="2" t="str">
        <f>"25200010114"</f>
        <v>25200010114</v>
      </c>
      <c r="B10" s="2" t="str">
        <f>"FXSUN FCI THIMBLE D15"</f>
        <v>FXSUN FCI THIMBLE D15</v>
      </c>
      <c r="C10" s="4">
        <v>52.4</v>
      </c>
      <c r="D10" s="9">
        <v>28.861920000000005</v>
      </c>
    </row>
    <row r="11" spans="1:4" x14ac:dyDescent="0.25">
      <c r="A11" s="2" t="str">
        <f>"43118000025"</f>
        <v>43118000025</v>
      </c>
      <c r="B11" s="2" t="str">
        <f>"FXS250 COMPLETE SUN SHADE"</f>
        <v>FXS250 COMPLETE SUN SHADE</v>
      </c>
      <c r="C11" s="4">
        <v>1750</v>
      </c>
      <c r="D11" s="9">
        <v>963.9</v>
      </c>
    </row>
    <row r="12" spans="1:4" x14ac:dyDescent="0.25">
      <c r="A12" s="2" t="str">
        <f>"43118004540"</f>
        <v>43118004540</v>
      </c>
      <c r="B12" s="2" t="str">
        <f>"FXS450 MECA KIT DRUM &amp; SWIVEL"</f>
        <v>FXS450 MECA KIT DRUM &amp; SWIVEL</v>
      </c>
      <c r="C12" s="4">
        <v>901.1</v>
      </c>
      <c r="D12" s="9">
        <v>496.32588000000004</v>
      </c>
    </row>
    <row r="13" spans="1:4" x14ac:dyDescent="0.25">
      <c r="A13" s="2" t="str">
        <f>"43118450940"</f>
        <v>43118450940</v>
      </c>
      <c r="B13" s="2" t="str">
        <f>"FXS090/150/250 SS CORDAGE KIT"</f>
        <v>FXS090/150/250 SS CORDAGE KIT</v>
      </c>
      <c r="C13" s="4">
        <v>61.5</v>
      </c>
      <c r="D13" s="9">
        <v>33.874200000000002</v>
      </c>
    </row>
    <row r="14" spans="1:4" x14ac:dyDescent="0.25">
      <c r="A14" s="2" t="str">
        <f>"43118700000"</f>
        <v>43118700000</v>
      </c>
      <c r="B14" s="2" t="str">
        <f>"FXS90/15/250 FURLING LINE KIT"</f>
        <v>FXS90/15/250 FURLING LINE KIT</v>
      </c>
      <c r="C14" s="4">
        <v>0</v>
      </c>
      <c r="D14" s="9" t="e">
        <f>#REF!*0.9</f>
        <v>#REF!</v>
      </c>
    </row>
    <row r="15" spans="1:4" x14ac:dyDescent="0.25">
      <c r="A15" s="2" t="str">
        <f>"43119008100"</f>
        <v>43119008100</v>
      </c>
      <c r="B15" s="2" t="str">
        <f>"FXSUN TW SUN WINCH CLEAT"</f>
        <v>FXSUN TW SUN WINCH CLEAT</v>
      </c>
      <c r="C15" s="4">
        <v>274</v>
      </c>
      <c r="D15" s="9">
        <v>150.91920000000002</v>
      </c>
    </row>
    <row r="16" spans="1:4" x14ac:dyDescent="0.25">
      <c r="A16" s="2" t="str">
        <f>"10124440000"</f>
        <v>10124440000</v>
      </c>
      <c r="B16" s="2" t="str">
        <f>"LX 60 FURLER"</f>
        <v>LX 60 FURLER</v>
      </c>
      <c r="C16" s="4">
        <v>1325</v>
      </c>
      <c r="D16" s="9">
        <v>729.81000000000006</v>
      </c>
    </row>
    <row r="17" spans="1:4" x14ac:dyDescent="0.25">
      <c r="A17" s="2" t="str">
        <f>"10223224600"</f>
        <v>10223224600</v>
      </c>
      <c r="B17" s="2" t="str">
        <f>"LX 70 FURLER"</f>
        <v>LX 70 FURLER</v>
      </c>
      <c r="C17" s="4">
        <v>1710</v>
      </c>
      <c r="D17" s="9">
        <v>941.86800000000017</v>
      </c>
    </row>
    <row r="18" spans="1:4" x14ac:dyDescent="0.25">
      <c r="A18" s="2" t="str">
        <f>"10325444600"</f>
        <v>10325444600</v>
      </c>
      <c r="B18" s="2" t="str">
        <f>"LX 100 FURLER"</f>
        <v>LX 100 FURLER</v>
      </c>
      <c r="C18" s="4">
        <v>2375</v>
      </c>
      <c r="D18" s="9">
        <v>1308.1500000000003</v>
      </c>
    </row>
    <row r="19" spans="1:4" x14ac:dyDescent="0.25">
      <c r="A19" s="2" t="str">
        <f>"10425424600"</f>
        <v>10425424600</v>
      </c>
      <c r="B19" s="2" t="str">
        <f>"LX 130 FURLER"</f>
        <v>LX 130 FURLER</v>
      </c>
      <c r="C19" s="4">
        <v>2875</v>
      </c>
      <c r="D19" s="9">
        <v>1583.5500000000002</v>
      </c>
    </row>
    <row r="20" spans="1:4" x14ac:dyDescent="0.25">
      <c r="A20" s="2" t="str">
        <f>"10523644600"</f>
        <v>10523644600</v>
      </c>
      <c r="B20" s="2" t="str">
        <f>"LX165-12-08-13KR15AR25KC00000S"</f>
        <v>LX165-12-08-13KR15AR25KC00000S</v>
      </c>
      <c r="C20" s="4">
        <v>3400</v>
      </c>
      <c r="D20" s="9">
        <v>1872.7200000000003</v>
      </c>
    </row>
    <row r="21" spans="1:4" x14ac:dyDescent="0.25">
      <c r="A21" s="2" t="str">
        <f>"10625684600"</f>
        <v>10625684600</v>
      </c>
      <c r="B21" s="2" t="str">
        <f>"LX180-14-10-16KR15AR25KC00000S"</f>
        <v>LX180-14-10-16KR15AR25KC00000S</v>
      </c>
      <c r="C21" s="4">
        <v>4152.9000000000005</v>
      </c>
      <c r="D21" s="9">
        <v>2287.4173200000009</v>
      </c>
    </row>
    <row r="22" spans="1:4" x14ac:dyDescent="0.25">
      <c r="A22" s="2" t="str">
        <f>"10726464600"</f>
        <v>10726464600</v>
      </c>
      <c r="B22" s="2" t="str">
        <f>"LX 200 FURLER"</f>
        <v>LX 200 FURLER</v>
      </c>
      <c r="C22" s="4">
        <v>4915</v>
      </c>
      <c r="D22" s="9">
        <v>2707.1820000000007</v>
      </c>
    </row>
    <row r="23" spans="1:4" x14ac:dyDescent="0.25">
      <c r="A23" s="2" t="str">
        <f>"10824653600"</f>
        <v>10824653600</v>
      </c>
      <c r="B23" s="2" t="str">
        <f>"LX 290 FURLER"</f>
        <v>LX 290 FURLER</v>
      </c>
      <c r="C23" s="4">
        <v>6650</v>
      </c>
      <c r="D23" s="9">
        <v>3662.82</v>
      </c>
    </row>
    <row r="24" spans="1:4" x14ac:dyDescent="0.25">
      <c r="A24" s="2" t="str">
        <f>"10923245600"</f>
        <v>10923245600</v>
      </c>
      <c r="B24" s="2" t="str">
        <f>"LX 330 FURLER"</f>
        <v>LX 330 FURLER</v>
      </c>
      <c r="C24" s="4">
        <v>11780</v>
      </c>
      <c r="D24" s="9">
        <v>6488.4240000000009</v>
      </c>
    </row>
    <row r="25" spans="1:4" x14ac:dyDescent="0.25">
      <c r="A25" s="2" t="str">
        <f>"11225444600"</f>
        <v>11225444600</v>
      </c>
      <c r="B25" s="2" t="str">
        <f>"RX 100 FURLER"</f>
        <v>RX 100 FURLER</v>
      </c>
      <c r="C25" s="4">
        <v>2453.7999999999997</v>
      </c>
      <c r="D25" s="9">
        <v>1351.55304</v>
      </c>
    </row>
    <row r="26" spans="1:4" x14ac:dyDescent="0.25">
      <c r="A26" s="2" t="str">
        <f>"11325424600"</f>
        <v>11325424600</v>
      </c>
      <c r="B26" s="2" t="str">
        <f>"""RX 130 FURLER 3/8"""" Pin"""</f>
        <v>"RX 130 FURLER 3/8"" Pin"</v>
      </c>
      <c r="C26" s="4">
        <v>2848.2</v>
      </c>
      <c r="D26" s="9">
        <v>1568.7885600000002</v>
      </c>
    </row>
    <row r="27" spans="1:4" x14ac:dyDescent="0.25">
      <c r="A27" s="2" t="str">
        <f>"11423654600"</f>
        <v>11423654600</v>
      </c>
      <c r="B27" s="2" t="str">
        <f>"RX 165 FURLER"</f>
        <v>RX 165 FURLER</v>
      </c>
      <c r="C27" s="4">
        <v>3523.6</v>
      </c>
      <c r="D27" s="9">
        <v>1940.7988800000003</v>
      </c>
    </row>
    <row r="28" spans="1:4" x14ac:dyDescent="0.25">
      <c r="A28" s="2" t="str">
        <f>"11524884600"</f>
        <v>11524884600</v>
      </c>
      <c r="B28" s="2" t="str">
        <f>"RX 220 FURLER"</f>
        <v>RX 220 FURLER</v>
      </c>
      <c r="C28" s="4">
        <v>4845.6000000000004</v>
      </c>
      <c r="D28" s="9">
        <v>2668.9564800000003</v>
      </c>
    </row>
    <row r="29" spans="1:4" x14ac:dyDescent="0.25">
      <c r="A29" s="2" t="str">
        <f>"11626664600"</f>
        <v>11626664600</v>
      </c>
      <c r="B29" s="2" t="str">
        <f>"RX 260 FURLER"</f>
        <v>RX 260 FURLER</v>
      </c>
      <c r="C29" s="4">
        <v>5683.4000000000005</v>
      </c>
      <c r="D29" s="9">
        <v>3130.4167200000006</v>
      </c>
    </row>
    <row r="30" spans="1:4" x14ac:dyDescent="0.25">
      <c r="A30" s="2" t="str">
        <f>"11724863600"</f>
        <v>11724863600</v>
      </c>
      <c r="B30" s="2" t="str">
        <f>"RX 300 FURLER"</f>
        <v>RX 300 FURLER</v>
      </c>
      <c r="C30" s="4">
        <v>7358.9000000000005</v>
      </c>
      <c r="D30" s="9">
        <v>4053.2821200000003</v>
      </c>
    </row>
    <row r="31" spans="1:4" x14ac:dyDescent="0.25">
      <c r="A31" s="2" t="str">
        <f>"11727783600"</f>
        <v>11727783600</v>
      </c>
      <c r="B31" s="2" t="str">
        <f>"RX300-21-12-22KR15AR35KC00000S"</f>
        <v>RX300-21-12-22KR15AR35KC00000S</v>
      </c>
      <c r="C31" s="4">
        <v>8567.4</v>
      </c>
      <c r="D31" s="9">
        <v>4718.9239200000002</v>
      </c>
    </row>
    <row r="32" spans="1:4" x14ac:dyDescent="0.25">
      <c r="A32" s="2" t="str">
        <f>"24000102200"</f>
        <v>24000102200</v>
      </c>
      <c r="B32" s="2" t="str">
        <f>"SINGLE STANCHION FAIRLEAD 25MM"</f>
        <v>SINGLE STANCHION FAIRLEAD 25MM</v>
      </c>
      <c r="C32" s="4">
        <v>19</v>
      </c>
      <c r="D32" s="9">
        <v>10.465200000000001</v>
      </c>
    </row>
    <row r="33" spans="1:4" x14ac:dyDescent="0.25">
      <c r="A33" s="2" t="str">
        <f>"48010510030"</f>
        <v>48010510030</v>
      </c>
      <c r="B33" s="2" t="str">
        <f>"10 CF105 FURLER PL3+KB"</f>
        <v>10 CF105 FURLER PL3+KB</v>
      </c>
      <c r="C33" s="4">
        <v>11559.300000000001</v>
      </c>
      <c r="D33" s="9">
        <v>6366.8624400000017</v>
      </c>
    </row>
    <row r="34" spans="1:4" x14ac:dyDescent="0.25">
      <c r="A34" s="2" t="str">
        <f>"70050000001"</f>
        <v>70050000001</v>
      </c>
      <c r="B34" s="2" t="str">
        <f>"J111 FD110 AVR 6.4/12.7/54"</f>
        <v>J111 FD110 AVR 6.4/12.7/54</v>
      </c>
      <c r="C34" s="4">
        <v>3342</v>
      </c>
      <c r="D34" s="9">
        <v>1840.7736000000002</v>
      </c>
    </row>
    <row r="35" spans="1:4" x14ac:dyDescent="0.25">
      <c r="A35" s="2" t="str">
        <f>"72255440610"</f>
        <v>72255440610</v>
      </c>
      <c r="B35" s="2" t="str">
        <f>"""FD 110 FLAT DECK FURLER 3/8"""""""</f>
        <v>"FD 110 FLAT DECK FURLER 3/8"""</v>
      </c>
      <c r="C35" s="4">
        <v>2807.1</v>
      </c>
      <c r="D35" s="9">
        <v>1546.1506800000002</v>
      </c>
    </row>
    <row r="36" spans="1:4" x14ac:dyDescent="0.25">
      <c r="A36" s="2" t="str">
        <f>"72455640610"</f>
        <v>72455640610</v>
      </c>
      <c r="B36" s="2" t="str">
        <f>"FD190 FLAT DECK FURLER"</f>
        <v>FD190 FLAT DECK FURLER</v>
      </c>
      <c r="C36" s="4">
        <v>3511.4</v>
      </c>
      <c r="D36" s="9">
        <v>1934.0791200000003</v>
      </c>
    </row>
    <row r="37" spans="1:4" x14ac:dyDescent="0.25">
      <c r="A37" s="2" t="str">
        <f>"72656660610"</f>
        <v>72656660610</v>
      </c>
      <c r="B37" s="2" t="str">
        <f>"FD230 FLAT DECK FURLER"</f>
        <v>FD230 FLAT DECK FURLER</v>
      </c>
      <c r="C37" s="4">
        <v>4391.8</v>
      </c>
      <c r="D37" s="9">
        <v>2419.0034400000004</v>
      </c>
    </row>
    <row r="38" spans="1:4" x14ac:dyDescent="0.25">
      <c r="A38" s="2" t="str">
        <f>"72754660610"</f>
        <v>72754660610</v>
      </c>
      <c r="B38" s="2" t="str">
        <f>"FD310-18-10-16KR07AR51KCSPSTDS"</f>
        <v>FD310-18-10-16KR07AR51KCSPSTDS</v>
      </c>
      <c r="C38" s="4">
        <v>6484.1</v>
      </c>
      <c r="D38" s="9">
        <v>3571.4422800000011</v>
      </c>
    </row>
    <row r="39" spans="1:4" x14ac:dyDescent="0.25">
      <c r="A39" s="2" t="str">
        <f>"72754860610"</f>
        <v>72754860610</v>
      </c>
      <c r="B39" s="2" t="str">
        <f>"FD 280 FLAT DECK FURLER"</f>
        <v>FD 280 FLAT DECK FURLER</v>
      </c>
      <c r="C39" s="4">
        <v>6088.7000000000007</v>
      </c>
      <c r="D39" s="9">
        <v>3353.655960000001</v>
      </c>
    </row>
    <row r="40" spans="1:4" x14ac:dyDescent="0.25">
      <c r="A40" s="2" t="str">
        <f>"73255220610"</f>
        <v>73255220610</v>
      </c>
      <c r="B40" s="2" t="str">
        <f>"FD 090 FLAT DECK FURLER"</f>
        <v>FD 090 FLAT DECK FURLER</v>
      </c>
      <c r="C40" s="4">
        <v>2400</v>
      </c>
      <c r="D40" s="9">
        <v>1321.9200000000003</v>
      </c>
    </row>
    <row r="41" spans="1:4" x14ac:dyDescent="0.25">
      <c r="A41" s="2" t="str">
        <f>"73355420610"</f>
        <v>73355420610</v>
      </c>
      <c r="B41" s="2" t="str">
        <f>"""FD 170 FLAT DECK FURLER 3/8"""" PIN SIZE"""</f>
        <v>"FD 170 FLAT DECK FURLER 3/8"" PIN SIZE"</v>
      </c>
      <c r="C41" s="4">
        <v>3185</v>
      </c>
      <c r="D41" s="9">
        <v>1754.2980000000002</v>
      </c>
    </row>
    <row r="42" spans="1:4" x14ac:dyDescent="0.25">
      <c r="A42" s="2" t="str">
        <f>"73655680610"</f>
        <v>73655680610</v>
      </c>
      <c r="B42" s="2" t="str">
        <f>"FD 210 FLAT DECK FURLER"</f>
        <v>FD 210 FLAT DECK FURLER</v>
      </c>
      <c r="C42" s="4">
        <v>3460</v>
      </c>
      <c r="D42" s="9">
        <v>1905.7680000000005</v>
      </c>
    </row>
    <row r="43" spans="1:4" x14ac:dyDescent="0.25">
      <c r="A43" s="2" t="str">
        <f>"09190039040"</f>
        <v>09190039040</v>
      </c>
      <c r="B43" s="2" t="str">
        <f>"COMPLETE 2M SX39 EXTRUSION SECTION"</f>
        <v>COMPLETE 2M SX39 EXTRUSION SECTION</v>
      </c>
      <c r="C43" s="4">
        <v>294.60000000000002</v>
      </c>
      <c r="D43" s="9">
        <v>162.26568000000003</v>
      </c>
    </row>
    <row r="44" spans="1:4" x14ac:dyDescent="0.25">
      <c r="A44" s="3" t="str">
        <f>"10114444600"</f>
        <v>10114444600</v>
      </c>
      <c r="B44" s="2" t="str">
        <f>"L S60 FURLER"</f>
        <v>L S60 FURLER</v>
      </c>
      <c r="C44" s="4">
        <v>1005</v>
      </c>
      <c r="D44" s="9">
        <v>553.55400000000009</v>
      </c>
    </row>
    <row r="45" spans="1:4" x14ac:dyDescent="0.25">
      <c r="A45" s="2" t="str">
        <f>"10213224600"</f>
        <v>10213224600</v>
      </c>
      <c r="B45" s="2" t="str">
        <f>"LS 070 FURLER"</f>
        <v>LS 070 FURLER</v>
      </c>
      <c r="C45" s="4">
        <v>1350</v>
      </c>
      <c r="D45" s="9">
        <v>743.58000000000015</v>
      </c>
    </row>
    <row r="46" spans="1:4" x14ac:dyDescent="0.25">
      <c r="A46" s="3" t="str">
        <f>"10315444600"</f>
        <v>10315444600</v>
      </c>
      <c r="B46" s="2" t="str">
        <f>"LS 100 FURLER"</f>
        <v>LS 100 FURLER</v>
      </c>
      <c r="C46" s="4">
        <v>1950</v>
      </c>
      <c r="D46" s="9">
        <v>1074.0600000000002</v>
      </c>
    </row>
    <row r="47" spans="1:4" x14ac:dyDescent="0.25">
      <c r="A47" s="3" t="str">
        <f>"10415654600"</f>
        <v>10415654600</v>
      </c>
      <c r="B47" s="2" t="str">
        <f>"LS130-12- 7-13KR10AR20KC00000S"</f>
        <v>LS130-12- 7-13KR10AR20KC00000S</v>
      </c>
      <c r="C47" s="4">
        <v>2265</v>
      </c>
      <c r="D47" s="9">
        <v>1247.5620000000001</v>
      </c>
    </row>
    <row r="48" spans="1:4" x14ac:dyDescent="0.25">
      <c r="A48" s="2" t="str">
        <f>"10515644600"</f>
        <v>10515644600</v>
      </c>
      <c r="B48" s="2" t="str">
        <f>"LS165-14-08-13KR15AR25KC00000S"</f>
        <v>LS165-14-08-13KR15AR25KC00000S</v>
      </c>
      <c r="C48" s="4">
        <v>2845.9</v>
      </c>
      <c r="D48" s="9">
        <v>1567.5217200000004</v>
      </c>
    </row>
    <row r="49" spans="1:4" x14ac:dyDescent="0.25">
      <c r="A49" s="2" t="str">
        <f>"10525644600"</f>
        <v>10525644600</v>
      </c>
      <c r="B49" s="2" t="str">
        <f>"LX165"</f>
        <v>LX165</v>
      </c>
      <c r="C49" s="4">
        <v>2408.9</v>
      </c>
      <c r="D49" s="9">
        <v>1326.82212</v>
      </c>
    </row>
    <row r="50" spans="1:4" x14ac:dyDescent="0.25">
      <c r="A50" s="2" t="str">
        <f>"10615684600"</f>
        <v>10615684600</v>
      </c>
      <c r="B50" s="2" t="str">
        <f>"LS180-14-10-16KR15AR25KC00000S"</f>
        <v>LS180-14-10-16KR15AR25KC00000S</v>
      </c>
      <c r="C50" s="4">
        <v>3519.4</v>
      </c>
      <c r="D50" s="9">
        <v>1938.4855200000002</v>
      </c>
    </row>
    <row r="51" spans="1:4" x14ac:dyDescent="0.25">
      <c r="A51" s="2" t="str">
        <f>"10716464600"</f>
        <v>10716464600</v>
      </c>
      <c r="B51" s="2" t="str">
        <f>"LS 200 FURLER"</f>
        <v>LS 200 FURLER</v>
      </c>
      <c r="C51" s="4">
        <v>4250</v>
      </c>
      <c r="D51" s="9">
        <v>2340.9</v>
      </c>
    </row>
    <row r="52" spans="1:4" x14ac:dyDescent="0.25">
      <c r="A52" s="2" t="str">
        <f>"10814653600"</f>
        <v>10814653600</v>
      </c>
      <c r="B52" s="2" t="str">
        <f>"LS290-18-12-18KR15AR35KC00000S"</f>
        <v>LS290-18-12-18KR15AR35KC00000S</v>
      </c>
      <c r="C52" s="4">
        <v>5631.6</v>
      </c>
      <c r="D52" s="9">
        <v>3101.8852800000004</v>
      </c>
    </row>
    <row r="53" spans="1:4" x14ac:dyDescent="0.25">
      <c r="A53" s="2" t="str">
        <f>"10919485600"</f>
        <v>10919485600</v>
      </c>
      <c r="B53" s="2" t="str">
        <f>"LS330-26-16-25KR25AR45KC00000S"</f>
        <v>LS330-26-16-25KR25AR45KC00000S</v>
      </c>
      <c r="C53" s="4">
        <v>10165.800000000001</v>
      </c>
      <c r="D53" s="9">
        <v>5599.3226400000012</v>
      </c>
    </row>
    <row r="54" spans="1:4" x14ac:dyDescent="0.25">
      <c r="A54" s="2" t="str">
        <f>"03039000100"</f>
        <v>03039000100</v>
      </c>
      <c r="B54" s="2" t="str">
        <f>"MANUAL OVERRIDE SYSTEM FOR ELE. FURL"</f>
        <v>MANUAL OVERRIDE SYSTEM FOR ELE. FURL</v>
      </c>
      <c r="C54" s="4">
        <v>907.1</v>
      </c>
      <c r="D54" s="9">
        <v>499.63068000000004</v>
      </c>
    </row>
    <row r="55" spans="1:4" x14ac:dyDescent="0.25">
      <c r="A55" s="2" t="str">
        <f>"03653622219"</f>
        <v>03653622219</v>
      </c>
      <c r="B55" s="2" t="str">
        <f>"EF+600/24V ELE. FURL. 22M SX53 FOIL 3/4"</f>
        <v>EF+600/24V ELE. FURL. 22M SX53 FOIL 3/4</v>
      </c>
      <c r="C55" s="4">
        <v>21742.799999999999</v>
      </c>
      <c r="D55" s="9">
        <v>11975.934240000002</v>
      </c>
    </row>
    <row r="56" spans="1:4" x14ac:dyDescent="0.25">
      <c r="A56" s="2" t="str">
        <f>"56012000140"</f>
        <v>56012000140</v>
      </c>
      <c r="B56" s="2" t="str">
        <f>"WIRED REMOTE CONTROLLER FOR ELE. FURLER"</f>
        <v>WIRED REMOTE CONTROLLER FOR ELE. FURLER</v>
      </c>
      <c r="C56" s="4">
        <v>190.29999999999998</v>
      </c>
      <c r="D56" s="9">
        <v>104.81724</v>
      </c>
    </row>
    <row r="57" spans="1:4" x14ac:dyDescent="0.25">
      <c r="A57" s="2" t="str">
        <f>"56012000150"</f>
        <v>56012000150</v>
      </c>
      <c r="B57" s="2" t="str">
        <f>"WIRELESS REMOTE CONT. FOR ELE. FURLER"</f>
        <v>WIRELESS REMOTE CONT. FOR ELE. FURLER</v>
      </c>
      <c r="C57" s="4">
        <v>686.80000000000007</v>
      </c>
      <c r="D57" s="9">
        <v>378.28944000000007</v>
      </c>
    </row>
    <row r="58" spans="1:4" x14ac:dyDescent="0.25">
      <c r="A58" s="2" t="str">
        <f>"EC39 14M 5/16"</f>
        <v>EC39 14M 5/16</v>
      </c>
      <c r="B58" s="2" t="str">
        <f>"""ELE. FURLER 14M SX39 FOIL 5/16"""" STAY"""</f>
        <v>"ELE. FURLER 14M SX39 FOIL 5/16"" STAY"</v>
      </c>
      <c r="C58" s="4">
        <v>6616.1</v>
      </c>
      <c r="D58" s="9">
        <v>3644.1478800000004</v>
      </c>
    </row>
    <row r="59" spans="1:4" x14ac:dyDescent="0.25">
      <c r="A59" s="2" t="str">
        <f>"EC39 16M 3/8"</f>
        <v>EC39 16M 3/8</v>
      </c>
      <c r="B59" s="2" t="str">
        <f>"""ELE. FURLER 16M SX39 FOIL 3/8"""" STAY"""</f>
        <v>"ELE. FURLER 16M SX39 FOIL 3/8"" STAY"</v>
      </c>
      <c r="C59" s="4">
        <v>6880.5</v>
      </c>
      <c r="D59" s="9">
        <v>3789.7794000000008</v>
      </c>
    </row>
    <row r="60" spans="1:4" x14ac:dyDescent="0.25">
      <c r="A60" s="2" t="str">
        <f>"EC47 18M 1/2"</f>
        <v>EC47 18M 1/2</v>
      </c>
      <c r="B60" s="2" t="str">
        <f>"""ELE. FURLER 16M SX47 FOIL 1/2"""" STAY"""</f>
        <v>"ELE. FURLER 16M SX47 FOIL 1/2"" STAY"</v>
      </c>
      <c r="C60" s="4">
        <v>9670.7000000000007</v>
      </c>
      <c r="D60" s="9">
        <v>5326.6215600000005</v>
      </c>
    </row>
    <row r="61" spans="1:4" x14ac:dyDescent="0.25">
      <c r="A61" s="2" t="str">
        <f>"EC47 20M 1/2"</f>
        <v>EC47 20M 1/2</v>
      </c>
      <c r="B61" s="2" t="str">
        <f>"ELE. FURLER 20M SX47 FOIL 1/2 STAY"</f>
        <v>ELE. FURLER 20M SX47 FOIL 1/2 STAY</v>
      </c>
      <c r="C61" s="4">
        <v>9990</v>
      </c>
      <c r="D61" s="9">
        <v>5502.4920000000011</v>
      </c>
    </row>
    <row r="62" spans="1:4" x14ac:dyDescent="0.25">
      <c r="A62" s="2" t="str">
        <f>"EC47MK"</f>
        <v>EC47MK</v>
      </c>
      <c r="B62" s="2" t="str">
        <f>"EC47 MOTORIZTION KIT 12/24 VOLT"</f>
        <v>EC47 MOTORIZTION KIT 12/24 VOLT</v>
      </c>
      <c r="C62" s="4">
        <v>6639</v>
      </c>
      <c r="D62" s="9">
        <v>3656.7612000000008</v>
      </c>
    </row>
    <row r="63" spans="1:4" x14ac:dyDescent="0.25">
      <c r="A63" s="2" t="str">
        <f>"EF+550 18M 1/2"</f>
        <v>EF+550 18M 1/2</v>
      </c>
      <c r="B63" s="2" t="str">
        <f>"""ELC. FURLER 18M SX47 FOIL 1/2"""" STAY"""</f>
        <v>"ELC. FURLER 18M SX47 FOIL 1/2"" STAY"</v>
      </c>
      <c r="C63" s="4">
        <v>12332.4</v>
      </c>
      <c r="D63" s="9">
        <v>6792.6859200000017</v>
      </c>
    </row>
    <row r="64" spans="1:4" x14ac:dyDescent="0.25">
      <c r="A64" s="2" t="str">
        <f>"EF+550 20M 916"</f>
        <v>EF+550 20M 916</v>
      </c>
      <c r="B64" s="2" t="str">
        <f>"""ELE. FURLER 20M SX47 FOIL 9/16"""" STAY"""</f>
        <v>"ELE. FURLER 20M SX47 FOIL 9/16"" STAY"</v>
      </c>
      <c r="C64" s="4">
        <v>12651.800000000001</v>
      </c>
      <c r="D64" s="9">
        <v>6968.6114400000015</v>
      </c>
    </row>
    <row r="65" spans="1:4" x14ac:dyDescent="0.25">
      <c r="A65" s="2" t="str">
        <f>"EF+600 20M 3/4"</f>
        <v>EF+600 20M 3/4</v>
      </c>
      <c r="B65" s="2" t="str">
        <f>"ELE. FURLER 20M SX53 FOIL 3/4 STAY"</f>
        <v>ELE. FURLER 20M SX53 FOIL 3/4 STAY</v>
      </c>
      <c r="C65" s="4">
        <v>25797.3</v>
      </c>
      <c r="D65" s="9">
        <v>14209.152840000001</v>
      </c>
    </row>
    <row r="66" spans="1:4" x14ac:dyDescent="0.25">
      <c r="A66" s="2" t="str">
        <f>"EF+600 22M 7/8"</f>
        <v>EF+600 22M 7/8</v>
      </c>
      <c r="B66" s="2" t="str">
        <f>"""ELE. FURLER 22M SX53 FOIL 7/8"""" STAY"""</f>
        <v>"ELE. FURLER 22M SX53 FOIL 7/8"" STAY"</v>
      </c>
      <c r="C66" s="4">
        <v>21242.6</v>
      </c>
      <c r="D66" s="9">
        <v>11700.424080000003</v>
      </c>
    </row>
    <row r="67" spans="1:4" x14ac:dyDescent="0.25">
      <c r="A67" s="2" t="str">
        <f>"EF+600 24M 7/8"</f>
        <v>EF+600 24M 7/8</v>
      </c>
      <c r="B67" s="2" t="str">
        <f>"""ELE. FURLER 24M SX53 FOIL 7/8"""" STAY"""</f>
        <v>"ELE. FURLER 24M SX53 FOIL 7/8"" STAY"</v>
      </c>
      <c r="C67" s="4">
        <v>21649</v>
      </c>
      <c r="D67" s="9">
        <v>11924.269200000002</v>
      </c>
    </row>
    <row r="68" spans="1:4" x14ac:dyDescent="0.25">
      <c r="A68" s="2" t="str">
        <f>"HF550 18M"</f>
        <v>HF550 18M</v>
      </c>
      <c r="B68" s="2" t="str">
        <f>"""HYDR. FURLER 18M SX47 FOIL 9/16"""" STAY"""</f>
        <v>"HYDR. FURLER 18M SX47 FOIL 9/16"" STAY"</v>
      </c>
      <c r="C68" s="4">
        <v>24610.399999999998</v>
      </c>
      <c r="D68" s="9">
        <v>13555.40832</v>
      </c>
    </row>
    <row r="69" spans="1:4" x14ac:dyDescent="0.25">
      <c r="A69" s="2" t="str">
        <f>"HF550 20M"</f>
        <v>HF550 20M</v>
      </c>
      <c r="B69" s="2" t="str">
        <f>"""HYDR. FURLER 20M SX47 FOIL 9/16"""" STAY"""</f>
        <v>"HYDR. FURLER 20M SX47 FOIL 9/16"" STAY"</v>
      </c>
      <c r="C69" s="4">
        <v>24874.799999999999</v>
      </c>
      <c r="D69" s="9">
        <v>13701.039840000001</v>
      </c>
    </row>
    <row r="70" spans="1:4" x14ac:dyDescent="0.25">
      <c r="A70" s="2" t="str">
        <f>"HF600 22M"</f>
        <v>HF600 22M</v>
      </c>
      <c r="B70" s="2" t="str">
        <f>"""HYDR. FURLER 22M SX53 FOIL 3/4""""  STAY"""</f>
        <v>"HYDR. FURLER 22M SX53 FOIL 3/4""  STAY"</v>
      </c>
      <c r="C70" s="4">
        <v>20455.699999999997</v>
      </c>
      <c r="D70" s="9">
        <v>11266.999559999998</v>
      </c>
    </row>
    <row r="71" spans="1:4" x14ac:dyDescent="0.25">
      <c r="A71" s="2" t="str">
        <f>"HF600 24M"</f>
        <v>HF600 24M</v>
      </c>
      <c r="B71" s="2" t="str">
        <f>"""HYDR. FURLER 24M SX53 FOIL 3/4""""  STAY"""</f>
        <v>"HYDR. FURLER 24M SX53 FOIL 3/4""  STAY"</v>
      </c>
      <c r="C71" s="4">
        <v>30488.3</v>
      </c>
      <c r="D71" s="9">
        <v>16792.955640000004</v>
      </c>
    </row>
    <row r="72" spans="1:4" x14ac:dyDescent="0.25">
      <c r="A72" s="2" t="str">
        <f>"HF700 28M"</f>
        <v>HF700 28M</v>
      </c>
      <c r="B72" s="2" t="str">
        <f>"""HYDR. FURLER 28M SX53 FOIL 7/8""""  STAY"""</f>
        <v>"HYDR. FURLER 28M SX53 FOIL 7/8""  STAY"</v>
      </c>
      <c r="C72" s="4">
        <v>45610.299999999996</v>
      </c>
      <c r="D72" s="9">
        <v>25122.15324</v>
      </c>
    </row>
    <row r="73" spans="1:4" x14ac:dyDescent="0.25">
      <c r="A73" s="2" t="str">
        <f>"HF700 30M"</f>
        <v>HF700 30M</v>
      </c>
      <c r="B73" s="2" t="str">
        <f>"HYDR. FURLER 30M SX53 FOIL -76 ROD"</f>
        <v>HYDR. FURLER 30M SX53 FOIL -76 ROD</v>
      </c>
      <c r="C73" s="4">
        <v>46016.7</v>
      </c>
      <c r="D73" s="9">
        <v>25345.998360000001</v>
      </c>
    </row>
    <row r="74" spans="1:4" x14ac:dyDescent="0.25">
      <c r="A74" s="2" t="str">
        <f>"24000102300"</f>
        <v>24000102300</v>
      </c>
      <c r="B74" s="2" t="str">
        <f>"ARTICULATED STANCHION FAIRLEAD REF ASL25"</f>
        <v>ARTICULATED STANCHION FAIRLEAD REF ASL25</v>
      </c>
      <c r="C74" s="4">
        <v>35.6</v>
      </c>
      <c r="D74" s="9">
        <v>19.608480000000004</v>
      </c>
    </row>
    <row r="75" spans="1:4" x14ac:dyDescent="0.25">
      <c r="A75" s="2" t="str">
        <f>"24000102400"</f>
        <v>24000102400</v>
      </c>
      <c r="B75" s="2" t="str">
        <f>"SINGLE DECK MOUNT FAIRLEAD M10 THREAD"</f>
        <v>SINGLE DECK MOUNT FAIRLEAD M10 THREAD</v>
      </c>
      <c r="C75" s="4">
        <v>67.3</v>
      </c>
      <c r="D75" s="9">
        <v>37.068840000000002</v>
      </c>
    </row>
    <row r="76" spans="1:4" x14ac:dyDescent="0.25">
      <c r="A76" s="2" t="str">
        <f>"02500010051"</f>
        <v>02500010051</v>
      </c>
      <c r="B76" s="2" t="str">
        <f>"S/S CLAMP ON FAIRLEAD FOR SNAP SHACKLE"</f>
        <v>S/S CLAMP ON FAIRLEAD FOR SNAP SHACKLE</v>
      </c>
      <c r="C76" s="4">
        <v>300.40000000000003</v>
      </c>
      <c r="D76" s="9">
        <v>165.46032000000005</v>
      </c>
    </row>
    <row r="77" spans="1:4" x14ac:dyDescent="0.25">
      <c r="A77" s="2" t="str">
        <f>"24000102110"</f>
        <v>24000102110</v>
      </c>
      <c r="B77" s="2" t="str">
        <f>"TSL25 DOUBLE FAIRLEAD"</f>
        <v>TSL25 DOUBLE FAIRLEAD</v>
      </c>
      <c r="C77" s="4">
        <v>76.3</v>
      </c>
      <c r="D77" s="9">
        <v>42.026040000000002</v>
      </c>
    </row>
    <row r="78" spans="1:4" x14ac:dyDescent="0.25">
      <c r="A78" s="2" t="str">
        <f>"24000102130"</f>
        <v>24000102130</v>
      </c>
      <c r="B78" s="2" t="str">
        <f>"TSL28 DOUBLE FAIRLEAD"</f>
        <v>TSL28 DOUBLE FAIRLEAD</v>
      </c>
      <c r="C78" s="4">
        <v>86.8</v>
      </c>
      <c r="D78" s="9">
        <v>47.809440000000002</v>
      </c>
    </row>
    <row r="79" spans="1:4" x14ac:dyDescent="0.25">
      <c r="A79" s="2" t="str">
        <f>"240006012M1"</f>
        <v>240006012M1</v>
      </c>
      <c r="B79" s="2" t="str">
        <f>"6MM X 6M CONTINUOUS LINE (FOR 900)"</f>
        <v>6MM X 6M CONTINUOUS LINE (FOR 900)</v>
      </c>
      <c r="C79" s="4">
        <v>97.6</v>
      </c>
      <c r="D79" s="9">
        <v>53.758079999999993</v>
      </c>
    </row>
    <row r="80" spans="1:4" x14ac:dyDescent="0.25">
      <c r="A80" s="2" t="str">
        <f>"240006016M1"</f>
        <v>240006016M1</v>
      </c>
      <c r="B80" s="2" t="str">
        <f>"6MM X 8M CONTINUOUS LINE (FOR 900)"</f>
        <v>6MM X 8M CONTINUOUS LINE (FOR 900)</v>
      </c>
      <c r="C80" s="4">
        <v>117.89999999999999</v>
      </c>
      <c r="D80" s="9">
        <v>64.939319999999995</v>
      </c>
    </row>
    <row r="81" spans="1:4" x14ac:dyDescent="0.25">
      <c r="A81" s="2" t="str">
        <f>"240008016M1"</f>
        <v>240008016M1</v>
      </c>
      <c r="B81" s="2" t="str">
        <f>"8MM X 8M CONTINUOUS LINE (FOR 1500/2500)"</f>
        <v>8MM X 8M CONTINUOUS LINE (FOR 1500/2500)</v>
      </c>
      <c r="C81" s="4">
        <v>144.9</v>
      </c>
      <c r="D81" s="9">
        <v>79.81092000000001</v>
      </c>
    </row>
    <row r="82" spans="1:4" x14ac:dyDescent="0.25">
      <c r="A82" s="2" t="str">
        <f>"240008020M1"</f>
        <v>240008020M1</v>
      </c>
      <c r="B82" s="2" t="str">
        <f>"8MM X 10M CONTINUOUS LINE(FOR 1500/2500)"</f>
        <v>8MM X 10M CONTINUOUS LINE(FOR 1500/2500)</v>
      </c>
      <c r="C82" s="4">
        <v>173.5</v>
      </c>
      <c r="D82" s="9">
        <v>95.563800000000001</v>
      </c>
    </row>
    <row r="83" spans="1:4" x14ac:dyDescent="0.25">
      <c r="A83" s="2" t="str">
        <f>"24016100200"</f>
        <v>24016100200</v>
      </c>
      <c r="B83" s="2" t="str">
        <f>"10MM X 20M CONTINUOUS LINE (FOR 4500)"</f>
        <v>10MM X 20M CONTINUOUS LINE (FOR 4500)</v>
      </c>
      <c r="C83" s="4">
        <v>193</v>
      </c>
      <c r="D83" s="9">
        <v>106.30440000000002</v>
      </c>
    </row>
    <row r="84" spans="1:4" x14ac:dyDescent="0.25">
      <c r="A84" s="2" t="str">
        <f>"24016100260"</f>
        <v>24016100260</v>
      </c>
      <c r="B84" s="2" t="str">
        <f>"10MM X 23M CONTINUOUS LINE (FOR 4500)"</f>
        <v>10MM X 23M CONTINUOUS LINE (FOR 4500)</v>
      </c>
      <c r="C84" s="4">
        <v>213</v>
      </c>
      <c r="D84" s="9">
        <v>117.32039999999999</v>
      </c>
    </row>
    <row r="85" spans="1:4" x14ac:dyDescent="0.25">
      <c r="A85" s="2" t="str">
        <f>"24016100320"</f>
        <v>24016100320</v>
      </c>
      <c r="B85" s="2" t="str">
        <f>"10MM X 16M CONTINUOUS LINE (FOR 7000)"</f>
        <v>10MM X 16M CONTINUOUS LINE (FOR 7000)</v>
      </c>
      <c r="C85" s="4">
        <v>251.2</v>
      </c>
      <c r="D85" s="9">
        <v>138.36096000000001</v>
      </c>
    </row>
    <row r="86" spans="1:4" x14ac:dyDescent="0.25">
      <c r="A86" s="2" t="str">
        <f>"24018000601"</f>
        <v>24018000601</v>
      </c>
      <c r="B86" s="2" t="str">
        <f>"FRX 1500 FRICTION RING 2:1 SHACKLE"</f>
        <v>FRX 1500 FRICTION RING 2:1 SHACKLE</v>
      </c>
      <c r="C86" s="4">
        <v>256.20000000000005</v>
      </c>
      <c r="D86" s="9">
        <v>141.11496000000002</v>
      </c>
    </row>
    <row r="87" spans="1:4" x14ac:dyDescent="0.25">
      <c r="A87" s="2" t="str">
        <f>"25200010051"</f>
        <v>25200010051</v>
      </c>
      <c r="B87" s="2" t="str">
        <f>"FCI1500 THIMBLE - STAINLESS STEEL"</f>
        <v>FCI1500 THIMBLE - STAINLESS STEEL</v>
      </c>
      <c r="C87" s="4">
        <v>48.6</v>
      </c>
      <c r="D87" s="9">
        <v>26.768880000000003</v>
      </c>
    </row>
    <row r="88" spans="1:4" x14ac:dyDescent="0.25">
      <c r="A88" s="2" t="str">
        <f>"25200010052"</f>
        <v>25200010052</v>
      </c>
      <c r="B88" s="2" t="str">
        <f>"FCI2500 THIMBLE - STAINLESS STEEL"</f>
        <v>FCI2500 THIMBLE - STAINLESS STEEL</v>
      </c>
      <c r="C88" s="4">
        <v>59.9</v>
      </c>
      <c r="D88" s="9">
        <v>32.992919999999998</v>
      </c>
    </row>
    <row r="89" spans="1:4" x14ac:dyDescent="0.25">
      <c r="A89" s="2" t="str">
        <f>"25200010055"</f>
        <v>25200010055</v>
      </c>
      <c r="B89" s="2" t="str">
        <f>"FCI4500 THIMBLE - STAINLESS STEEL"</f>
        <v>FCI4500 THIMBLE - STAINLESS STEEL</v>
      </c>
      <c r="C89" s="4">
        <v>81.899999999999991</v>
      </c>
      <c r="D89" s="9">
        <v>45.110520000000001</v>
      </c>
    </row>
    <row r="90" spans="1:4" x14ac:dyDescent="0.25">
      <c r="A90" s="2" t="str">
        <f>"29050000056"</f>
        <v>29050000056</v>
      </c>
      <c r="B90" s="2" t="str">
        <f>"DC4500 DRUM COVER"</f>
        <v>DC4500 DRUM COVER</v>
      </c>
      <c r="C90" s="4">
        <v>366.1</v>
      </c>
      <c r="D90" s="9">
        <v>201.64788000000004</v>
      </c>
    </row>
    <row r="91" spans="1:4" x14ac:dyDescent="0.25">
      <c r="A91" s="2" t="str">
        <f>"29050000060"</f>
        <v>29050000060</v>
      </c>
      <c r="B91" s="2" t="str">
        <f>"DC7000 DRUM COVER"</f>
        <v>DC7000 DRUM COVER</v>
      </c>
      <c r="C91" s="4">
        <v>403.5</v>
      </c>
      <c r="D91" s="9">
        <v>222.24780000000001</v>
      </c>
    </row>
    <row r="92" spans="1:4" x14ac:dyDescent="0.25">
      <c r="A92" s="2" t="str">
        <f>"29050000076"</f>
        <v>29050000076</v>
      </c>
      <c r="B92" s="2" t="str">
        <f>"DC2500 DRUM COVER"</f>
        <v>DC2500 DRUM COVER</v>
      </c>
      <c r="C92" s="4">
        <v>336.20000000000005</v>
      </c>
      <c r="D92" s="9">
        <v>185.17896000000005</v>
      </c>
    </row>
    <row r="93" spans="1:4" x14ac:dyDescent="0.25">
      <c r="A93" s="2" t="str">
        <f>"29050010090"</f>
        <v>29050010090</v>
      </c>
      <c r="B93" s="2" t="str">
        <f>"SC900 SWIVEL COVER"</f>
        <v>SC900 SWIVEL COVER</v>
      </c>
      <c r="C93" s="4">
        <v>52.7</v>
      </c>
      <c r="D93" s="9">
        <v>29.027160000000009</v>
      </c>
    </row>
    <row r="94" spans="1:4" x14ac:dyDescent="0.25">
      <c r="A94" s="2" t="str">
        <f>"29050010150"</f>
        <v>29050010150</v>
      </c>
      <c r="B94" s="2" t="str">
        <f>"SC1500 SWIVEL COVER"</f>
        <v>SC1500 SWIVEL COVER</v>
      </c>
      <c r="C94" s="4">
        <v>56.5</v>
      </c>
      <c r="D94" s="9">
        <v>31.120200000000004</v>
      </c>
    </row>
    <row r="95" spans="1:4" x14ac:dyDescent="0.25">
      <c r="A95" s="2" t="str">
        <f>"29050010250"</f>
        <v>29050010250</v>
      </c>
      <c r="B95" s="2" t="str">
        <f>"SC2500 SWIVEL COVER"</f>
        <v>SC2500 SWIVEL COVER</v>
      </c>
      <c r="C95" s="4">
        <v>58.800000000000004</v>
      </c>
      <c r="D95" s="9">
        <v>32.387040000000013</v>
      </c>
    </row>
    <row r="96" spans="1:4" x14ac:dyDescent="0.25">
      <c r="A96" s="2" t="str">
        <f>"29050010450"</f>
        <v>29050010450</v>
      </c>
      <c r="B96" s="2" t="str">
        <f>"SC4500 SWIVEL COVER"</f>
        <v>SC4500 SWIVEL COVER</v>
      </c>
      <c r="C96" s="4">
        <v>61.2</v>
      </c>
      <c r="D96" s="9">
        <v>33.708960000000005</v>
      </c>
    </row>
    <row r="97" spans="1:4" x14ac:dyDescent="0.25">
      <c r="A97" s="2" t="str">
        <f>"29050010700"</f>
        <v>29050010700</v>
      </c>
      <c r="B97" s="2" t="str">
        <f>"SC7000 SWIVEL COVER"</f>
        <v>SC7000 SWIVEL COVER</v>
      </c>
      <c r="C97" s="4">
        <v>63.300000000000004</v>
      </c>
      <c r="D97" s="9">
        <v>34.865640000000006</v>
      </c>
    </row>
    <row r="98" spans="1:4" x14ac:dyDescent="0.25">
      <c r="A98" s="2" t="str">
        <f>"43110702540"</f>
        <v>43110702540</v>
      </c>
      <c r="B98" s="2" t="str">
        <f>"FX 2500  GENAKER FURLER NEW"</f>
        <v>FX 2500  GENAKER FURLER NEW</v>
      </c>
      <c r="C98" s="4">
        <v>2250.1999999999998</v>
      </c>
      <c r="D98" s="9">
        <v>1239.4101599999999</v>
      </c>
    </row>
    <row r="99" spans="1:4" x14ac:dyDescent="0.25">
      <c r="A99" s="2" t="str">
        <f>"43130112030"</f>
        <v>43130112030</v>
      </c>
      <c r="B99" s="2" t="str">
        <f>"FB110 BLOCK FOR FX+9000/12000"</f>
        <v>FB110 BLOCK FOR FX+9000/12000</v>
      </c>
      <c r="C99" s="4">
        <v>0</v>
      </c>
      <c r="D99" s="9">
        <v>0</v>
      </c>
    </row>
    <row r="100" spans="1:4" x14ac:dyDescent="0.25">
      <c r="A100" s="2" t="str">
        <f>"43130202535"</f>
        <v>43130202535</v>
      </c>
      <c r="B100" s="2" t="str">
        <f>"NS2500 LASHING THIMBLE"</f>
        <v>NS2500 LASHING THIMBLE</v>
      </c>
      <c r="C100" s="4">
        <v>420.90000000000003</v>
      </c>
      <c r="D100" s="9">
        <v>231.83172000000005</v>
      </c>
    </row>
    <row r="101" spans="1:4" x14ac:dyDescent="0.25">
      <c r="A101" s="2" t="str">
        <f>"43130204535"</f>
        <v>43130204535</v>
      </c>
      <c r="B101" s="2" t="str">
        <f>"NS4500 LASHING THIMBLE"</f>
        <v>NS4500 LASHING THIMBLE</v>
      </c>
      <c r="C101" s="4">
        <v>482.90000000000003</v>
      </c>
      <c r="D101" s="9">
        <v>265.9813200000001</v>
      </c>
    </row>
    <row r="102" spans="1:4" x14ac:dyDescent="0.25">
      <c r="A102" s="2" t="str">
        <f>"43130207035"</f>
        <v>43130207035</v>
      </c>
      <c r="B102" s="2" t="str">
        <f>"NS7000 LASHING THIMBLE"</f>
        <v>NS7000 LASHING THIMBLE</v>
      </c>
      <c r="C102" s="4">
        <v>770.30000000000007</v>
      </c>
      <c r="D102" s="9">
        <v>424.28124000000008</v>
      </c>
    </row>
    <row r="103" spans="1:4" x14ac:dyDescent="0.25">
      <c r="A103" s="2" t="str">
        <f>"43130220030"</f>
        <v>43130220030</v>
      </c>
      <c r="B103" s="2" t="str">
        <f>"FCA20000 THIMBLE - ALUMINUM"</f>
        <v>FCA20000 THIMBLE - ALUMINUM</v>
      </c>
      <c r="C103" s="4">
        <v>1176.8999999999999</v>
      </c>
      <c r="D103" s="9">
        <v>648.23652000000004</v>
      </c>
    </row>
    <row r="104" spans="1:4" x14ac:dyDescent="0.25">
      <c r="A104" s="2" t="str">
        <f>"43130231220"</f>
        <v>43130231220</v>
      </c>
      <c r="B104" s="2" t="str">
        <f>"FCA12000 THIMBLE - ALUMINUM"</f>
        <v>FCA12000 THIMBLE - ALUMINUM</v>
      </c>
      <c r="C104" s="4">
        <v>808.80000000000007</v>
      </c>
      <c r="D104" s="9">
        <v>445.48704000000004</v>
      </c>
    </row>
    <row r="105" spans="1:4" x14ac:dyDescent="0.25">
      <c r="A105" s="2" t="str">
        <f>"43130240010"</f>
        <v>43130240010</v>
      </c>
      <c r="B105" s="2" t="str">
        <f>"FCL1500TOP CABLELESS THIMBLE FX+/NEX"</f>
        <v>FCL1500TOP CABLELESS THIMBLE FX+/NEX</v>
      </c>
      <c r="C105" s="4">
        <v>127.19999999999999</v>
      </c>
      <c r="D105" s="9">
        <v>70.061760000000007</v>
      </c>
    </row>
    <row r="106" spans="1:4" x14ac:dyDescent="0.25">
      <c r="A106" s="2" t="str">
        <f>"43130240020"</f>
        <v>43130240020</v>
      </c>
      <c r="B106" s="2" t="str">
        <f>"FCL2500TOP CABLELESS THIMBLE FX+/NEX"</f>
        <v>FCL2500TOP CABLELESS THIMBLE FX+/NEX</v>
      </c>
      <c r="C106" s="4">
        <v>432.20000000000005</v>
      </c>
      <c r="D106" s="9">
        <v>238.05576000000011</v>
      </c>
    </row>
    <row r="107" spans="1:4" x14ac:dyDescent="0.25">
      <c r="A107" s="2" t="str">
        <f>"43130240040"</f>
        <v>43130240040</v>
      </c>
      <c r="B107" s="2" t="str">
        <f>"FCL4500TOP CABLELESS THIMBLEFX+4500"</f>
        <v>FCL4500TOP CABLELESS THIMBLEFX+4500</v>
      </c>
      <c r="C107" s="4">
        <v>515.80000000000007</v>
      </c>
      <c r="D107" s="9">
        <v>284.10264000000006</v>
      </c>
    </row>
    <row r="108" spans="1:4" x14ac:dyDescent="0.25">
      <c r="A108" s="2" t="str">
        <f>"43130240071"</f>
        <v>43130240071</v>
      </c>
      <c r="B108" s="2" t="str">
        <f>"FCL12000TOP CABLELESS FX9000-12000/STK9T"</f>
        <v>FCL12000TOP CABLELESS FX9000-12000/STK9T</v>
      </c>
      <c r="C108" s="4">
        <v>718</v>
      </c>
      <c r="D108" s="9">
        <v>395.4744</v>
      </c>
    </row>
    <row r="109" spans="1:4" x14ac:dyDescent="0.25">
      <c r="A109" s="2" t="str">
        <f>"43130250010"</f>
        <v>43130250010</v>
      </c>
      <c r="B109" s="2" t="str">
        <f>"FCL1500BOT CABLELESS THIMBLE FX+/NEX"</f>
        <v>FCL1500BOT CABLELESS THIMBLE FX+/NEX</v>
      </c>
      <c r="C109" s="4">
        <v>144.19999999999999</v>
      </c>
      <c r="D109" s="9">
        <v>79.425359999999998</v>
      </c>
    </row>
    <row r="110" spans="1:4" x14ac:dyDescent="0.25">
      <c r="A110" s="2" t="str">
        <f>"43130250020"</f>
        <v>43130250020</v>
      </c>
      <c r="B110" s="2" t="str">
        <f>"FCL2500BOT CABLELESS THIMBLE FX+/NEX"</f>
        <v>FCL2500BOT CABLELESS THIMBLE FX+/NEX</v>
      </c>
      <c r="C110" s="4">
        <v>432.20000000000005</v>
      </c>
      <c r="D110" s="9">
        <v>238.05576000000011</v>
      </c>
    </row>
    <row r="111" spans="1:4" x14ac:dyDescent="0.25">
      <c r="A111" s="2" t="str">
        <f>"43130250040"</f>
        <v>43130250040</v>
      </c>
      <c r="B111" s="2" t="str">
        <f>"FCL4500BOT CABLELESS THIMBLE FX+4500"</f>
        <v>FCL4500BOT CABLELESS THIMBLE FX+4500</v>
      </c>
      <c r="C111" s="4">
        <v>533.30000000000007</v>
      </c>
      <c r="D111" s="9">
        <v>293.74164000000002</v>
      </c>
    </row>
    <row r="112" spans="1:4" x14ac:dyDescent="0.25">
      <c r="A112" s="2" t="str">
        <f>"43130250071"</f>
        <v>43130250071</v>
      </c>
      <c r="B112" s="2" t="str">
        <f>"FCL12000BOT CABLELESS FX9000-12000/STK9T"</f>
        <v>FCL12000BOT CABLELESS FX9000-12000/STK9T</v>
      </c>
      <c r="C112" s="4">
        <v>700</v>
      </c>
      <c r="D112" s="9">
        <v>385.56000000000006</v>
      </c>
    </row>
    <row r="113" spans="1:4" x14ac:dyDescent="0.25">
      <c r="A113" s="2" t="str">
        <f>"43130250072"</f>
        <v>43130250072</v>
      </c>
      <c r="B113" s="2" t="str">
        <f>"FCL7000BOT CABLELESS THIMBLE NEX/KF"</f>
        <v>FCL7000BOT CABLELESS THIMBLE NEX/KF</v>
      </c>
      <c r="C113" s="4">
        <v>752.80000000000007</v>
      </c>
      <c r="D113" s="9">
        <v>414.64224000000007</v>
      </c>
    </row>
    <row r="114" spans="1:4" x14ac:dyDescent="0.25">
      <c r="A114" s="2" t="str">
        <f>"43130721500"</f>
        <v>43130721500</v>
      </c>
      <c r="B114" s="2" t="str">
        <f>"SSH+ 1500 SOLID SHEAVE BLOCK"</f>
        <v>SSH+ 1500 SOLID SHEAVE BLOCK</v>
      </c>
      <c r="C114" s="4">
        <v>90.6</v>
      </c>
      <c r="D114" s="9">
        <v>49.902480000000004</v>
      </c>
    </row>
    <row r="115" spans="1:4" x14ac:dyDescent="0.25">
      <c r="A115" s="2" t="str">
        <f>"43143700701"</f>
        <v>43143700701</v>
      </c>
      <c r="B115" s="2" t="str">
        <f>"SB7000 LOOP+DOGBONE POULIE SB7000"</f>
        <v>SB7000 LOOP+DOGBONE POULIE SB7000</v>
      </c>
      <c r="C115" s="4">
        <v>22.3</v>
      </c>
      <c r="D115" s="9">
        <v>12.282840000000002</v>
      </c>
    </row>
    <row r="116" spans="1:4" x14ac:dyDescent="0.25">
      <c r="A116" s="2" t="str">
        <f>"43170102540"</f>
        <v>43170102540</v>
      </c>
      <c r="B116" s="2" t="str">
        <f>"SB2500 SNATCH BLOCK 50MM"</f>
        <v>SB2500 SNATCH BLOCK 50MM</v>
      </c>
      <c r="C116" s="4">
        <v>476.3</v>
      </c>
      <c r="D116" s="9">
        <v>262.34604000000002</v>
      </c>
    </row>
    <row r="117" spans="1:4" x14ac:dyDescent="0.25">
      <c r="A117" s="2" t="str">
        <f>"43170104540"</f>
        <v>43170104540</v>
      </c>
      <c r="B117" s="2" t="str">
        <f>"SB4500 SNATCH BLOCK 57MM"</f>
        <v>SB4500 SNATCH BLOCK 57MM</v>
      </c>
      <c r="C117" s="4">
        <v>743.4</v>
      </c>
      <c r="D117" s="9">
        <v>409.46472</v>
      </c>
    </row>
    <row r="118" spans="1:4" x14ac:dyDescent="0.25">
      <c r="A118" s="2" t="str">
        <f>"43170107040"</f>
        <v>43170107040</v>
      </c>
      <c r="B118" s="2" t="str">
        <f>"SB7000 SNATCH BLOCK 64MM"</f>
        <v>SB7000 SNATCH BLOCK 64MM</v>
      </c>
      <c r="C118" s="4">
        <v>1096.3999999999999</v>
      </c>
      <c r="D118" s="9">
        <v>603.89711999999997</v>
      </c>
    </row>
    <row r="119" spans="1:4" x14ac:dyDescent="0.25">
      <c r="A119" s="2" t="str">
        <f>"43230000940"</f>
        <v>43230000940</v>
      </c>
      <c r="B119" s="2" t="str">
        <f>"FAST 900 TOP DOWN SWIVEL"</f>
        <v>FAST 900 TOP DOWN SWIVEL</v>
      </c>
      <c r="C119" s="4">
        <v>510</v>
      </c>
      <c r="D119" s="9">
        <v>280.90800000000002</v>
      </c>
    </row>
    <row r="120" spans="1:4" x14ac:dyDescent="0.25">
      <c r="A120" s="2" t="str">
        <f>"43230001540"</f>
        <v>43230001540</v>
      </c>
      <c r="B120" s="2" t="str">
        <f>"FAST 1500 TOP DOWN SWIVEL"</f>
        <v>FAST 1500 TOP DOWN SWIVEL</v>
      </c>
      <c r="C120" s="4">
        <v>552.9</v>
      </c>
      <c r="D120" s="9">
        <v>304.53732000000008</v>
      </c>
    </row>
    <row r="121" spans="1:4" x14ac:dyDescent="0.25">
      <c r="A121" s="2" t="str">
        <f>"43230002540"</f>
        <v>43230002540</v>
      </c>
      <c r="B121" s="2" t="str">
        <f>"FAST 2500 TOP DOWN SWIVEL"</f>
        <v>FAST 2500 TOP DOWN SWIVEL</v>
      </c>
      <c r="C121" s="4">
        <v>667.7</v>
      </c>
      <c r="D121" s="9">
        <v>367.76916000000006</v>
      </c>
    </row>
    <row r="122" spans="1:4" x14ac:dyDescent="0.25">
      <c r="A122" s="2" t="str">
        <f>"43230004540"</f>
        <v>43230004540</v>
      </c>
      <c r="B122" s="2" t="str">
        <f>"FAST 4500 TOP DOWN SWIVEL"</f>
        <v>FAST 4500 TOP DOWN SWIVEL</v>
      </c>
      <c r="C122" s="4">
        <v>898.4</v>
      </c>
      <c r="D122" s="9">
        <v>494.83872000000008</v>
      </c>
    </row>
    <row r="123" spans="1:4" x14ac:dyDescent="0.25">
      <c r="A123" s="2" t="str">
        <f>"43230007040"</f>
        <v>43230007040</v>
      </c>
      <c r="B123" s="2" t="str">
        <f>"FAST 7000 TOP DOWN SWIVEL"</f>
        <v>FAST 7000 TOP DOWN SWIVEL</v>
      </c>
      <c r="C123" s="4">
        <v>2067.6</v>
      </c>
      <c r="D123" s="9">
        <v>1138.8340800000001</v>
      </c>
    </row>
    <row r="124" spans="1:4" x14ac:dyDescent="0.25">
      <c r="A124" s="2" t="str">
        <f>"43230120040"</f>
        <v>43230120040</v>
      </c>
      <c r="B124" s="2" t="str">
        <f>"FAST 9000/12000 TOP DOWN SWIVEL"</f>
        <v>FAST 9000/12000 TOP DOWN SWIVEL</v>
      </c>
      <c r="C124" s="4">
        <v>0</v>
      </c>
      <c r="D124" s="9">
        <v>0</v>
      </c>
    </row>
    <row r="125" spans="1:4" x14ac:dyDescent="0.25">
      <c r="A125" s="2" t="str">
        <f>"43354260502"</f>
        <v>43354260502</v>
      </c>
      <c r="B125" s="2" t="str">
        <f>"D20 M16 APX4 LASH.EYE STK5T"</f>
        <v>D20 M16 APX4 LASH.EYE STK5T</v>
      </c>
      <c r="C125" s="4">
        <v>574.80000000000007</v>
      </c>
      <c r="D125" s="9">
        <v>316.59984000000009</v>
      </c>
    </row>
    <row r="126" spans="1:4" x14ac:dyDescent="0.25">
      <c r="A126" s="2" t="str">
        <f>"43354320253"</f>
        <v>43354320253</v>
      </c>
      <c r="B126" s="2" t="str">
        <f>"SSH+ 2500 SOLID SHEAVE BLOCK"</f>
        <v>SSH+ 2500 SOLID SHEAVE BLOCK</v>
      </c>
      <c r="C126" s="4">
        <v>113</v>
      </c>
      <c r="D126" s="9">
        <v>62.240400000000008</v>
      </c>
    </row>
    <row r="127" spans="1:4" x14ac:dyDescent="0.25">
      <c r="A127" s="2" t="str">
        <f>"43354320453"</f>
        <v>43354320453</v>
      </c>
      <c r="B127" s="2" t="str">
        <f>"SSH+ 4500 SOLID SHEAVE BLOCK"</f>
        <v>SSH+ 4500 SOLID SHEAVE BLOCK</v>
      </c>
      <c r="C127" s="4">
        <v>173.1</v>
      </c>
      <c r="D127" s="9">
        <v>95.34348</v>
      </c>
    </row>
    <row r="128" spans="1:4" x14ac:dyDescent="0.25">
      <c r="A128" s="2" t="str">
        <f>"43354320543"</f>
        <v>43354320543</v>
      </c>
      <c r="B128" s="2" t="str">
        <f>"SSH+ 7000 SOLID SHEAVE BLOCK"</f>
        <v>SSH+ 7000 SOLID SHEAVE BLOCK</v>
      </c>
      <c r="C128" s="4">
        <v>267.90000000000003</v>
      </c>
      <c r="D128" s="9">
        <v>147.55932000000004</v>
      </c>
    </row>
    <row r="129" spans="1:4" x14ac:dyDescent="0.25">
      <c r="A129" s="2" t="str">
        <f>"43354320943"</f>
        <v>43354320943</v>
      </c>
      <c r="B129" s="2" t="str">
        <f>"SSH+ 12000 SOLID SHEAVE BLOCK"</f>
        <v>SSH+ 12000 SOLID SHEAVE BLOCK</v>
      </c>
      <c r="C129" s="4">
        <v>684.7</v>
      </c>
      <c r="D129" s="9">
        <v>377.13276000000008</v>
      </c>
    </row>
    <row r="130" spans="1:4" x14ac:dyDescent="0.25">
      <c r="A130" s="2" t="str">
        <f>"43410101545"</f>
        <v>43410101545</v>
      </c>
      <c r="B130" s="2" t="str">
        <f>"FX+ 1500 FLYING SAIL FURLER"</f>
        <v>FX+ 1500 FLYING SAIL FURLER</v>
      </c>
      <c r="C130" s="4">
        <v>1432.6</v>
      </c>
      <c r="D130" s="9">
        <v>789.07608000000005</v>
      </c>
    </row>
    <row r="131" spans="1:4" x14ac:dyDescent="0.25">
      <c r="A131" s="2" t="str">
        <f>"43410700940"</f>
        <v>43410700940</v>
      </c>
      <c r="B131" s="2" t="str">
        <f>"FX+ 900 FLYING SAIL FURLER"</f>
        <v>FX+ 900 FLYING SAIL FURLER</v>
      </c>
      <c r="C131" s="4">
        <v>1195</v>
      </c>
      <c r="D131" s="9">
        <v>658.20600000000002</v>
      </c>
    </row>
    <row r="132" spans="1:4" x14ac:dyDescent="0.25">
      <c r="A132" s="2" t="str">
        <f>"43410701545"</f>
        <v>43410701545</v>
      </c>
      <c r="B132" s="2" t="str">
        <f>"FX+ 1500 FLYING SAIL FURLER W/RATCHET"</f>
        <v>FX+ 1500 FLYING SAIL FURLER W/RATCHET</v>
      </c>
      <c r="C132" s="4">
        <v>1650</v>
      </c>
      <c r="D132" s="9">
        <v>908.82</v>
      </c>
    </row>
    <row r="133" spans="1:4" x14ac:dyDescent="0.25">
      <c r="A133" s="2" t="str">
        <f>"43410702540"</f>
        <v>43410702540</v>
      </c>
      <c r="B133" s="2" t="str">
        <f>"FX+ 2500 FLYING SAIL FURLER"</f>
        <v>FX+ 2500 FLYING SAIL FURLER</v>
      </c>
      <c r="C133" s="4">
        <v>2190</v>
      </c>
      <c r="D133" s="9">
        <v>1206.252</v>
      </c>
    </row>
    <row r="134" spans="1:4" x14ac:dyDescent="0.25">
      <c r="A134" s="2" t="str">
        <f>"43410702545"</f>
        <v>43410702545</v>
      </c>
      <c r="B134" s="2" t="str">
        <f>"FX+ 2500 FLYING SAIL FURLER W/RATCHET"</f>
        <v>FX+ 2500 FLYING SAIL FURLER W/RATCHET</v>
      </c>
      <c r="C134" s="4">
        <v>2415</v>
      </c>
      <c r="D134" s="9">
        <v>1330.182</v>
      </c>
    </row>
    <row r="135" spans="1:4" x14ac:dyDescent="0.25">
      <c r="A135" s="2" t="str">
        <f>"43410704540"</f>
        <v>43410704540</v>
      </c>
      <c r="B135" s="2" t="str">
        <f>"FX+ 4500 FLYING SAIL FURLER"</f>
        <v>FX+ 4500 FLYING SAIL FURLER</v>
      </c>
      <c r="C135" s="4">
        <v>3900</v>
      </c>
      <c r="D135" s="9">
        <v>2148.1200000000003</v>
      </c>
    </row>
    <row r="136" spans="1:4" x14ac:dyDescent="0.25">
      <c r="A136" s="2" t="str">
        <f>"43410704545"</f>
        <v>43410704545</v>
      </c>
      <c r="B136" s="2" t="str">
        <f>"FX+ 4500 FLYING SAIL FURLER W/RATCHET"</f>
        <v>FX+ 4500 FLYING SAIL FURLER W/RATCHET</v>
      </c>
      <c r="C136" s="4">
        <v>4250</v>
      </c>
      <c r="D136" s="9">
        <v>2340.9</v>
      </c>
    </row>
    <row r="137" spans="1:4" x14ac:dyDescent="0.25">
      <c r="A137" s="2" t="str">
        <f>"43410707040"</f>
        <v>43410707040</v>
      </c>
      <c r="B137" s="2" t="str">
        <f>"FX+ 7000 FLYING SAIL FURLER"</f>
        <v>FX+ 7000 FLYING SAIL FURLER</v>
      </c>
      <c r="C137" s="4">
        <v>6995</v>
      </c>
      <c r="D137" s="9">
        <v>3852.8460000000005</v>
      </c>
    </row>
    <row r="138" spans="1:4" x14ac:dyDescent="0.25">
      <c r="A138" s="2" t="str">
        <f>"43410707045"</f>
        <v>43410707045</v>
      </c>
      <c r="B138" s="2" t="str">
        <f>"FX+ 7000 FLYING SAIL FURLER W/RATCHET"</f>
        <v>FX+ 7000 FLYING SAIL FURLER W/RATCHET</v>
      </c>
      <c r="C138" s="4">
        <v>7325</v>
      </c>
      <c r="D138" s="9">
        <v>4034.6100000000006</v>
      </c>
    </row>
    <row r="139" spans="1:4" x14ac:dyDescent="0.25">
      <c r="A139" s="2" t="str">
        <f>"43420107033"</f>
        <v>43420107033</v>
      </c>
      <c r="B139" s="2" t="str">
        <f>"FX+7000 SWIVEL F/EYE M16 D20 NO ATTACHMT"</f>
        <v>FX+7000 SWIVEL F/EYE M16 D20 NO ATTACHMT</v>
      </c>
      <c r="C139" s="4">
        <v>1795.1999999999998</v>
      </c>
      <c r="D139" s="9">
        <v>988.79615999999999</v>
      </c>
    </row>
    <row r="140" spans="1:4" x14ac:dyDescent="0.25">
      <c r="A140" s="2" t="str">
        <f>"43500012001"</f>
        <v>43500012001</v>
      </c>
      <c r="B140" s="2" t="str">
        <f>"FXH12000 HYDRAULIC FLYING SAIL FURLER"</f>
        <v>FXH12000 HYDRAULIC FLYING SAIL FURLER</v>
      </c>
      <c r="C140" s="4">
        <v>0</v>
      </c>
      <c r="D140" s="9" t="e">
        <f>#REF!*0.9</f>
        <v>#REF!</v>
      </c>
    </row>
    <row r="141" spans="1:4" x14ac:dyDescent="0.25">
      <c r="A141" s="2" t="str">
        <f>"FX12000+"</f>
        <v>FX12000+</v>
      </c>
      <c r="B141" s="2" t="str">
        <f>"FX+ 12000 FLYING SAIL FURLER"</f>
        <v>FX+ 12000 FLYING SAIL FURLER</v>
      </c>
      <c r="C141" s="4">
        <v>16555.699999999997</v>
      </c>
      <c r="D141" s="9">
        <v>9118.8795599999994</v>
      </c>
    </row>
    <row r="142" spans="1:4" x14ac:dyDescent="0.25">
      <c r="A142" s="2" t="str">
        <f>"NS-MC60-002"</f>
        <v>NS-MC60-002</v>
      </c>
      <c r="B142" s="2" t="str">
        <f>"FX7000+ FAST THIMBLE LASH.EYE+2:1 FRSHV"</f>
        <v>FX7000+ FAST THIMBLE LASH.EYE+2:1 FRSHV</v>
      </c>
      <c r="C142" s="4">
        <v>23112.699999999997</v>
      </c>
      <c r="D142" s="9">
        <v>12730.47516</v>
      </c>
    </row>
    <row r="143" spans="1:4" x14ac:dyDescent="0.25">
      <c r="A143" s="2" t="str">
        <f>"43130237030"</f>
        <v>43130237030</v>
      </c>
      <c r="B143" s="2" t="str">
        <f>"FCA7000 THIMBLE - ALUMINUM"</f>
        <v>FCA7000 THIMBLE - ALUMINUM</v>
      </c>
      <c r="C143" s="4">
        <v>342.8</v>
      </c>
      <c r="D143" s="9">
        <v>188.81424000000004</v>
      </c>
    </row>
    <row r="144" spans="1:4" x14ac:dyDescent="0.25">
      <c r="A144" s="2" t="str">
        <f>"43115407040"</f>
        <v>43115407040</v>
      </c>
      <c r="B144" s="2" t="str">
        <f>"FXT 7000 FLYING SAIL FURLER - DRUM STYLE"</f>
        <v>FXT 7000 FLYING SAIL FURLER - DRUM STYLE</v>
      </c>
      <c r="C144" s="4">
        <v>4050</v>
      </c>
      <c r="D144" s="9">
        <v>2230.7399999999998</v>
      </c>
    </row>
    <row r="145" spans="1:4" x14ac:dyDescent="0.25">
      <c r="A145" s="2" t="str">
        <f>"43115704540"</f>
        <v>43115704540</v>
      </c>
      <c r="B145" s="2" t="str">
        <f>"FXT 4500 FLYING SAIL FURLER - DRUM STYLE"</f>
        <v>FXT 4500 FLYING SAIL FURLER - DRUM STYLE</v>
      </c>
      <c r="C145" s="4">
        <v>2896.2999999999997</v>
      </c>
      <c r="D145" s="9">
        <v>1595.2820400000001</v>
      </c>
    </row>
    <row r="146" spans="1:4" x14ac:dyDescent="0.25">
      <c r="A146" s="2" t="str">
        <f>"43010001580"</f>
        <v>43010001580</v>
      </c>
      <c r="B146" s="2" t="str">
        <f>"STG 3T WIRE FURLER W/SWIVEL FOR 6MM"</f>
        <v>STG 3T WIRE FURLER W/SWIVEL FOR 6MM</v>
      </c>
      <c r="C146" s="4">
        <v>2733.2999999999997</v>
      </c>
      <c r="D146" s="9">
        <v>1505.5016400000002</v>
      </c>
    </row>
    <row r="147" spans="1:4" x14ac:dyDescent="0.25">
      <c r="A147" s="2" t="str">
        <f>"43010001590"</f>
        <v>43010001590</v>
      </c>
      <c r="B147" s="2" t="str">
        <f>"SPOOL DRUM STRUCTUAL FURLER 1/4 WIRE"</f>
        <v>SPOOL DRUM STRUCTUAL FURLER 1/4 WIRE</v>
      </c>
      <c r="C147" s="4">
        <v>1161.8999999999999</v>
      </c>
      <c r="D147" s="9">
        <v>639.97451999999998</v>
      </c>
    </row>
    <row r="148" spans="1:4" x14ac:dyDescent="0.25">
      <c r="A148" s="2" t="str">
        <f>"43010004760"</f>
        <v>43010004760</v>
      </c>
      <c r="B148" s="2" t="str">
        <f>"4T WIRE FURLERS"</f>
        <v>4T WIRE FURLERS</v>
      </c>
      <c r="C148" s="4">
        <v>5077</v>
      </c>
      <c r="D148" s="9">
        <v>2796.4116000000004</v>
      </c>
    </row>
    <row r="149" spans="1:4" x14ac:dyDescent="0.25">
      <c r="A149" s="2" t="str">
        <f>"43310004540"</f>
        <v>43310004540</v>
      </c>
      <c r="B149" s="2" t="str">
        <f>"STG 4T5 WIRE FURLER W/SWIVEL FOR 7MM"</f>
        <v>STG 4T5 WIRE FURLER W/SWIVEL FOR 7MM</v>
      </c>
      <c r="C149" s="4">
        <v>5048.5</v>
      </c>
      <c r="D149" s="9">
        <v>2780.7138000000009</v>
      </c>
    </row>
    <row r="150" spans="1:4" x14ac:dyDescent="0.25">
      <c r="A150" s="2" t="str">
        <f>"43311001540"</f>
        <v>43311001540</v>
      </c>
      <c r="B150" s="2" t="str">
        <f>"FLT 1T5 FLAT DRUM WIRE FURLER FOR 5MM"</f>
        <v>FLT 1T5 FLAT DRUM WIRE FURLER FOR 5MM</v>
      </c>
      <c r="C150" s="4">
        <v>1708.1</v>
      </c>
      <c r="D150" s="9">
        <v>940.82148000000018</v>
      </c>
    </row>
    <row r="151" spans="1:4" x14ac:dyDescent="0.25">
      <c r="A151" s="2" t="str">
        <f>"43311002540"</f>
        <v>43311002540</v>
      </c>
      <c r="B151" s="2" t="str">
        <f>"FLT 2T5 FLAT DRUM WIRE FURLER FOR 6MM"</f>
        <v>FLT 2T5 FLAT DRUM WIRE FURLER FOR 6MM</v>
      </c>
      <c r="C151" s="4">
        <v>2494</v>
      </c>
      <c r="D151" s="9">
        <v>1373.6952000000001</v>
      </c>
    </row>
    <row r="152" spans="1:4" x14ac:dyDescent="0.25">
      <c r="A152" s="2" t="str">
        <f>"43311005040"</f>
        <v>43311005040</v>
      </c>
      <c r="B152" s="2" t="str">
        <f>"FLT 5T FLAT DRUM WIRE FURLER FOR 10MM"</f>
        <v>FLT 5T FLAT DRUM WIRE FURLER FOR 10MM</v>
      </c>
      <c r="C152" s="4">
        <v>6646</v>
      </c>
      <c r="D152" s="9">
        <v>3660.6168000000007</v>
      </c>
    </row>
    <row r="153" spans="1:4" x14ac:dyDescent="0.25">
      <c r="A153" s="2" t="str">
        <f>"43311005050"</f>
        <v>43311005050</v>
      </c>
      <c r="B153" s="2" t="str">
        <f>"FLT 5T FLAT DRUM WIRE FURLER FOR 8MM"</f>
        <v>FLT 5T FLAT DRUM WIRE FURLER FOR 8MM</v>
      </c>
      <c r="C153" s="4">
        <v>5632.2000000000007</v>
      </c>
      <c r="D153" s="9">
        <v>3102.215760000001</v>
      </c>
    </row>
    <row r="154" spans="1:4" x14ac:dyDescent="0.25">
      <c r="A154" s="2" t="str">
        <f>"14097600539"</f>
        <v>14097600539</v>
      </c>
      <c r="B154" s="2" t="str">
        <f>"SPRING - 5TSWL BULLET LOCK"</f>
        <v>SPRING - 5TSWL BULLET LOCK</v>
      </c>
      <c r="C154" s="4">
        <v>57.7</v>
      </c>
      <c r="D154" s="9">
        <v>31.781160000000003</v>
      </c>
    </row>
    <row r="155" spans="1:4" x14ac:dyDescent="0.25">
      <c r="A155" s="2" t="str">
        <f>"88080300062"</f>
        <v>88080300062</v>
      </c>
      <c r="B155" s="2" t="str">
        <f>"HE 3T EXTERNAL HALYARD LOCK"</f>
        <v>HE 3T EXTERNAL HALYARD LOCK</v>
      </c>
      <c r="C155" s="4">
        <v>1256.5</v>
      </c>
      <c r="D155" s="9">
        <v>692.0802000000001</v>
      </c>
    </row>
    <row r="156" spans="1:4" x14ac:dyDescent="0.25">
      <c r="A156" s="2" t="str">
        <f>"88080300073"</f>
        <v>88080300073</v>
      </c>
      <c r="B156" s="2" t="str">
        <f>"HL 3T INTERNAL HALYARD LOCK"</f>
        <v>HL 3T INTERNAL HALYARD LOCK</v>
      </c>
      <c r="C156" s="4">
        <v>2711.7999999999997</v>
      </c>
      <c r="D156" s="9">
        <v>1493.6594399999999</v>
      </c>
    </row>
    <row r="157" spans="1:4" x14ac:dyDescent="0.25">
      <c r="A157" s="2" t="str">
        <f>"88080500070"</f>
        <v>88080500070</v>
      </c>
      <c r="B157" s="2" t="str">
        <f>"HE 5T EXTERNAL HALYARD LOCK"</f>
        <v>HE 5T EXTERNAL HALYARD LOCK</v>
      </c>
      <c r="C157" s="4">
        <v>2211.1</v>
      </c>
      <c r="D157" s="9">
        <v>1217.8738799999999</v>
      </c>
    </row>
    <row r="158" spans="1:4" x14ac:dyDescent="0.25">
      <c r="A158" s="2" t="str">
        <f>"88080500072"</f>
        <v>88080500072</v>
      </c>
      <c r="B158" s="2" t="str">
        <f>"HL 5T INTERNAL HALYARD LOCK"</f>
        <v>HL 5T INTERNAL HALYARD LOCK</v>
      </c>
      <c r="C158" s="4">
        <v>3379.6</v>
      </c>
      <c r="D158" s="9">
        <v>1861.48368</v>
      </c>
    </row>
    <row r="159" spans="1:4" x14ac:dyDescent="0.25">
      <c r="A159" s="2" t="str">
        <f>"88080700023"</f>
        <v>88080700023</v>
      </c>
      <c r="B159" s="2" t="str">
        <f>"7T EXTERNAL HALYARD LOCK FACNOR"</f>
        <v>7T EXTERNAL HALYARD LOCK FACNOR</v>
      </c>
      <c r="C159" s="4">
        <v>7724.9000000000005</v>
      </c>
      <c r="D159" s="9">
        <v>4254.8749200000011</v>
      </c>
    </row>
    <row r="160" spans="1:4" x14ac:dyDescent="0.25">
      <c r="A160" s="2" t="str">
        <f>"88080700072"</f>
        <v>88080700072</v>
      </c>
      <c r="B160" s="2" t="str">
        <f>"HL 8T INTERNAL HALYARD LOCK"</f>
        <v>HL 8T INTERNAL HALYARD LOCK</v>
      </c>
      <c r="C160" s="4">
        <v>8064.7000000000007</v>
      </c>
      <c r="D160" s="9">
        <v>4442.0367600000009</v>
      </c>
    </row>
    <row r="161" spans="1:4" x14ac:dyDescent="0.25">
      <c r="A161" s="2" t="str">
        <f>"88081000072"</f>
        <v>88081000072</v>
      </c>
      <c r="B161" s="2" t="str">
        <f>"HL 10T INTERNAL HALYARD LOCK"</f>
        <v>HL 10T INTERNAL HALYARD LOCK</v>
      </c>
      <c r="C161" s="4">
        <v>9919.5</v>
      </c>
      <c r="D161" s="9">
        <v>5463.6606000000002</v>
      </c>
    </row>
    <row r="162" spans="1:4" x14ac:dyDescent="0.25">
      <c r="A162" s="2" t="str">
        <f>"88081200072"</f>
        <v>88081200072</v>
      </c>
      <c r="B162" s="2" t="str">
        <f>"HL 12T INTERNAL HALYARD LOCK"</f>
        <v>HL 12T INTERNAL HALYARD LOCK</v>
      </c>
      <c r="C162" s="4">
        <v>14045.1</v>
      </c>
      <c r="D162" s="9">
        <v>7736.0410800000009</v>
      </c>
    </row>
    <row r="163" spans="1:4" x14ac:dyDescent="0.25">
      <c r="A163" s="2" t="str">
        <f>"88930102500"</f>
        <v>88930102500</v>
      </c>
      <c r="B163" s="2" t="str">
        <f>"HRC 2T5 MAINSAIL REEF LOCK"</f>
        <v>HRC 2T5 MAINSAIL REEF LOCK</v>
      </c>
      <c r="C163" s="4">
        <v>537.20000000000005</v>
      </c>
      <c r="D163" s="9">
        <v>295.88976000000002</v>
      </c>
    </row>
    <row r="164" spans="1:4" x14ac:dyDescent="0.25">
      <c r="A164" s="2" t="str">
        <f>"88960200071"</f>
        <v>88960200071</v>
      </c>
      <c r="B164" s="2" t="str">
        <f>"HL 2T INTERNAL HALYARD LOCK"</f>
        <v>HL 2T INTERNAL HALYARD LOCK</v>
      </c>
      <c r="C164" s="4">
        <v>2021.6</v>
      </c>
      <c r="D164" s="9">
        <v>1113.4972800000003</v>
      </c>
    </row>
    <row r="165" spans="1:4" x14ac:dyDescent="0.25">
      <c r="A165" s="2" t="str">
        <f>"88960200072"</f>
        <v>88960200072</v>
      </c>
      <c r="B165" s="2" t="str">
        <f>"2T INTERNAL HALYARD LOCK 7MM LIP"</f>
        <v>2T INTERNAL HALYARD LOCK 7MM LIP</v>
      </c>
      <c r="C165" s="4">
        <v>2885.1</v>
      </c>
      <c r="D165" s="9">
        <v>1589.1130800000003</v>
      </c>
    </row>
    <row r="166" spans="1:4" x14ac:dyDescent="0.25">
      <c r="A166" s="2" t="str">
        <f>"88961500072"</f>
        <v>88961500072</v>
      </c>
      <c r="B166" s="2" t="str">
        <f>"Facnor 15T Internal Halyard Lock"</f>
        <v>Facnor 15T Internal Halyard Lock</v>
      </c>
      <c r="C166" s="4">
        <v>22757.399999999998</v>
      </c>
      <c r="D166" s="9">
        <v>12534.77592</v>
      </c>
    </row>
    <row r="167" spans="1:4" x14ac:dyDescent="0.25">
      <c r="A167" s="2" t="str">
        <f>"889902000D2"</f>
        <v>889902000D2</v>
      </c>
      <c r="B167" s="2" t="str">
        <f>"HSW 3T EXTERNAL LOCKING SWIVEL"</f>
        <v>HSW 3T EXTERNAL LOCKING SWIVEL</v>
      </c>
      <c r="C167" s="4">
        <v>2183.2999999999997</v>
      </c>
      <c r="D167" s="9">
        <v>1202.5616399999999</v>
      </c>
    </row>
    <row r="168" spans="1:4" x14ac:dyDescent="0.25">
      <c r="A168" s="2" t="str">
        <f>"43312002530"</f>
        <v>43312002530</v>
      </c>
      <c r="B168" s="2" t="str">
        <f>"SW FLT 2T5 HALYARD SWIVEL"</f>
        <v>SW FLT 2T5 HALYARD SWIVEL</v>
      </c>
      <c r="C168" s="4">
        <v>901.2</v>
      </c>
      <c r="D168" s="9">
        <v>496.38096000000002</v>
      </c>
    </row>
    <row r="169" spans="1:4" x14ac:dyDescent="0.25">
      <c r="A169" s="2" t="str">
        <f>"48008105040"</f>
        <v>48008105040</v>
      </c>
      <c r="B169" s="2" t="str">
        <f>"4 CF 80 MAINSAIL FURLER+BOOM KIT 6.8M LU"</f>
        <v>4 CF 80 MAINSAIL FURLER+BOOM KIT 6.8M LU</v>
      </c>
      <c r="C169" s="4">
        <v>3780</v>
      </c>
      <c r="D169" s="9">
        <v>2082.0240000000003</v>
      </c>
    </row>
    <row r="170" spans="1:4" x14ac:dyDescent="0.25">
      <c r="A170" s="2" t="str">
        <f>"48008107030"</f>
        <v>48008107030</v>
      </c>
      <c r="B170" s="2" t="str">
        <f>"6 CF 80 MAINSAIL FURLER+BOOM KIT 10.2M L"</f>
        <v>6 CF 80 MAINSAIL FURLER+BOOM KIT 10.2M L</v>
      </c>
      <c r="C170" s="4">
        <v>4625</v>
      </c>
      <c r="D170" s="9">
        <v>2547.4500000000003</v>
      </c>
    </row>
    <row r="171" spans="1:4" x14ac:dyDescent="0.25">
      <c r="A171" s="2" t="str">
        <f>"48010508010"</f>
        <v>48010508010</v>
      </c>
      <c r="B171" s="2" t="str">
        <f>"7 CF 105 MAINSAIL FURLER+BOOM KIT 12M LU"</f>
        <v>7 CF 105 MAINSAIL FURLER+BOOM KIT 12M LU</v>
      </c>
      <c r="C171" s="4">
        <v>5509.8</v>
      </c>
      <c r="D171" s="9">
        <v>3034.7978400000002</v>
      </c>
    </row>
    <row r="172" spans="1:4" x14ac:dyDescent="0.25">
      <c r="A172" s="2" t="str">
        <f>"49008104040"</f>
        <v>49008104040</v>
      </c>
      <c r="B172" s="2" t="str">
        <f>"7 CF 80 MAINSAIL FURLER 12M"</f>
        <v>7 CF 80 MAINSAIL FURLER 12M</v>
      </c>
      <c r="C172" s="4">
        <v>3733</v>
      </c>
      <c r="D172" s="9">
        <v>2056.1363999999999</v>
      </c>
    </row>
    <row r="173" spans="1:4" x14ac:dyDescent="0.25">
      <c r="A173" s="2" t="str">
        <f>"CF105 13.6M"</f>
        <v>CF105 13.6M</v>
      </c>
      <c r="B173" s="2" t="str">
        <f>"8 CF 105 MAINSAIL FURLER+BOOM KIT 13.6ML"</f>
        <v>8 CF 105 MAINSAIL FURLER+BOOM KIT 13.6ML</v>
      </c>
      <c r="C173" s="4">
        <v>8450</v>
      </c>
      <c r="D173" s="9">
        <v>4654.26</v>
      </c>
    </row>
    <row r="174" spans="1:4" x14ac:dyDescent="0.25">
      <c r="A174" s="2" t="str">
        <f>"CF105 15.3M"</f>
        <v>CF105 15.3M</v>
      </c>
      <c r="B174" s="2" t="str">
        <f>"9 CF 105 MAINSAIL FURLER+BOOM KIT 15.3ML"</f>
        <v>9 CF 105 MAINSAIL FURLER+BOOM KIT 15.3ML</v>
      </c>
      <c r="C174" s="4">
        <v>9250</v>
      </c>
      <c r="D174" s="9">
        <v>5094.9000000000005</v>
      </c>
    </row>
    <row r="175" spans="1:4" x14ac:dyDescent="0.25">
      <c r="A175" s="2" t="str">
        <f>"CF105 17M"</f>
        <v>CF105 17M</v>
      </c>
      <c r="B175" s="2" t="str">
        <f>"10 CF 105 MAINSAIL FURLER+BOOM KIT 17M L"</f>
        <v>10 CF 105 MAINSAIL FURLER+BOOM KIT 17M L</v>
      </c>
      <c r="C175" s="4">
        <v>10250</v>
      </c>
      <c r="D175" s="9">
        <v>5645.7000000000007</v>
      </c>
    </row>
    <row r="176" spans="1:4" x14ac:dyDescent="0.25">
      <c r="A176" s="2" t="str">
        <f>"CF80 8.5M"</f>
        <v>CF80 8.5M</v>
      </c>
      <c r="B176" s="2" t="str">
        <f>"5 CF 80 MAINSAIL FURLER+BOOM KIT 8.5M LU"</f>
        <v>5 CF 80 MAINSAIL FURLER+BOOM KIT 8.5M LU</v>
      </c>
      <c r="C176" s="4">
        <v>4130.7000000000007</v>
      </c>
      <c r="D176" s="9">
        <v>2275.1895600000007</v>
      </c>
    </row>
    <row r="177" spans="1:4" x14ac:dyDescent="0.25">
      <c r="A177" s="2" t="str">
        <f>"EB 15TOP"</f>
        <v>EB 15TOP</v>
      </c>
      <c r="B177" s="2" t="str">
        <f>"""TOP END TRACK STOP FOR F10,20 &amp; 30"""</f>
        <v>"TOP END TRACK STOP FOR F10,20 &amp; 30"</v>
      </c>
      <c r="C177" s="4">
        <v>27.700000000000003</v>
      </c>
      <c r="D177" s="9">
        <v>15.257160000000001</v>
      </c>
    </row>
    <row r="178" spans="1:4" x14ac:dyDescent="0.25">
      <c r="A178" s="2" t="str">
        <f>"ER 40TOP"</f>
        <v>ER 40TOP</v>
      </c>
      <c r="B178" s="2" t="str">
        <f>"TOP END TRACK STOP FOR F40"</f>
        <v>TOP END TRACK STOP FOR F40</v>
      </c>
      <c r="C178" s="4">
        <v>99.699999999999989</v>
      </c>
      <c r="D178" s="9">
        <v>54.914760000000001</v>
      </c>
    </row>
    <row r="179" spans="1:4" x14ac:dyDescent="0.25">
      <c r="A179" s="2" t="str">
        <f>"31000107000"</f>
        <v>31000107000</v>
      </c>
      <c r="B179" s="2" t="str">
        <f>"BDH070 BOW SPRIT KIT"</f>
        <v>BDH070 BOW SPRIT KIT</v>
      </c>
      <c r="C179" s="4">
        <v>1020.4</v>
      </c>
      <c r="D179" s="9">
        <v>562.03632000000005</v>
      </c>
    </row>
    <row r="180" spans="1:4" x14ac:dyDescent="0.25">
      <c r="A180" s="2" t="str">
        <f>"31000108000"</f>
        <v>31000108000</v>
      </c>
      <c r="B180" s="2" t="str">
        <f>"BDH080 BOW SPRIT KIT"</f>
        <v>BDH080 BOW SPRIT KIT</v>
      </c>
      <c r="C180" s="4">
        <v>1179.5999999999999</v>
      </c>
      <c r="D180" s="9">
        <v>649.72368000000006</v>
      </c>
    </row>
    <row r="181" spans="1:4" x14ac:dyDescent="0.25">
      <c r="A181" s="2" t="str">
        <f>"31000108010"</f>
        <v>31000108010</v>
      </c>
      <c r="B181" s="2" t="str">
        <f>"FURLER FITTING D80 SPRIT"</f>
        <v>FURLER FITTING D80 SPRIT</v>
      </c>
      <c r="C181" s="4">
        <v>277.3</v>
      </c>
      <c r="D181" s="9">
        <v>152.73684000000003</v>
      </c>
    </row>
    <row r="182" spans="1:4" x14ac:dyDescent="0.25">
      <c r="A182" s="2" t="str">
        <f>"31000109000"</f>
        <v>31000109000</v>
      </c>
      <c r="B182" s="2" t="str">
        <f>"BDH090 BOW SPRIT KIT"</f>
        <v>BDH090 BOW SPRIT KIT</v>
      </c>
      <c r="C182" s="4">
        <v>1342.8</v>
      </c>
      <c r="D182" s="9">
        <v>739.61424000000011</v>
      </c>
    </row>
    <row r="183" spans="1:4" x14ac:dyDescent="0.25">
      <c r="A183" s="2" t="str">
        <f>"31000109010"</f>
        <v>31000109010</v>
      </c>
      <c r="B183" s="2" t="str">
        <f>"FURLER FITTING D90 SPRIT"</f>
        <v>FURLER FITTING D90 SPRIT</v>
      </c>
      <c r="C183" s="4">
        <v>306.70000000000005</v>
      </c>
      <c r="D183" s="9">
        <v>168.93036000000004</v>
      </c>
    </row>
    <row r="184" spans="1:4" x14ac:dyDescent="0.25">
      <c r="A184" s="2" t="str">
        <f>"31000110000"</f>
        <v>31000110000</v>
      </c>
      <c r="B184" s="2" t="str">
        <f>"BDH100 BOW SPRIT KIT"</f>
        <v>BDH100 BOW SPRIT KIT</v>
      </c>
      <c r="C184" s="4">
        <v>1594.5</v>
      </c>
      <c r="D184" s="9">
        <v>878.25060000000008</v>
      </c>
    </row>
    <row r="185" spans="1:4" x14ac:dyDescent="0.25">
      <c r="A185" s="2" t="str">
        <f>"31000110010"</f>
        <v>31000110010</v>
      </c>
      <c r="B185" s="2" t="str">
        <f>"FURLER FITTING D100 SPRIT"</f>
        <v>FURLER FITTING D100 SPRIT</v>
      </c>
      <c r="C185" s="4">
        <v>328.40000000000003</v>
      </c>
      <c r="D185" s="9">
        <v>180.88272000000003</v>
      </c>
    </row>
    <row r="186" spans="1:4" x14ac:dyDescent="0.25">
      <c r="A186" s="2" t="str">
        <f>"31000110015"</f>
        <v>31000110015</v>
      </c>
      <c r="B186" s="2" t="str">
        <f>"WORKING DECK FITTING BOWSPRIT DECK FTG/S"</f>
        <v>WORKING DECK FITTING BOWSPRIT DECK FTG/S</v>
      </c>
      <c r="C186" s="4">
        <v>153.4</v>
      </c>
      <c r="D186" s="9">
        <v>84.492720000000006</v>
      </c>
    </row>
    <row r="187" spans="1:4" x14ac:dyDescent="0.25">
      <c r="A187" s="2" t="str">
        <f>"31000110025"</f>
        <v>31000110025</v>
      </c>
      <c r="B187" s="2" t="str">
        <f>"BOW SPRIT STEMHEAD FITTING 91-110MM WIDT"</f>
        <v>BOW SPRIT STEMHEAD FITTING 91-110MM WIDT</v>
      </c>
      <c r="C187" s="4">
        <v>226.1</v>
      </c>
      <c r="D187" s="9">
        <v>124.53588000000002</v>
      </c>
    </row>
    <row r="188" spans="1:4" x14ac:dyDescent="0.25">
      <c r="A188" s="2" t="str">
        <f>"31000120025"</f>
        <v>31000120025</v>
      </c>
      <c r="B188" s="2" t="str">
        <f>"BOW SPRIT STEMHEAD FITTING 64-90MM WIDTH"</f>
        <v>BOW SPRIT STEMHEAD FITTING 64-90MM WIDTH</v>
      </c>
      <c r="C188" s="4">
        <v>226.1</v>
      </c>
      <c r="D188" s="9">
        <v>124.53588000000002</v>
      </c>
    </row>
    <row r="189" spans="1:4" x14ac:dyDescent="0.25">
      <c r="A189" s="2" t="str">
        <f>"33031000001"</f>
        <v>33031000001</v>
      </c>
      <c r="B189" s="2" t="str">
        <f>"DECK FITTING COVER"</f>
        <v>DECK FITTING COVER</v>
      </c>
      <c r="C189" s="4">
        <v>19.700000000000003</v>
      </c>
      <c r="D189" s="9">
        <v>10.850760000000001</v>
      </c>
    </row>
    <row r="190" spans="1:4" x14ac:dyDescent="0.25">
      <c r="A190" s="2" t="str">
        <f>"31000107003"</f>
        <v>31000107003</v>
      </c>
      <c r="B190" s="2" t="str">
        <f>"CUSTOM BOW SPRIT D70 MAX LENGTH 7.8'"</f>
        <v>CUSTOM BOW SPRIT D70 MAX LENGTH 7.8'</v>
      </c>
      <c r="C190" s="4">
        <v>1025.5999999999999</v>
      </c>
      <c r="D190" s="9">
        <v>564.90048000000002</v>
      </c>
    </row>
    <row r="191" spans="1:4" x14ac:dyDescent="0.25">
      <c r="A191" s="2" t="str">
        <f>"31000107004"</f>
        <v>31000107004</v>
      </c>
      <c r="B191" s="2" t="str">
        <f>"CUSTOM BOW SPRIT D70 MAX LENGTH 10.4'"</f>
        <v>CUSTOM BOW SPRIT D70 MAX LENGTH 10.4'</v>
      </c>
      <c r="C191" s="4">
        <v>1064.6999999999998</v>
      </c>
      <c r="D191" s="9">
        <v>586.43676000000005</v>
      </c>
    </row>
    <row r="192" spans="1:4" x14ac:dyDescent="0.25">
      <c r="A192" s="2" t="str">
        <f>"31000107010"</f>
        <v>31000107010</v>
      </c>
      <c r="B192" s="2" t="str">
        <f>"FURLER FITTING D70 SPRIT"</f>
        <v>FURLER FITTING D70 SPRIT</v>
      </c>
      <c r="C192" s="4">
        <v>236</v>
      </c>
      <c r="D192" s="9">
        <v>129.98880000000003</v>
      </c>
    </row>
    <row r="193" spans="1:4" x14ac:dyDescent="0.25">
      <c r="A193" s="2" t="str">
        <f>"31000108003"</f>
        <v>31000108003</v>
      </c>
      <c r="B193" s="2" t="str">
        <f>"CUSTOM BOW SPRIT D80 MAX LENGTH 8.5'"</f>
        <v>CUSTOM BOW SPRIT D80 MAX LENGTH 8.5'</v>
      </c>
      <c r="C193" s="4">
        <v>1198</v>
      </c>
      <c r="D193" s="9">
        <v>659.85840000000019</v>
      </c>
    </row>
    <row r="194" spans="1:4" x14ac:dyDescent="0.25">
      <c r="A194" s="2" t="str">
        <f>"31000108004"</f>
        <v>31000108004</v>
      </c>
      <c r="B194" s="2" t="str">
        <f>"CUSTOM BOW SPRIT D80 MAX LENGTH 11'"</f>
        <v>CUSTOM BOW SPRIT D80 MAX LENGTH 11'</v>
      </c>
      <c r="C194" s="4">
        <v>1258.3999999999999</v>
      </c>
      <c r="D194" s="9">
        <v>693.12671999999998</v>
      </c>
    </row>
    <row r="195" spans="1:4" x14ac:dyDescent="0.25">
      <c r="A195" s="2" t="str">
        <f>"31000109003"</f>
        <v>31000109003</v>
      </c>
      <c r="B195" s="2" t="str">
        <f>"CUSTOM BOW SPRIT D90 MAX LENGTH 10.4'"</f>
        <v>CUSTOM BOW SPRIT D90 MAX LENGTH 10.4'</v>
      </c>
      <c r="C195" s="4">
        <v>1384.6</v>
      </c>
      <c r="D195" s="9">
        <v>762.63768000000005</v>
      </c>
    </row>
    <row r="196" spans="1:4" x14ac:dyDescent="0.25">
      <c r="A196" s="2" t="str">
        <f>"31000109004"</f>
        <v>31000109004</v>
      </c>
      <c r="B196" s="2" t="str">
        <f>"CUSTOM BOW SPRIT D90 MAX LENGTH 14.7'"</f>
        <v>CUSTOM BOW SPRIT D90 MAX LENGTH 14.7'</v>
      </c>
      <c r="C196" s="4">
        <v>1491.1999999999998</v>
      </c>
      <c r="D196" s="9">
        <v>821.35295999999994</v>
      </c>
    </row>
    <row r="197" spans="1:4" x14ac:dyDescent="0.25">
      <c r="A197" s="2" t="str">
        <f>"31000110003"</f>
        <v>31000110003</v>
      </c>
      <c r="B197" s="2" t="str">
        <f>"CUSTOM BOW SPRIT D100 MAX LENGTH 10.6'"</f>
        <v>CUSTOM BOW SPRIT D100 MAX LENGTH 10.6'</v>
      </c>
      <c r="C197" s="4">
        <v>1629.8999999999999</v>
      </c>
      <c r="D197" s="9">
        <v>897.74892</v>
      </c>
    </row>
    <row r="198" spans="1:4" x14ac:dyDescent="0.25">
      <c r="A198" s="2" t="str">
        <f>"31000110004"</f>
        <v>31000110004</v>
      </c>
      <c r="B198" s="2" t="str">
        <f>"CUSTOM BOW SPRIT D100 MAX LENGTH 14.7'"</f>
        <v>CUSTOM BOW SPRIT D100 MAX LENGTH 14.7'</v>
      </c>
      <c r="C198" s="4">
        <v>1752.5</v>
      </c>
      <c r="D198" s="9">
        <v>965.27700000000004</v>
      </c>
    </row>
    <row r="199" spans="1:4" x14ac:dyDescent="0.25">
      <c r="A199" s="2" t="str">
        <f>"31000110020"</f>
        <v>31000110020</v>
      </c>
      <c r="B199" s="2" t="str">
        <f>"BOW SPRIT PARKING DECK FITTING"</f>
        <v>BOW SPRIT PARKING DECK FITTING</v>
      </c>
      <c r="C199" s="4">
        <v>118</v>
      </c>
      <c r="D199" s="9">
        <v>64.994400000000013</v>
      </c>
    </row>
    <row r="200" spans="1:4" x14ac:dyDescent="0.25">
      <c r="A200" s="2" t="str">
        <f>"31000600030"</f>
        <v>31000600030</v>
      </c>
      <c r="B200" s="2" t="str">
        <f>"BOW SPRIT KIT"</f>
        <v>BOW SPRIT KIT</v>
      </c>
      <c r="C200" s="4">
        <v>462.20000000000005</v>
      </c>
      <c r="D200" s="9">
        <v>254.57976000000005</v>
      </c>
    </row>
    <row r="201" spans="1:4" x14ac:dyDescent="0.25">
      <c r="A201" s="2" t="str">
        <f>"24000801202"</f>
        <v>24000801202</v>
      </c>
      <c r="B201" s="2" t="str">
        <f>"SPLICED FURLING LINE D08MMX12M"</f>
        <v>SPLICED FURLING LINE D08MMX12M</v>
      </c>
      <c r="C201" s="4">
        <v>134.29999999999998</v>
      </c>
      <c r="D201" s="9">
        <v>73.972439999999992</v>
      </c>
    </row>
    <row r="202" spans="1:4" x14ac:dyDescent="0.25">
      <c r="A202" s="2" t="str">
        <f>"54010000000"</f>
        <v>54010000000</v>
      </c>
      <c r="B202" s="2" t="str">
        <f>"""FACSLIDE TRACK FOR F10,20 AND 30"""</f>
        <v>"FACSLIDE TRACK FOR F10,20 AND 30"</v>
      </c>
      <c r="C202" s="4">
        <v>138.6</v>
      </c>
      <c r="D202" s="9">
        <v>76.340879999999999</v>
      </c>
    </row>
    <row r="203" spans="1:4" x14ac:dyDescent="0.25">
      <c r="A203" s="2" t="str">
        <f>"54019000635"</f>
        <v>54019000635</v>
      </c>
      <c r="B203" s="2" t="str">
        <f>"""FEEDING TRACK HL BALLS D6,35 FACSLIDE+"""</f>
        <v>"FEEDING TRACK HL BALLS D6,35 FACSLIDE+"</v>
      </c>
      <c r="C203" s="4">
        <v>16.400000000000002</v>
      </c>
      <c r="D203" s="9">
        <v>9.0331200000000038</v>
      </c>
    </row>
    <row r="204" spans="1:4" x14ac:dyDescent="0.25">
      <c r="A204" s="2" t="str">
        <f>"54021300600"</f>
        <v>54021300600</v>
      </c>
      <c r="B204" s="2" t="str">
        <f>"FL30 BATTEN CAR  - F30 TRACK"</f>
        <v>FL30 BATTEN CAR  - F30 TRACK</v>
      </c>
      <c r="C204" s="4">
        <v>329.70000000000005</v>
      </c>
      <c r="D204" s="9">
        <v>181.59876000000006</v>
      </c>
    </row>
    <row r="205" spans="1:4" x14ac:dyDescent="0.25">
      <c r="A205" s="2" t="str">
        <f>"54031200600"</f>
        <v>54031200600</v>
      </c>
      <c r="B205" s="2" t="str">
        <f>"FI20 INTERMEDIATE CAR - F20 TRACK"</f>
        <v>FI20 INTERMEDIATE CAR - F20 TRACK</v>
      </c>
      <c r="C205" s="4">
        <v>211.29999999999998</v>
      </c>
      <c r="D205" s="9">
        <v>116.38404</v>
      </c>
    </row>
    <row r="206" spans="1:4" x14ac:dyDescent="0.25">
      <c r="A206" s="2" t="str">
        <f>"54041200600"</f>
        <v>54041200600</v>
      </c>
      <c r="B206" s="2" t="str">
        <f>"COMPLETE HEADBOARD CAR FT20+HL FACSLIDE"</f>
        <v>COMPLETE HEADBOARD CAR FT20+HL FACSLIDE</v>
      </c>
      <c r="C206" s="4">
        <v>494.90000000000003</v>
      </c>
      <c r="D206" s="9">
        <v>272.5909200000001</v>
      </c>
    </row>
    <row r="207" spans="1:4" x14ac:dyDescent="0.25">
      <c r="A207" s="2" t="str">
        <f>"20005050000"</f>
        <v>20005050000</v>
      </c>
      <c r="B207" s="2" t="str">
        <f>"NYLSTOP NUT M5"</f>
        <v>NYLSTOP NUT M5</v>
      </c>
      <c r="C207" s="4">
        <v>0.7</v>
      </c>
      <c r="D207" s="9">
        <v>0.38556000000000001</v>
      </c>
    </row>
    <row r="208" spans="1:4" x14ac:dyDescent="0.25">
      <c r="A208" s="2" t="str">
        <f>"28084060443"</f>
        <v>28084060443</v>
      </c>
      <c r="B208" s="2" t="str">
        <f>"SINGLE PIN D6 LG 44.8 CAR FI10"</f>
        <v>SINGLE PIN D6 LG 44.8 CAR FI10</v>
      </c>
      <c r="C208" s="4">
        <v>27.700000000000003</v>
      </c>
      <c r="D208" s="9">
        <v>15.257160000000001</v>
      </c>
    </row>
    <row r="209" spans="1:4" x14ac:dyDescent="0.25">
      <c r="A209" s="2" t="str">
        <f>"33015100611"</f>
        <v>33015100611</v>
      </c>
      <c r="B209" s="2" t="str">
        <f>"SINGLE NYLN WASHR 06.1X11.0EP1 FT10-FT20"</f>
        <v>SINGLE NYLN WASHR 06.1X11.0EP1 FT10-FT20</v>
      </c>
      <c r="C209" s="4">
        <v>0.30000000000000004</v>
      </c>
      <c r="D209" s="9">
        <v>0.16524000000000005</v>
      </c>
    </row>
    <row r="210" spans="1:4" x14ac:dyDescent="0.25">
      <c r="A210" s="2" t="str">
        <f>"02609526202"</f>
        <v>02609526202</v>
      </c>
      <c r="B210" s="2" t="str">
        <f>"R26 2M SECTION ONLY"</f>
        <v>R26 2M SECTION ONLY</v>
      </c>
      <c r="C210" s="4">
        <v>750.5</v>
      </c>
      <c r="D210" s="9">
        <v>413.37540000000007</v>
      </c>
    </row>
    <row r="211" spans="1:4" x14ac:dyDescent="0.25">
      <c r="A211" s="2" t="str">
        <f>"09091024040"</f>
        <v>09091024040</v>
      </c>
      <c r="B211" s="2" t="str">
        <f>"R24 TELESCOPIC SECTION"</f>
        <v>R24 TELESCOPIC SECTION</v>
      </c>
      <c r="C211" s="4">
        <v>139.79999999999998</v>
      </c>
      <c r="D211" s="9">
        <v>77.001840000000001</v>
      </c>
    </row>
    <row r="212" spans="1:4" x14ac:dyDescent="0.25">
      <c r="A212" s="2" t="str">
        <f>"09091030040"</f>
        <v>09091030040</v>
      </c>
      <c r="B212" s="2" t="str">
        <f>"TELESCOP.SECT.S30+FEEDER"</f>
        <v>TELESCOP.SECT.S30+FEEDER</v>
      </c>
      <c r="C212" s="4">
        <v>189.9</v>
      </c>
      <c r="D212" s="9">
        <v>104.59692</v>
      </c>
    </row>
    <row r="213" spans="1:4" x14ac:dyDescent="0.25">
      <c r="A213" s="2" t="str">
        <f>"09091034040"</f>
        <v>09091034040</v>
      </c>
      <c r="B213" s="2" t="str">
        <f>"R34 TELESCOPIC SECTION"</f>
        <v>R34 TELESCOPIC SECTION</v>
      </c>
      <c r="C213" s="4">
        <v>320.3</v>
      </c>
      <c r="D213" s="9">
        <v>176.42124000000004</v>
      </c>
    </row>
    <row r="214" spans="1:4" x14ac:dyDescent="0.25">
      <c r="A214" s="2" t="str">
        <f>"09091046040"</f>
        <v>09091046040</v>
      </c>
      <c r="B214" s="2" t="str">
        <f>"TELESCOP.SECT.S46+FEEDER"</f>
        <v>TELESCOP.SECT.S46+FEEDER</v>
      </c>
      <c r="C214" s="4">
        <v>819</v>
      </c>
      <c r="D214" s="9">
        <v>451.10520000000008</v>
      </c>
    </row>
    <row r="215" spans="1:4" x14ac:dyDescent="0.25">
      <c r="A215" s="2" t="str">
        <f>"26095014203"</f>
        <v>26095014203</v>
      </c>
      <c r="B215" s="2" t="str">
        <f>"R14 SECTION 2M BLACK ANO"</f>
        <v>R14 SECTION 2M BLACK ANO</v>
      </c>
      <c r="C215" s="4">
        <v>138.19999999999999</v>
      </c>
      <c r="D215" s="9">
        <v>76.120559999999998</v>
      </c>
    </row>
    <row r="216" spans="1:4" x14ac:dyDescent="0.25">
      <c r="A216" s="2" t="str">
        <f>"26132330206"</f>
        <v>26132330206</v>
      </c>
      <c r="B216" s="2" t="str">
        <f>"SX33 2 METER SECTION ONLY"</f>
        <v>SX33 2 METER SECTION ONLY</v>
      </c>
      <c r="C216" s="4">
        <v>176.79999999999998</v>
      </c>
      <c r="D216" s="9">
        <v>97.381439999999998</v>
      </c>
    </row>
    <row r="217" spans="1:4" x14ac:dyDescent="0.25">
      <c r="A217" s="2" t="str">
        <f>"26136140167"</f>
        <v>26136140167</v>
      </c>
      <c r="B217" s="2" t="str">
        <f>"R14 TELESCOPIC SECTION BLACK"</f>
        <v>R14 TELESCOPIC SECTION BLACK</v>
      </c>
      <c r="C217" s="4">
        <v>110</v>
      </c>
      <c r="D217" s="9">
        <v>60.588000000000008</v>
      </c>
    </row>
    <row r="218" spans="1:4" x14ac:dyDescent="0.25">
      <c r="A218" s="2" t="str">
        <f>"09081100100"</f>
        <v>09081100100</v>
      </c>
      <c r="B218" s="2" t="str">
        <f>"KR RC100 D10"</f>
        <v>KR RC100 D10</v>
      </c>
      <c r="C218" s="4">
        <v>331.3</v>
      </c>
      <c r="D218" s="9">
        <v>182.48004000000003</v>
      </c>
    </row>
    <row r="219" spans="1:4" x14ac:dyDescent="0.25">
      <c r="A219" s="2" t="str">
        <f>"09091038040"</f>
        <v>09091038040</v>
      </c>
      <c r="B219" s="2" t="str">
        <f>"TELESCOP.SECT.S38+RIVETS"</f>
        <v>TELESCOP.SECT.S38+RIVETS</v>
      </c>
      <c r="C219" s="4">
        <v>211.1</v>
      </c>
      <c r="D219" s="9">
        <v>116.27388000000002</v>
      </c>
    </row>
    <row r="220" spans="1:4" x14ac:dyDescent="0.25">
      <c r="A220" s="2" t="str">
        <f>"09192025030"</f>
        <v>09192025030</v>
      </c>
      <c r="B220" s="2" t="str">
        <f>"SX 25 CONNECTOR &amp; SCREWS"</f>
        <v>SX 25 CONNECTOR &amp; SCREWS</v>
      </c>
      <c r="C220" s="4">
        <v>52.7</v>
      </c>
      <c r="D220" s="9">
        <v>29.027160000000009</v>
      </c>
    </row>
    <row r="221" spans="1:4" x14ac:dyDescent="0.25">
      <c r="A221" s="2" t="str">
        <f>"09192033030"</f>
        <v>09192033030</v>
      </c>
      <c r="B221" s="2" t="str">
        <f>"SX33 CONNECTOR + SCREWS"</f>
        <v>SX33 CONNECTOR + SCREWS</v>
      </c>
      <c r="C221" s="4">
        <v>63.5</v>
      </c>
      <c r="D221" s="9">
        <v>34.9758</v>
      </c>
    </row>
    <row r="222" spans="1:4" x14ac:dyDescent="0.25">
      <c r="A222" s="2" t="str">
        <f>"09192039030"</f>
        <v>09192039030</v>
      </c>
      <c r="B222" s="2" t="str">
        <f>"SX 39 CONNECTOR &amp; SCREWS"</f>
        <v>SX 39 CONNECTOR &amp; SCREWS</v>
      </c>
      <c r="C222" s="4">
        <v>82.199999999999989</v>
      </c>
      <c r="D222" s="9">
        <v>45.275759999999998</v>
      </c>
    </row>
    <row r="223" spans="1:4" x14ac:dyDescent="0.25">
      <c r="A223" s="2" t="str">
        <f>"26095003003"</f>
        <v>26095003003</v>
      </c>
      <c r="B223" s="2" t="str">
        <f>"S30 SECTION 2M ANO"</f>
        <v>S30 SECTION 2M ANO</v>
      </c>
      <c r="C223" s="4">
        <v>266.70000000000005</v>
      </c>
      <c r="D223" s="9">
        <v>146.89836000000005</v>
      </c>
    </row>
    <row r="224" spans="1:4" x14ac:dyDescent="0.25">
      <c r="A224" s="2" t="str">
        <f>"26095003803"</f>
        <v>26095003803</v>
      </c>
      <c r="B224" s="2" t="str">
        <f>"S38 SECTION 2M ANO"</f>
        <v>S38 SECTION 2M ANO</v>
      </c>
      <c r="C224" s="4">
        <v>201.6</v>
      </c>
      <c r="D224" s="9">
        <v>111.04128</v>
      </c>
    </row>
    <row r="225" spans="1:4" x14ac:dyDescent="0.25">
      <c r="A225" s="2" t="str">
        <f>"26095004603"</f>
        <v>26095004603</v>
      </c>
      <c r="B225" s="2" t="str">
        <f>"S46 SECTION 2M ANO"</f>
        <v>S46 SECTION 2M ANO</v>
      </c>
      <c r="C225" s="4">
        <v>161.6</v>
      </c>
      <c r="D225" s="9">
        <v>89.009280000000004</v>
      </c>
    </row>
    <row r="226" spans="1:4" x14ac:dyDescent="0.25">
      <c r="A226" s="2" t="str">
        <f>"26132250206"</f>
        <v>26132250206</v>
      </c>
      <c r="B226" s="2" t="str">
        <f>"SX25 2M SECTION ONLY"</f>
        <v>SX25 2M SECTION ONLY</v>
      </c>
      <c r="C226" s="4">
        <v>143.69999999999999</v>
      </c>
      <c r="D226" s="9">
        <v>79.149960000000007</v>
      </c>
    </row>
    <row r="227" spans="1:4" x14ac:dyDescent="0.25">
      <c r="A227" s="2" t="str">
        <f>"26132390206"</f>
        <v>26132390206</v>
      </c>
      <c r="B227" s="2" t="str">
        <f>"EXTRUSION ONLY SX39"</f>
        <v>EXTRUSION ONLY SX39</v>
      </c>
      <c r="C227" s="4">
        <v>202.29999999999998</v>
      </c>
      <c r="D227" s="9">
        <v>111.42684</v>
      </c>
    </row>
    <row r="228" spans="1:4" x14ac:dyDescent="0.25">
      <c r="A228" s="2" t="str">
        <f>"26132470206"</f>
        <v>26132470206</v>
      </c>
      <c r="B228" s="2" t="str">
        <f>"SX47 2M SECTION ONLY"</f>
        <v>SX47 2M SECTION ONLY</v>
      </c>
      <c r="C228" s="4">
        <v>224.7</v>
      </c>
      <c r="D228" s="9">
        <v>123.76476000000001</v>
      </c>
    </row>
    <row r="229" spans="1:4" x14ac:dyDescent="0.25">
      <c r="A229" s="2" t="str">
        <f>"26136250166"</f>
        <v>26136250166</v>
      </c>
      <c r="B229" s="2" t="str">
        <f>"SX25 TELESCOPIC SECTION"</f>
        <v>SX25 TELESCOPIC SECTION</v>
      </c>
      <c r="C229" s="4">
        <v>116.89999999999999</v>
      </c>
      <c r="D229" s="9">
        <v>64.38852</v>
      </c>
    </row>
    <row r="230" spans="1:4" x14ac:dyDescent="0.25">
      <c r="A230" s="2" t="str">
        <f>"26136330166"</f>
        <v>26136330166</v>
      </c>
      <c r="B230" s="2" t="str">
        <f>"SX33 TELESCOPIC SECTION"</f>
        <v>SX33 TELESCOPIC SECTION</v>
      </c>
      <c r="C230" s="4">
        <v>135</v>
      </c>
      <c r="D230" s="9">
        <v>74.358000000000018</v>
      </c>
    </row>
    <row r="231" spans="1:4" x14ac:dyDescent="0.25">
      <c r="A231" s="2" t="str">
        <f>"26136390166"</f>
        <v>26136390166</v>
      </c>
      <c r="B231" s="2" t="str">
        <f>"SX39 TELESCOPIC SECTION"</f>
        <v>SX39 TELESCOPIC SECTION</v>
      </c>
      <c r="C231" s="4">
        <v>161.5</v>
      </c>
      <c r="D231" s="9">
        <v>88.954200000000014</v>
      </c>
    </row>
    <row r="232" spans="1:4" x14ac:dyDescent="0.25">
      <c r="A232" s="2" t="str">
        <f>"26136470166"</f>
        <v>26136470166</v>
      </c>
      <c r="B232" s="2" t="str">
        <f>"SX47 TELESCOPIC SECTION"</f>
        <v>SX47 TELESCOPIC SECTION</v>
      </c>
      <c r="C232" s="4">
        <v>195.79999999999998</v>
      </c>
      <c r="D232" s="9">
        <v>107.84664000000001</v>
      </c>
    </row>
    <row r="233" spans="1:4" x14ac:dyDescent="0.25">
      <c r="A233" s="2" t="str">
        <f>"26136530166"</f>
        <v>26136530166</v>
      </c>
      <c r="B233" s="2" t="str">
        <f>"SX53 TELESCOPIC SECTION"</f>
        <v>SX53 TELESCOPIC SECTION</v>
      </c>
      <c r="C233" s="4">
        <v>235.9</v>
      </c>
      <c r="D233" s="9">
        <v>129.93371999999999</v>
      </c>
    </row>
    <row r="234" spans="1:4" x14ac:dyDescent="0.25">
      <c r="A234" s="2" t="str">
        <f>"BEN46163600"</f>
        <v>BEN46163600</v>
      </c>
      <c r="B234" s="2" t="str">
        <f>"GENOA FURL TUBE 15430 US ICW"</f>
        <v>GENOA FURL TUBE 15430 US ICW</v>
      </c>
      <c r="C234" s="4">
        <v>266</v>
      </c>
      <c r="D234" s="9">
        <v>146.51280000000003</v>
      </c>
    </row>
    <row r="235" spans="1:4" x14ac:dyDescent="0.25">
      <c r="A235" s="2" t="str">
        <f>"09040030040"</f>
        <v>09040030040</v>
      </c>
      <c r="B235" s="2" t="str">
        <f>"FEEDER S30 SECTION"</f>
        <v>FEEDER S30 SECTION</v>
      </c>
      <c r="C235" s="4">
        <v>266.70000000000005</v>
      </c>
      <c r="D235" s="9">
        <v>146.89836000000005</v>
      </c>
    </row>
    <row r="236" spans="1:4" x14ac:dyDescent="0.25">
      <c r="A236" s="2" t="str">
        <f>"09040038040"</f>
        <v>09040038040</v>
      </c>
      <c r="B236" s="2" t="str">
        <f>"FEEDER SECTION S38 SILVER OR BLACK"</f>
        <v>FEEDER SECTION S38 SILVER OR BLACK</v>
      </c>
      <c r="C236" s="4">
        <v>201.5</v>
      </c>
      <c r="D236" s="9">
        <v>110.98620000000001</v>
      </c>
    </row>
    <row r="237" spans="1:4" x14ac:dyDescent="0.25">
      <c r="A237" s="2" t="str">
        <f>"09130128140"</f>
        <v>09130128140</v>
      </c>
      <c r="B237" s="2" t="str">
        <f>"COMPLETE R14 STD SAIL FEEDER"</f>
        <v>COMPLETE R14 STD SAIL FEEDER</v>
      </c>
      <c r="C237" s="4">
        <v>62.5</v>
      </c>
      <c r="D237" s="9">
        <v>34.425000000000004</v>
      </c>
    </row>
    <row r="238" spans="1:4" x14ac:dyDescent="0.25">
      <c r="A238" s="2" t="str">
        <f>"09130128240"</f>
        <v>09130128240</v>
      </c>
      <c r="B238" s="2" t="str">
        <f>"COMPLETE R24 STD SAIL FEEDER"</f>
        <v>COMPLETE R24 STD SAIL FEEDER</v>
      </c>
      <c r="C238" s="4">
        <v>71.099999999999994</v>
      </c>
      <c r="D238" s="9">
        <v>39.161879999999996</v>
      </c>
    </row>
    <row r="239" spans="1:4" x14ac:dyDescent="0.25">
      <c r="A239" s="2" t="str">
        <f>"09130128340"</f>
        <v>09130128340</v>
      </c>
      <c r="B239" s="2" t="str">
        <f>"COMPLETE R34 STD SAIL FEEDER"</f>
        <v>COMPLETE R34 STD SAIL FEEDER</v>
      </c>
      <c r="C239" s="4">
        <v>97.699999999999989</v>
      </c>
      <c r="D239" s="9">
        <v>53.813159999999996</v>
      </c>
    </row>
    <row r="240" spans="1:4" x14ac:dyDescent="0.25">
      <c r="A240" s="2" t="str">
        <f>"09213110040"</f>
        <v>09213110040</v>
      </c>
      <c r="B240" s="2" t="str">
        <f>"COMPLT NOSE+TBK DRUM FD110 R14 STANDARD"</f>
        <v>COMPLT NOSE+TBK DRUM FD110 R14 STANDARD</v>
      </c>
      <c r="C240" s="4">
        <v>1962.1999999999998</v>
      </c>
      <c r="D240" s="9">
        <v>1080.7797600000001</v>
      </c>
    </row>
    <row r="241" spans="1:4" x14ac:dyDescent="0.25">
      <c r="A241" s="2" t="str">
        <f>"09282251010"</f>
        <v>09282251010</v>
      </c>
      <c r="B241" s="2" t="str">
        <f>"LPK 100MM D10 FD110"</f>
        <v>LPK 100MM D10 FD110</v>
      </c>
      <c r="C241" s="4">
        <v>111.1</v>
      </c>
      <c r="D241" s="9">
        <v>61.19388</v>
      </c>
    </row>
    <row r="242" spans="1:4" x14ac:dyDescent="0.25">
      <c r="A242" s="2" t="str">
        <f>"20002060200"</f>
        <v>20002060200</v>
      </c>
      <c r="B242" s="2" t="str">
        <f>"6X20(1/4  X3/4  )HH SLG SCREW"</f>
        <v>6X20(1/4  X3/4  )HH SLG SCREW</v>
      </c>
      <c r="C242" s="4">
        <v>1.2000000000000002</v>
      </c>
      <c r="D242" s="9">
        <v>0.66096000000000021</v>
      </c>
    </row>
    <row r="243" spans="1:4" x14ac:dyDescent="0.25">
      <c r="A243" s="2" t="str">
        <f>"20071050800"</f>
        <v>20071050800</v>
      </c>
      <c r="B243" s="2" t="str">
        <f>"SCREWS SX25/R14-26 5X8MM"</f>
        <v>SCREWS SX25/R14-26 5X8MM</v>
      </c>
      <c r="C243" s="4">
        <v>1.3</v>
      </c>
      <c r="D243" s="9">
        <v>0.71604000000000012</v>
      </c>
    </row>
    <row r="244" spans="1:4" x14ac:dyDescent="0.25">
      <c r="A244" s="2" t="str">
        <f>"20078060450"</f>
        <v>20078060450</v>
      </c>
      <c r="B244" s="2" t="str">
        <f>"SCREW TCHC PF M6X45 (60)"</f>
        <v>SCREW TCHC PF M6X45 (60)</v>
      </c>
      <c r="C244" s="4">
        <v>1.3</v>
      </c>
      <c r="D244" s="9">
        <v>0.71604000000000012</v>
      </c>
    </row>
    <row r="245" spans="1:4" x14ac:dyDescent="0.25">
      <c r="A245" s="2" t="str">
        <f>"20002100200"</f>
        <v>20002100200</v>
      </c>
      <c r="B245" s="2" t="str">
        <f>"M10 X 20 SCREWS"</f>
        <v>M10 X 20 SCREWS</v>
      </c>
      <c r="C245" s="4">
        <v>2.9</v>
      </c>
      <c r="D245" s="9">
        <v>1.5973200000000001</v>
      </c>
    </row>
    <row r="246" spans="1:4" x14ac:dyDescent="0.25">
      <c r="A246" s="2" t="str">
        <f>"20059050250"</f>
        <v>20059050250</v>
      </c>
      <c r="B246" s="2" t="str">
        <f>"BOLT 5X25 (3/16-1  ) SPECIAL"</f>
        <v>BOLT 5X25 (3/16-1  ) SPECIAL</v>
      </c>
      <c r="C246" s="4">
        <v>1.3</v>
      </c>
      <c r="D246" s="9">
        <v>0.71604000000000012</v>
      </c>
    </row>
    <row r="247" spans="1:4" x14ac:dyDescent="0.25">
      <c r="A247" s="2" t="str">
        <f>"09130124150"</f>
        <v>09130124150</v>
      </c>
      <c r="B247" s="2" t="str">
        <f>"32X SX39+47/R34 SCREWS - 16M50 PACKX32"</f>
        <v>32X SX39+47/R34 SCREWS - 16M50 PACKX32</v>
      </c>
      <c r="C247" s="4">
        <v>35.1</v>
      </c>
      <c r="D247" s="9">
        <v>19.333080000000002</v>
      </c>
    </row>
    <row r="248" spans="1:4" x14ac:dyDescent="0.25">
      <c r="A248" s="2" t="str">
        <f>"20005040000"</f>
        <v>20005040000</v>
      </c>
      <c r="B248" s="2" t="str">
        <f>"NYLON STOP NUT M4/MAINSAIL F"</f>
        <v>NYLON STOP NUT M4/MAINSAIL F</v>
      </c>
      <c r="C248" s="4">
        <v>0.7</v>
      </c>
      <c r="D248" s="9">
        <v>0.38556000000000001</v>
      </c>
    </row>
    <row r="249" spans="1:4" x14ac:dyDescent="0.25">
      <c r="A249" s="2" t="str">
        <f>"20005060000"</f>
        <v>20005060000</v>
      </c>
      <c r="B249" s="2" t="str">
        <f>"SINGLE NYLSTOP NUT M6"</f>
        <v>SINGLE NYLSTOP NUT M6</v>
      </c>
      <c r="C249" s="4">
        <v>0.30000000000000004</v>
      </c>
      <c r="D249" s="9">
        <v>0.16524000000000005</v>
      </c>
    </row>
    <row r="250" spans="1:4" x14ac:dyDescent="0.25">
      <c r="A250" s="2" t="str">
        <f>"20071051000"</f>
        <v>20071051000</v>
      </c>
      <c r="B250" s="2" t="str">
        <f>"5 X 10 W/ LOCKTITE SCREW"</f>
        <v>5 X 10 W/ LOCKTITE SCREW</v>
      </c>
      <c r="C250" s="4">
        <v>0.7</v>
      </c>
      <c r="D250" s="9">
        <v>0.38556000000000001</v>
      </c>
    </row>
    <row r="251" spans="1:4" x14ac:dyDescent="0.25">
      <c r="A251" s="2" t="str">
        <f>"51041100050"</f>
        <v>51041100050</v>
      </c>
      <c r="B251" s="2" t="str">
        <f>"SET OF STOPPERS/ROLLER GUIDE"</f>
        <v>SET OF STOPPERS/ROLLER GUIDE</v>
      </c>
      <c r="C251" s="4">
        <v>41.800000000000004</v>
      </c>
      <c r="D251" s="9">
        <v>23.023440000000004</v>
      </c>
    </row>
    <row r="252" spans="1:4" x14ac:dyDescent="0.25">
      <c r="A252" s="2" t="str">
        <f>"00909515012"</f>
        <v>00909515012</v>
      </c>
      <c r="B252" s="2" t="str">
        <f>"BUSHING D12MM/SD1 &amp; 101.73 PIN"</f>
        <v>BUSHING D12MM/SD1 &amp; 101.73 PIN</v>
      </c>
      <c r="C252" s="4">
        <v>37.800000000000004</v>
      </c>
      <c r="D252" s="9">
        <v>20.820240000000005</v>
      </c>
    </row>
    <row r="253" spans="1:4" x14ac:dyDescent="0.25">
      <c r="A253" s="2" t="str">
        <f>"09092024030"</f>
        <v>09092024030</v>
      </c>
      <c r="B253" s="2" t="str">
        <f>"R24 CONNECT &amp; SCREW"</f>
        <v>R24 CONNECT &amp; SCREW</v>
      </c>
      <c r="C253" s="4">
        <v>68.5</v>
      </c>
      <c r="D253" s="9">
        <v>37.729800000000004</v>
      </c>
    </row>
    <row r="254" spans="1:4" x14ac:dyDescent="0.25">
      <c r="A254" s="2" t="str">
        <f>"09092030030"</f>
        <v>09092030030</v>
      </c>
      <c r="B254" s="2" t="str">
        <f>"S30 CONNECTOR+SCREW"</f>
        <v>S30 CONNECTOR+SCREW</v>
      </c>
      <c r="C254" s="4">
        <v>43.1</v>
      </c>
      <c r="D254" s="9">
        <v>23.739480000000004</v>
      </c>
    </row>
    <row r="255" spans="1:4" x14ac:dyDescent="0.25">
      <c r="A255" s="2" t="str">
        <f>"09092038030"</f>
        <v>09092038030</v>
      </c>
      <c r="B255" s="2" t="str">
        <f>"S38 CONNECTOR+SCREW"</f>
        <v>S38 CONNECTOR+SCREW</v>
      </c>
      <c r="C255" s="4">
        <v>65</v>
      </c>
      <c r="D255" s="9">
        <v>35.802</v>
      </c>
    </row>
    <row r="256" spans="1:4" x14ac:dyDescent="0.25">
      <c r="A256" s="2" t="str">
        <f>"09092046030"</f>
        <v>09092046030</v>
      </c>
      <c r="B256" s="2" t="str">
        <f>"S46 CONNECTOR+SCREW"</f>
        <v>S46 CONNECTOR+SCREW</v>
      </c>
      <c r="C256" s="4">
        <v>76.599999999999994</v>
      </c>
      <c r="D256" s="9">
        <v>42.191280000000006</v>
      </c>
    </row>
    <row r="257" spans="1:4" x14ac:dyDescent="0.25">
      <c r="A257" s="2" t="str">
        <f>"35022019823"</f>
        <v>35022019823</v>
      </c>
      <c r="B257" s="2" t="str">
        <f>"SX39 BOTTOM CONNECTOR EXPANDER 226MM"</f>
        <v>SX39 BOTTOM CONNECTOR EXPANDER 226MM</v>
      </c>
      <c r="C257" s="4">
        <v>55.800000000000004</v>
      </c>
      <c r="D257" s="9">
        <v>30.734640000000006</v>
      </c>
    </row>
    <row r="258" spans="1:4" x14ac:dyDescent="0.25">
      <c r="A258" s="2" t="str">
        <f>"09010070040"</f>
        <v>09010070040</v>
      </c>
      <c r="B258" s="2" t="str">
        <f>"SD70 DRUM"</f>
        <v>SD70 DRUM</v>
      </c>
      <c r="C258" s="4">
        <v>2535.6999999999998</v>
      </c>
      <c r="D258" s="9">
        <v>1396.6635600000002</v>
      </c>
    </row>
    <row r="259" spans="1:4" x14ac:dyDescent="0.25">
      <c r="A259" s="2" t="str">
        <f>"09010150040"</f>
        <v>09010150040</v>
      </c>
      <c r="B259" s="2" t="str">
        <f>"SD 150 DRUM"</f>
        <v>SD 150 DRUM</v>
      </c>
      <c r="C259" s="4">
        <v>135</v>
      </c>
      <c r="D259" s="9">
        <v>74.358000000000018</v>
      </c>
    </row>
    <row r="260" spans="1:4" x14ac:dyDescent="0.25">
      <c r="A260" s="2" t="str">
        <f>"09010165040"</f>
        <v>09010165040</v>
      </c>
      <c r="B260" s="2" t="str">
        <f>"SD165 DRUM"</f>
        <v>SD165 DRUM</v>
      </c>
      <c r="C260" s="4">
        <v>2007.3999999999999</v>
      </c>
      <c r="D260" s="9">
        <v>1105.6759200000001</v>
      </c>
    </row>
    <row r="261" spans="1:4" x14ac:dyDescent="0.25">
      <c r="A261" s="2" t="str">
        <f>"09013150030"</f>
        <v>09013150030</v>
      </c>
      <c r="B261" s="2" t="str">
        <f>"R150 DRUM WITHOUT NOSE"</f>
        <v>R150 DRUM WITHOUT NOSE</v>
      </c>
      <c r="C261" s="4">
        <v>317</v>
      </c>
      <c r="D261" s="9">
        <v>174.60360000000003</v>
      </c>
    </row>
    <row r="262" spans="1:4" x14ac:dyDescent="0.25">
      <c r="A262" s="2" t="str">
        <f>"09095200120"</f>
        <v>09095200120</v>
      </c>
      <c r="B262" s="2" t="str">
        <f>"PIN+BUSHING D12MM/SD180/290"</f>
        <v>PIN+BUSHING D12MM/SD180/290</v>
      </c>
      <c r="C262" s="4">
        <v>71.8</v>
      </c>
      <c r="D262" s="9">
        <v>39.547440000000002</v>
      </c>
    </row>
    <row r="263" spans="1:4" x14ac:dyDescent="0.25">
      <c r="A263" s="2" t="str">
        <f>"09095200140"</f>
        <v>09095200140</v>
      </c>
      <c r="B263" s="2" t="str">
        <f>"PIN+BUSHING D14MM/SD180/290"</f>
        <v>PIN+BUSHING D14MM/SD180/290</v>
      </c>
      <c r="C263" s="4">
        <v>83.6</v>
      </c>
      <c r="D263" s="9">
        <v>46.046880000000002</v>
      </c>
    </row>
    <row r="264" spans="1:4" x14ac:dyDescent="0.25">
      <c r="A264" s="2" t="str">
        <f>"09112165040"</f>
        <v>09112165040</v>
      </c>
      <c r="B264" s="2" t="str">
        <f>"COMPLETE LX 165 DRUM"</f>
        <v>COMPLETE LX 165 DRUM</v>
      </c>
      <c r="C264" s="4">
        <v>2115.6999999999998</v>
      </c>
      <c r="D264" s="9">
        <v>1165.3275599999999</v>
      </c>
    </row>
    <row r="265" spans="1:4" x14ac:dyDescent="0.25">
      <c r="A265" s="2" t="str">
        <f>"09220110113"</f>
        <v>09220110113</v>
      </c>
      <c r="B265" s="2" t="str">
        <f>"R14FD110DRUMKIT+FL+LP05PIN12.7 REPLACEMT"</f>
        <v>R14FD110DRUMKIT+FL+LP05PIN12.7 REPLACEMT</v>
      </c>
      <c r="C265" s="4">
        <v>2105.9</v>
      </c>
      <c r="D265" s="9">
        <v>1159.9297200000003</v>
      </c>
    </row>
    <row r="266" spans="1:4" x14ac:dyDescent="0.25">
      <c r="A266" s="2" t="str">
        <f>"09270000040"</f>
        <v>09270000040</v>
      </c>
      <c r="B266" s="2" t="str">
        <f>"FD WEBBING SWIVEL"</f>
        <v>FD WEBBING SWIVEL</v>
      </c>
      <c r="C266" s="4">
        <v>21.5</v>
      </c>
      <c r="D266" s="9">
        <v>11.842200000000002</v>
      </c>
    </row>
    <row r="267" spans="1:4" x14ac:dyDescent="0.25">
      <c r="A267" s="2" t="str">
        <f>"29050000070"</f>
        <v>29050000070</v>
      </c>
      <c r="B267" s="2" t="str">
        <f>"FX4500 SWIVEL COVER GREY"</f>
        <v>FX4500 SWIVEL COVER GREY</v>
      </c>
      <c r="C267" s="4">
        <v>135</v>
      </c>
      <c r="D267" s="9">
        <v>74.358000000000018</v>
      </c>
    </row>
    <row r="268" spans="1:4" x14ac:dyDescent="0.25">
      <c r="A268" s="2" t="str">
        <f>"29050000078"</f>
        <v>29050000078</v>
      </c>
      <c r="B268" s="2" t="str">
        <f>"SWIVEL PROTECTION COVER FX2500"</f>
        <v>SWIVEL PROTECTION COVER FX2500</v>
      </c>
      <c r="C268" s="4">
        <v>199.6</v>
      </c>
      <c r="D268" s="9">
        <v>109.93968000000001</v>
      </c>
    </row>
    <row r="269" spans="1:4" x14ac:dyDescent="0.25">
      <c r="A269" s="2" t="str">
        <f>"28026271006"</f>
        <v>28026271006</v>
      </c>
      <c r="B269" s="2" t="str">
        <f>"PLASTIC SLEEVE/INTER CAR 06 X 27 FI10-20"</f>
        <v>PLASTIC SLEEVE/INTER CAR 06 X 27 FI10-20</v>
      </c>
      <c r="C269" s="4">
        <v>12.1</v>
      </c>
      <c r="D269" s="9">
        <v>6.6646799999999997</v>
      </c>
    </row>
    <row r="270" spans="1:4" x14ac:dyDescent="0.25">
      <c r="A270" s="2" t="str">
        <f>"28026271008"</f>
        <v>28026271008</v>
      </c>
      <c r="B270" s="2" t="str">
        <f>"PLASTIC SLEEVE/INTER CAR 08 X 27 FI30"</f>
        <v>PLASTIC SLEEVE/INTER CAR 08 X 27 FI30</v>
      </c>
      <c r="C270" s="4">
        <v>29.900000000000002</v>
      </c>
      <c r="D270" s="9">
        <v>16.468920000000004</v>
      </c>
    </row>
    <row r="271" spans="1:4" x14ac:dyDescent="0.25">
      <c r="A271" s="2" t="str">
        <f>"88021001068"</f>
        <v>88021001068</v>
      </c>
      <c r="B271" s="2" t="str">
        <f>"ADAPTING COLLAR FOR NEW 3T SWIV BUSHING"</f>
        <v>ADAPTING COLLAR FOR NEW 3T SWIV BUSHING</v>
      </c>
      <c r="C271" s="4">
        <v>73.3</v>
      </c>
      <c r="D271" s="9">
        <v>40.373640000000002</v>
      </c>
    </row>
    <row r="272" spans="1:4" x14ac:dyDescent="0.25">
      <c r="A272" s="2" t="str">
        <f>"09096014070"</f>
        <v>09096014070</v>
      </c>
      <c r="B272" s="2" t="str">
        <f>"R14 BUSHING"</f>
        <v>R14 BUSHING</v>
      </c>
      <c r="C272" s="4">
        <v>12.5</v>
      </c>
      <c r="D272" s="9">
        <v>6.8850000000000007</v>
      </c>
    </row>
    <row r="273" spans="1:4" x14ac:dyDescent="0.25">
      <c r="A273" s="2" t="str">
        <f>"09096024080"</f>
        <v>09096024080</v>
      </c>
      <c r="B273" s="2" t="str">
        <f>"R24 BUSHING/FORESTAY D8MM"</f>
        <v>R24 BUSHING/FORESTAY D8MM</v>
      </c>
      <c r="C273" s="4">
        <v>13.299999999999999</v>
      </c>
      <c r="D273" s="9">
        <v>7.3256400000000017</v>
      </c>
    </row>
    <row r="274" spans="1:4" x14ac:dyDescent="0.25">
      <c r="A274" s="2" t="str">
        <f>"09096024100"</f>
        <v>09096024100</v>
      </c>
      <c r="B274" s="2" t="str">
        <f>"BUSHING WIRE R24- Ø 10MM"</f>
        <v>BUSHING WIRE R24- Ø 10MM</v>
      </c>
      <c r="C274" s="4">
        <v>12.4</v>
      </c>
      <c r="D274" s="9">
        <v>6.8299200000000013</v>
      </c>
    </row>
    <row r="275" spans="1:4" x14ac:dyDescent="0.25">
      <c r="A275" s="2" t="str">
        <f>"09096030700"</f>
        <v>09096030700</v>
      </c>
      <c r="B275" s="2" t="str">
        <f>"S30 BUSHING/FORESTAY D6-7"</f>
        <v>S30 BUSHING/FORESTAY D6-7</v>
      </c>
      <c r="C275" s="4">
        <v>11.9</v>
      </c>
      <c r="D275" s="9">
        <v>6.554520000000001</v>
      </c>
    </row>
    <row r="276" spans="1:4" x14ac:dyDescent="0.25">
      <c r="A276" s="2" t="str">
        <f>"09096034130"</f>
        <v>09096034130</v>
      </c>
      <c r="B276" s="2" t="str">
        <f>"R34 BUSHING"</f>
        <v>R34 BUSHING</v>
      </c>
      <c r="C276" s="4">
        <v>15.7</v>
      </c>
      <c r="D276" s="9">
        <v>8.6475600000000004</v>
      </c>
    </row>
    <row r="277" spans="1:4" x14ac:dyDescent="0.25">
      <c r="A277" s="2" t="str">
        <f>"09096038080"</f>
        <v>09096038080</v>
      </c>
      <c r="B277" s="2" t="str">
        <f>"S38 BUSHING/FORESTAY D8"</f>
        <v>S38 BUSHING/FORESTAY D8</v>
      </c>
      <c r="C277" s="4">
        <v>13.9</v>
      </c>
      <c r="D277" s="9">
        <v>7.6561200000000023</v>
      </c>
    </row>
    <row r="278" spans="1:4" x14ac:dyDescent="0.25">
      <c r="A278" s="2" t="str">
        <f>"09096038100"</f>
        <v>09096038100</v>
      </c>
      <c r="B278" s="2" t="str">
        <f>"S38 BUSHING/FORESTAY D10"</f>
        <v>S38 BUSHING/FORESTAY D10</v>
      </c>
      <c r="C278" s="4">
        <v>13.9</v>
      </c>
      <c r="D278" s="9">
        <v>7.6561200000000023</v>
      </c>
    </row>
    <row r="279" spans="1:4" x14ac:dyDescent="0.25">
      <c r="A279" s="2" t="str">
        <f>"09096046100"</f>
        <v>09096046100</v>
      </c>
      <c r="B279" s="2" t="str">
        <f>"S46 D10 BUSHING"</f>
        <v>S46 D10 BUSHING</v>
      </c>
      <c r="C279" s="4">
        <v>45.5</v>
      </c>
      <c r="D279" s="9">
        <v>25.061399999999999</v>
      </c>
    </row>
    <row r="280" spans="1:4" x14ac:dyDescent="0.25">
      <c r="A280" s="2" t="str">
        <f>"09096046120"</f>
        <v>09096046120</v>
      </c>
      <c r="B280" s="2" t="str">
        <f>"S46 D10/12 BUSHING"</f>
        <v>S46 D10/12 BUSHING</v>
      </c>
      <c r="C280" s="4">
        <v>15.5</v>
      </c>
      <c r="D280" s="9">
        <v>8.5374000000000017</v>
      </c>
    </row>
    <row r="281" spans="1:4" x14ac:dyDescent="0.25">
      <c r="A281" s="2" t="str">
        <f>"09096046140"</f>
        <v>09096046140</v>
      </c>
      <c r="B281" s="2" t="str">
        <f>"S46  D14MM WIRE BUSHING"</f>
        <v>S46  D14MM WIRE BUSHING</v>
      </c>
      <c r="C281" s="4">
        <v>19</v>
      </c>
      <c r="D281" s="9">
        <v>10.465200000000001</v>
      </c>
    </row>
    <row r="282" spans="1:4" x14ac:dyDescent="0.25">
      <c r="A282" s="2" t="str">
        <f>"09130125132"</f>
        <v>09130125132</v>
      </c>
      <c r="B282" s="2" t="str">
        <f>"10 SX33 BUSHINGSS/D5 FORESTAY 13M40 -  B"</f>
        <v>10 SX33 BUSHINGSS/D5 FORESTAY 13M40 -  B</v>
      </c>
      <c r="C282" s="4">
        <v>68.5</v>
      </c>
      <c r="D282" s="9">
        <v>37.729800000000004</v>
      </c>
    </row>
    <row r="283" spans="1:4" x14ac:dyDescent="0.25">
      <c r="A283" s="2" t="str">
        <f>"09130125152"</f>
        <v>09130125152</v>
      </c>
      <c r="B283" s="2" t="str">
        <f>"12 SX39 BUSHING/D6-7-8FORESTAY 17M50 - B"</f>
        <v>12 SX39 BUSHING/D6-7-8FORESTAY 17M50 - B</v>
      </c>
      <c r="C283" s="4">
        <v>94</v>
      </c>
      <c r="D283" s="9">
        <v>51.775200000000005</v>
      </c>
    </row>
    <row r="284" spans="1:4" x14ac:dyDescent="0.25">
      <c r="A284" s="2" t="str">
        <f>"09130125186"</f>
        <v>09130125186</v>
      </c>
      <c r="B284" s="2" t="str">
        <f>"14 SX47 BUSHG/D12+12.7FORESTAY 21M50 - B"</f>
        <v>14 SX47 BUSHG/D12+12.7FORESTAY 21M50 - B</v>
      </c>
      <c r="C284" s="4">
        <v>179.5</v>
      </c>
      <c r="D284" s="9">
        <v>98.868600000000001</v>
      </c>
    </row>
    <row r="285" spans="1:4" x14ac:dyDescent="0.25">
      <c r="A285" s="2" t="str">
        <f>"09130125188"</f>
        <v>09130125188</v>
      </c>
      <c r="B285" s="2" t="str">
        <f>"14 SX47 BUSHINGS/D14 FORESTAY 21M50 D16"</f>
        <v>14 SX47 BUSHINGS/D14 FORESTAY 21M50 D16</v>
      </c>
      <c r="C285" s="4">
        <v>179.5</v>
      </c>
      <c r="D285" s="9">
        <v>98.868600000000001</v>
      </c>
    </row>
    <row r="286" spans="1:4" x14ac:dyDescent="0.25">
      <c r="A286" s="2" t="str">
        <f>"09130125192"</f>
        <v>09130125192</v>
      </c>
      <c r="B286" s="2" t="str">
        <f>"15 SX53 BUSHINGS/D14 FORESTAY 23M50 - BU"</f>
        <v>15 SX53 BUSHINGS/D14 FORESTAY 23M50 - BU</v>
      </c>
      <c r="C286" s="4">
        <v>316.10000000000002</v>
      </c>
      <c r="D286" s="9">
        <v>174.10788000000005</v>
      </c>
    </row>
    <row r="287" spans="1:4" x14ac:dyDescent="0.25">
      <c r="A287" s="2" t="str">
        <f>"09196034100"</f>
        <v>09196034100</v>
      </c>
      <c r="B287" s="2" t="str">
        <f>"R34 BUSHING D100+11.1MM FORESTAY"</f>
        <v>R34 BUSHING D100+11.1MM FORESTAY</v>
      </c>
      <c r="C287" s="4">
        <v>31.8</v>
      </c>
      <c r="D287" s="9">
        <v>17.515440000000005</v>
      </c>
    </row>
    <row r="288" spans="1:4" x14ac:dyDescent="0.25">
      <c r="A288" s="2" t="str">
        <f>"09196034120"</f>
        <v>09196034120</v>
      </c>
      <c r="B288" s="2" t="str">
        <f>"R34 BUSHING D12.7MM FORESTAY"</f>
        <v>R34 BUSHING D12.7MM FORESTAY</v>
      </c>
      <c r="C288" s="4">
        <v>31.8</v>
      </c>
      <c r="D288" s="9">
        <v>17.515440000000005</v>
      </c>
    </row>
    <row r="289" spans="1:4" x14ac:dyDescent="0.25">
      <c r="A289" s="2" t="str">
        <f>"09196039080"</f>
        <v>09196039080</v>
      </c>
      <c r="B289" s="2" t="str">
        <f>"SX39 BUSHING/FORESTAY D6+7+8MM ."</f>
        <v>SX39 BUSHING/FORESTAY D6+7+8MM .</v>
      </c>
      <c r="C289" s="4">
        <v>14.7</v>
      </c>
      <c r="D289" s="9">
        <v>8.0967600000000015</v>
      </c>
    </row>
    <row r="290" spans="1:4" x14ac:dyDescent="0.25">
      <c r="A290" s="2" t="str">
        <f>"09196053220"</f>
        <v>09196053220</v>
      </c>
      <c r="B290" s="2" t="str">
        <f>"SX53 BUSHING/FORESTAY D22MM"</f>
        <v>SX53 BUSHING/FORESTAY D22MM</v>
      </c>
      <c r="C290" s="4">
        <v>44.9</v>
      </c>
      <c r="D290" s="9">
        <v>24.730920000000001</v>
      </c>
    </row>
    <row r="291" spans="1:4" x14ac:dyDescent="0.25">
      <c r="A291" s="2" t="str">
        <f>"43143090708"</f>
        <v>43143090708</v>
      </c>
      <c r="B291" s="2" t="str">
        <f>"BUSHING FX7000"</f>
        <v>BUSHING FX7000</v>
      </c>
      <c r="C291" s="4">
        <v>70.5</v>
      </c>
      <c r="D291" s="9">
        <v>38.831400000000009</v>
      </c>
    </row>
    <row r="292" spans="1:4" x14ac:dyDescent="0.25">
      <c r="A292" s="2" t="str">
        <f>"88021001036"</f>
        <v>88021001036</v>
      </c>
      <c r="B292" s="2" t="str">
        <f>"BUSHING- DELRIN ONE PC FOR 3T"</f>
        <v>BUSHING- DELRIN ONE PC FOR 3T</v>
      </c>
      <c r="C292" s="4">
        <v>70.5</v>
      </c>
      <c r="D292" s="9">
        <v>38.831400000000009</v>
      </c>
    </row>
    <row r="293" spans="1:4" x14ac:dyDescent="0.25">
      <c r="A293" s="2" t="str">
        <f>"88021001046"</f>
        <v>88021001046</v>
      </c>
      <c r="B293" s="2" t="str">
        <f>"BUSHING- 1/2 DELRIN FOR 3T"</f>
        <v>BUSHING- 1/2 DELRIN FOR 3T</v>
      </c>
      <c r="C293" s="4">
        <v>70.5</v>
      </c>
      <c r="D293" s="9">
        <v>38.831400000000009</v>
      </c>
    </row>
    <row r="294" spans="1:4" x14ac:dyDescent="0.25">
      <c r="A294" s="2" t="str">
        <f>"09071130040"</f>
        <v>09071130040</v>
      </c>
      <c r="B294" s="2" t="str">
        <f>"HALYARD DEFL. WHEEL S30"</f>
        <v>HALYARD DEFL. WHEEL S30</v>
      </c>
      <c r="C294" s="4">
        <v>70.5</v>
      </c>
      <c r="D294" s="9">
        <v>38.831400000000009</v>
      </c>
    </row>
    <row r="295" spans="1:4" x14ac:dyDescent="0.25">
      <c r="A295" s="2" t="str">
        <f>"09130204240"</f>
        <v>09130204240</v>
      </c>
      <c r="B295" s="2" t="str">
        <f>"R24 TOP CAP"</f>
        <v>R24 TOP CAP</v>
      </c>
      <c r="C295" s="4">
        <v>50.4</v>
      </c>
      <c r="D295" s="9">
        <v>27.76032</v>
      </c>
    </row>
    <row r="296" spans="1:4" x14ac:dyDescent="0.25">
      <c r="A296" s="2" t="str">
        <f>"09171000205"</f>
        <v>09171000205</v>
      </c>
      <c r="B296" s="2" t="str">
        <f>"RDD PM HAL. DEF. WHEEL FORESTAY D4-5"</f>
        <v>RDD PM HAL. DEF. WHEEL FORESTAY D4-5</v>
      </c>
      <c r="C296" s="4">
        <v>92.899999999999991</v>
      </c>
      <c r="D296" s="9">
        <v>51.169319999999999</v>
      </c>
    </row>
    <row r="297" spans="1:4" x14ac:dyDescent="0.25">
      <c r="A297" s="2" t="str">
        <f>"09171000206"</f>
        <v>09171000206</v>
      </c>
      <c r="B297" s="2" t="str">
        <f>"RDD PM HAL. DEF. WHEEL FORESTAY D6-7"</f>
        <v>RDD PM HAL. DEF. WHEEL FORESTAY D6-7</v>
      </c>
      <c r="C297" s="4">
        <v>92.899999999999991</v>
      </c>
      <c r="D297" s="9">
        <v>51.169319999999999</v>
      </c>
    </row>
    <row r="298" spans="1:4" x14ac:dyDescent="0.25">
      <c r="A298" s="2" t="str">
        <f>"09171000306"</f>
        <v>09171000306</v>
      </c>
      <c r="B298" s="2" t="str">
        <f>"RDD MM HAL. DEF. WHEEL FORESTAY D6-7-8"</f>
        <v>RDD MM HAL. DEF. WHEEL FORESTAY D6-7-8</v>
      </c>
      <c r="C298" s="4">
        <v>117.3</v>
      </c>
      <c r="D298" s="9">
        <v>64.608840000000015</v>
      </c>
    </row>
    <row r="299" spans="1:4" x14ac:dyDescent="0.25">
      <c r="A299" s="2" t="str">
        <f>"09171000310"</f>
        <v>09171000310</v>
      </c>
      <c r="B299" s="2" t="str">
        <f>"RDD MM HAL. DEF. WHEEL FORESTAY D10"</f>
        <v>RDD MM HAL. DEF. WHEEL FORESTAY D10</v>
      </c>
      <c r="C299" s="4">
        <v>117.3</v>
      </c>
      <c r="D299" s="9">
        <v>64.608840000000015</v>
      </c>
    </row>
    <row r="300" spans="1:4" x14ac:dyDescent="0.25">
      <c r="A300" s="2" t="str">
        <f>"09171000508"</f>
        <v>09171000508</v>
      </c>
      <c r="B300" s="2" t="str">
        <f>"RDD GM HAL. DEF. WHEEL FORESTAY D8-10-11"</f>
        <v>RDD GM HAL. DEF. WHEEL FORESTAY D8-10-11</v>
      </c>
      <c r="C300" s="4">
        <v>145.6</v>
      </c>
      <c r="D300" s="9">
        <v>80.196480000000008</v>
      </c>
    </row>
    <row r="301" spans="1:4" x14ac:dyDescent="0.25">
      <c r="A301" s="2" t="str">
        <f>"09171000509"</f>
        <v>09171000509</v>
      </c>
      <c r="B301" s="2" t="str">
        <f>"RDD GM HAL. DEF. WHEEL FORESTAY D9.52"</f>
        <v>RDD GM HAL. DEF. WHEEL FORESTAY D9.52</v>
      </c>
      <c r="C301" s="4">
        <v>145.6</v>
      </c>
      <c r="D301" s="9">
        <v>80.196480000000008</v>
      </c>
    </row>
    <row r="302" spans="1:4" x14ac:dyDescent="0.25">
      <c r="A302" s="2" t="str">
        <f>"09171000514"</f>
        <v>09171000514</v>
      </c>
      <c r="B302" s="2" t="str">
        <f>"RDD GM HAL. DEF. WHEEL FORESTAY D14"</f>
        <v>RDD GM HAL. DEF. WHEEL FORESTAY D14</v>
      </c>
      <c r="C302" s="4">
        <v>145.6</v>
      </c>
      <c r="D302" s="9">
        <v>80.196480000000008</v>
      </c>
    </row>
    <row r="303" spans="1:4" x14ac:dyDescent="0.25">
      <c r="A303" s="2" t="str">
        <f>"09171000622"</f>
        <v>09171000622</v>
      </c>
      <c r="B303" s="2" t="str">
        <f>"RDD TGM HAL. DEF. WHEEL FORESTAY D22"</f>
        <v>RDD TGM HAL. DEF. WHEEL FORESTAY D22</v>
      </c>
      <c r="C303" s="4">
        <v>178.29999999999998</v>
      </c>
      <c r="D303" s="9">
        <v>98.207640000000012</v>
      </c>
    </row>
    <row r="304" spans="1:4" x14ac:dyDescent="0.25">
      <c r="A304" s="2" t="str">
        <f>"33015100600"</f>
        <v>33015100600</v>
      </c>
      <c r="B304" s="2" t="str">
        <f>"INNER WASHER O6 KB F07-10-20"</f>
        <v>INNER WASHER O6 KB F07-10-20</v>
      </c>
      <c r="C304" s="4">
        <v>0.9</v>
      </c>
      <c r="D304" s="9">
        <v>0.49572000000000005</v>
      </c>
    </row>
    <row r="305" spans="1:4" x14ac:dyDescent="0.25">
      <c r="A305" s="2" t="str">
        <f>"33015100800"</f>
        <v>33015100800</v>
      </c>
      <c r="B305" s="2" t="str">
        <f>"INNER WASHER O8 KB FT30-FT40"</f>
        <v>INNER WASHER O8 KB FT30-FT40</v>
      </c>
      <c r="C305" s="4">
        <v>0.9</v>
      </c>
      <c r="D305" s="9">
        <v>0.49572000000000005</v>
      </c>
    </row>
    <row r="306" spans="1:4" x14ac:dyDescent="0.25">
      <c r="A306" s="2" t="str">
        <f>"35022000214"</f>
        <v>35022000214</v>
      </c>
      <c r="B306" s="2" t="str">
        <f>"FLEXIBL PLSTC STRIPS FD110"</f>
        <v>FLEXIBL PLSTC STRIPS FD110</v>
      </c>
      <c r="C306" s="4">
        <v>4.3</v>
      </c>
      <c r="D306" s="9">
        <v>2.3684400000000001</v>
      </c>
    </row>
    <row r="307" spans="1:4" x14ac:dyDescent="0.25">
      <c r="A307" s="2" t="str">
        <f>"51041100220"</f>
        <v>51041100220</v>
      </c>
      <c r="B307" s="2" t="str">
        <f>"SET OF 2 ROLLER GUIDES"</f>
        <v>SET OF 2 ROLLER GUIDES</v>
      </c>
      <c r="C307" s="4">
        <v>113.19999999999999</v>
      </c>
      <c r="D307" s="9">
        <v>62.350560000000009</v>
      </c>
    </row>
    <row r="308" spans="1:4" x14ac:dyDescent="0.25">
      <c r="A308" s="2" t="str">
        <f>"14098006300"</f>
        <v>14098006300</v>
      </c>
      <c r="B308" s="2" t="str">
        <f>"DELRIN BALL 6.35MM"</f>
        <v>DELRIN BALL 6.35MM</v>
      </c>
      <c r="C308" s="4">
        <v>66.599999999999994</v>
      </c>
      <c r="D308" s="9">
        <v>36.683280000000003</v>
      </c>
    </row>
    <row r="309" spans="1:4" x14ac:dyDescent="0.25">
      <c r="A309" s="2" t="str">
        <f>"14098016300"</f>
        <v>14098016300</v>
      </c>
      <c r="B309" s="2" t="str">
        <f>"TORLON BALLS D06.35MM F10-20"</f>
        <v>TORLON BALLS D06.35MM F10-20</v>
      </c>
      <c r="C309" s="4">
        <v>2.2000000000000002</v>
      </c>
      <c r="D309" s="9">
        <v>1.2117600000000002</v>
      </c>
    </row>
    <row r="310" spans="1:4" x14ac:dyDescent="0.25">
      <c r="A310" s="2" t="str">
        <f>"14098017900"</f>
        <v>14098017900</v>
      </c>
      <c r="B310" s="2" t="str">
        <f>"TORLON BALLS D07.94MM F30-40"</f>
        <v>TORLON BALLS D07.94MM F30-40</v>
      </c>
      <c r="C310" s="4">
        <v>2.5</v>
      </c>
      <c r="D310" s="9">
        <v>1.3770000000000002</v>
      </c>
    </row>
    <row r="311" spans="1:4" x14ac:dyDescent="0.25">
      <c r="A311" s="2" t="str">
        <f>"28024080070"</f>
        <v>28024080070</v>
      </c>
      <c r="B311" s="2" t="str">
        <f>"RING FOR F40 OUTHAUL CAR"</f>
        <v>RING FOR F40 OUTHAUL CAR</v>
      </c>
      <c r="C311" s="4">
        <v>71.399999999999991</v>
      </c>
      <c r="D311" s="9">
        <v>39.327120000000001</v>
      </c>
    </row>
    <row r="312" spans="1:4" x14ac:dyDescent="0.25">
      <c r="A312" s="2" t="str">
        <f>"09082105408"</f>
        <v>09082105408</v>
      </c>
      <c r="B312" s="2" t="str">
        <f>"TURNB.KIT PIN D8 LG 54MM"</f>
        <v>TURNB.KIT PIN D8 LG 54MM</v>
      </c>
      <c r="C312" s="4">
        <v>102.8</v>
      </c>
      <c r="D312" s="9">
        <v>56.622239999999998</v>
      </c>
    </row>
    <row r="313" spans="1:4" x14ac:dyDescent="0.25">
      <c r="A313" s="2" t="str">
        <f>"09082105410"</f>
        <v>09082105410</v>
      </c>
      <c r="B313" s="2" t="str">
        <f>"TURNB.KIT PIN D10 LG 54MM"</f>
        <v>TURNB.KIT PIN D10 LG 54MM</v>
      </c>
      <c r="C313" s="4">
        <v>105.5</v>
      </c>
      <c r="D313" s="9">
        <v>58.109400000000015</v>
      </c>
    </row>
    <row r="314" spans="1:4" x14ac:dyDescent="0.25">
      <c r="A314" s="2" t="str">
        <f>"09082105412"</f>
        <v>09082105412</v>
      </c>
      <c r="B314" s="2" t="str">
        <f>"TURNB.KIT PIN D12 LG 54MM"</f>
        <v>TURNB.KIT PIN D12 LG 54MM</v>
      </c>
      <c r="C314" s="4">
        <v>110.19999999999999</v>
      </c>
      <c r="D314" s="9">
        <v>60.698159999999994</v>
      </c>
    </row>
    <row r="315" spans="1:4" x14ac:dyDescent="0.25">
      <c r="A315" s="2" t="str">
        <f>"09082117408"</f>
        <v>09082117408</v>
      </c>
      <c r="B315" s="2" t="str">
        <f>"TURNB.KIT PIN D8 LG 174MM"</f>
        <v>TURNB.KIT PIN D8 LG 174MM</v>
      </c>
      <c r="C315" s="4">
        <v>159.4</v>
      </c>
      <c r="D315" s="9">
        <v>87.797520000000006</v>
      </c>
    </row>
    <row r="316" spans="1:4" x14ac:dyDescent="0.25">
      <c r="A316" s="2" t="str">
        <f>"09082117412"</f>
        <v>09082117412</v>
      </c>
      <c r="B316" s="2" t="str">
        <f>"TURNB.KIT PIN D12 LG 174MM"</f>
        <v>TURNB.KIT PIN D12 LG 174MM</v>
      </c>
      <c r="C316" s="4">
        <v>159.4</v>
      </c>
      <c r="D316" s="9">
        <v>87.797520000000006</v>
      </c>
    </row>
    <row r="317" spans="1:4" x14ac:dyDescent="0.25">
      <c r="A317" s="2" t="str">
        <f>"09082126510"</f>
        <v>09082126510</v>
      </c>
      <c r="B317" s="2" t="str">
        <f>"TURNB.KIT PIND10 LG 265MM"</f>
        <v>TURNB.KIT PIND10 LG 265MM</v>
      </c>
      <c r="C317" s="4">
        <v>167.9</v>
      </c>
      <c r="D317" s="9">
        <v>92.479320000000016</v>
      </c>
    </row>
    <row r="318" spans="1:4" x14ac:dyDescent="0.25">
      <c r="A318" s="2" t="str">
        <f>"09082126512"</f>
        <v>09082126512</v>
      </c>
      <c r="B318" s="2" t="str">
        <f>"TURNB.KIT PIND12 LG 265MM"</f>
        <v>TURNB.KIT PIND12 LG 265MM</v>
      </c>
      <c r="C318" s="4">
        <v>180.6</v>
      </c>
      <c r="D318" s="9">
        <v>99.474480000000014</v>
      </c>
    </row>
    <row r="319" spans="1:4" x14ac:dyDescent="0.25">
      <c r="A319" s="2" t="str">
        <f>"09152039040"</f>
        <v>09152039040</v>
      </c>
      <c r="B319" s="2" t="str">
        <f>"LONG FIXED NOSE L165-180"</f>
        <v>LONG FIXED NOSE L165-180</v>
      </c>
      <c r="C319" s="4">
        <v>831.2</v>
      </c>
      <c r="D319" s="9">
        <v>457.82496000000015</v>
      </c>
    </row>
    <row r="320" spans="1:4" x14ac:dyDescent="0.25">
      <c r="A320" s="2" t="str">
        <f>"09182251012"</f>
        <v>09182251012</v>
      </c>
      <c r="B320" s="2" t="str">
        <f>"LINK PLATE AXE12 100MM COURT"</f>
        <v>LINK PLATE AXE12 100MM COURT</v>
      </c>
      <c r="C320" s="4">
        <v>112.19999999999999</v>
      </c>
      <c r="D320" s="9">
        <v>61.799759999999999</v>
      </c>
    </row>
    <row r="321" spans="1:4" x14ac:dyDescent="0.25">
      <c r="A321" s="2" t="str">
        <f>"09182332012"</f>
        <v>09182332012</v>
      </c>
      <c r="B321" s="2" t="str">
        <f>"LPK 200MM D12 L100-130-R100-130"</f>
        <v>LPK 200MM D12 L100-130-R100-130</v>
      </c>
      <c r="C321" s="4">
        <v>170.1</v>
      </c>
      <c r="D321" s="9">
        <v>93.691080000000014</v>
      </c>
    </row>
    <row r="322" spans="1:4" x14ac:dyDescent="0.25">
      <c r="A322" s="2" t="str">
        <f>"09182332013"</f>
        <v>09182332013</v>
      </c>
      <c r="B322" s="2" t="str">
        <f>"LPK 200MM D12.7 L100-130-R100-130"</f>
        <v>LPK 200MM D12.7 L100-130-R100-130</v>
      </c>
      <c r="C322" s="4">
        <v>170.1</v>
      </c>
      <c r="D322" s="9">
        <v>93.691080000000014</v>
      </c>
    </row>
    <row r="323" spans="1:4" x14ac:dyDescent="0.25">
      <c r="A323" s="2" t="str">
        <f>"09182391512"</f>
        <v>09182391512</v>
      </c>
      <c r="B323" s="2" t="str">
        <f>"LPK 150MM D12 L165-180-R165-200"</f>
        <v>LPK 150MM D12 L165-180-R165-200</v>
      </c>
      <c r="C323" s="4">
        <v>158.6</v>
      </c>
      <c r="D323" s="9">
        <v>87.356880000000004</v>
      </c>
    </row>
    <row r="324" spans="1:4" x14ac:dyDescent="0.25">
      <c r="A324" s="2" t="str">
        <f>"09182391516"</f>
        <v>09182391516</v>
      </c>
      <c r="B324" s="2" t="str">
        <f>"LPK 150MM D16 L165-180-R165-200"</f>
        <v>LPK 150MM D16 L165-180-R165-200</v>
      </c>
      <c r="C324" s="4">
        <v>158.6</v>
      </c>
      <c r="D324" s="9">
        <v>87.356880000000004</v>
      </c>
    </row>
    <row r="325" spans="1:4" x14ac:dyDescent="0.25">
      <c r="A325" s="2" t="str">
        <f>"09182471516"</f>
        <v>09182471516</v>
      </c>
      <c r="B325" s="2" t="str">
        <f>"LPK 150MM D16 L200-290-R260-300"</f>
        <v>LPK 150MM D16 L200-290-R260-300</v>
      </c>
      <c r="C325" s="4">
        <v>235.9</v>
      </c>
      <c r="D325" s="9">
        <v>129.93371999999999</v>
      </c>
    </row>
    <row r="326" spans="1:4" x14ac:dyDescent="0.25">
      <c r="A326" s="2" t="str">
        <f>"09182472519"</f>
        <v>09182472519</v>
      </c>
      <c r="B326" s="2" t="str">
        <f>"LPK 250MM D19 L200-290R260-300"</f>
        <v>LPK 250MM D19 L200-290R260-300</v>
      </c>
      <c r="C326" s="4">
        <v>339</v>
      </c>
      <c r="D326" s="9">
        <v>186.72120000000001</v>
      </c>
    </row>
    <row r="327" spans="1:4" x14ac:dyDescent="0.25">
      <c r="A327" s="2" t="str">
        <f>"09295014130"</f>
        <v>09295014130</v>
      </c>
      <c r="B327" s="2" t="str">
        <f>"LINK PLATE J-111 D12.7"</f>
        <v>LINK PLATE J-111 D12.7</v>
      </c>
      <c r="C327" s="4">
        <v>79.099999999999994</v>
      </c>
      <c r="D327" s="9">
        <v>43.568280000000001</v>
      </c>
    </row>
    <row r="328" spans="1:4" x14ac:dyDescent="0.25">
      <c r="A328" s="2" t="str">
        <f>"43010001510"</f>
        <v>43010001510</v>
      </c>
      <c r="B328" s="2" t="str">
        <f>"LINK PLATE KIT FOR 3T"</f>
        <v>LINK PLATE KIT FOR 3T</v>
      </c>
      <c r="C328" s="4">
        <v>135</v>
      </c>
      <c r="D328" s="9">
        <v>74.358000000000018</v>
      </c>
    </row>
    <row r="329" spans="1:4" x14ac:dyDescent="0.25">
      <c r="A329" s="2" t="str">
        <f>"31003261600"</f>
        <v>31003261600</v>
      </c>
      <c r="B329" s="2" t="str">
        <f>"SNAP SHACKLE FX2500"</f>
        <v>SNAP SHACKLE FX2500</v>
      </c>
      <c r="C329" s="4">
        <v>132.29999999999998</v>
      </c>
      <c r="D329" s="9">
        <v>72.870840000000001</v>
      </c>
    </row>
    <row r="330" spans="1:4" x14ac:dyDescent="0.25">
      <c r="A330" s="2" t="str">
        <f>"43020001060"</f>
        <v>43020001060</v>
      </c>
      <c r="B330" s="2" t="str">
        <f>"SWIVEL 1000 SHACKLE"</f>
        <v>SWIVEL 1000 SHACKLE</v>
      </c>
      <c r="C330" s="4">
        <v>135</v>
      </c>
      <c r="D330" s="9">
        <v>74.358000000000018</v>
      </c>
    </row>
    <row r="331" spans="1:4" x14ac:dyDescent="0.25">
      <c r="A331" s="2" t="str">
        <f>"43020002060"</f>
        <v>43020002060</v>
      </c>
      <c r="B331" s="2" t="str">
        <f>"SWIVEL CG 2000 SHACKLE/SHACKLE"</f>
        <v>SWIVEL CG 2000 SHACKLE/SHACKLE</v>
      </c>
      <c r="C331" s="4">
        <v>135</v>
      </c>
      <c r="D331" s="9">
        <v>74.358000000000018</v>
      </c>
    </row>
    <row r="332" spans="1:4" x14ac:dyDescent="0.25">
      <c r="A332" s="2" t="str">
        <f>"43020002560"</f>
        <v>43020002560</v>
      </c>
      <c r="B332" s="2" t="str">
        <f>"CG2500 SWIVEL SCHAKLE/ JAW"</f>
        <v>CG2500 SWIVEL SCHAKLE/ JAW</v>
      </c>
      <c r="C332" s="4">
        <v>135</v>
      </c>
      <c r="D332" s="9">
        <v>74.358000000000018</v>
      </c>
    </row>
    <row r="333" spans="1:4" x14ac:dyDescent="0.25">
      <c r="A333" s="2" t="str">
        <f>"43020004160"</f>
        <v>43020004160</v>
      </c>
      <c r="B333" s="2" t="str">
        <f>"SWIVEL CG 4000 SHACKLE/JAW"</f>
        <v>SWIVEL CG 4000 SHACKLE/JAW</v>
      </c>
      <c r="C333" s="4">
        <v>135</v>
      </c>
      <c r="D333" s="9">
        <v>74.358000000000018</v>
      </c>
    </row>
    <row r="334" spans="1:4" x14ac:dyDescent="0.25">
      <c r="A334" s="2" t="str">
        <f>"43020004360"</f>
        <v>43020004360</v>
      </c>
      <c r="B334" s="2" t="str">
        <f>"SWIVEL CG 4000 2 TO1/ JAW"</f>
        <v>SWIVEL CG 4000 2 TO1/ JAW</v>
      </c>
      <c r="C334" s="4">
        <v>135</v>
      </c>
      <c r="D334" s="9">
        <v>74.358000000000018</v>
      </c>
    </row>
    <row r="335" spans="1:4" x14ac:dyDescent="0.25">
      <c r="A335" s="2" t="str">
        <f>"43020006060"</f>
        <v>43020006060</v>
      </c>
      <c r="B335" s="2" t="str">
        <f>"SWIVEL CG 6000 SHACKLE/ SHAC"</f>
        <v>SWIVEL CG 6000 SHACKLE/ SHAC</v>
      </c>
      <c r="C335" s="4">
        <v>135</v>
      </c>
      <c r="D335" s="9">
        <v>74.358000000000018</v>
      </c>
    </row>
    <row r="336" spans="1:4" x14ac:dyDescent="0.25">
      <c r="A336" s="2" t="str">
        <f>"43020008060"</f>
        <v>43020008060</v>
      </c>
      <c r="B336" s="2" t="str">
        <f>"SWIVEL CG 8000 SHACKLE/SHACKLE"</f>
        <v>SWIVEL CG 8000 SHACKLE/SHACKLE</v>
      </c>
      <c r="C336" s="4">
        <v>11.799999999999999</v>
      </c>
      <c r="D336" s="9">
        <v>6.4994399999999999</v>
      </c>
    </row>
    <row r="337" spans="1:4" x14ac:dyDescent="0.25">
      <c r="A337" s="2" t="str">
        <f>"43152150702"</f>
        <v>43152150702</v>
      </c>
      <c r="B337" s="2" t="str">
        <f>"FX7000 SNAP SHACKLE"</f>
        <v>FX7000 SNAP SHACKLE</v>
      </c>
      <c r="C337" s="4">
        <v>1895.8999999999999</v>
      </c>
      <c r="D337" s="9">
        <v>1044.26172</v>
      </c>
    </row>
    <row r="338" spans="1:4" x14ac:dyDescent="0.25">
      <c r="A338" s="2" t="str">
        <f>"09130128142"</f>
        <v>09130128142</v>
      </c>
      <c r="B338" s="2" t="str">
        <f>"REMOVABLE R14 SS SAIL FEEDER COMPLETE"</f>
        <v>REMOVABLE R14 SS SAIL FEEDER COMPLETE</v>
      </c>
      <c r="C338" s="4">
        <v>58.800000000000004</v>
      </c>
      <c r="D338" s="9">
        <v>32.387040000000013</v>
      </c>
    </row>
    <row r="339" spans="1:4" x14ac:dyDescent="0.25">
      <c r="A339" s="2" t="str">
        <f>"09130128250"</f>
        <v>09130128250</v>
      </c>
      <c r="B339" s="2" t="str">
        <f>"COMPLETE SX25 STD SAIL FEEDER"</f>
        <v>COMPLETE SX25 STD SAIL FEEDER</v>
      </c>
      <c r="C339" s="4">
        <v>57.2</v>
      </c>
      <c r="D339" s="9">
        <v>31.505760000000006</v>
      </c>
    </row>
    <row r="340" spans="1:4" x14ac:dyDescent="0.25">
      <c r="A340" s="2" t="str">
        <f>"09130128260"</f>
        <v>09130128260</v>
      </c>
      <c r="B340" s="2" t="str">
        <f>"COMPLETE R26 STD SAIL FEEDER"</f>
        <v>COMPLETE R26 STD SAIL FEEDER</v>
      </c>
      <c r="C340" s="4">
        <v>70.899999999999991</v>
      </c>
      <c r="D340" s="9">
        <v>39.051720000000003</v>
      </c>
    </row>
    <row r="341" spans="1:4" x14ac:dyDescent="0.25">
      <c r="A341" s="2" t="str">
        <f>"09130128330"</f>
        <v>09130128330</v>
      </c>
      <c r="B341" s="2" t="str">
        <f>"COMPLETE SX33 STD SAIL FEEDER"</f>
        <v>COMPLETE SX33 STD SAIL FEEDER</v>
      </c>
      <c r="C341" s="4">
        <v>63.4</v>
      </c>
      <c r="D341" s="9">
        <v>34.920720000000003</v>
      </c>
    </row>
    <row r="342" spans="1:4" x14ac:dyDescent="0.25">
      <c r="A342" s="2" t="str">
        <f>"09130128390"</f>
        <v>09130128390</v>
      </c>
      <c r="B342" s="2" t="str">
        <f>"COMPLETE SX39 STD SAIL FEEDER"</f>
        <v>COMPLETE SX39 STD SAIL FEEDER</v>
      </c>
      <c r="C342" s="4">
        <v>130.5</v>
      </c>
      <c r="D342" s="9">
        <v>71.879400000000018</v>
      </c>
    </row>
    <row r="343" spans="1:4" x14ac:dyDescent="0.25">
      <c r="A343" s="2" t="str">
        <f>"09130128392"</f>
        <v>09130128392</v>
      </c>
      <c r="B343" s="2" t="str">
        <f>"SAIL GATE S/S XSX39 COMPLETE"</f>
        <v>SAIL GATE S/S XSX39 COMPLETE</v>
      </c>
      <c r="C343" s="4">
        <v>72.699999999999989</v>
      </c>
      <c r="D343" s="9">
        <v>40.04316</v>
      </c>
    </row>
    <row r="344" spans="1:4" x14ac:dyDescent="0.25">
      <c r="A344" s="2" t="str">
        <f>"09130129390"</f>
        <v>09130129390</v>
      </c>
      <c r="B344" s="2" t="str">
        <f>"COMPLETE SX39 STAIN. STEEL SAIL FEEDER"</f>
        <v>COMPLETE SX39 STAIN. STEEL SAIL FEEDER</v>
      </c>
      <c r="C344" s="4">
        <v>121.1</v>
      </c>
      <c r="D344" s="9">
        <v>66.701880000000003</v>
      </c>
    </row>
    <row r="345" spans="1:4" x14ac:dyDescent="0.25">
      <c r="A345" s="2" t="str">
        <f>"09130129470"</f>
        <v>09130129470</v>
      </c>
      <c r="B345" s="2" t="str">
        <f>"COMPLETE SX47 STAIN. STEEL SAIL FEEDER"</f>
        <v>COMPLETE SX47 STAIN. STEEL SAIL FEEDER</v>
      </c>
      <c r="C345" s="4">
        <v>127.8</v>
      </c>
      <c r="D345" s="9">
        <v>70.392240000000015</v>
      </c>
    </row>
    <row r="346" spans="1:4" x14ac:dyDescent="0.25">
      <c r="A346" s="2" t="str">
        <f>"09130130000"</f>
        <v>09130130000</v>
      </c>
      <c r="B346" s="2" t="str">
        <f>"COMPLETE PRE FEEDER KIT"</f>
        <v>COMPLETE PRE FEEDER KIT</v>
      </c>
      <c r="C346" s="4">
        <v>109</v>
      </c>
      <c r="D346" s="9">
        <v>60.037200000000013</v>
      </c>
    </row>
    <row r="347" spans="1:4" x14ac:dyDescent="0.25">
      <c r="A347" s="2" t="str">
        <f>"43142450098"</f>
        <v>43142450098</v>
      </c>
      <c r="B347" s="2" t="str">
        <f>"S-S FURLING LINE GUIDE FX900"</f>
        <v>S-S FURLING LINE GUIDE FX900</v>
      </c>
      <c r="C347" s="4">
        <v>224.7</v>
      </c>
      <c r="D347" s="9">
        <v>123.76476000000001</v>
      </c>
    </row>
    <row r="348" spans="1:4" x14ac:dyDescent="0.25">
      <c r="A348" s="2" t="str">
        <f>"43142450158"</f>
        <v>43142450158</v>
      </c>
      <c r="B348" s="2" t="str">
        <f>"S-S FURLING LINE GUIDE FX1500"</f>
        <v>S-S FURLING LINE GUIDE FX1500</v>
      </c>
      <c r="C348" s="4">
        <v>263.70000000000005</v>
      </c>
      <c r="D348" s="9">
        <v>145.24596000000003</v>
      </c>
    </row>
    <row r="349" spans="1:4" x14ac:dyDescent="0.25">
      <c r="A349" s="2" t="str">
        <f>"43142500458"</f>
        <v>43142500458</v>
      </c>
      <c r="B349" s="2" t="str">
        <f>"GUIDE FX4500 S/S NEW"</f>
        <v>GUIDE FX4500 S/S NEW</v>
      </c>
      <c r="C349" s="4">
        <v>66.599999999999994</v>
      </c>
      <c r="D349" s="9">
        <v>36.683280000000003</v>
      </c>
    </row>
    <row r="350" spans="1:4" x14ac:dyDescent="0.25">
      <c r="A350" s="2" t="str">
        <f>"43420801501"</f>
        <v>43420801501</v>
      </c>
      <c r="B350" s="2" t="str">
        <f>"Ratchet option for the FX+1500"</f>
        <v>Ratchet option for the FX+1500</v>
      </c>
      <c r="C350" s="4">
        <v>140.1</v>
      </c>
      <c r="D350" s="9">
        <v>77.167080000000013</v>
      </c>
    </row>
    <row r="351" spans="1:4" x14ac:dyDescent="0.25">
      <c r="A351" s="2" t="str">
        <f>"02001101010"</f>
        <v>02001101010</v>
      </c>
      <c r="B351" s="2" t="str">
        <f>"RC100 10M PIN 3/8"</f>
        <v>RC100 10M PIN 3/8</v>
      </c>
      <c r="C351" s="4">
        <v>4871.1000000000004</v>
      </c>
      <c r="D351" s="9">
        <v>2683.0018800000003</v>
      </c>
    </row>
    <row r="352" spans="1:4" x14ac:dyDescent="0.25">
      <c r="A352" s="2" t="str">
        <f>"02001181412"</f>
        <v>02001181412</v>
      </c>
      <c r="B352" s="2" t="str">
        <f>"RC180 14M PIN 1/2"</f>
        <v>RC180 14M PIN 1/2</v>
      </c>
      <c r="C352" s="4">
        <v>6790.9000000000005</v>
      </c>
      <c r="D352" s="9">
        <v>3740.4277200000006</v>
      </c>
    </row>
    <row r="353" spans="1:4" x14ac:dyDescent="0.25">
      <c r="A353" s="2" t="str">
        <f>"28081060540"</f>
        <v>28081060540</v>
      </c>
      <c r="B353" s="2" t="str">
        <f>"S/S QUICK PIN D6 L54 (F07/FI10)"</f>
        <v>S/S QUICK PIN D6 L54 (F07/FI10)</v>
      </c>
      <c r="C353" s="4">
        <v>73.199999999999989</v>
      </c>
      <c r="D353" s="9">
        <v>40.318560000000005</v>
      </c>
    </row>
    <row r="354" spans="1:4" x14ac:dyDescent="0.25">
      <c r="A354" s="2" t="str">
        <f>"28081060650"</f>
        <v>28081060650</v>
      </c>
      <c r="B354" s="2" t="str">
        <f>"S/S QUICKPIN DEL L65"</f>
        <v>S/S QUICKPIN DEL L65</v>
      </c>
      <c r="C354" s="4">
        <v>70.5</v>
      </c>
      <c r="D354" s="9">
        <v>38.831400000000009</v>
      </c>
    </row>
    <row r="355" spans="1:4" x14ac:dyDescent="0.25">
      <c r="A355" s="2" t="str">
        <f>"28081060780"</f>
        <v>28081060780</v>
      </c>
      <c r="B355" s="2" t="str">
        <f>"S/S QUICK PIN D6 L78 (FL20)"</f>
        <v>S/S QUICK PIN D6 L78 (FL20)</v>
      </c>
      <c r="C355" s="4">
        <v>27.8</v>
      </c>
      <c r="D355" s="9">
        <v>15.312240000000005</v>
      </c>
    </row>
    <row r="356" spans="1:4" x14ac:dyDescent="0.25">
      <c r="A356" s="2" t="str">
        <f>"28081080760"</f>
        <v>28081080760</v>
      </c>
      <c r="B356" s="2" t="str">
        <f>"S/S QUICK PIN D8 L76 (FL30)"</f>
        <v>S/S QUICK PIN D8 L76 (FL30)</v>
      </c>
      <c r="C356" s="4">
        <v>31</v>
      </c>
      <c r="D356" s="9">
        <v>17.074800000000003</v>
      </c>
    </row>
    <row r="357" spans="1:4" x14ac:dyDescent="0.25">
      <c r="A357" s="2" t="str">
        <f>"28084060503"</f>
        <v>28084060503</v>
      </c>
      <c r="B357" s="2" t="str">
        <f>"SINGLE PIN D6 LG 50.65 CAR FL10-FI20"</f>
        <v>SINGLE PIN D6 LG 50.65 CAR FL10-FI20</v>
      </c>
      <c r="C357" s="4">
        <v>28.700000000000003</v>
      </c>
      <c r="D357" s="9">
        <v>15.807960000000003</v>
      </c>
    </row>
    <row r="358" spans="1:4" x14ac:dyDescent="0.25">
      <c r="A358" s="2" t="str">
        <f>"28084060603"</f>
        <v>28084060603</v>
      </c>
      <c r="B358" s="2" t="str">
        <f>"SINGLE PIN D6 LG 60 CAR FL20"</f>
        <v>SINGLE PIN D6 LG 60 CAR FL20</v>
      </c>
      <c r="C358" s="4">
        <v>29.8</v>
      </c>
      <c r="D358" s="9">
        <v>16.413840000000004</v>
      </c>
    </row>
    <row r="359" spans="1:4" x14ac:dyDescent="0.25">
      <c r="A359" s="2" t="str">
        <f>"28095001030"</f>
        <v>28095001030</v>
      </c>
      <c r="B359" s="2" t="str">
        <f>"GUIDE PINS CF70/105"</f>
        <v>GUIDE PINS CF70/105</v>
      </c>
      <c r="C359" s="4">
        <v>5.1999999999999993</v>
      </c>
      <c r="D359" s="9">
        <v>2.86416</v>
      </c>
    </row>
    <row r="360" spans="1:4" x14ac:dyDescent="0.25">
      <c r="A360" s="2" t="str">
        <f>"43030104065"</f>
        <v>43030104065</v>
      </c>
      <c r="B360" s="2" t="str">
        <f>"PUSH PIN S/S SDG 6000"</f>
        <v>PUSH PIN S/S SDG 6000</v>
      </c>
      <c r="C360" s="4">
        <v>97.199999999999989</v>
      </c>
      <c r="D360" s="9">
        <v>53.537760000000006</v>
      </c>
    </row>
    <row r="361" spans="1:4" x14ac:dyDescent="0.25">
      <c r="A361" s="2" t="str">
        <f>"43120204500"</f>
        <v>43120204500</v>
      </c>
      <c r="B361" s="2" t="str">
        <f>"JAW PIN FX4500"</f>
        <v>JAW PIN FX4500</v>
      </c>
      <c r="C361" s="4">
        <v>70.5</v>
      </c>
      <c r="D361" s="9">
        <v>38.831400000000009</v>
      </c>
    </row>
    <row r="362" spans="1:4" x14ac:dyDescent="0.25">
      <c r="A362" s="2" t="str">
        <f>"43120502500"</f>
        <v>43120502500</v>
      </c>
      <c r="B362" s="2" t="str">
        <f>"JAW PIN - FX2500"</f>
        <v>JAW PIN - FX2500</v>
      </c>
      <c r="C362" s="4">
        <v>80.699999999999989</v>
      </c>
      <c r="D362" s="9">
        <v>44.449559999999998</v>
      </c>
    </row>
    <row r="363" spans="1:4" x14ac:dyDescent="0.25">
      <c r="A363" s="2" t="str">
        <f>"43120504500"</f>
        <v>43120504500</v>
      </c>
      <c r="B363" s="2" t="str">
        <f>"JAW PIN - FX4500"</f>
        <v>JAW PIN - FX4500</v>
      </c>
      <c r="C363" s="4">
        <v>114.19999999999999</v>
      </c>
      <c r="D363" s="9">
        <v>62.901360000000004</v>
      </c>
    </row>
    <row r="364" spans="1:4" x14ac:dyDescent="0.25">
      <c r="A364" s="2" t="str">
        <f>"43221001540"</f>
        <v>43221001540</v>
      </c>
      <c r="B364" s="2" t="str">
        <f>"ASYM-FX 1500 THIMBLE"</f>
        <v>ASYM-FX 1500 THIMBLE</v>
      </c>
      <c r="C364" s="4">
        <v>225</v>
      </c>
      <c r="D364" s="9">
        <v>123.93000000000002</v>
      </c>
    </row>
    <row r="365" spans="1:4" x14ac:dyDescent="0.25">
      <c r="A365" s="2" t="str">
        <f>"43221002540"</f>
        <v>43221002540</v>
      </c>
      <c r="B365" s="2" t="str">
        <f>"ASYM-FX 2500 THIMBLE"</f>
        <v>ASYM-FX 2500 THIMBLE</v>
      </c>
      <c r="C365" s="4">
        <v>223.29999999999998</v>
      </c>
      <c r="D365" s="9">
        <v>122.99364000000001</v>
      </c>
    </row>
    <row r="366" spans="1:4" x14ac:dyDescent="0.25">
      <c r="A366" s="2" t="str">
        <f>"43221004540"</f>
        <v>43221004540</v>
      </c>
      <c r="B366" s="2" t="str">
        <f>"ASYM-FX4500 THIMBLE"</f>
        <v>ASYM-FX4500 THIMBLE</v>
      </c>
      <c r="C366" s="4">
        <v>528.30000000000007</v>
      </c>
      <c r="D366" s="9">
        <v>290.98764000000011</v>
      </c>
    </row>
    <row r="367" spans="1:4" x14ac:dyDescent="0.25">
      <c r="A367" s="2" t="str">
        <f>"43221007040"</f>
        <v>43221007040</v>
      </c>
      <c r="B367" s="2" t="str">
        <f>"ASYM-FX7000 THIMBLE"</f>
        <v>ASYM-FX7000 THIMBLE</v>
      </c>
      <c r="C367" s="4">
        <v>978.30000000000007</v>
      </c>
      <c r="D367" s="9">
        <v>538.84764000000018</v>
      </c>
    </row>
    <row r="368" spans="1:4" x14ac:dyDescent="0.25">
      <c r="A368" s="2" t="str">
        <f>"54075241005"</f>
        <v>54075241005</v>
      </c>
      <c r="B368" s="2" t="str">
        <f>"TOGGLE 24MM06+M10 THREADED EYE GVL09+(FL"</f>
        <v>TOGGLE 24MM06+M10 THREADED EYE GVL09+(FL</v>
      </c>
      <c r="C368" s="4">
        <v>62.1</v>
      </c>
      <c r="D368" s="9">
        <v>34.204680000000003</v>
      </c>
    </row>
    <row r="369" spans="1:4" x14ac:dyDescent="0.25">
      <c r="A369" s="2" t="str">
        <f>"54076201005"</f>
        <v>54076201005</v>
      </c>
      <c r="B369" s="2" t="str">
        <f>"20MM TOGGLE 06+SHORT M10 PIN"</f>
        <v>20MM TOGGLE 06+SHORT M10 PIN</v>
      </c>
      <c r="C369" s="4">
        <v>62.1</v>
      </c>
      <c r="D369" s="9">
        <v>34.204680000000003</v>
      </c>
    </row>
    <row r="370" spans="1:4" x14ac:dyDescent="0.25">
      <c r="A370" s="2" t="str">
        <f>"54076241005"</f>
        <v>54076241005</v>
      </c>
      <c r="B370" s="2" t="str">
        <f>"TOGGLE D6 24MM WITH M 10 PIN"</f>
        <v>TOGGLE D6 24MM WITH M 10 PIN</v>
      </c>
      <c r="C370" s="4">
        <v>114</v>
      </c>
      <c r="D370" s="9">
        <v>62.791200000000018</v>
      </c>
    </row>
    <row r="371" spans="1:4" x14ac:dyDescent="0.25">
      <c r="A371" s="2" t="str">
        <f>"54077241005"</f>
        <v>54077241005</v>
      </c>
      <c r="B371" s="2" t="str">
        <f>"TOGGLE 24MM08+M10 THREADED EYE GVL09+(FL"</f>
        <v>TOGGLE 24MM08+M10 THREADED EYE GVL09+(FL</v>
      </c>
      <c r="C371" s="4">
        <v>62.1</v>
      </c>
      <c r="D371" s="9">
        <v>34.204680000000003</v>
      </c>
    </row>
    <row r="372" spans="1:4" x14ac:dyDescent="0.25">
      <c r="A372" s="2" t="str">
        <f>"54078241005"</f>
        <v>54078241005</v>
      </c>
      <c r="B372" s="2" t="str">
        <f>"TOGGLE D8 24MM WITH M 10 PIN"</f>
        <v>TOGGLE D8 24MM WITH M 10 PIN</v>
      </c>
      <c r="C372" s="4">
        <v>114.5</v>
      </c>
      <c r="D372" s="9">
        <v>63.066600000000001</v>
      </c>
    </row>
    <row r="373" spans="1:4" x14ac:dyDescent="0.25">
      <c r="A373" s="2" t="str">
        <f>"54079401208"</f>
        <v>54079401208</v>
      </c>
      <c r="B373" s="2" t="str">
        <f>"F40 TOGGLE WITH 12MM PIN"</f>
        <v>F40 TOGGLE WITH 12MM PIN</v>
      </c>
      <c r="C373" s="4">
        <v>270.60000000000002</v>
      </c>
      <c r="D373" s="9">
        <v>149.04648000000003</v>
      </c>
    </row>
    <row r="374" spans="1:4" x14ac:dyDescent="0.25">
      <c r="A374" s="2" t="str">
        <f>"43120504501"</f>
        <v>43120504501</v>
      </c>
      <c r="B374" s="2" t="str">
        <f>"CLICK SYSTEM FOR PIN - FX4500"</f>
        <v>CLICK SYSTEM FOR PIN - FX4500</v>
      </c>
      <c r="C374" s="4">
        <v>106.89999999999999</v>
      </c>
      <c r="D374" s="9">
        <v>58.880519999999997</v>
      </c>
    </row>
    <row r="375" spans="1:4" x14ac:dyDescent="0.25">
      <c r="A375" s="2" t="str">
        <f>"43120507001"</f>
        <v>43120507001</v>
      </c>
      <c r="B375" s="2" t="str">
        <f>"CLICK SYSTEM FOR PIN - FX7000"</f>
        <v>CLICK SYSTEM FOR PIN - FX7000</v>
      </c>
      <c r="C375" s="4">
        <v>131.29999999999998</v>
      </c>
      <c r="D375" s="9">
        <v>72.320039999999992</v>
      </c>
    </row>
    <row r="376" spans="1:4" x14ac:dyDescent="0.25">
      <c r="A376" s="2" t="str">
        <f>"43420802501"</f>
        <v>43420802501</v>
      </c>
      <c r="B376" s="2" t="str">
        <f>"RATCHET FOR FX2500+"</f>
        <v>RATCHET FOR FX2500+</v>
      </c>
      <c r="C376" s="4">
        <v>156.4</v>
      </c>
      <c r="D376" s="9">
        <v>86.14512000000002</v>
      </c>
    </row>
    <row r="377" spans="1:4" x14ac:dyDescent="0.25">
      <c r="A377" s="2" t="str">
        <f>"43420804501"</f>
        <v>43420804501</v>
      </c>
      <c r="B377" s="2" t="str">
        <f>"RATCHET FOR FX4500+"</f>
        <v>RATCHET FOR FX4500+</v>
      </c>
      <c r="C377" s="4">
        <v>140.1</v>
      </c>
      <c r="D377" s="9">
        <v>77.167080000000013</v>
      </c>
    </row>
    <row r="378" spans="1:4" x14ac:dyDescent="0.25">
      <c r="A378" s="2" t="str">
        <f>"43420807001"</f>
        <v>43420807001</v>
      </c>
      <c r="B378" s="2" t="str">
        <f>"RATCHET FOR FX7000+"</f>
        <v>RATCHET FOR FX7000+</v>
      </c>
      <c r="C378" s="4">
        <v>219.6</v>
      </c>
      <c r="D378" s="9">
        <v>120.95568000000002</v>
      </c>
    </row>
    <row r="379" spans="1:4" x14ac:dyDescent="0.25">
      <c r="A379" s="2" t="str">
        <f>"09095150060"</f>
        <v>09095150060</v>
      </c>
      <c r="B379" s="2" t="str">
        <f>"PIN+BUSHING D6MM/SD70/100"</f>
        <v>PIN+BUSHING D6MM/SD70/100</v>
      </c>
      <c r="C379" s="4">
        <v>36.5</v>
      </c>
      <c r="D379" s="9">
        <v>20.104200000000002</v>
      </c>
    </row>
    <row r="380" spans="1:4" x14ac:dyDescent="0.25">
      <c r="A380" s="2" t="str">
        <f>"09095150080"</f>
        <v>09095150080</v>
      </c>
      <c r="B380" s="2" t="str">
        <f>"PIN+BUSHING D8MM/SD70/150"</f>
        <v>PIN+BUSHING D8MM/SD70/150</v>
      </c>
      <c r="C380" s="4">
        <v>43.7</v>
      </c>
      <c r="D380" s="9">
        <v>24.069960000000005</v>
      </c>
    </row>
    <row r="381" spans="1:4" x14ac:dyDescent="0.25">
      <c r="A381" s="2" t="str">
        <f>"09095150100"</f>
        <v>09095150100</v>
      </c>
      <c r="B381" s="2" t="str">
        <f>"PIN+BUSHING D10MM/SD70/150"</f>
        <v>PIN+BUSHING D10MM/SD70/150</v>
      </c>
      <c r="C381" s="4">
        <v>50.800000000000004</v>
      </c>
      <c r="D381" s="9">
        <v>27.980640000000005</v>
      </c>
    </row>
    <row r="382" spans="1:4" x14ac:dyDescent="0.25">
      <c r="A382" s="2" t="str">
        <f>"09095150120"</f>
        <v>09095150120</v>
      </c>
      <c r="B382" s="2" t="str">
        <f>"PIN+BUSHING D12MM/SD100/150"</f>
        <v>PIN+BUSHING D12MM/SD100/150</v>
      </c>
      <c r="C382" s="4">
        <v>60</v>
      </c>
      <c r="D382" s="9">
        <v>33.048000000000009</v>
      </c>
    </row>
    <row r="383" spans="1:4" x14ac:dyDescent="0.25">
      <c r="A383" s="2" t="str">
        <f>"09095150140"</f>
        <v>09095150140</v>
      </c>
      <c r="B383" s="2" t="str">
        <f>"PIN+BUSHING D14MM/SD100/150"</f>
        <v>PIN+BUSHING D14MM/SD100/150</v>
      </c>
      <c r="C383" s="4">
        <v>94.199999999999989</v>
      </c>
      <c r="D383" s="9">
        <v>51.885359999999999</v>
      </c>
    </row>
    <row r="384" spans="1:4" x14ac:dyDescent="0.25">
      <c r="A384" s="2" t="str">
        <f>"09195047180"</f>
        <v>09195047180</v>
      </c>
      <c r="B384" s="2" t="str">
        <f>"D18MM STD PIN + BUSHINGS L200-330/R260-3"</f>
        <v>D18MM STD PIN + BUSHINGS L200-330/R260-3</v>
      </c>
      <c r="C384" s="4">
        <v>170.2</v>
      </c>
      <c r="D384" s="9">
        <v>93.746160000000003</v>
      </c>
    </row>
    <row r="385" spans="1:4" x14ac:dyDescent="0.25">
      <c r="A385" s="2" t="str">
        <f>"09195047220"</f>
        <v>09195047220</v>
      </c>
      <c r="B385" s="2" t="str">
        <f>"D22MM STD PIN + BUSHINGS L200-330/R260-3"</f>
        <v>D22MM STD PIN + BUSHINGS L200-330/R260-3</v>
      </c>
      <c r="C385" s="4">
        <v>253.4</v>
      </c>
      <c r="D385" s="9">
        <v>139.57272</v>
      </c>
    </row>
    <row r="386" spans="1:4" x14ac:dyDescent="0.25">
      <c r="A386" s="2" t="str">
        <f>"43130307031"</f>
        <v>43130307031</v>
      </c>
      <c r="B386" s="2" t="str">
        <f>"PIN KIT FOR FX7000 TEXTILE SHACKLE"</f>
        <v>PIN KIT FOR FX7000 TEXTILE SHACKLE</v>
      </c>
      <c r="C386" s="4">
        <v>351.6</v>
      </c>
      <c r="D386" s="9">
        <v>193.66128000000003</v>
      </c>
    </row>
    <row r="387" spans="1:4" x14ac:dyDescent="0.25">
      <c r="A387" s="2" t="str">
        <f>"09070030040"</f>
        <v>09070030040</v>
      </c>
      <c r="B387" s="2" t="str">
        <f>"TOP CAP S30 + PIN"</f>
        <v>TOP CAP S30 + PIN</v>
      </c>
      <c r="C387" s="4">
        <v>27.900000000000002</v>
      </c>
      <c r="D387" s="9">
        <v>15.367320000000003</v>
      </c>
    </row>
    <row r="388" spans="1:4" x14ac:dyDescent="0.25">
      <c r="A388" s="2" t="str">
        <f>"09070038040"</f>
        <v>09070038040</v>
      </c>
      <c r="B388" s="2" t="str">
        <f>"TOP CAP S 38+PIN"</f>
        <v>TOP CAP S 38+PIN</v>
      </c>
      <c r="C388" s="4">
        <v>29.3</v>
      </c>
      <c r="D388" s="9">
        <v>16.138440000000003</v>
      </c>
    </row>
    <row r="389" spans="1:4" x14ac:dyDescent="0.25">
      <c r="A389" s="2" t="str">
        <f>"09070046040"</f>
        <v>09070046040</v>
      </c>
      <c r="B389" s="2" t="str">
        <f>"TOP CAP S46 + PIN"</f>
        <v>TOP CAP S46 + PIN</v>
      </c>
      <c r="C389" s="4">
        <v>31.6</v>
      </c>
      <c r="D389" s="9">
        <v>17.405280000000001</v>
      </c>
    </row>
    <row r="390" spans="1:4" x14ac:dyDescent="0.25">
      <c r="A390" s="2" t="str">
        <f>"09184251006"</f>
        <v>09184251006</v>
      </c>
      <c r="B390" s="2" t="str">
        <f>"PIN LPK D06+BUSHINGS L60/70-R70"</f>
        <v>PIN LPK D06+BUSHINGS L60/70-R70</v>
      </c>
      <c r="C390" s="4">
        <v>44.5</v>
      </c>
      <c r="D390" s="9">
        <v>24.510600000000004</v>
      </c>
    </row>
    <row r="391" spans="1:4" x14ac:dyDescent="0.25">
      <c r="A391" s="2" t="str">
        <f>"09184331012"</f>
        <v>09184331012</v>
      </c>
      <c r="B391" s="2" t="str">
        <f>"PIN LPK D12+BUSHINGS L-R100/130"</f>
        <v>PIN LPK D12+BUSHINGS L-R100/130</v>
      </c>
      <c r="C391" s="4">
        <v>55.1</v>
      </c>
      <c r="D391" s="9">
        <v>30.349080000000004</v>
      </c>
    </row>
    <row r="392" spans="1:4" x14ac:dyDescent="0.25">
      <c r="A392" s="2" t="str">
        <f>"09184391516"</f>
        <v>09184391516</v>
      </c>
      <c r="B392" s="2" t="str">
        <f>"PIN LPK D16+BUSHINGS L165/180+R165/200"</f>
        <v>PIN LPK D16+BUSHINGS L165/180+R165/200</v>
      </c>
      <c r="C392" s="4">
        <v>126.3</v>
      </c>
      <c r="D392" s="9">
        <v>69.566040000000015</v>
      </c>
    </row>
    <row r="393" spans="1:4" x14ac:dyDescent="0.25">
      <c r="A393" s="2" t="str">
        <f>"09184471519"</f>
        <v>09184471519</v>
      </c>
      <c r="B393" s="2" t="str">
        <f>"PIN LPK D19+BUSHINGS L200/290-R260/300"</f>
        <v>PIN LPK D19+BUSHINGS L200/290-R260/300</v>
      </c>
      <c r="C393" s="4">
        <v>222.79999999999998</v>
      </c>
      <c r="D393" s="9">
        <v>122.71824000000001</v>
      </c>
    </row>
    <row r="394" spans="1:4" x14ac:dyDescent="0.25">
      <c r="A394" s="2" t="str">
        <f>"09184471522"</f>
        <v>09184471522</v>
      </c>
      <c r="B394" s="2" t="str">
        <f>"PIN LPK D22+BUSHINGS L200/290-R260/300"</f>
        <v>PIN LPK D22+BUSHINGS L200/290-R260/300</v>
      </c>
      <c r="C394" s="4">
        <v>245.79999999999998</v>
      </c>
      <c r="D394" s="9">
        <v>135.38664000000003</v>
      </c>
    </row>
    <row r="395" spans="1:4" x14ac:dyDescent="0.25">
      <c r="A395" s="2" t="str">
        <f>"43120507000"</f>
        <v>43120507000</v>
      </c>
      <c r="B395" s="2" t="str">
        <f>"JAW PIN - FX7000"</f>
        <v>JAW PIN - FX7000</v>
      </c>
      <c r="C395" s="4">
        <v>173.5</v>
      </c>
      <c r="D395" s="9">
        <v>95.563800000000001</v>
      </c>
    </row>
    <row r="396" spans="1:4" x14ac:dyDescent="0.25">
      <c r="A396" s="2" t="str">
        <f>"43120230150"</f>
        <v>43120230150</v>
      </c>
      <c r="B396" s="2" t="str">
        <f>"FX 1500 RUBBER RING+NOTICE"</f>
        <v>FX 1500 RUBBER RING+NOTICE</v>
      </c>
      <c r="C396" s="4">
        <v>11.5</v>
      </c>
      <c r="D396" s="9">
        <v>6.3342000000000001</v>
      </c>
    </row>
    <row r="397" spans="1:4" x14ac:dyDescent="0.25">
      <c r="A397" s="2" t="str">
        <f>"43120230450"</f>
        <v>43120230450</v>
      </c>
      <c r="B397" s="2" t="str">
        <f>"FX 4500 RUBBER RING+NOTICE"</f>
        <v>FX 4500 RUBBER RING+NOTICE</v>
      </c>
      <c r="C397" s="4">
        <v>47.7</v>
      </c>
      <c r="D397" s="9">
        <v>26.273160000000008</v>
      </c>
    </row>
    <row r="398" spans="1:4" x14ac:dyDescent="0.25">
      <c r="A398" s="2" t="str">
        <f>"43120231200"</f>
        <v>43120231200</v>
      </c>
      <c r="B398" s="2" t="str">
        <f>"FX12000+ RUBBER RING + NOTICE"</f>
        <v>FX12000+ RUBBER RING + NOTICE</v>
      </c>
      <c r="C398" s="4">
        <v>196.9</v>
      </c>
      <c r="D398" s="9">
        <v>108.45252000000002</v>
      </c>
    </row>
    <row r="399" spans="1:4" x14ac:dyDescent="0.25">
      <c r="A399" s="2" t="str">
        <f>"89021010091"</f>
        <v>89021010091</v>
      </c>
      <c r="B399" s="2" t="str">
        <f>"FX900 EPDM ETHYLENE SEAL"</f>
        <v>FX900 EPDM ETHYLENE SEAL</v>
      </c>
      <c r="C399" s="4">
        <v>70.5</v>
      </c>
      <c r="D399" s="9">
        <v>38.831400000000009</v>
      </c>
    </row>
    <row r="400" spans="1:4" x14ac:dyDescent="0.25">
      <c r="A400" s="2" t="str">
        <f>"89021010251"</f>
        <v>89021010251</v>
      </c>
      <c r="B400" s="2" t="str">
        <f>"FX2500 EPDM ETHYLINE SEAL"</f>
        <v>FX2500 EPDM ETHYLINE SEAL</v>
      </c>
      <c r="C400" s="4">
        <v>70.5</v>
      </c>
      <c r="D400" s="9">
        <v>38.831400000000009</v>
      </c>
    </row>
    <row r="401" spans="1:4" x14ac:dyDescent="0.25">
      <c r="A401" s="2" t="str">
        <f>"09220230116"</f>
        <v>09220230116</v>
      </c>
      <c r="B401" s="2" t="str">
        <f>"R26FD230DRUMKIT+FL+LP06PIN16 REPLACEMT O"</f>
        <v>R26FD230DRUMKIT+FL+LP06PIN16 REPLACEMT O</v>
      </c>
      <c r="C401" s="4">
        <v>2905.6</v>
      </c>
      <c r="D401" s="9">
        <v>1600.4044800000001</v>
      </c>
    </row>
    <row r="402" spans="1:4" x14ac:dyDescent="0.25">
      <c r="A402" s="2" t="str">
        <f>"09010010030"</f>
        <v>09010010030</v>
      </c>
      <c r="B402" s="2" t="str">
        <f>"SD100 DRUM  WITHOUT NOSE"</f>
        <v>SD100 DRUM  WITHOUT NOSE</v>
      </c>
      <c r="C402" s="4">
        <v>722</v>
      </c>
      <c r="D402" s="9">
        <v>397.67760000000004</v>
      </c>
    </row>
    <row r="403" spans="1:4" x14ac:dyDescent="0.25">
      <c r="A403" s="2" t="str">
        <f>"09010080030"</f>
        <v>09010080030</v>
      </c>
      <c r="B403" s="2" t="str">
        <f>"SD80 DRUM WITHOUT NOSE"</f>
        <v>SD80 DRUM WITHOUT NOSE</v>
      </c>
      <c r="C403" s="4">
        <v>469.6</v>
      </c>
      <c r="D403" s="9">
        <v>258.65568000000007</v>
      </c>
    </row>
    <row r="404" spans="1:4" x14ac:dyDescent="0.25">
      <c r="A404" s="2" t="str">
        <f>"09010130030"</f>
        <v>09010130030</v>
      </c>
      <c r="B404" s="2" t="str">
        <f>"SD 130 DRUM WITHOUT NOSE"</f>
        <v>SD 130 DRUM WITHOUT NOSE</v>
      </c>
      <c r="C404" s="4">
        <v>880.5</v>
      </c>
      <c r="D404" s="9">
        <v>484.9794</v>
      </c>
    </row>
    <row r="405" spans="1:4" x14ac:dyDescent="0.25">
      <c r="A405" s="2" t="str">
        <f>"09010150030"</f>
        <v>09010150030</v>
      </c>
      <c r="B405" s="2" t="str">
        <f>"SD150 DRUM WITHOUT NOSE"</f>
        <v>SD150 DRUM WITHOUT NOSE</v>
      </c>
      <c r="C405" s="4">
        <v>939.2</v>
      </c>
      <c r="D405" s="9">
        <v>517.31136000000015</v>
      </c>
    </row>
    <row r="406" spans="1:4" x14ac:dyDescent="0.25">
      <c r="A406" s="2" t="str">
        <f>"09010200030"</f>
        <v>09010200030</v>
      </c>
      <c r="B406" s="2" t="str">
        <f>"SD200 DRUM WITHOUT NOSE"</f>
        <v>SD200 DRUM WITHOUT NOSE</v>
      </c>
      <c r="C406" s="4">
        <v>1174</v>
      </c>
      <c r="D406" s="9">
        <v>646.63920000000007</v>
      </c>
    </row>
    <row r="407" spans="1:4" x14ac:dyDescent="0.25">
      <c r="A407" s="2" t="str">
        <f>"09010260030"</f>
        <v>09010260030</v>
      </c>
      <c r="B407" s="2" t="str">
        <f>"SD260 DRUM WITHOUT NOSE"</f>
        <v>SD260 DRUM WITHOUT NOSE</v>
      </c>
      <c r="C407" s="4">
        <v>1526.1</v>
      </c>
      <c r="D407" s="9">
        <v>840.57587999999998</v>
      </c>
    </row>
    <row r="408" spans="1:4" x14ac:dyDescent="0.25">
      <c r="A408" s="2" t="str">
        <f>"09010290030"</f>
        <v>09010290030</v>
      </c>
      <c r="B408" s="2" t="str">
        <f>"SD 290 DRUM WITHOUT NOSE"</f>
        <v>SD 290 DRUM WITHOUT NOSE</v>
      </c>
      <c r="C408" s="4">
        <v>3730.6</v>
      </c>
      <c r="D408" s="9">
        <v>2054.81448</v>
      </c>
    </row>
    <row r="409" spans="1:4" x14ac:dyDescent="0.25">
      <c r="A409" s="2" t="str">
        <f>"09110130040"</f>
        <v>09110130040</v>
      </c>
      <c r="B409" s="2" t="str">
        <f>"COMPLETE LS 130 DRUM"</f>
        <v>COMPLETE LS 130 DRUM</v>
      </c>
      <c r="C409" s="4">
        <v>1635.8999999999999</v>
      </c>
      <c r="D409" s="9">
        <v>901.05372000000011</v>
      </c>
    </row>
    <row r="410" spans="1:4" x14ac:dyDescent="0.25">
      <c r="A410" s="2" t="str">
        <f>"09110130045"</f>
        <v>09110130045</v>
      </c>
      <c r="B410" s="2" t="str">
        <f>"STD DRUM FOR LS130 S38 NOSE (SD150 REPLA"</f>
        <v>STD DRUM FOR LS130 S38 NOSE (SD150 REPLA</v>
      </c>
      <c r="C410" s="4">
        <v>1489.1999999999998</v>
      </c>
      <c r="D410" s="9">
        <v>820.25135999999998</v>
      </c>
    </row>
    <row r="411" spans="1:4" x14ac:dyDescent="0.25">
      <c r="A411" s="2" t="str">
        <f>"09110200040"</f>
        <v>09110200040</v>
      </c>
      <c r="B411" s="2" t="str">
        <f>"COMPLETE LS 200 DRUM"</f>
        <v>COMPLETE LS 200 DRUM</v>
      </c>
      <c r="C411" s="4">
        <v>3061.1</v>
      </c>
      <c r="D411" s="9">
        <v>1686.0538800000002</v>
      </c>
    </row>
    <row r="412" spans="1:4" x14ac:dyDescent="0.25">
      <c r="A412" s="2" t="str">
        <f>"09110290040"</f>
        <v>09110290040</v>
      </c>
      <c r="B412" s="2" t="str">
        <f>"COMPLETE LS 290 DRUM"</f>
        <v>COMPLETE LS 290 DRUM</v>
      </c>
      <c r="C412" s="4">
        <v>3838.6</v>
      </c>
      <c r="D412" s="9">
        <v>2114.3008799999998</v>
      </c>
    </row>
    <row r="413" spans="1:4" x14ac:dyDescent="0.25">
      <c r="A413" s="2" t="str">
        <f>"09114290042"</f>
        <v>09114290042</v>
      </c>
      <c r="B413" s="2" t="str">
        <f>"LS290DRM+LONG S46 NOSE WIRE 12 PIN OR LI"</f>
        <v>LS290DRM+LONG S46 NOSE WIRE 12 PIN OR LI</v>
      </c>
      <c r="C413" s="4">
        <v>3669.1</v>
      </c>
      <c r="D413" s="9">
        <v>2020.9402800000005</v>
      </c>
    </row>
    <row r="414" spans="1:4" x14ac:dyDescent="0.25">
      <c r="A414" s="2" t="str">
        <f>"09114290043"</f>
        <v>09114290043</v>
      </c>
      <c r="B414" s="2" t="str">
        <f>"LS290DRM+LONG S46 NOSE WIRE 14 PIN OR LI"</f>
        <v>LS290DRM+LONG S46 NOSE WIRE 14 PIN OR LI</v>
      </c>
      <c r="C414" s="4">
        <v>3669.1</v>
      </c>
      <c r="D414" s="9">
        <v>2020.9402800000005</v>
      </c>
    </row>
    <row r="415" spans="1:4" x14ac:dyDescent="0.25">
      <c r="A415" s="2" t="str">
        <f>"09264039040"</f>
        <v>09264039040</v>
      </c>
      <c r="B415" s="2" t="str">
        <f>"COMPLETE CHD39 SWIVEL TORLONG BEARINGS"</f>
        <v>COMPLETE CHD39 SWIVEL TORLONG BEARINGS</v>
      </c>
      <c r="C415" s="4">
        <v>979.2</v>
      </c>
      <c r="D415" s="9">
        <v>539.34336000000008</v>
      </c>
    </row>
    <row r="416" spans="1:4" x14ac:dyDescent="0.25">
      <c r="A416" s="2" t="str">
        <f>"04342010730"</f>
        <v>04342010730</v>
      </c>
      <c r="B416" s="2" t="str">
        <f>"SWIVEL FOR FX7000+"</f>
        <v>SWIVEL FOR FX7000+</v>
      </c>
      <c r="C416" s="4">
        <v>1840.8</v>
      </c>
      <c r="D416" s="9">
        <v>1013.9126400000002</v>
      </c>
    </row>
    <row r="417" spans="1:4" x14ac:dyDescent="0.25">
      <c r="A417" s="2" t="str">
        <f>"09264014043"</f>
        <v>09264014043</v>
      </c>
      <c r="B417" s="2" t="str">
        <f>"SWIVEL FOR J111"</f>
        <v>SWIVEL FOR J111</v>
      </c>
      <c r="C417" s="4">
        <v>399.20000000000005</v>
      </c>
      <c r="D417" s="9">
        <v>219.87936000000008</v>
      </c>
    </row>
    <row r="418" spans="1:4" x14ac:dyDescent="0.25">
      <c r="A418" s="2" t="str">
        <f>"09266014040"</f>
        <v>09266014040</v>
      </c>
      <c r="B418" s="2" t="str">
        <f>"J111 RE-ENFORCED SWIVLE"</f>
        <v>J111 RE-ENFORCED SWIVLE</v>
      </c>
      <c r="C418" s="4">
        <v>499</v>
      </c>
      <c r="D418" s="9">
        <v>274.84920000000005</v>
      </c>
    </row>
    <row r="419" spans="1:4" x14ac:dyDescent="0.25">
      <c r="A419" s="2" t="str">
        <f>"24000400043"</f>
        <v>24000400043</v>
      </c>
      <c r="B419" s="2" t="str">
        <f>"LATCHING L41 STG3T SWIVEL"</f>
        <v>LATCHING L41 STG3T SWIVEL</v>
      </c>
      <c r="C419" s="4">
        <v>51.2</v>
      </c>
      <c r="D419" s="9">
        <v>28.200960000000002</v>
      </c>
    </row>
    <row r="420" spans="1:4" x14ac:dyDescent="0.25">
      <c r="A420" s="2" t="str">
        <f>"09065034040"</f>
        <v>09065034040</v>
      </c>
      <c r="B420" s="2" t="str">
        <f>"C34 HALYARD SWIVEL"</f>
        <v>C34 HALYARD SWIVEL</v>
      </c>
      <c r="C420" s="4">
        <v>264.20000000000005</v>
      </c>
      <c r="D420" s="9">
        <v>145.52136000000004</v>
      </c>
    </row>
    <row r="421" spans="1:4" x14ac:dyDescent="0.25">
      <c r="A421" s="2" t="str">
        <f>"09165030040"</f>
        <v>09165030040</v>
      </c>
      <c r="B421" s="2" t="str">
        <f>"HALYARD SWIVEL CX30"</f>
        <v>HALYARD SWIVEL CX30</v>
      </c>
      <c r="C421" s="4">
        <v>264.20000000000005</v>
      </c>
      <c r="D421" s="9">
        <v>145.52136000000004</v>
      </c>
    </row>
    <row r="422" spans="1:4" x14ac:dyDescent="0.25">
      <c r="A422" s="2" t="str">
        <f>"09170024040"</f>
        <v>09170024040</v>
      </c>
      <c r="B422" s="2" t="str">
        <f>"HALYARD SWIVEL C24 SEALED BEARING"</f>
        <v>HALYARD SWIVEL C24 SEALED BEARING</v>
      </c>
      <c r="C422" s="4">
        <v>1053.3999999999999</v>
      </c>
      <c r="D422" s="9">
        <v>580.21271999999999</v>
      </c>
    </row>
    <row r="423" spans="1:4" x14ac:dyDescent="0.25">
      <c r="A423" s="2" t="str">
        <f>"09264047040"</f>
        <v>09264047040</v>
      </c>
      <c r="B423" s="2" t="str">
        <f>"HALYARD SWIVEL CHD47"</f>
        <v>HALYARD SWIVEL CHD47</v>
      </c>
      <c r="C423" s="4">
        <v>1389.6999999999998</v>
      </c>
      <c r="D423" s="9">
        <v>765.44676000000004</v>
      </c>
    </row>
    <row r="424" spans="1:4" x14ac:dyDescent="0.25">
      <c r="A424" s="2" t="str">
        <f>"09170039040"</f>
        <v>09170039040</v>
      </c>
      <c r="B424" s="2" t="str">
        <f>"C39 CMP SWIVEL SEALED BEARING"</f>
        <v>C39 CMP SWIVEL SEALED BEARING</v>
      </c>
      <c r="C424" s="4">
        <v>1077.0999999999999</v>
      </c>
      <c r="D424" s="9">
        <v>593.26668000000006</v>
      </c>
    </row>
    <row r="425" spans="1:4" x14ac:dyDescent="0.25">
      <c r="A425" s="2" t="str">
        <f>"43020001560"</f>
        <v>43020001560</v>
      </c>
      <c r="B425" s="2" t="str">
        <f>"TOP HEADSTAY SWIVEL STG3T"</f>
        <v>TOP HEADSTAY SWIVEL STG3T</v>
      </c>
      <c r="C425" s="4">
        <v>582</v>
      </c>
      <c r="D425" s="9">
        <v>320.56560000000002</v>
      </c>
    </row>
    <row r="426" spans="1:4" x14ac:dyDescent="0.25">
      <c r="A426" s="2" t="str">
        <f>"43120100930"</f>
        <v>43120100930</v>
      </c>
      <c r="B426" s="2" t="str">
        <f>"SWIVEL FX900"</f>
        <v>SWIVEL FX900</v>
      </c>
      <c r="C426" s="4">
        <v>117.19999999999999</v>
      </c>
      <c r="D426" s="9">
        <v>64.553759999999997</v>
      </c>
    </row>
    <row r="427" spans="1:4" x14ac:dyDescent="0.25">
      <c r="A427" s="2" t="str">
        <f>"43120101531"</f>
        <v>43120101531</v>
      </c>
      <c r="B427" s="2" t="str">
        <f>"FX1500 SWIVEL"</f>
        <v>FX1500 SWIVEL</v>
      </c>
      <c r="C427" s="4">
        <v>443.1</v>
      </c>
      <c r="D427" s="9">
        <v>244.05948000000004</v>
      </c>
    </row>
    <row r="428" spans="1:4" x14ac:dyDescent="0.25">
      <c r="A428" s="2" t="str">
        <f>"43120102530"</f>
        <v>43120102530</v>
      </c>
      <c r="B428" s="2" t="str">
        <f>"FX2500 SWIVEL"</f>
        <v>FX2500 SWIVEL</v>
      </c>
      <c r="C428" s="4">
        <v>227.9</v>
      </c>
      <c r="D428" s="9">
        <v>125.52732000000002</v>
      </c>
    </row>
    <row r="429" spans="1:4" x14ac:dyDescent="0.25">
      <c r="A429" s="2" t="str">
        <f>"43120104530"</f>
        <v>43120104530</v>
      </c>
      <c r="B429" s="2" t="str">
        <f>"FX4500+ SWIVEL ONLY NO ATTACH."</f>
        <v>FX4500+ SWIVEL ONLY NO ATTACH.</v>
      </c>
      <c r="C429" s="4">
        <v>1079.8</v>
      </c>
      <c r="D429" s="9">
        <v>594.75384000000008</v>
      </c>
    </row>
    <row r="430" spans="1:4" x14ac:dyDescent="0.25">
      <c r="A430" s="2" t="str">
        <f>"43120107030"</f>
        <v>43120107030</v>
      </c>
      <c r="B430" s="2" t="str">
        <f>"FX7000 SWIVEL"</f>
        <v>FX7000 SWIVEL</v>
      </c>
      <c r="C430" s="4">
        <v>1760.8999999999999</v>
      </c>
      <c r="D430" s="9">
        <v>969.90372000000013</v>
      </c>
    </row>
    <row r="431" spans="1:4" x14ac:dyDescent="0.25">
      <c r="A431" s="2" t="str">
        <f>"88021001100"</f>
        <v>88021001100</v>
      </c>
      <c r="B431" s="2" t="str">
        <f>"HALYARD SWIVEL FOR 3T FURLER"</f>
        <v>HALYARD SWIVEL FOR 3T FURLER</v>
      </c>
      <c r="C431" s="4">
        <v>589.70000000000005</v>
      </c>
      <c r="D431" s="9">
        <v>324.80676000000005</v>
      </c>
    </row>
    <row r="432" spans="1:4" x14ac:dyDescent="0.25">
      <c r="A432" s="2" t="str">
        <f>"43130727000"</f>
        <v>43130727000</v>
      </c>
      <c r="B432" s="2" t="str">
        <f>"SSH7000 SOLID SHEAVE ADAPTER"</f>
        <v>SSH7000 SOLID SHEAVE ADAPTER</v>
      </c>
      <c r="C432" s="4">
        <v>274.8</v>
      </c>
      <c r="D432" s="9">
        <v>151.35984000000005</v>
      </c>
    </row>
    <row r="433" spans="1:4" x14ac:dyDescent="0.25">
      <c r="A433" s="2" t="str">
        <f>"43130724500"</f>
        <v>43130724500</v>
      </c>
      <c r="B433" s="2" t="str">
        <f>"""BLOCK, FX/FXT/AFX SOLID"""</f>
        <v>"BLOCK, FX/FXT/AFX SOLID"</v>
      </c>
      <c r="C433" s="4">
        <v>177.6</v>
      </c>
      <c r="D433" s="9">
        <v>97.822080000000014</v>
      </c>
    </row>
    <row r="434" spans="1:4" x14ac:dyDescent="0.25">
      <c r="A434" s="2" t="str">
        <f>"89021040456"</f>
        <v>89021040456</v>
      </c>
      <c r="B434" s="2" t="str">
        <f>"FX4500 BLOCK CHEEK"</f>
        <v>FX4500 BLOCK CHEEK</v>
      </c>
      <c r="C434" s="4">
        <v>61.6</v>
      </c>
      <c r="D434" s="9">
        <v>33.929280000000006</v>
      </c>
    </row>
    <row r="435" spans="1:4" x14ac:dyDescent="0.25">
      <c r="A435" s="2" t="str">
        <f>"51012090160"</f>
        <v>51012090160</v>
      </c>
      <c r="B435" s="2" t="str">
        <f>"DRIVE UNIT CF90"</f>
        <v>DRIVE UNIT CF90</v>
      </c>
      <c r="C435" s="4">
        <v>1315.5</v>
      </c>
      <c r="D435" s="9">
        <v>724.57740000000013</v>
      </c>
    </row>
    <row r="436" spans="1:4" x14ac:dyDescent="0.25">
      <c r="A436" s="2" t="str">
        <f>"51053200000"</f>
        <v>51053200000</v>
      </c>
      <c r="B436" s="2" t="str">
        <f>"BALL BEARING CARCF 65/70"</f>
        <v>BALL BEARING CARCF 65/70</v>
      </c>
      <c r="C436" s="4">
        <v>183.6</v>
      </c>
      <c r="D436" s="9">
        <v>101.12688000000001</v>
      </c>
    </row>
    <row r="437" spans="1:4" x14ac:dyDescent="0.25">
      <c r="A437" s="2" t="str">
        <f>"51053200100"</f>
        <v>51053200100</v>
      </c>
      <c r="B437" s="2" t="str">
        <f>"BALL BEARING CARCF 80/90"</f>
        <v>BALL BEARING CARCF 80/90</v>
      </c>
      <c r="C437" s="4">
        <v>211.5</v>
      </c>
      <c r="D437" s="9">
        <v>116.49420000000002</v>
      </c>
    </row>
    <row r="438" spans="1:4" x14ac:dyDescent="0.25">
      <c r="A438" s="2" t="str">
        <f>"51053200200"</f>
        <v>51053200200</v>
      </c>
      <c r="B438" s="2" t="str">
        <f>"RC BALL BEARING CAR CF80/105"</f>
        <v>RC BALL BEARING CAR CF80/105</v>
      </c>
      <c r="C438" s="4">
        <v>470.70000000000005</v>
      </c>
      <c r="D438" s="9">
        <v>259.26156000000003</v>
      </c>
    </row>
    <row r="439" spans="1:4" x14ac:dyDescent="0.25">
      <c r="A439" s="2" t="str">
        <f>"51065080040"</f>
        <v>51065080040</v>
      </c>
      <c r="B439" s="2" t="str">
        <f>"HALYARD SWIVEL FOR CF80"</f>
        <v>HALYARD SWIVEL FOR CF80</v>
      </c>
      <c r="C439" s="4">
        <v>690.4</v>
      </c>
      <c r="D439" s="9">
        <v>380.27232000000004</v>
      </c>
    </row>
    <row r="440" spans="1:4" x14ac:dyDescent="0.25">
      <c r="A440" s="2" t="str">
        <f>"51065090040"</f>
        <v>51065090040</v>
      </c>
      <c r="B440" s="2" t="str">
        <f>"HALYARD SWIVEL CF90"</f>
        <v>HALYARD SWIVEL CF90</v>
      </c>
      <c r="C440" s="4">
        <v>649.30000000000007</v>
      </c>
      <c r="D440" s="9">
        <v>357.63444000000004</v>
      </c>
    </row>
    <row r="441" spans="1:4" x14ac:dyDescent="0.25">
      <c r="A441" s="2" t="str">
        <f>"51065105040"</f>
        <v>51065105040</v>
      </c>
      <c r="B441" s="2" t="str">
        <f>"CF 105 HALYARD SWIVEL"</f>
        <v>CF 105 HALYARD SWIVEL</v>
      </c>
      <c r="C441" s="4">
        <v>2402.1</v>
      </c>
      <c r="D441" s="9">
        <v>1323.0766800000001</v>
      </c>
    </row>
    <row r="442" spans="1:4" x14ac:dyDescent="0.25">
      <c r="A442" s="2" t="str">
        <f>"51070080030"</f>
        <v>51070080030</v>
      </c>
      <c r="B442" s="2" t="str">
        <f>"TOP CAP CF 80"</f>
        <v>TOP CAP CF 80</v>
      </c>
      <c r="C442" s="4">
        <v>183.6</v>
      </c>
      <c r="D442" s="9">
        <v>101.12688000000001</v>
      </c>
    </row>
    <row r="443" spans="1:4" x14ac:dyDescent="0.25">
      <c r="A443" s="2" t="str">
        <f>"51070090030"</f>
        <v>51070090030</v>
      </c>
      <c r="B443" s="2" t="str">
        <f>"TOP CAP CF 90"</f>
        <v>TOP CAP CF 90</v>
      </c>
      <c r="C443" s="4">
        <v>209.9</v>
      </c>
      <c r="D443" s="9">
        <v>115.61292000000003</v>
      </c>
    </row>
    <row r="444" spans="1:4" x14ac:dyDescent="0.25">
      <c r="A444" s="2" t="str">
        <f>"51091070100"</f>
        <v>51091070100</v>
      </c>
      <c r="B444" s="2" t="str">
        <f>"STANDARD HOUSING SECTION"</f>
        <v>STANDARD HOUSING SECTION</v>
      </c>
      <c r="C444" s="4">
        <v>334</v>
      </c>
      <c r="D444" s="9">
        <v>183.96720000000002</v>
      </c>
    </row>
    <row r="445" spans="1:4" x14ac:dyDescent="0.25">
      <c r="A445" s="2" t="str">
        <f>"51091080100"</f>
        <v>51091080100</v>
      </c>
      <c r="B445" s="2" t="str">
        <f>"STANDARD HOUSING SECT.CF80"</f>
        <v>STANDARD HOUSING SECT.CF80</v>
      </c>
      <c r="C445" s="4">
        <v>561.9</v>
      </c>
      <c r="D445" s="9">
        <v>309.49451999999997</v>
      </c>
    </row>
    <row r="446" spans="1:4" x14ac:dyDescent="0.25">
      <c r="A446" s="2" t="str">
        <f>"51091080200"</f>
        <v>51091080200</v>
      </c>
      <c r="B446" s="2" t="str">
        <f>"CF80 TOP HOUSING SECTION ONLY"</f>
        <v>CF80 TOP HOUSING SECTION ONLY</v>
      </c>
      <c r="C446" s="4">
        <v>521.20000000000005</v>
      </c>
      <c r="D446" s="9">
        <v>287.07696000000004</v>
      </c>
    </row>
    <row r="447" spans="1:4" x14ac:dyDescent="0.25">
      <c r="A447" s="2" t="str">
        <f>"51091090100"</f>
        <v>51091090100</v>
      </c>
      <c r="B447" s="2" t="str">
        <f>"STANDARD HOUSING SECT CF90"</f>
        <v>STANDARD HOUSING SECT CF90</v>
      </c>
      <c r="C447" s="4">
        <v>528.70000000000005</v>
      </c>
      <c r="D447" s="9">
        <v>291.20796000000007</v>
      </c>
    </row>
    <row r="448" spans="1:4" x14ac:dyDescent="0.25">
      <c r="A448" s="2" t="str">
        <f>"51091105100"</f>
        <v>51091105100</v>
      </c>
      <c r="B448" s="2" t="str">
        <f>"STANDARD HOUSING SECT.CF105"</f>
        <v>STANDARD HOUSING SECT.CF105</v>
      </c>
      <c r="C448" s="4">
        <v>815.7</v>
      </c>
      <c r="D448" s="9">
        <v>449.28756000000004</v>
      </c>
    </row>
    <row r="449" spans="1:4" x14ac:dyDescent="0.25">
      <c r="A449" s="2" t="str">
        <f>"54019000794"</f>
        <v>54019000794</v>
      </c>
      <c r="B449" s="2" t="str">
        <f>"FEEDING TRACK HL BALLS D7.94 FACSLIDE+"</f>
        <v>FEEDING TRACK HL BALLS D7.94 FACSLIDE+</v>
      </c>
      <c r="C449" s="4">
        <v>19.200000000000003</v>
      </c>
      <c r="D449" s="9">
        <v>10.575360000000003</v>
      </c>
    </row>
    <row r="450" spans="1:4" x14ac:dyDescent="0.25">
      <c r="A450" s="2" t="str">
        <f>"09130204140"</f>
        <v>09130204140</v>
      </c>
      <c r="B450" s="2" t="str">
        <f>"R14 TOP CAP"</f>
        <v>R14 TOP CAP</v>
      </c>
      <c r="C450" s="4">
        <v>41</v>
      </c>
      <c r="D450" s="9">
        <v>22.582800000000002</v>
      </c>
    </row>
    <row r="451" spans="1:4" x14ac:dyDescent="0.25">
      <c r="A451" s="2" t="str">
        <f>"09130204250"</f>
        <v>09130204250</v>
      </c>
      <c r="B451" s="2" t="str">
        <f>"SX 25 TOP CAP"</f>
        <v>SX 25 TOP CAP</v>
      </c>
      <c r="C451" s="4">
        <v>34.700000000000003</v>
      </c>
      <c r="D451" s="9">
        <v>19.112760000000005</v>
      </c>
    </row>
    <row r="452" spans="1:4" x14ac:dyDescent="0.25">
      <c r="A452" s="2" t="str">
        <f>"09130204260"</f>
        <v>09130204260</v>
      </c>
      <c r="B452" s="2" t="str">
        <f>"R26 TOP CAP"</f>
        <v>R26 TOP CAP</v>
      </c>
      <c r="C452" s="4">
        <v>63.1</v>
      </c>
      <c r="D452" s="9">
        <v>34.755480000000006</v>
      </c>
    </row>
    <row r="453" spans="1:4" x14ac:dyDescent="0.25">
      <c r="A453" s="2" t="str">
        <f>"09130204330"</f>
        <v>09130204330</v>
      </c>
      <c r="B453" s="2" t="str">
        <f>"SX33 TOP CAP"</f>
        <v>SX33 TOP CAP</v>
      </c>
      <c r="C453" s="4">
        <v>44.5</v>
      </c>
      <c r="D453" s="9">
        <v>24.510600000000004</v>
      </c>
    </row>
    <row r="454" spans="1:4" x14ac:dyDescent="0.25">
      <c r="A454" s="2" t="str">
        <f>"09130204340"</f>
        <v>09130204340</v>
      </c>
      <c r="B454" s="2" t="str">
        <f>"R34 TOP CAP"</f>
        <v>R34 TOP CAP</v>
      </c>
      <c r="C454" s="4">
        <v>106.19999999999999</v>
      </c>
      <c r="D454" s="9">
        <v>58.494959999999999</v>
      </c>
    </row>
    <row r="455" spans="1:4" x14ac:dyDescent="0.25">
      <c r="A455" s="2" t="str">
        <f>"09130204390"</f>
        <v>09130204390</v>
      </c>
      <c r="B455" s="2" t="str">
        <f>"SX39 TOP CAP"</f>
        <v>SX39 TOP CAP</v>
      </c>
      <c r="C455" s="4">
        <v>53.5</v>
      </c>
      <c r="D455" s="9">
        <v>29.467800000000004</v>
      </c>
    </row>
    <row r="456" spans="1:4" x14ac:dyDescent="0.25">
      <c r="A456" s="2" t="str">
        <f>"09130204470"</f>
        <v>09130204470</v>
      </c>
      <c r="B456" s="2" t="str">
        <f>"SX47 TOP CAP"</f>
        <v>SX47 TOP CAP</v>
      </c>
      <c r="C456" s="4">
        <v>66.399999999999991</v>
      </c>
      <c r="D456" s="9">
        <v>36.573119999999996</v>
      </c>
    </row>
    <row r="457" spans="1:4" x14ac:dyDescent="0.25">
      <c r="A457" s="2" t="str">
        <f>"09130204530"</f>
        <v>09130204530</v>
      </c>
      <c r="B457" s="2" t="str">
        <f>"SX53 TOP CAP"</f>
        <v>SX53 TOP CAP</v>
      </c>
      <c r="C457" s="4">
        <v>163.29999999999998</v>
      </c>
      <c r="D457" s="9">
        <v>89.945639999999997</v>
      </c>
    </row>
    <row r="458" spans="1:4" x14ac:dyDescent="0.25">
      <c r="A458" s="2" t="str">
        <f>"09266190041"</f>
        <v>09266190041</v>
      </c>
      <c r="B458" s="2" t="str">
        <f>"LINE/WEB ASSEMB 10X15M-WEB18M"</f>
        <v>LINE/WEB ASSEMB 10X15M-WEB18M</v>
      </c>
      <c r="C458" s="4">
        <v>356.1</v>
      </c>
      <c r="D458" s="9">
        <v>196.13988000000003</v>
      </c>
    </row>
    <row r="459" spans="1:4" x14ac:dyDescent="0.25">
      <c r="A459" s="2" t="str">
        <f>"09266230141"</f>
        <v>09266230141</v>
      </c>
      <c r="B459" s="2" t="str">
        <f>"FURLING LINE/WEB ASSEMBLED FD210/230"</f>
        <v>FURLING LINE/WEB ASSEMBLED FD210/230</v>
      </c>
      <c r="C459" s="4">
        <v>530.20000000000005</v>
      </c>
      <c r="D459" s="9">
        <v>292.03416000000004</v>
      </c>
    </row>
    <row r="460" spans="1:4" x14ac:dyDescent="0.25">
      <c r="A460" s="2" t="str">
        <f>"09266410043"</f>
        <v>09266410043</v>
      </c>
      <c r="B460" s="2" t="str">
        <f>"DYNEEMA WEBBING"</f>
        <v>DYNEEMA WEBBING</v>
      </c>
      <c r="C460" s="4">
        <v>393.20000000000005</v>
      </c>
      <c r="D460" s="9">
        <v>216.57456000000005</v>
      </c>
    </row>
    <row r="461" spans="1:4" x14ac:dyDescent="0.25">
      <c r="A461" s="2" t="str">
        <f>"24106200400"</f>
        <v>24106200400</v>
      </c>
      <c r="B461" s="2" t="str">
        <f>"6MMX20M FURLING LINE AND LEADS"</f>
        <v>6MMX20M FURLING LINE AND LEADS</v>
      </c>
      <c r="C461" s="4">
        <v>104.39999999999999</v>
      </c>
      <c r="D461" s="9">
        <v>57.503520000000009</v>
      </c>
    </row>
    <row r="462" spans="1:4" x14ac:dyDescent="0.25">
      <c r="A462" s="2" t="str">
        <f>"24110240000"</f>
        <v>24110240000</v>
      </c>
      <c r="B462" s="2" t="str">
        <f>"10MMX24M STD FURLING LINE* GREY/BLUE ID"</f>
        <v>10MMX24M STD FURLING LINE* GREY/BLUE ID</v>
      </c>
      <c r="C462" s="4">
        <v>117.69999999999999</v>
      </c>
      <c r="D462" s="9">
        <v>64.829160000000016</v>
      </c>
    </row>
    <row r="463" spans="1:4" x14ac:dyDescent="0.25">
      <c r="A463" s="2" t="str">
        <f>"24160809100"</f>
        <v>24160809100</v>
      </c>
      <c r="B463" s="2" t="str">
        <f>"FURLING LINE D8 MM X  9MM + WEBBING 10M"</f>
        <v>FURLING LINE D8 MM X  9MM + WEBBING 10M</v>
      </c>
      <c r="C463" s="4">
        <v>166</v>
      </c>
      <c r="D463" s="9">
        <v>91.432800000000015</v>
      </c>
    </row>
    <row r="464" spans="1:4" x14ac:dyDescent="0.25">
      <c r="A464" s="2" t="str">
        <f>"24161018270"</f>
        <v>24161018270</v>
      </c>
      <c r="B464" s="2" t="str">
        <f>"FURLING LINE D10MM X 18MM + WEBBING 31M"</f>
        <v>FURLING LINE D10MM X 18MM + WEBBING 31M</v>
      </c>
      <c r="C464" s="4">
        <v>321.20000000000005</v>
      </c>
      <c r="D464" s="9">
        <v>176.91696000000005</v>
      </c>
    </row>
    <row r="465" spans="1:4" x14ac:dyDescent="0.25">
      <c r="A465" s="2" t="str">
        <f>"31000600010"</f>
        <v>31000600010</v>
      </c>
      <c r="B465" s="2" t="str">
        <f>"CLEAT &amp; EXIT FITTING FOR BOWSPRIT BRIDDL"</f>
        <v>CLEAT &amp; EXIT FITTING FOR BOWSPRIT BRIDDL</v>
      </c>
      <c r="C465" s="4">
        <v>153</v>
      </c>
      <c r="D465" s="9">
        <v>84.272400000000005</v>
      </c>
    </row>
    <row r="466" spans="1:4" x14ac:dyDescent="0.25">
      <c r="A466" s="2" t="str">
        <f>"43130307030"</f>
        <v>43130307030</v>
      </c>
      <c r="B466" s="2" t="str">
        <f>"LOOP ATTCH FX7000"</f>
        <v>LOOP ATTCH FX7000</v>
      </c>
      <c r="C466" s="4">
        <v>695.9</v>
      </c>
      <c r="D466" s="9">
        <v>383.30172000000005</v>
      </c>
    </row>
    <row r="467" spans="1:4" x14ac:dyDescent="0.25">
      <c r="A467" s="2" t="str">
        <f>"09266190042"</f>
        <v>09266190042</v>
      </c>
      <c r="B467" s="2" t="str">
        <f>"FRL LINE/WEB/SWVL/FD170-230"</f>
        <v>FRL LINE/WEB/SWVL/FD170-230</v>
      </c>
      <c r="C467" s="4">
        <v>448.40000000000003</v>
      </c>
      <c r="D467" s="9">
        <v>246.97872000000004</v>
      </c>
    </row>
    <row r="468" spans="1:4" x14ac:dyDescent="0.25">
      <c r="A468" s="2" t="str">
        <f>"24000600040"</f>
        <v>24000600040</v>
      </c>
      <c r="B468" s="2" t="str">
        <f>"DYNEEMA SAIL ROPE D4MM LG480MM"</f>
        <v>DYNEEMA SAIL ROPE D4MM LG480MM</v>
      </c>
      <c r="C468" s="4">
        <v>35.800000000000004</v>
      </c>
      <c r="D468" s="9">
        <v>19.718640000000004</v>
      </c>
    </row>
    <row r="469" spans="1:4" x14ac:dyDescent="0.25">
      <c r="A469" s="2" t="str">
        <f>"43222001540"</f>
        <v>43222001540</v>
      </c>
      <c r="B469" s="2" t="str">
        <f>"SPLIT CONE ASY1500 W/ SPRING"</f>
        <v>SPLIT CONE ASY1500 W/ SPRING</v>
      </c>
      <c r="C469" s="4">
        <v>135.5</v>
      </c>
      <c r="D469" s="9">
        <v>74.633400000000009</v>
      </c>
    </row>
    <row r="470" spans="1:4" x14ac:dyDescent="0.25">
      <c r="A470" s="2" t="str">
        <f>"43222002540"</f>
        <v>43222002540</v>
      </c>
      <c r="B470" s="2" t="str">
        <f>"SPLIT CONE ASY2500 W/ SPRING"</f>
        <v>SPLIT CONE ASY2500 W/ SPRING</v>
      </c>
      <c r="C470" s="4">
        <v>149.79999999999998</v>
      </c>
      <c r="D470" s="9">
        <v>82.509839999999997</v>
      </c>
    </row>
    <row r="471" spans="1:4" x14ac:dyDescent="0.25">
      <c r="A471" s="2" t="str">
        <f>"43222004540"</f>
        <v>43222004540</v>
      </c>
      <c r="B471" s="2" t="str">
        <f>"SPLIT CONE ASY4500 W/ SPRING"</f>
        <v>SPLIT CONE ASY4500 W/ SPRING</v>
      </c>
      <c r="C471" s="4">
        <v>153.6</v>
      </c>
      <c r="D471" s="9">
        <v>84.602880000000013</v>
      </c>
    </row>
    <row r="472" spans="1:4" x14ac:dyDescent="0.25">
      <c r="A472" s="2" t="str">
        <f>"43222007040"</f>
        <v>43222007040</v>
      </c>
      <c r="B472" s="2" t="str">
        <f>"SPLIT CONE ASY7000 W/ SPRING"</f>
        <v>SPLIT CONE ASY7000 W/ SPRING</v>
      </c>
      <c r="C472" s="4">
        <v>173.2</v>
      </c>
      <c r="D472" s="9">
        <v>95.398560000000003</v>
      </c>
    </row>
    <row r="473" spans="1:4" x14ac:dyDescent="0.25">
      <c r="A473" s="2" t="str">
        <f>"25200000450"</f>
        <v>25200000450</v>
      </c>
      <c r="B473" s="2" t="str">
        <f>"DOUBLE FAIRLEAD FOR 28MM STANCHION"</f>
        <v>DOUBLE FAIRLEAD FOR 28MM STANCHION</v>
      </c>
      <c r="C473" s="4">
        <v>15.9</v>
      </c>
      <c r="D473" s="9">
        <v>8.7577200000000026</v>
      </c>
    </row>
    <row r="474" spans="1:4" x14ac:dyDescent="0.25">
      <c r="A474" s="2" t="str">
        <f>"20001060580"</f>
        <v>20001060580</v>
      </c>
      <c r="B474" s="2" t="str">
        <f>"SINGLE SCREW FOR HEADBOARD CAR FT10"</f>
        <v>SINGLE SCREW FOR HEADBOARD CAR FT10</v>
      </c>
      <c r="C474" s="4">
        <v>5.3</v>
      </c>
      <c r="D474" s="9">
        <v>2.9192400000000003</v>
      </c>
    </row>
    <row r="475" spans="1:4" x14ac:dyDescent="0.25">
      <c r="A475" s="2" t="str">
        <f>"25094124020"</f>
        <v>25094124020</v>
      </c>
      <c r="B475" s="2" t="str">
        <f>"SLIDER N. 3 (M6)"</f>
        <v>SLIDER N. 3 (M6)</v>
      </c>
      <c r="C475" s="4">
        <v>0.1</v>
      </c>
      <c r="D475" s="9">
        <v>5.5080000000000004E-2</v>
      </c>
    </row>
    <row r="476" spans="1:4" x14ac:dyDescent="0.25">
      <c r="A476" s="2" t="str">
        <f>"51094035180"</f>
        <v>51094035180</v>
      </c>
      <c r="B476" s="2" t="str">
        <f>"SLUG NØ3+SCREW 5X18+NUT M5 TRACK/HSG SCT"</f>
        <v>SLUG NØ3+SCREW 5X18+NUT M5 TRACK/HSG SCT</v>
      </c>
      <c r="C476" s="4">
        <v>9.1</v>
      </c>
      <c r="D476" s="9">
        <v>5.0122800000000005</v>
      </c>
    </row>
    <row r="477" spans="1:4" x14ac:dyDescent="0.25">
      <c r="A477" s="2" t="str">
        <f>"51095105200"</f>
        <v>51095105200</v>
      </c>
      <c r="B477" s="2" t="str">
        <f>"D10 SS SLUG+5X20SCREW+M5NUT TRACK/HSG SC"</f>
        <v>D10 SS SLUG+5X20SCREW+M5NUT TRACK/HSG SC</v>
      </c>
      <c r="C477" s="4">
        <v>7.6</v>
      </c>
      <c r="D477" s="9">
        <v>4.1860800000000005</v>
      </c>
    </row>
    <row r="478" spans="1:4" x14ac:dyDescent="0.25">
      <c r="A478" s="2" t="str">
        <f>"54008030170"</f>
        <v>54008030170</v>
      </c>
      <c r="B478" s="2" t="str">
        <f>"F40 TRACK 1.70M+SLUGS NØ3"</f>
        <v>F40 TRACK 1.70M+SLUGS NØ3</v>
      </c>
      <c r="C478" s="4">
        <v>337.20000000000005</v>
      </c>
      <c r="D478" s="9">
        <v>185.72976000000006</v>
      </c>
    </row>
    <row r="479" spans="1:4" x14ac:dyDescent="0.25">
      <c r="A479" s="2" t="str">
        <f>"54011000000"</f>
        <v>54011000000</v>
      </c>
      <c r="B479" s="2" t="str">
        <f>"FR25X15 2M TRACK NO SLUGS FACSLIDE+"</f>
        <v>FR25X15 2M TRACK NO SLUGS FACSLIDE+</v>
      </c>
      <c r="C479" s="4">
        <v>140.6</v>
      </c>
      <c r="D479" s="9">
        <v>77.442480000000003</v>
      </c>
    </row>
    <row r="480" spans="1:4" x14ac:dyDescent="0.25">
      <c r="A480" s="2" t="str">
        <f>"54020100600"</f>
        <v>54020100600</v>
      </c>
      <c r="B480" s="2" t="str">
        <f>"FL 10 BATTEN CAR - F10 TRACK"</f>
        <v>FL 10 BATTEN CAR - F10 TRACK</v>
      </c>
      <c r="C480" s="4">
        <v>221.5</v>
      </c>
      <c r="D480" s="9">
        <v>122.00220000000002</v>
      </c>
    </row>
    <row r="481" spans="1:4" x14ac:dyDescent="0.25">
      <c r="A481" s="2" t="str">
        <f>"54031300600"</f>
        <v>54031300600</v>
      </c>
      <c r="B481" s="2" t="str">
        <f>"FI30 INTERMEDIATE CAR - F30 TRACK"</f>
        <v>FI30 INTERMEDIATE CAR - F30 TRACK</v>
      </c>
      <c r="C481" s="4">
        <v>288.8</v>
      </c>
      <c r="D481" s="9">
        <v>159.07104000000004</v>
      </c>
    </row>
    <row r="482" spans="1:4" x14ac:dyDescent="0.25">
      <c r="A482" s="2" t="str">
        <f>"54040350600"</f>
        <v>54040350600</v>
      </c>
      <c r="B482" s="2" t="str">
        <f>"HEADBOARD CAR FOR FT30OR HL"</f>
        <v>HEADBOARD CAR FOR FT30OR HL</v>
      </c>
      <c r="C482" s="4">
        <v>755.4</v>
      </c>
      <c r="D482" s="9">
        <v>416.07432000000006</v>
      </c>
    </row>
    <row r="483" spans="1:4" x14ac:dyDescent="0.25">
      <c r="A483" s="2" t="str">
        <f>"54060041006"</f>
        <v>54060041006</v>
      </c>
      <c r="B483" s="2" t="str">
        <f>"TOP/LOW TRACK END STOP F40"</f>
        <v>TOP/LOW TRACK END STOP F40</v>
      </c>
      <c r="C483" s="4">
        <v>112.89999999999999</v>
      </c>
      <c r="D483" s="9">
        <v>62.185320000000004</v>
      </c>
    </row>
    <row r="484" spans="1:4" x14ac:dyDescent="0.25">
      <c r="A484" s="2" t="str">
        <f>"70060015001"</f>
        <v>70060015001</v>
      </c>
      <c r="B484" s="2" t="str">
        <f>"GUNBOAT 90-30TSWL DRUM FURLER 30TSWL+TIT"</f>
        <v>GUNBOAT 90-30TSWL DRUM FURLER 30TSWL+TIT</v>
      </c>
      <c r="C484" s="4">
        <v>40027.199999999997</v>
      </c>
      <c r="D484" s="9">
        <v>22046.981760000002</v>
      </c>
    </row>
    <row r="485" spans="1:4" x14ac:dyDescent="0.25">
      <c r="A485" s="2" t="str">
        <f>"26097024030"</f>
        <v>26097024030</v>
      </c>
      <c r="B485" s="2" t="str">
        <f>"R24 CONNECTOR"</f>
        <v>R24 CONNECTOR</v>
      </c>
      <c r="C485" s="4">
        <v>71.099999999999994</v>
      </c>
      <c r="D485" s="9">
        <v>39.161879999999996</v>
      </c>
    </row>
    <row r="486" spans="1:4" x14ac:dyDescent="0.25">
      <c r="A486" s="2" t="str">
        <f>"51041002010"</f>
        <v>51041002010</v>
      </c>
      <c r="B486" s="2" t="str">
        <f>"PLASTIC TUBE EV/CF80/105 D13X8.5 LG22"</f>
        <v>PLASTIC TUBE EV/CF80/105 D13X8.5 LG22</v>
      </c>
      <c r="C486" s="4">
        <v>8.2999999999999989</v>
      </c>
      <c r="D486" s="9">
        <v>4.5716399999999995</v>
      </c>
    </row>
    <row r="487" spans="1:4" x14ac:dyDescent="0.25">
      <c r="A487" s="2" t="str">
        <f>"09070014040"</f>
        <v>09070014040</v>
      </c>
      <c r="B487" s="2" t="str">
        <f>"TOP CAP &amp; PIN R14 SECTION"</f>
        <v>TOP CAP &amp; PIN R14 SECTION</v>
      </c>
      <c r="C487" s="4">
        <v>34.6</v>
      </c>
      <c r="D487" s="9">
        <v>19.057680000000005</v>
      </c>
    </row>
    <row r="488" spans="1:4" x14ac:dyDescent="0.25">
      <c r="A488" s="2" t="str">
        <f>"09110180042"</f>
        <v>09110180042</v>
      </c>
      <c r="B488" s="2" t="str">
        <f>"LS180 STD DRUM+S38NSE+BSH W.10 SD180REPL"</f>
        <v>LS180 STD DRUM+S38NSE+BSH W.10 SD180REPL</v>
      </c>
      <c r="C488" s="4">
        <v>2068.9</v>
      </c>
      <c r="D488" s="9">
        <v>1139.5501200000001</v>
      </c>
    </row>
    <row r="489" spans="1:4" x14ac:dyDescent="0.25">
      <c r="A489" s="2" t="str">
        <f>"09123200030"</f>
        <v>09123200030</v>
      </c>
      <c r="B489" s="2" t="str">
        <f>"STD EXCH LS200 DRUM NO NOSE-MCHNED SHAFT"</f>
        <v>STD EXCH LS200 DRUM NO NOSE-MCHNED SHAFT</v>
      </c>
      <c r="C489" s="4">
        <v>1355.3</v>
      </c>
      <c r="D489" s="9">
        <v>746.4992400000001</v>
      </c>
    </row>
    <row r="490" spans="1:4" x14ac:dyDescent="0.25">
      <c r="A490" s="2" t="str">
        <f>"BEN14350300"</f>
        <v>BEN14350300</v>
      </c>
      <c r="B490" s="2" t="str">
        <f>"FIRST 21.7 DRUM KIT FOR BENETEAU"</f>
        <v>FIRST 21.7 DRUM KIT FOR BENETEAU</v>
      </c>
      <c r="C490" s="4">
        <v>2558.2999999999997</v>
      </c>
      <c r="D490" s="9">
        <v>1409.1116400000001</v>
      </c>
    </row>
    <row r="491" spans="1:4" x14ac:dyDescent="0.25">
      <c r="A491" s="2" t="str">
        <f>"03056602200"</f>
        <v>03056602200</v>
      </c>
      <c r="B491" s="2" t="str">
        <f>"TOGGLE+LK PLATES+7/8PIN EF550/600 53P-4H"</f>
        <v>TOGGLE+LK PLATES+7/8PIN EF550/600 53P-4H</v>
      </c>
      <c r="C491" s="4">
        <v>1414.1999999999998</v>
      </c>
      <c r="D491" s="9">
        <v>778.94136000000003</v>
      </c>
    </row>
    <row r="492" spans="1:4" x14ac:dyDescent="0.25">
      <c r="A492" s="2" t="str">
        <f>"05199695600"</f>
        <v>05199695600</v>
      </c>
      <c r="B492" s="2" t="str">
        <f>"BOX LS330-26-19-28KR25AR45"</f>
        <v>BOX LS330-26-19-28KR25AR45</v>
      </c>
      <c r="C492" s="4">
        <v>9721.4</v>
      </c>
      <c r="D492" s="9">
        <v>5354.5471200000011</v>
      </c>
    </row>
    <row r="493" spans="1:4" x14ac:dyDescent="0.25">
      <c r="A493" s="2" t="str">
        <f>"09013150045"</f>
        <v>09013150045</v>
      </c>
      <c r="B493" s="2" t="str">
        <f>"RC 100 DRUM + INTERNAL TURN. OPTION"</f>
        <v>RC 100 DRUM + INTERNAL TURN. OPTION</v>
      </c>
      <c r="C493" s="4">
        <v>2959.7999999999997</v>
      </c>
      <c r="D493" s="9">
        <v>1630.25784</v>
      </c>
    </row>
    <row r="494" spans="1:4" x14ac:dyDescent="0.25">
      <c r="A494" s="2" t="str">
        <f>"09013200045"</f>
        <v>09013200045</v>
      </c>
      <c r="B494" s="2" t="str">
        <f>"RC 180 DRUM + INTERNAL TURN. OPTION"</f>
        <v>RC 180 DRUM + INTERNAL TURN. OPTION</v>
      </c>
      <c r="C494" s="4">
        <v>4433</v>
      </c>
      <c r="D494" s="9">
        <v>2441.6964000000003</v>
      </c>
    </row>
    <row r="495" spans="1:4" x14ac:dyDescent="0.25">
      <c r="A495" s="2" t="str">
        <f>"09013220045"</f>
        <v>09013220045</v>
      </c>
      <c r="B495" s="2" t="str">
        <f>"RC220 DRUM + INTERNAL TURN. OPTION"</f>
        <v>RC220 DRUM + INTERNAL TURN. OPTION</v>
      </c>
      <c r="C495" s="4">
        <v>5142.3</v>
      </c>
      <c r="D495" s="9">
        <v>2832.3788400000008</v>
      </c>
    </row>
    <row r="496" spans="1:4" x14ac:dyDescent="0.25">
      <c r="A496" s="2" t="str">
        <f>"09013250145"</f>
        <v>09013250145</v>
      </c>
      <c r="B496" s="2" t="str">
        <f>"RC300 DRUM + INTERNAL TURN. OPTION"</f>
        <v>RC300 DRUM + INTERNAL TURN. OPTION</v>
      </c>
      <c r="C496" s="4">
        <v>5782.7000000000007</v>
      </c>
      <c r="D496" s="9">
        <v>3185.1111600000008</v>
      </c>
    </row>
    <row r="497" spans="1:4" x14ac:dyDescent="0.25">
      <c r="A497" s="2" t="str">
        <f>"09066030040"</f>
        <v>09066030040</v>
      </c>
      <c r="B497" s="2" t="str">
        <f>"ROLLS KIT + CIRCLIPS C30/C14 ROLLS D60MM"</f>
        <v>ROLLS KIT + CIRCLIPS C30/C14 ROLLS D60MM</v>
      </c>
      <c r="C497" s="4">
        <v>237.2</v>
      </c>
      <c r="D497" s="9">
        <v>130.64976000000001</v>
      </c>
    </row>
    <row r="498" spans="1:4" x14ac:dyDescent="0.25">
      <c r="A498" s="2" t="str">
        <f>"09066038040"</f>
        <v>09066038040</v>
      </c>
      <c r="B498" s="2" t="str">
        <f>"ROLLS KIT + CIRCLIPS C38/C24 ROLLS D76MM"</f>
        <v>ROLLS KIT + CIRCLIPS C38/C24 ROLLS D76MM</v>
      </c>
      <c r="C498" s="4">
        <v>252.1</v>
      </c>
      <c r="D498" s="9">
        <v>138.85668000000001</v>
      </c>
    </row>
    <row r="499" spans="1:4" x14ac:dyDescent="0.25">
      <c r="A499" s="2" t="str">
        <f>"09080030030"</f>
        <v>09080030030</v>
      </c>
      <c r="B499" s="2" t="str">
        <f>"SHEAVE BOX BR 30"</f>
        <v>SHEAVE BOX BR 30</v>
      </c>
      <c r="C499" s="4">
        <v>141.29999999999998</v>
      </c>
      <c r="D499" s="9">
        <v>77.828039999999987</v>
      </c>
    </row>
    <row r="500" spans="1:4" x14ac:dyDescent="0.25">
      <c r="A500" s="2" t="str">
        <f>"09082105406"</f>
        <v>09082105406</v>
      </c>
      <c r="B500" s="2" t="str">
        <f>"KR95-PM-LG 54MM(2'') AXE/PIN Ø 6MM (1/4)"</f>
        <v>KR95-PM-LG 54MM(2'') AXE/PIN Ø 6MM (1/4)</v>
      </c>
      <c r="C500" s="4">
        <v>94.899999999999991</v>
      </c>
      <c r="D500" s="9">
        <v>52.270920000000004</v>
      </c>
    </row>
    <row r="501" spans="1:4" x14ac:dyDescent="0.25">
      <c r="A501" s="2" t="str">
        <f>"09082117406"</f>
        <v>09082117406</v>
      </c>
      <c r="B501" s="2" t="str">
        <f>"KR95-PM-LG 174MM (7'') AXE/PIN Ø6MM(1/4)"</f>
        <v>KR95-PM-LG 174MM (7'') AXE/PIN Ø6MM(1/4)</v>
      </c>
      <c r="C501" s="4">
        <v>140.29999999999998</v>
      </c>
      <c r="D501" s="9">
        <v>77.277240000000006</v>
      </c>
    </row>
    <row r="502" spans="1:4" x14ac:dyDescent="0.25">
      <c r="A502" s="2" t="str">
        <f>"09082117410"</f>
        <v>09082117410</v>
      </c>
      <c r="B502" s="2" t="str">
        <f>"TURNB.KIT PIN D10 LG 174MM"</f>
        <v>TURNB.KIT PIN D10 LG 174MM</v>
      </c>
      <c r="C502" s="4">
        <v>159.4</v>
      </c>
      <c r="D502" s="9">
        <v>87.797520000000006</v>
      </c>
    </row>
    <row r="503" spans="1:4" x14ac:dyDescent="0.25">
      <c r="A503" s="2" t="str">
        <f>"09082126506"</f>
        <v>09082126506</v>
      </c>
      <c r="B503" s="2" t="str">
        <f>"265MM(10'3/8) AXE/PIN Ø6MM(1/4)"</f>
        <v>265MM(10'3/8) AXE/PIN Ø6MM(1/4)</v>
      </c>
      <c r="C503" s="4">
        <v>147.1</v>
      </c>
      <c r="D503" s="9">
        <v>81.022680000000008</v>
      </c>
    </row>
    <row r="504" spans="1:4" x14ac:dyDescent="0.25">
      <c r="A504" s="2" t="str">
        <f>"09082126508"</f>
        <v>09082126508</v>
      </c>
      <c r="B504" s="2" t="str">
        <f>"TURNB.KIT PIND8 LG 265MM"</f>
        <v>TURNB.KIT PIND8 LG 265MM</v>
      </c>
      <c r="C504" s="4">
        <v>159.4</v>
      </c>
      <c r="D504" s="9">
        <v>87.797520000000006</v>
      </c>
    </row>
    <row r="505" spans="1:4" x14ac:dyDescent="0.25">
      <c r="A505" s="2" t="str">
        <f>"09082314012"</f>
        <v>09082314012</v>
      </c>
      <c r="B505" s="2" t="str">
        <f>"TURNB.KIT PIND12 LG 140MM"</f>
        <v>TURNB.KIT PIND12 LG 140MM</v>
      </c>
      <c r="C505" s="4">
        <v>187.1</v>
      </c>
      <c r="D505" s="9">
        <v>103.05468000000002</v>
      </c>
    </row>
    <row r="506" spans="1:4" x14ac:dyDescent="0.25">
      <c r="A506" s="2" t="str">
        <f>"09082314014"</f>
        <v>09082314014</v>
      </c>
      <c r="B506" s="2" t="str">
        <f>"TURNB.KIT PIN D14 LG 140MM"</f>
        <v>TURNB.KIT PIN D14 LG 140MM</v>
      </c>
      <c r="C506" s="4">
        <v>196.9</v>
      </c>
      <c r="D506" s="9">
        <v>108.45252000000002</v>
      </c>
    </row>
    <row r="507" spans="1:4" x14ac:dyDescent="0.25">
      <c r="A507" s="2" t="str">
        <f>"09082314016"</f>
        <v>09082314016</v>
      </c>
      <c r="B507" s="2" t="str">
        <f>"TURNB.KIT PIND16 LG 140MM"</f>
        <v>TURNB.KIT PIND16 LG 140MM</v>
      </c>
      <c r="C507" s="4">
        <v>203.6</v>
      </c>
      <c r="D507" s="9">
        <v>112.14288000000002</v>
      </c>
    </row>
    <row r="508" spans="1:4" x14ac:dyDescent="0.25">
      <c r="A508" s="2" t="str">
        <f>"09082314018"</f>
        <v>09082314018</v>
      </c>
      <c r="B508" s="2" t="str">
        <f>"TURNB.KIT PIND18 LG 140MM"</f>
        <v>TURNB.KIT PIND18 LG 140MM</v>
      </c>
      <c r="C508" s="4">
        <v>233.79999999999998</v>
      </c>
      <c r="D508" s="9">
        <v>128.77704</v>
      </c>
    </row>
    <row r="509" spans="1:4" x14ac:dyDescent="0.25">
      <c r="A509" s="2" t="str">
        <f>"09082326512"</f>
        <v>09082326512</v>
      </c>
      <c r="B509" s="2" t="str">
        <f>"TURNB.KIT PIND12 LG 265MM"</f>
        <v>TURNB.KIT PIND12 LG 265MM</v>
      </c>
      <c r="C509" s="4">
        <v>249.5</v>
      </c>
      <c r="D509" s="9">
        <v>137.42460000000003</v>
      </c>
    </row>
    <row r="510" spans="1:4" x14ac:dyDescent="0.25">
      <c r="A510" s="2" t="str">
        <f>"09082326514"</f>
        <v>09082326514</v>
      </c>
      <c r="B510" s="2" t="str">
        <f>"TURNB.KIT PIND14 LG 265MM"</f>
        <v>TURNB.KIT PIND14 LG 265MM</v>
      </c>
      <c r="C510" s="4">
        <v>262</v>
      </c>
      <c r="D510" s="9">
        <v>144.30960000000002</v>
      </c>
    </row>
    <row r="511" spans="1:4" x14ac:dyDescent="0.25">
      <c r="A511" s="2" t="str">
        <f>"09082326516"</f>
        <v>09082326516</v>
      </c>
      <c r="B511" s="2" t="str">
        <f>"TURNB.KIT PIN D16 LG265MM"</f>
        <v>TURNB.KIT PIN D16 LG265MM</v>
      </c>
      <c r="C511" s="4">
        <v>271.3</v>
      </c>
      <c r="D511" s="9">
        <v>149.43204000000003</v>
      </c>
    </row>
    <row r="512" spans="1:4" x14ac:dyDescent="0.25">
      <c r="A512" s="2" t="str">
        <f>"09082326518"</f>
        <v>09082326518</v>
      </c>
      <c r="B512" s="2" t="str">
        <f>"TURNB.KIT PIND18 LG 265MM"</f>
        <v>TURNB.KIT PIND18 LG 265MM</v>
      </c>
      <c r="C512" s="4">
        <v>312.10000000000002</v>
      </c>
      <c r="D512" s="9">
        <v>171.90468000000004</v>
      </c>
    </row>
    <row r="513" spans="1:4" x14ac:dyDescent="0.25">
      <c r="A513" s="2" t="str">
        <f>"09082338014"</f>
        <v>09082338014</v>
      </c>
      <c r="B513" s="2" t="str">
        <f>"TURNB.KIT PIND14 LG 380MM"</f>
        <v>TURNB.KIT PIND14 LG 380MM</v>
      </c>
      <c r="C513" s="4">
        <v>394</v>
      </c>
      <c r="D513" s="9">
        <v>217.01520000000002</v>
      </c>
    </row>
    <row r="514" spans="1:4" x14ac:dyDescent="0.25">
      <c r="A514" s="2" t="str">
        <f>"09082338016"</f>
        <v>09082338016</v>
      </c>
      <c r="B514" s="2" t="str">
        <f>"TURNB.KIT PIND16 LG 380MM"</f>
        <v>TURNB.KIT PIND16 LG 380MM</v>
      </c>
      <c r="C514" s="4">
        <v>402.6</v>
      </c>
      <c r="D514" s="9">
        <v>221.75208000000003</v>
      </c>
    </row>
    <row r="515" spans="1:4" x14ac:dyDescent="0.25">
      <c r="A515" s="2" t="str">
        <f>"09082338018"</f>
        <v>09082338018</v>
      </c>
      <c r="B515" s="2" t="str">
        <f>"TURNB.KIT PIND18 LG 380MM"</f>
        <v>TURNB.KIT PIND18 LG 380MM</v>
      </c>
      <c r="C515" s="4">
        <v>411.20000000000005</v>
      </c>
      <c r="D515" s="9">
        <v>226.48896000000005</v>
      </c>
    </row>
    <row r="516" spans="1:4" x14ac:dyDescent="0.25">
      <c r="A516" s="2" t="str">
        <f>"09082514000"</f>
        <v>09082514000</v>
      </c>
      <c r="B516" s="2" t="str">
        <f>"KR SD 320 LG 140MM(5''1/2) AXE/PIN Ø ND"</f>
        <v>KR SD 320 LG 140MM(5''1/2) AXE/PIN Ø ND</v>
      </c>
      <c r="C516" s="4">
        <v>485.40000000000003</v>
      </c>
      <c r="D516" s="9">
        <v>267.35832000000005</v>
      </c>
    </row>
    <row r="517" spans="1:4" x14ac:dyDescent="0.25">
      <c r="A517" s="2" t="str">
        <f>"09082514018"</f>
        <v>09082514018</v>
      </c>
      <c r="B517" s="2" t="str">
        <f>"SD320 LONG 140 D18 LINK PLATES"</f>
        <v>SD320 LONG 140 D18 LINK PLATES</v>
      </c>
      <c r="C517" s="4">
        <v>523.4</v>
      </c>
      <c r="D517" s="9">
        <v>288.28872000000001</v>
      </c>
    </row>
    <row r="518" spans="1:4" x14ac:dyDescent="0.25">
      <c r="A518" s="2" t="str">
        <f>"09082514020"</f>
        <v>09082514020</v>
      </c>
      <c r="B518" s="2" t="str">
        <f>"SD320 LONG 140 D20 LINK PLATES"</f>
        <v>SD320 LONG 140 D20 LINK PLATES</v>
      </c>
      <c r="C518" s="4">
        <v>530.6</v>
      </c>
      <c r="D518" s="9">
        <v>292.25448000000006</v>
      </c>
    </row>
    <row r="519" spans="1:4" x14ac:dyDescent="0.25">
      <c r="A519" s="2" t="str">
        <f>"09082538000"</f>
        <v>09082538000</v>
      </c>
      <c r="B519" s="2" t="str">
        <f>"KR SD 320 LG 380MM(15'')  AXE/PIN Ø ND"</f>
        <v>KR SD 320 LG 380MM(15'')  AXE/PIN Ø ND</v>
      </c>
      <c r="C519" s="4">
        <v>584.30000000000007</v>
      </c>
      <c r="D519" s="9">
        <v>321.83244000000008</v>
      </c>
    </row>
    <row r="520" spans="1:4" x14ac:dyDescent="0.25">
      <c r="A520" s="2" t="str">
        <f>"09090030040"</f>
        <v>09090030040</v>
      </c>
      <c r="B520" s="2" t="str">
        <f>"S30 COMPLETE SECTION 2M."</f>
        <v>S30 COMPLETE SECTION 2M.</v>
      </c>
      <c r="C520" s="4">
        <v>211.1</v>
      </c>
      <c r="D520" s="9">
        <v>116.27388000000002</v>
      </c>
    </row>
    <row r="521" spans="1:4" x14ac:dyDescent="0.25">
      <c r="A521" s="2" t="str">
        <f>"09090038040"</f>
        <v>09090038040</v>
      </c>
      <c r="B521" s="2" t="str">
        <f>"S38 COMPLETE SECTION 2M."</f>
        <v>S38 COMPLETE SECTION 2M.</v>
      </c>
      <c r="C521" s="4">
        <v>292.40000000000003</v>
      </c>
      <c r="D521" s="9">
        <v>161.05392000000006</v>
      </c>
    </row>
    <row r="522" spans="1:4" x14ac:dyDescent="0.25">
      <c r="A522" s="2" t="str">
        <f>"09090046040"</f>
        <v>09090046040</v>
      </c>
      <c r="B522" s="2" t="str">
        <f>"S46 COMPLETE SECTION 2M."</f>
        <v>S46 COMPLETE SECTION 2M.</v>
      </c>
      <c r="C522" s="4">
        <v>361</v>
      </c>
      <c r="D522" s="9">
        <v>198.83880000000002</v>
      </c>
    </row>
    <row r="523" spans="1:4" x14ac:dyDescent="0.25">
      <c r="A523" s="2" t="str">
        <f>"09090054040"</f>
        <v>09090054040</v>
      </c>
      <c r="B523" s="2" t="str">
        <f>"COMPLETE 2M S54 STANDARD TOP SECTION"</f>
        <v>COMPLETE 2M S54 STANDARD TOP SECTION</v>
      </c>
      <c r="C523" s="4">
        <v>490.20000000000005</v>
      </c>
      <c r="D523" s="9">
        <v>270.00216000000006</v>
      </c>
    </row>
    <row r="524" spans="1:4" x14ac:dyDescent="0.25">
      <c r="A524" s="2" t="str">
        <f>"09090130040"</f>
        <v>09090130040</v>
      </c>
      <c r="B524" s="2" t="str">
        <f>"S30 COMPLETE SECTION 1M."</f>
        <v>S30 COMPLETE SECTION 1M.</v>
      </c>
      <c r="C524" s="4">
        <v>105.6</v>
      </c>
      <c r="D524" s="9">
        <v>58.164480000000005</v>
      </c>
    </row>
    <row r="525" spans="1:4" x14ac:dyDescent="0.25">
      <c r="A525" s="2" t="str">
        <f>"09090138040"</f>
        <v>09090138040</v>
      </c>
      <c r="B525" s="2" t="str">
        <f>"S 38 COMPLETE SECTION 1M."</f>
        <v>S 38 COMPLETE SECTION 1M.</v>
      </c>
      <c r="C525" s="4">
        <v>146.29999999999998</v>
      </c>
      <c r="D525" s="9">
        <v>80.582040000000006</v>
      </c>
    </row>
    <row r="526" spans="1:4" x14ac:dyDescent="0.25">
      <c r="A526" s="2" t="str">
        <f>"09090146040"</f>
        <v>09090146040</v>
      </c>
      <c r="B526" s="2" t="str">
        <f>"S 46 COMPLETE SECTION 1M."</f>
        <v>S 46 COMPLETE SECTION 1M.</v>
      </c>
      <c r="C526" s="4">
        <v>180.5</v>
      </c>
      <c r="D526" s="9">
        <v>99.41940000000001</v>
      </c>
    </row>
    <row r="527" spans="1:4" x14ac:dyDescent="0.25">
      <c r="A527" s="2" t="str">
        <f>"09090230030"</f>
        <v>09090230030</v>
      </c>
      <c r="B527" s="2" t="str">
        <f>"TOP SECTION S30"</f>
        <v>TOP SECTION S30</v>
      </c>
      <c r="C527" s="4">
        <v>202.79999999999998</v>
      </c>
      <c r="D527" s="9">
        <v>111.70224</v>
      </c>
    </row>
    <row r="528" spans="1:4" x14ac:dyDescent="0.25">
      <c r="A528" s="2" t="str">
        <f>"09090238030"</f>
        <v>09090238030</v>
      </c>
      <c r="B528" s="2" t="str">
        <f>"2M TOP SECTION S38"</f>
        <v>2M TOP SECTION S38</v>
      </c>
      <c r="C528" s="4">
        <v>263.40000000000003</v>
      </c>
      <c r="D528" s="9">
        <v>145.08072000000001</v>
      </c>
    </row>
    <row r="529" spans="1:4" x14ac:dyDescent="0.25">
      <c r="A529" s="2" t="str">
        <f>"09090246030"</f>
        <v>09090246030</v>
      </c>
      <c r="B529" s="2" t="str">
        <f>"TOP SECTION S 46 2 M."</f>
        <v>TOP SECTION S 46 2 M.</v>
      </c>
      <c r="C529" s="4">
        <v>334.6</v>
      </c>
      <c r="D529" s="9">
        <v>184.29768000000001</v>
      </c>
    </row>
    <row r="530" spans="1:4" x14ac:dyDescent="0.25">
      <c r="A530" s="2" t="str">
        <f>"09090254040"</f>
        <v>09090254040</v>
      </c>
      <c r="B530" s="2" t="str">
        <f>"COMPLETE 2M S54 TOP SECTION"</f>
        <v>COMPLETE 2M S54 TOP SECTION</v>
      </c>
      <c r="C530" s="4">
        <v>544.70000000000005</v>
      </c>
      <c r="D530" s="9">
        <v>300.02076000000005</v>
      </c>
    </row>
    <row r="531" spans="1:4" x14ac:dyDescent="0.25">
      <c r="A531" s="2" t="str">
        <f>"09091024030"</f>
        <v>09091024030</v>
      </c>
      <c r="B531" s="2" t="str">
        <f>"R24 TELESCOPIC SECTION"</f>
        <v>R24 TELESCOPIC SECTION</v>
      </c>
      <c r="C531" s="4">
        <v>136.9</v>
      </c>
      <c r="D531" s="9">
        <v>75.404520000000005</v>
      </c>
    </row>
    <row r="532" spans="1:4" x14ac:dyDescent="0.25">
      <c r="A532" s="2" t="str">
        <f>"09091034030"</f>
        <v>09091034030</v>
      </c>
      <c r="B532" s="2" t="str">
        <f>"R34 TELESCOPIC SECTION"</f>
        <v>R34 TELESCOPIC SECTION</v>
      </c>
      <c r="C532" s="4">
        <v>178.1</v>
      </c>
      <c r="D532" s="9">
        <v>98.097480000000004</v>
      </c>
    </row>
    <row r="533" spans="1:4" x14ac:dyDescent="0.25">
      <c r="A533" s="2" t="str">
        <f>"09092054030"</f>
        <v>09092054030</v>
      </c>
      <c r="B533" s="2" t="str">
        <f>"S54 OLD CONNNECTORS"</f>
        <v>S54 OLD CONNNECTORS</v>
      </c>
      <c r="C533" s="4">
        <v>128.29999999999998</v>
      </c>
      <c r="D533" s="9">
        <v>70.667640000000006</v>
      </c>
    </row>
    <row r="534" spans="1:4" x14ac:dyDescent="0.25">
      <c r="A534" s="2" t="str">
        <f>"09092230030"</f>
        <v>09092230030</v>
      </c>
      <c r="B534" s="2" t="str">
        <f>"BEARING STOP S30"</f>
        <v>BEARING STOP S30</v>
      </c>
      <c r="C534" s="4">
        <v>23.5</v>
      </c>
      <c r="D534" s="9">
        <v>12.943800000000001</v>
      </c>
    </row>
    <row r="535" spans="1:4" x14ac:dyDescent="0.25">
      <c r="A535" s="2" t="str">
        <f>"09092238030"</f>
        <v>09092238030</v>
      </c>
      <c r="B535" s="2" t="str">
        <f>"BEARING STOP S38"</f>
        <v>BEARING STOP S38</v>
      </c>
      <c r="C535" s="4">
        <v>24.200000000000003</v>
      </c>
      <c r="D535" s="9">
        <v>13.329360000000003</v>
      </c>
    </row>
    <row r="536" spans="1:4" x14ac:dyDescent="0.25">
      <c r="A536" s="2" t="str">
        <f>"09092246030"</f>
        <v>09092246030</v>
      </c>
      <c r="B536" s="2" t="str">
        <f>"BEARING STOP S46"</f>
        <v>BEARING STOP S46</v>
      </c>
      <c r="C536" s="4">
        <v>25.700000000000003</v>
      </c>
      <c r="D536" s="9">
        <v>14.155560000000003</v>
      </c>
    </row>
    <row r="537" spans="1:4" x14ac:dyDescent="0.25">
      <c r="A537" s="2" t="str">
        <f>"09095200160"</f>
        <v>09095200160</v>
      </c>
      <c r="B537" s="2" t="str">
        <f>"PIN+BUSHING D16MM/SD180/290"</f>
        <v>PIN+BUSHING D16MM/SD180/290</v>
      </c>
      <c r="C537" s="4">
        <v>92</v>
      </c>
      <c r="D537" s="9">
        <v>50.6736</v>
      </c>
    </row>
    <row r="538" spans="1:4" x14ac:dyDescent="0.25">
      <c r="A538" s="2" t="str">
        <f>"09095200180"</f>
        <v>09095200180</v>
      </c>
      <c r="B538" s="2" t="str">
        <f>"PIN+BUSHING D18MM/SD180/290"</f>
        <v>PIN+BUSHING D18MM/SD180/290</v>
      </c>
      <c r="C538" s="4">
        <v>108.5</v>
      </c>
      <c r="D538" s="9">
        <v>59.761800000000001</v>
      </c>
    </row>
    <row r="539" spans="1:4" x14ac:dyDescent="0.25">
      <c r="A539" s="2" t="str">
        <f>"09096054140"</f>
        <v>09096054140</v>
      </c>
      <c r="B539" s="2" t="str">
        <f>"R54 BUSHING / 14MM D F/STAY"</f>
        <v>R54 BUSHING / 14MM D F/STAY</v>
      </c>
      <c r="C539" s="4">
        <v>46.4</v>
      </c>
      <c r="D539" s="9">
        <v>25.557120000000001</v>
      </c>
    </row>
    <row r="540" spans="1:4" x14ac:dyDescent="0.25">
      <c r="A540" s="2" t="str">
        <f>"09110060040"</f>
        <v>09110060040</v>
      </c>
      <c r="B540" s="2" t="str">
        <f>"COMPLETE LS60 DRUM"</f>
        <v>COMPLETE LS60 DRUM</v>
      </c>
      <c r="C540" s="4">
        <v>952.7</v>
      </c>
      <c r="D540" s="9">
        <v>524.74716000000012</v>
      </c>
    </row>
    <row r="541" spans="1:4" x14ac:dyDescent="0.25">
      <c r="A541" s="2" t="str">
        <f>"09110070040"</f>
        <v>09110070040</v>
      </c>
      <c r="B541" s="2" t="str">
        <f>"COMPLETE LS70 DRUM"</f>
        <v>COMPLETE LS70 DRUM</v>
      </c>
      <c r="C541" s="4">
        <v>1023</v>
      </c>
      <c r="D541" s="9">
        <v>563.46840000000009</v>
      </c>
    </row>
    <row r="542" spans="1:4" x14ac:dyDescent="0.25">
      <c r="A542" s="2" t="str">
        <f>"09110070042"</f>
        <v>09110070042</v>
      </c>
      <c r="B542" s="2" t="str">
        <f>"LS70 DRUM S30 OLD STD NOSE PIN/LK PLATES"</f>
        <v>LS70 DRUM S30 OLD STD NOSE PIN/LK PLATES</v>
      </c>
      <c r="C542" s="4">
        <v>1023</v>
      </c>
      <c r="D542" s="9">
        <v>563.46840000000009</v>
      </c>
    </row>
    <row r="543" spans="1:4" x14ac:dyDescent="0.25">
      <c r="A543" s="2" t="str">
        <f>"09110100040"</f>
        <v>09110100040</v>
      </c>
      <c r="B543" s="2" t="str">
        <f>"COMPLETE LS 100 DRUM"</f>
        <v>COMPLETE LS 100 DRUM</v>
      </c>
      <c r="C543" s="4">
        <v>1571</v>
      </c>
      <c r="D543" s="9">
        <v>865.30680000000007</v>
      </c>
    </row>
    <row r="544" spans="1:4" x14ac:dyDescent="0.25">
      <c r="A544" s="2" t="str">
        <f>"09110100042"</f>
        <v>09110100042</v>
      </c>
      <c r="B544" s="2" t="str">
        <f>"LS100STD DRUM+S30NSE+BSH W.07 SD060-130R"</f>
        <v>LS100STD DRUM+S30NSE+BSH W.07 SD060-130R</v>
      </c>
      <c r="C544" s="4">
        <v>1304.6999999999998</v>
      </c>
      <c r="D544" s="9">
        <v>718.62875999999994</v>
      </c>
    </row>
    <row r="545" spans="1:4" x14ac:dyDescent="0.25">
      <c r="A545" s="2" t="str">
        <f>"09110165040"</f>
        <v>09110165040</v>
      </c>
      <c r="B545" s="2" t="str">
        <f>"COMPLETE LS 165 DRUM"</f>
        <v>COMPLETE LS 165 DRUM</v>
      </c>
      <c r="C545" s="4">
        <v>1843.3</v>
      </c>
      <c r="D545" s="9">
        <v>1015.2896400000001</v>
      </c>
    </row>
    <row r="546" spans="1:4" x14ac:dyDescent="0.25">
      <c r="A546" s="2" t="str">
        <f>"09110165042"</f>
        <v>09110165042</v>
      </c>
      <c r="B546" s="2" t="str">
        <f>"LS 165 STD DRUM+S38NSE+BSH W.08 SD150-16"</f>
        <v>LS 165 STD DRUM+S38NSE+BSH W.08 SD150-16</v>
      </c>
      <c r="C546" s="4">
        <v>1742.3</v>
      </c>
      <c r="D546" s="9">
        <v>959.65884000000017</v>
      </c>
    </row>
    <row r="547" spans="1:4" x14ac:dyDescent="0.25">
      <c r="A547" s="2" t="str">
        <f>"09110180040"</f>
        <v>09110180040</v>
      </c>
      <c r="B547" s="2" t="str">
        <f>"COMPLETE LS 180 DRUM"</f>
        <v>COMPLETE LS 180 DRUM</v>
      </c>
      <c r="C547" s="4">
        <v>2343</v>
      </c>
      <c r="D547" s="9">
        <v>1290.5244</v>
      </c>
    </row>
    <row r="548" spans="1:4" x14ac:dyDescent="0.25">
      <c r="A548" s="2" t="str">
        <f>"09110200042"</f>
        <v>09110200042</v>
      </c>
      <c r="B548" s="2" t="str">
        <f>"LS200 STD DRUM+S46NSE+BSH W.08 SD200-260"</f>
        <v>LS200 STD DRUM+S46NSE+BSH W.08 SD200-260</v>
      </c>
      <c r="C548" s="4">
        <v>2797.9</v>
      </c>
      <c r="D548" s="9">
        <v>1541.0833200000002</v>
      </c>
    </row>
    <row r="549" spans="1:4" x14ac:dyDescent="0.25">
      <c r="A549" s="2" t="str">
        <f>"09110200043"</f>
        <v>09110200043</v>
      </c>
      <c r="B549" s="2" t="str">
        <f>"LS200 STD DRUM+S46NSE+BSH W.10 SD200-260"</f>
        <v>LS200 STD DRUM+S46NSE+BSH W.10 SD200-260</v>
      </c>
      <c r="C549" s="4">
        <v>2797.9</v>
      </c>
      <c r="D549" s="9">
        <v>1541.0833200000002</v>
      </c>
    </row>
    <row r="550" spans="1:4" x14ac:dyDescent="0.25">
      <c r="A550" s="2" t="str">
        <f>"09110290042"</f>
        <v>09110290042</v>
      </c>
      <c r="B550" s="2" t="str">
        <f>"LS290 STD DRUM+S46NSE+BSH W.12 SD290 REP"</f>
        <v>LS290 STD DRUM+S46NSE+BSH W.12 SD290 REP</v>
      </c>
      <c r="C550" s="4">
        <v>3211.2999999999997</v>
      </c>
      <c r="D550" s="9">
        <v>1768.7840400000002</v>
      </c>
    </row>
    <row r="551" spans="1:4" x14ac:dyDescent="0.25">
      <c r="A551" s="2" t="str">
        <f>"09110290043"</f>
        <v>09110290043</v>
      </c>
      <c r="B551" s="2" t="str">
        <f>"LS290 STD DRUM+S46NSE+BSH W.14 SD290 REP"</f>
        <v>LS290 STD DRUM+S46NSE+BSH W.14 SD290 REP</v>
      </c>
      <c r="C551" s="4">
        <v>3211.2999999999997</v>
      </c>
      <c r="D551" s="9">
        <v>1768.7840400000002</v>
      </c>
    </row>
    <row r="552" spans="1:4" x14ac:dyDescent="0.25">
      <c r="A552" s="2" t="str">
        <f>"09110330040"</f>
        <v>09110330040</v>
      </c>
      <c r="B552" s="2" t="str">
        <f>"COMPLETE LS 330 DRUM"</f>
        <v>COMPLETE LS 330 DRUM</v>
      </c>
      <c r="C552" s="4">
        <v>5814.2000000000007</v>
      </c>
      <c r="D552" s="9">
        <v>3202.4613600000007</v>
      </c>
    </row>
    <row r="553" spans="1:4" x14ac:dyDescent="0.25">
      <c r="A553" s="2" t="str">
        <f>"09112060040"</f>
        <v>09112060040</v>
      </c>
      <c r="B553" s="2" t="str">
        <f>"COMPLETE LX 60 DRUM"</f>
        <v>COMPLETE LX 60 DRUM</v>
      </c>
      <c r="C553" s="4">
        <v>1089.8</v>
      </c>
      <c r="D553" s="9">
        <v>600.26184000000012</v>
      </c>
    </row>
    <row r="554" spans="1:4" x14ac:dyDescent="0.25">
      <c r="A554" s="2" t="str">
        <f>"09112070040"</f>
        <v>09112070040</v>
      </c>
      <c r="B554" s="2" t="str">
        <f>"COMPLETE LX 70 DRUM"</f>
        <v>COMPLETE LX 70 DRUM</v>
      </c>
      <c r="C554" s="4">
        <v>1168.1999999999998</v>
      </c>
      <c r="D554" s="9">
        <v>643.44456000000002</v>
      </c>
    </row>
    <row r="555" spans="1:4" x14ac:dyDescent="0.25">
      <c r="A555" s="2" t="str">
        <f>"09112100040"</f>
        <v>09112100040</v>
      </c>
      <c r="B555" s="2" t="str">
        <f>"COMPLETE LX 100 DRUM"</f>
        <v>COMPLETE LX 100 DRUM</v>
      </c>
      <c r="C555" s="4">
        <v>1716.1999999999998</v>
      </c>
      <c r="D555" s="9">
        <v>945.28296</v>
      </c>
    </row>
    <row r="556" spans="1:4" x14ac:dyDescent="0.25">
      <c r="A556" s="2" t="str">
        <f>"09112130040"</f>
        <v>09112130040</v>
      </c>
      <c r="B556" s="2" t="str">
        <f>"COMPLETE LX 130 DRUM"</f>
        <v>COMPLETE LX 130 DRUM</v>
      </c>
      <c r="C556" s="4">
        <v>1791.8999999999999</v>
      </c>
      <c r="D556" s="9">
        <v>986.97852000000012</v>
      </c>
    </row>
    <row r="557" spans="1:4" x14ac:dyDescent="0.25">
      <c r="A557" s="2" t="str">
        <f>"09112180040"</f>
        <v>09112180040</v>
      </c>
      <c r="B557" s="2" t="str">
        <f>"COMPLETE LX 180 DRUM"</f>
        <v>COMPLETE LX 180 DRUM</v>
      </c>
      <c r="C557" s="4">
        <v>2618.5</v>
      </c>
      <c r="D557" s="9">
        <v>1442.2698000000003</v>
      </c>
    </row>
    <row r="558" spans="1:4" x14ac:dyDescent="0.25">
      <c r="A558" s="2" t="str">
        <f>"09112200040"</f>
        <v>09112200040</v>
      </c>
      <c r="B558" s="2" t="str">
        <f>"COMPLETE LX 200 DRUM"</f>
        <v>COMPLETE LX 200 DRUM</v>
      </c>
      <c r="C558" s="4">
        <v>3418.6</v>
      </c>
      <c r="D558" s="9">
        <v>1882.9648800000004</v>
      </c>
    </row>
    <row r="559" spans="1:4" x14ac:dyDescent="0.25">
      <c r="A559" s="2" t="str">
        <f>"09112290040"</f>
        <v>09112290040</v>
      </c>
      <c r="B559" s="2" t="str">
        <f>"COMPLETE LX 290 DRUM"</f>
        <v>COMPLETE LX 290 DRUM</v>
      </c>
      <c r="C559" s="4">
        <v>4205.7000000000007</v>
      </c>
      <c r="D559" s="9">
        <v>2316.4995600000007</v>
      </c>
    </row>
    <row r="560" spans="1:4" x14ac:dyDescent="0.25">
      <c r="A560" s="2" t="str">
        <f>"09112330040"</f>
        <v>09112330040</v>
      </c>
      <c r="B560" s="2" t="str">
        <f>"COMPLETE LX 330 DRUM"</f>
        <v>COMPLETE LX 330 DRUM</v>
      </c>
      <c r="C560" s="4">
        <v>6288.2000000000007</v>
      </c>
      <c r="D560" s="9">
        <v>3463.5405600000004</v>
      </c>
    </row>
    <row r="561" spans="1:4" x14ac:dyDescent="0.25">
      <c r="A561" s="2" t="str">
        <f>"09113070040"</f>
        <v>09113070040</v>
      </c>
      <c r="B561" s="2" t="str">
        <f>"COMPLETE RX 70 DRUM"</f>
        <v>COMPLETE RX 70 DRUM</v>
      </c>
      <c r="C561" s="4">
        <v>1655.6</v>
      </c>
      <c r="D561" s="9">
        <v>911.90448000000004</v>
      </c>
    </row>
    <row r="562" spans="1:4" x14ac:dyDescent="0.25">
      <c r="A562" s="2" t="str">
        <f>"09113070042"</f>
        <v>09113070042</v>
      </c>
      <c r="B562" s="2" t="str">
        <f>"RX070 STD DRUM+R14NSE+BSH W.05 R80 REPLA"</f>
        <v>RX070 STD DRUM+R14NSE+BSH W.05 R80 REPLA</v>
      </c>
      <c r="C562" s="4">
        <v>1416.6999999999998</v>
      </c>
      <c r="D562" s="9">
        <v>780.31835999999998</v>
      </c>
    </row>
    <row r="563" spans="1:4" x14ac:dyDescent="0.25">
      <c r="A563" s="2" t="str">
        <f>"09113100040"</f>
        <v>09113100040</v>
      </c>
      <c r="B563" s="2" t="str">
        <f>"COMPLETE RX 100 DRUM"</f>
        <v>COMPLETE RX 100 DRUM</v>
      </c>
      <c r="C563" s="4">
        <v>1766</v>
      </c>
      <c r="D563" s="9">
        <v>972.71280000000013</v>
      </c>
    </row>
    <row r="564" spans="1:4" x14ac:dyDescent="0.25">
      <c r="A564" s="2" t="str">
        <f>"09113100042"</f>
        <v>09113100042</v>
      </c>
      <c r="B564" s="2" t="str">
        <f>"RX100 STD DRUM+R14NSE+BSH W.06 R100 REPL"</f>
        <v>RX100 STD DRUM+R14NSE+BSH W.06 R100 REPL</v>
      </c>
      <c r="C564" s="4">
        <v>1571.6</v>
      </c>
      <c r="D564" s="9">
        <v>865.63728000000015</v>
      </c>
    </row>
    <row r="565" spans="1:4" x14ac:dyDescent="0.25">
      <c r="A565" s="2" t="str">
        <f>"09113130040"</f>
        <v>09113130040</v>
      </c>
      <c r="B565" s="2" t="str">
        <f>"COMPLETE RX 130 DRUM"</f>
        <v>COMPLETE RX 130 DRUM</v>
      </c>
      <c r="C565" s="4">
        <v>1955.5</v>
      </c>
      <c r="D565" s="9">
        <v>1077.0894000000001</v>
      </c>
    </row>
    <row r="566" spans="1:4" x14ac:dyDescent="0.25">
      <c r="A566" s="2" t="str">
        <f>"09113130042"</f>
        <v>09113130042</v>
      </c>
      <c r="B566" s="2" t="str">
        <f>"RX130STD DRUM+R14NSE+BSH W.07 R130 REPLA"</f>
        <v>RX130STD DRUM+R14NSE+BSH W.07 R130 REPLA</v>
      </c>
      <c r="C566" s="4">
        <v>1762.3</v>
      </c>
      <c r="D566" s="9">
        <v>970.67484000000013</v>
      </c>
    </row>
    <row r="567" spans="1:4" x14ac:dyDescent="0.25">
      <c r="A567" s="2" t="str">
        <f>"09113165040"</f>
        <v>09113165040</v>
      </c>
      <c r="B567" s="2" t="str">
        <f>"COMPLETE RX 165 DRUM"</f>
        <v>COMPLETE RX 165 DRUM</v>
      </c>
      <c r="C567" s="4">
        <v>2240.9</v>
      </c>
      <c r="D567" s="9">
        <v>1234.28772</v>
      </c>
    </row>
    <row r="568" spans="1:4" x14ac:dyDescent="0.25">
      <c r="A568" s="2" t="str">
        <f>"09113165042"</f>
        <v>09113165042</v>
      </c>
      <c r="B568" s="2" t="str">
        <f>"RX165STD DRUM+R24NSE+BSH W.08 R150 REPLA"</f>
        <v>RX165STD DRUM+R24NSE+BSH W.08 R150 REPLA</v>
      </c>
      <c r="C568" s="4">
        <v>2013.5</v>
      </c>
      <c r="D568" s="9">
        <v>1109.0358000000001</v>
      </c>
    </row>
    <row r="569" spans="1:4" x14ac:dyDescent="0.25">
      <c r="A569" s="2" t="str">
        <f>"09113200042"</f>
        <v>09113200042</v>
      </c>
      <c r="B569" s="2" t="str">
        <f>"TAMBOUR RX200 STD NOSE R24 WIRE D10MM"</f>
        <v>TAMBOUR RX200 STD NOSE R24 WIRE D10MM</v>
      </c>
      <c r="C569" s="4">
        <v>2865</v>
      </c>
      <c r="D569" s="9">
        <v>1578.0420000000001</v>
      </c>
    </row>
    <row r="570" spans="1:4" x14ac:dyDescent="0.25">
      <c r="A570" s="2" t="str">
        <f>"09113220040"</f>
        <v>09113220040</v>
      </c>
      <c r="B570" s="2" t="str">
        <f>"COMPLETE RX220 DRUM CST GD"</f>
        <v>COMPLETE RX220 DRUM CST GD</v>
      </c>
      <c r="C570" s="4">
        <v>3031.9</v>
      </c>
      <c r="D570" s="9">
        <v>1669.9705200000001</v>
      </c>
    </row>
    <row r="571" spans="1:4" x14ac:dyDescent="0.25">
      <c r="A571" s="2" t="str">
        <f>"09113260040"</f>
        <v>09113260040</v>
      </c>
      <c r="B571" s="2" t="str">
        <f>"COMPLETE RX 260 DRUM"</f>
        <v>COMPLETE RX 260 DRUM</v>
      </c>
      <c r="C571" s="4">
        <v>3835.5</v>
      </c>
      <c r="D571" s="9">
        <v>2112.5934000000007</v>
      </c>
    </row>
    <row r="572" spans="1:4" x14ac:dyDescent="0.25">
      <c r="A572" s="2" t="str">
        <f>"09113300040"</f>
        <v>09113300040</v>
      </c>
      <c r="B572" s="2" t="str">
        <f>"COMPLETE RX 300 DRUM"</f>
        <v>COMPLETE RX 300 DRUM</v>
      </c>
      <c r="C572" s="4">
        <v>4259.9000000000005</v>
      </c>
      <c r="D572" s="9">
        <v>2346.3529200000003</v>
      </c>
    </row>
    <row r="573" spans="1:4" x14ac:dyDescent="0.25">
      <c r="A573" s="2" t="str">
        <f>"09113300042"</f>
        <v>09113300042</v>
      </c>
      <c r="B573" s="2" t="str">
        <f>"RX300 STD DRUM+R34NSE+BSH W.10 R260-300"</f>
        <v>RX300 STD DRUM+R34NSE+BSH W.10 R260-300</v>
      </c>
      <c r="C573" s="4">
        <v>3430.4</v>
      </c>
      <c r="D573" s="9">
        <v>1889.4643200000003</v>
      </c>
    </row>
    <row r="574" spans="1:4" x14ac:dyDescent="0.25">
      <c r="A574" s="2" t="str">
        <f>"09113300043"</f>
        <v>09113300043</v>
      </c>
      <c r="B574" s="2" t="str">
        <f>"RX300 STD DRUM+R34NSE+BSH W.12 R260-300"</f>
        <v>RX300 STD DRUM+R34NSE+BSH W.12 R260-300</v>
      </c>
      <c r="C574" s="4">
        <v>3430.4</v>
      </c>
      <c r="D574" s="9">
        <v>1889.4643200000003</v>
      </c>
    </row>
    <row r="575" spans="1:4" x14ac:dyDescent="0.25">
      <c r="A575" s="2" t="str">
        <f>"09114060040"</f>
        <v>09114060040</v>
      </c>
      <c r="B575" s="2" t="str">
        <f>"LS 60 DRUM + INTERNAL TURN. OPTION"</f>
        <v>LS 60 DRUM + INTERNAL TURN. OPTION</v>
      </c>
      <c r="C575" s="4">
        <v>1159.0999999999999</v>
      </c>
      <c r="D575" s="9">
        <v>638.43227999999999</v>
      </c>
    </row>
    <row r="576" spans="1:4" x14ac:dyDescent="0.25">
      <c r="A576" s="2" t="str">
        <f>"09114070040"</f>
        <v>09114070040</v>
      </c>
      <c r="B576" s="2" t="str">
        <f>"LS 70 DRUM + INTERNAL TURN. OPTION"</f>
        <v>LS 70 DRUM + INTERNAL TURN. OPTION</v>
      </c>
      <c r="C576" s="4">
        <v>1229.3999999999999</v>
      </c>
      <c r="D576" s="9">
        <v>677.15351999999996</v>
      </c>
    </row>
    <row r="577" spans="1:4" x14ac:dyDescent="0.25">
      <c r="A577" s="2" t="str">
        <f>"09114070041"</f>
        <v>09114070041</v>
      </c>
      <c r="B577" s="2" t="str">
        <f>"LS70 DRUM S30 OLD LONG NOSE PIN/LK PLATE"</f>
        <v>LS70 DRUM S30 OLD LONG NOSE PIN/LK PLATE</v>
      </c>
      <c r="C577" s="4">
        <v>1356.5</v>
      </c>
      <c r="D577" s="9">
        <v>747.16020000000015</v>
      </c>
    </row>
    <row r="578" spans="1:4" x14ac:dyDescent="0.25">
      <c r="A578" s="2" t="str">
        <f>"09114100040"</f>
        <v>09114100040</v>
      </c>
      <c r="B578" s="2" t="str">
        <f>"LS 100 DRUM + INTERNAL TURN. OPTION"</f>
        <v>LS 100 DRUM + INTERNAL TURN. OPTION</v>
      </c>
      <c r="C578" s="4">
        <v>1777.3999999999999</v>
      </c>
      <c r="D578" s="9">
        <v>978.99192000000005</v>
      </c>
    </row>
    <row r="579" spans="1:4" x14ac:dyDescent="0.25">
      <c r="A579" s="2" t="str">
        <f>"09114100042"</f>
        <v>09114100042</v>
      </c>
      <c r="B579" s="2" t="str">
        <f>"LS100DRM+INT TRN OP+S30NSE W07 +BSH-SD06"</f>
        <v>LS100DRM+INT TRN OP+S30NSE W07 +BSH-SD06</v>
      </c>
      <c r="C579" s="4">
        <v>1457.3</v>
      </c>
      <c r="D579" s="9">
        <v>802.6808400000001</v>
      </c>
    </row>
    <row r="580" spans="1:4" x14ac:dyDescent="0.25">
      <c r="A580" s="2" t="str">
        <f>"09114130040"</f>
        <v>09114130040</v>
      </c>
      <c r="B580" s="2" t="str">
        <f>"LS 130 DRUM +INTERNAL TURN. OPTION"</f>
        <v>LS 130 DRUM +INTERNAL TURN. OPTION</v>
      </c>
      <c r="C580" s="4">
        <v>1842.3</v>
      </c>
      <c r="D580" s="9">
        <v>1014.7388400000002</v>
      </c>
    </row>
    <row r="581" spans="1:4" x14ac:dyDescent="0.25">
      <c r="A581" s="2" t="str">
        <f>"09114165040"</f>
        <v>09114165040</v>
      </c>
      <c r="B581" s="2" t="str">
        <f>"LS 165 DRUM + INTERNAL TURN. OPTION"</f>
        <v>LS 165 DRUM + INTERNAL TURN. OPTION</v>
      </c>
      <c r="C581" s="4">
        <v>2127.6999999999998</v>
      </c>
      <c r="D581" s="9">
        <v>1171.9371599999999</v>
      </c>
    </row>
    <row r="582" spans="1:4" x14ac:dyDescent="0.25">
      <c r="A582" s="2" t="str">
        <f>"09114165042"</f>
        <v>09114165042</v>
      </c>
      <c r="B582" s="2" t="str">
        <f>"LS165DRM+INT TRN OP+S38NSE W08 +BSH-SD15"</f>
        <v>LS165DRM+INT TRN OP+S38NSE W08 +BSH-SD15</v>
      </c>
      <c r="C582" s="4">
        <v>1970</v>
      </c>
      <c r="D582" s="9">
        <v>1085.076</v>
      </c>
    </row>
    <row r="583" spans="1:4" x14ac:dyDescent="0.25">
      <c r="A583" s="2" t="str">
        <f>"09114180040"</f>
        <v>09114180040</v>
      </c>
      <c r="B583" s="2" t="str">
        <f>"LS 180 DRUM + INTERNAL TURN. OPTION"</f>
        <v>LS 180 DRUM + INTERNAL TURN. OPTION</v>
      </c>
      <c r="C583" s="4">
        <v>2627.5</v>
      </c>
      <c r="D583" s="9">
        <v>1447.2270000000001</v>
      </c>
    </row>
    <row r="584" spans="1:4" x14ac:dyDescent="0.25">
      <c r="A584" s="2" t="str">
        <f>"09114180042"</f>
        <v>09114180042</v>
      </c>
      <c r="B584" s="2" t="str">
        <f>"LS180DRM+INT TRN OP+S38NSE W10+BSH-SD180"</f>
        <v>LS180DRM+INT TRN OP+S38NSE W10+BSH-SD180</v>
      </c>
      <c r="C584" s="4">
        <v>2337.6999999999998</v>
      </c>
      <c r="D584" s="9">
        <v>1287.6051600000001</v>
      </c>
    </row>
    <row r="585" spans="1:4" x14ac:dyDescent="0.25">
      <c r="A585" s="2" t="str">
        <f>"09114200040"</f>
        <v>09114200040</v>
      </c>
      <c r="B585" s="2" t="str">
        <f>"LS 200 DRUM + INTERNAL TURN. OPTION"</f>
        <v>LS 200 DRUM + INTERNAL TURN. OPTION</v>
      </c>
      <c r="C585" s="4">
        <v>3444.2</v>
      </c>
      <c r="D585" s="9">
        <v>1897.0653600000003</v>
      </c>
    </row>
    <row r="586" spans="1:4" x14ac:dyDescent="0.25">
      <c r="A586" s="2" t="str">
        <f>"09114200042"</f>
        <v>09114200042</v>
      </c>
      <c r="B586" s="2" t="str">
        <f>"LS200DRM+INT TRN OP+S46NSE W08 +BSH-SD20"</f>
        <v>LS200DRM+INT TRN OP+S46NSE W08 +BSH-SD20</v>
      </c>
      <c r="C586" s="4">
        <v>3204.7999999999997</v>
      </c>
      <c r="D586" s="9">
        <v>1765.2038400000001</v>
      </c>
    </row>
    <row r="587" spans="1:4" x14ac:dyDescent="0.25">
      <c r="A587" s="2" t="str">
        <f>"09114200043"</f>
        <v>09114200043</v>
      </c>
      <c r="B587" s="2" t="str">
        <f>"LS200DRM+INT TRN OP+S46NSE W10 +BSH-SD20"</f>
        <v>LS200DRM+INT TRN OP+S46NSE W10 +BSH-SD20</v>
      </c>
      <c r="C587" s="4">
        <v>3204.7999999999997</v>
      </c>
      <c r="D587" s="9">
        <v>1765.2038400000001</v>
      </c>
    </row>
    <row r="588" spans="1:4" x14ac:dyDescent="0.25">
      <c r="A588" s="2" t="str">
        <f>"09114290040"</f>
        <v>09114290040</v>
      </c>
      <c r="B588" s="2" t="str">
        <f>"LS 290 DRUM + INTERNAL TURN. OPTION"</f>
        <v>LS 290 DRUM + INTERNAL TURN. OPTION</v>
      </c>
      <c r="C588" s="4">
        <v>4221.8</v>
      </c>
      <c r="D588" s="9">
        <v>2325.3674400000009</v>
      </c>
    </row>
    <row r="589" spans="1:4" x14ac:dyDescent="0.25">
      <c r="A589" s="2" t="str">
        <f>"09114330040"</f>
        <v>09114330040</v>
      </c>
      <c r="B589" s="2" t="str">
        <f>"LS 330 DRUM + INTERNAL TURN. OPTION"</f>
        <v>LS 330 DRUM + INTERNAL TURN. OPTION</v>
      </c>
      <c r="C589" s="4">
        <v>6324.7000000000007</v>
      </c>
      <c r="D589" s="9">
        <v>3483.644760000001</v>
      </c>
    </row>
    <row r="590" spans="1:4" x14ac:dyDescent="0.25">
      <c r="A590" s="2" t="str">
        <f>"09116060040"</f>
        <v>09116060040</v>
      </c>
      <c r="B590" s="2" t="str">
        <f>"LX 60 DRUM + INTERNAL TURN. OPTION"</f>
        <v>LX 60 DRUM + INTERNAL TURN. OPTION</v>
      </c>
      <c r="C590" s="4">
        <v>1296.1999999999998</v>
      </c>
      <c r="D590" s="9">
        <v>713.94695999999999</v>
      </c>
    </row>
    <row r="591" spans="1:4" x14ac:dyDescent="0.25">
      <c r="A591" s="2" t="str">
        <f>"09116070040"</f>
        <v>09116070040</v>
      </c>
      <c r="B591" s="2" t="str">
        <f>"LX 70 DRUM + INTERNAL TURN. OPTION"</f>
        <v>LX 70 DRUM + INTERNAL TURN. OPTION</v>
      </c>
      <c r="C591" s="4">
        <v>1374.6</v>
      </c>
      <c r="D591" s="9">
        <v>757.12968000000001</v>
      </c>
    </row>
    <row r="592" spans="1:4" x14ac:dyDescent="0.25">
      <c r="A592" s="2" t="str">
        <f>"09116100040"</f>
        <v>09116100040</v>
      </c>
      <c r="B592" s="2" t="str">
        <f>"LX 100 DRUM + INTERNAL TURN. OPTION"</f>
        <v>LX 100 DRUM + INTERNAL TURN. OPTION</v>
      </c>
      <c r="C592" s="4">
        <v>1922.6999999999998</v>
      </c>
      <c r="D592" s="9">
        <v>1059.02316</v>
      </c>
    </row>
    <row r="593" spans="1:4" x14ac:dyDescent="0.25">
      <c r="A593" s="2" t="str">
        <f>"09116130040"</f>
        <v>09116130040</v>
      </c>
      <c r="B593" s="2" t="str">
        <f>"LX 130 DRUM + INTERNAL TURN. OPTION"</f>
        <v>LX 130 DRUM + INTERNAL TURN. OPTION</v>
      </c>
      <c r="C593" s="4">
        <v>1998.3999999999999</v>
      </c>
      <c r="D593" s="9">
        <v>1100.7187200000001</v>
      </c>
    </row>
    <row r="594" spans="1:4" x14ac:dyDescent="0.25">
      <c r="A594" s="2" t="str">
        <f>"09116165040"</f>
        <v>09116165040</v>
      </c>
      <c r="B594" s="2" t="str">
        <f>"LX 165 DRUM + INTERNAL TURN. OPTION"</f>
        <v>LX 165 DRUM + INTERNAL TURN. OPTION</v>
      </c>
      <c r="C594" s="4">
        <v>2400.1999999999998</v>
      </c>
      <c r="D594" s="9">
        <v>1322.03016</v>
      </c>
    </row>
    <row r="595" spans="1:4" x14ac:dyDescent="0.25">
      <c r="A595" s="2" t="str">
        <f>"09116180040"</f>
        <v>09116180040</v>
      </c>
      <c r="B595" s="2" t="str">
        <f>"LX 180 DRUM + INTERNAL TURN. OPTION"</f>
        <v>LX 180 DRUM + INTERNAL TURN. OPTION</v>
      </c>
      <c r="C595" s="4">
        <v>2903</v>
      </c>
      <c r="D595" s="9">
        <v>1598.9724000000001</v>
      </c>
    </row>
    <row r="596" spans="1:4" x14ac:dyDescent="0.25">
      <c r="A596" s="2" t="str">
        <f>"09116200040"</f>
        <v>09116200040</v>
      </c>
      <c r="B596" s="2" t="str">
        <f>"LX 200 DRUM + INTERNAL TURN. OPTION"</f>
        <v>LX 200 DRUM + INTERNAL TURN. OPTION</v>
      </c>
      <c r="C596" s="4">
        <v>3801.7</v>
      </c>
      <c r="D596" s="9">
        <v>2093.9763600000001</v>
      </c>
    </row>
    <row r="597" spans="1:4" x14ac:dyDescent="0.25">
      <c r="A597" s="2" t="str">
        <f>"09116290040"</f>
        <v>09116290040</v>
      </c>
      <c r="B597" s="2" t="str">
        <f>"LX 290 DRUM + INTERNAL TURN. OPTION"</f>
        <v>LX 290 DRUM + INTERNAL TURN. OPTION</v>
      </c>
      <c r="C597" s="4">
        <v>4588.8</v>
      </c>
      <c r="D597" s="9">
        <v>2527.5110400000008</v>
      </c>
    </row>
    <row r="598" spans="1:4" x14ac:dyDescent="0.25">
      <c r="A598" s="2" t="str">
        <f>"09116330040"</f>
        <v>09116330040</v>
      </c>
      <c r="B598" s="2" t="str">
        <f>"LX 330 DRUM + INTERNAL TURN. OPTION"</f>
        <v>LX 330 DRUM + INTERNAL TURN. OPTION</v>
      </c>
      <c r="C598" s="4">
        <v>6798.7000000000007</v>
      </c>
      <c r="D598" s="9">
        <v>3744.7239600000007</v>
      </c>
    </row>
    <row r="599" spans="1:4" x14ac:dyDescent="0.25">
      <c r="A599" s="2" t="str">
        <f>"09117070040"</f>
        <v>09117070040</v>
      </c>
      <c r="B599" s="2" t="str">
        <f>"RX 70 DRUM + INTERNAL TURN. OPTION"</f>
        <v>RX 70 DRUM + INTERNAL TURN. OPTION</v>
      </c>
      <c r="C599" s="4">
        <v>1862</v>
      </c>
      <c r="D599" s="9">
        <v>1025.5896</v>
      </c>
    </row>
    <row r="600" spans="1:4" x14ac:dyDescent="0.25">
      <c r="A600" s="2" t="str">
        <f>"09117070042"</f>
        <v>09117070042</v>
      </c>
      <c r="B600" s="2" t="str">
        <f>"RX070DRM+INT TRN OP+R14NSE W05 +BSH-R 80"</f>
        <v>RX070DRM+INT TRN OP+R14NSE W05 +BSH-R 80</v>
      </c>
      <c r="C600" s="4">
        <v>1560</v>
      </c>
      <c r="D600" s="9">
        <v>859.24800000000016</v>
      </c>
    </row>
    <row r="601" spans="1:4" x14ac:dyDescent="0.25">
      <c r="A601" s="2" t="str">
        <f>"09117100040"</f>
        <v>09117100040</v>
      </c>
      <c r="B601" s="2" t="str">
        <f>"RX 100 DRUM + INTERNAL TURN. OPTION"</f>
        <v>RX 100 DRUM + INTERNAL TURN. OPTION</v>
      </c>
      <c r="C601" s="4">
        <v>1972.3999999999999</v>
      </c>
      <c r="D601" s="9">
        <v>1086.3979200000001</v>
      </c>
    </row>
    <row r="602" spans="1:4" x14ac:dyDescent="0.25">
      <c r="A602" s="2" t="str">
        <f>"09117100042"</f>
        <v>09117100042</v>
      </c>
      <c r="B602" s="2" t="str">
        <f>"RX100DRM+INT TRN OP+R14NSE W06 +BSH-R100"</f>
        <v>RX100DRM+INT TRN OP+R14NSE W06 +BSH-R100</v>
      </c>
      <c r="C602" s="4">
        <v>1808.5</v>
      </c>
      <c r="D602" s="9">
        <v>996.12180000000012</v>
      </c>
    </row>
    <row r="603" spans="1:4" x14ac:dyDescent="0.25">
      <c r="A603" s="2" t="str">
        <f>"09117130040"</f>
        <v>09117130040</v>
      </c>
      <c r="B603" s="2" t="str">
        <f>"RX 130 DRUM + INTERNAL TURN. OPTION"</f>
        <v>RX 130 DRUM + INTERNAL TURN. OPTION</v>
      </c>
      <c r="C603" s="4">
        <v>2161.9</v>
      </c>
      <c r="D603" s="9">
        <v>1190.7745200000002</v>
      </c>
    </row>
    <row r="604" spans="1:4" x14ac:dyDescent="0.25">
      <c r="A604" s="2" t="str">
        <f>"09117130042"</f>
        <v>09117130042</v>
      </c>
      <c r="B604" s="2" t="str">
        <f>"RX130DRM+INT TRN OP+R14NSE W07 +BSH-R130"</f>
        <v>RX130DRM+INT TRN OP+R14NSE W07 +BSH-R130</v>
      </c>
      <c r="C604" s="4">
        <v>2023.8999999999999</v>
      </c>
      <c r="D604" s="9">
        <v>1114.76412</v>
      </c>
    </row>
    <row r="605" spans="1:4" x14ac:dyDescent="0.25">
      <c r="A605" s="2" t="str">
        <f>"09117165040"</f>
        <v>09117165040</v>
      </c>
      <c r="B605" s="2" t="str">
        <f>"RX 165 DRUM + INTERNAL TURN. OPTION"</f>
        <v>RX 165 DRUM + INTERNAL TURN. OPTION</v>
      </c>
      <c r="C605" s="4">
        <v>2525.2999999999997</v>
      </c>
      <c r="D605" s="9">
        <v>1390.93524</v>
      </c>
    </row>
    <row r="606" spans="1:4" x14ac:dyDescent="0.25">
      <c r="A606" s="2" t="str">
        <f>"09117165042"</f>
        <v>09117165042</v>
      </c>
      <c r="B606" s="2" t="str">
        <f>"RX165DRM+INT TRN OP+R24NSE W08 +BSH-R150"</f>
        <v>RX165DRM+INT TRN OP+R24NSE W08 +BSH-R150</v>
      </c>
      <c r="C606" s="4">
        <v>2273.6</v>
      </c>
      <c r="D606" s="9">
        <v>1252.2988800000001</v>
      </c>
    </row>
    <row r="607" spans="1:4" x14ac:dyDescent="0.25">
      <c r="A607" s="2" t="str">
        <f>"09117200042"</f>
        <v>09117200042</v>
      </c>
      <c r="B607" s="2" t="str">
        <f>"RX200DRM+INT TRN OP+R24NSE W10 +BSH-R200"</f>
        <v>RX200DRM+INT TRN OP+R24NSE W10 +BSH-R200</v>
      </c>
      <c r="C607" s="4">
        <v>3525.6</v>
      </c>
      <c r="D607" s="9">
        <v>1941.90048</v>
      </c>
    </row>
    <row r="608" spans="1:4" x14ac:dyDescent="0.25">
      <c r="A608" s="2" t="str">
        <f>"09117220040"</f>
        <v>09117220040</v>
      </c>
      <c r="B608" s="2" t="str">
        <f>"RX220 DRUM + INTERNAL TURN. OPTION"</f>
        <v>RX220 DRUM + INTERNAL TURN. OPTION</v>
      </c>
      <c r="C608" s="4">
        <v>3316.4</v>
      </c>
      <c r="D608" s="9">
        <v>1826.6731199999999</v>
      </c>
    </row>
    <row r="609" spans="1:4" x14ac:dyDescent="0.25">
      <c r="A609" s="2" t="str">
        <f>"09117260040"</f>
        <v>09117260040</v>
      </c>
      <c r="B609" s="2" t="str">
        <f>"RX 260 DRUM+ INTERNAL TURN. OPTION"</f>
        <v>RX 260 DRUM+ INTERNAL TURN. OPTION</v>
      </c>
      <c r="C609" s="4">
        <v>4218.6000000000004</v>
      </c>
      <c r="D609" s="9">
        <v>2323.6048800000008</v>
      </c>
    </row>
    <row r="610" spans="1:4" x14ac:dyDescent="0.25">
      <c r="A610" s="2" t="str">
        <f>"09117300040"</f>
        <v>09117300040</v>
      </c>
      <c r="B610" s="2" t="str">
        <f>"RX 300 DRUM + INTERNAL TURN. OPTION"</f>
        <v>RX 300 DRUM + INTERNAL TURN. OPTION</v>
      </c>
      <c r="C610" s="4">
        <v>4643</v>
      </c>
      <c r="D610" s="9">
        <v>2557.3643999999999</v>
      </c>
    </row>
    <row r="611" spans="1:4" x14ac:dyDescent="0.25">
      <c r="A611" s="2" t="str">
        <f>"09117300042"</f>
        <v>09117300042</v>
      </c>
      <c r="B611" s="2" t="str">
        <f>"RX300DRM+INT TRN OP+R34NSE W10 +BSH-R260"</f>
        <v>RX300DRM+INT TRN OP+R34NSE W10 +BSH-R260</v>
      </c>
      <c r="C611" s="4">
        <v>3992.7</v>
      </c>
      <c r="D611" s="9">
        <v>2199.1791600000001</v>
      </c>
    </row>
    <row r="612" spans="1:4" x14ac:dyDescent="0.25">
      <c r="A612" s="2" t="str">
        <f>"09117300043"</f>
        <v>09117300043</v>
      </c>
      <c r="B612" s="2" t="str">
        <f>"RX300DRM+INT TRN OP+R34NSE W12 +BSH-R260"</f>
        <v>RX300DRM+INT TRN OP+R34NSE W12 +BSH-R260</v>
      </c>
      <c r="C612" s="4">
        <v>3992.7</v>
      </c>
      <c r="D612" s="9">
        <v>2199.1791600000001</v>
      </c>
    </row>
    <row r="613" spans="1:4" x14ac:dyDescent="0.25">
      <c r="A613" s="2" t="str">
        <f>"09120039040"</f>
        <v>09120039040</v>
      </c>
      <c r="B613" s="2" t="str">
        <f>"L165-180 THROUGH DECK FITTING"</f>
        <v>L165-180 THROUGH DECK FITTING</v>
      </c>
      <c r="C613" s="4">
        <v>395.90000000000003</v>
      </c>
      <c r="D613" s="9">
        <v>218.06172000000004</v>
      </c>
    </row>
    <row r="614" spans="1:4" x14ac:dyDescent="0.25">
      <c r="A614" s="2" t="str">
        <f>"09123110060"</f>
        <v>09123110060</v>
      </c>
      <c r="B614" s="2" t="str">
        <f>"FD110 CMP DRUM MECHANISM"</f>
        <v>FD110 CMP DRUM MECHANISM</v>
      </c>
      <c r="C614" s="4">
        <v>1603.1999999999998</v>
      </c>
      <c r="D614" s="9">
        <v>883.04255999999998</v>
      </c>
    </row>
    <row r="615" spans="1:4" x14ac:dyDescent="0.25">
      <c r="A615" s="2" t="str">
        <f>"09123165030"</f>
        <v>09123165030</v>
      </c>
      <c r="B615" s="2" t="str">
        <f>"STD EXCH LS165+ DRUM NO NOSE-MCHNED SHAF"</f>
        <v>STD EXCH LS165+ DRUM NO NOSE-MCHNED SHAF</v>
      </c>
      <c r="C615" s="4">
        <v>1143.5</v>
      </c>
      <c r="D615" s="9">
        <v>629.83979999999997</v>
      </c>
    </row>
    <row r="616" spans="1:4" x14ac:dyDescent="0.25">
      <c r="A616" s="2" t="str">
        <f>"09123180030"</f>
        <v>09123180030</v>
      </c>
      <c r="B616" s="2" t="str">
        <f>"STD EXCH LS180+ DRUM NO NOSE-MCHNED SHAF"</f>
        <v>STD EXCH LS180+ DRUM NO NOSE-MCHNED SHAF</v>
      </c>
      <c r="C616" s="4">
        <v>1185.8999999999999</v>
      </c>
      <c r="D616" s="9">
        <v>653.19371999999987</v>
      </c>
    </row>
    <row r="617" spans="1:4" x14ac:dyDescent="0.25">
      <c r="A617" s="2" t="str">
        <f>"09123290030"</f>
        <v>09123290030</v>
      </c>
      <c r="B617" s="2" t="str">
        <f>"STD EXCH LS290+ DRUM NO NOSE-MCHNED SHAF"</f>
        <v>STD EXCH LS290+ DRUM NO NOSE-MCHNED SHAF</v>
      </c>
      <c r="C617" s="4">
        <v>1397.6999999999998</v>
      </c>
      <c r="D617" s="9">
        <v>769.85316</v>
      </c>
    </row>
    <row r="618" spans="1:4" x14ac:dyDescent="0.25">
      <c r="A618" s="2" t="str">
        <f>"09124165030"</f>
        <v>09124165030</v>
      </c>
      <c r="B618" s="2" t="str">
        <f>"STD EXCH LX165+ DRUM NO NOSE/ PLATE/GD-M"</f>
        <v>STD EXCH LX165+ DRUM NO NOSE/ PLATE/GD-M</v>
      </c>
      <c r="C618" s="4">
        <v>1016.5</v>
      </c>
      <c r="D618" s="9">
        <v>559.8882000000001</v>
      </c>
    </row>
    <row r="619" spans="1:4" x14ac:dyDescent="0.25">
      <c r="A619" s="2" t="str">
        <f>"09124180030"</f>
        <v>09124180030</v>
      </c>
      <c r="B619" s="2" t="str">
        <f>"STD EXCH LX180+ DRUM NO NOSE/ PLATE/GD-M"</f>
        <v>STD EXCH LX180+ DRUM NO NOSE/ PLATE/GD-M</v>
      </c>
      <c r="C619" s="4">
        <v>1016.5</v>
      </c>
      <c r="D619" s="9">
        <v>559.8882000000001</v>
      </c>
    </row>
    <row r="620" spans="1:4" x14ac:dyDescent="0.25">
      <c r="A620" s="2" t="str">
        <f>"09124200030"</f>
        <v>09124200030</v>
      </c>
      <c r="B620" s="2" t="str">
        <f>"STD EXCH LX200+ DRUM NO NOSE/ PLATE/GD-M"</f>
        <v>STD EXCH LX200+ DRUM NO NOSE/ PLATE/GD-M</v>
      </c>
      <c r="C620" s="4">
        <v>1296</v>
      </c>
      <c r="D620" s="9">
        <v>713.83680000000004</v>
      </c>
    </row>
    <row r="621" spans="1:4" x14ac:dyDescent="0.25">
      <c r="A621" s="2" t="str">
        <f>"09124290030"</f>
        <v>09124290030</v>
      </c>
      <c r="B621" s="2" t="str">
        <f>"STD EXCH LX290+ DRUM NO NOSE/ PLATE/GD-M"</f>
        <v>STD EXCH LX290+ DRUM NO NOSE/ PLATE/GD-M</v>
      </c>
      <c r="C621" s="4">
        <v>1296</v>
      </c>
      <c r="D621" s="9">
        <v>713.83680000000004</v>
      </c>
    </row>
    <row r="622" spans="1:4" x14ac:dyDescent="0.25">
      <c r="A622" s="2" t="str">
        <f>"09124330030"</f>
        <v>09124330030</v>
      </c>
      <c r="B622" s="2" t="str">
        <f>"STD EXCH LX330+ DRUM NO NOSE/ PLATE/GD-M"</f>
        <v>STD EXCH LX330+ DRUM NO NOSE/ PLATE/GD-M</v>
      </c>
      <c r="C622" s="4">
        <v>1588.1999999999998</v>
      </c>
      <c r="D622" s="9">
        <v>874.78056000000004</v>
      </c>
    </row>
    <row r="623" spans="1:4" x14ac:dyDescent="0.25">
      <c r="A623" s="2" t="str">
        <f>"09126165030"</f>
        <v>09126165030</v>
      </c>
      <c r="B623" s="2" t="str">
        <f>"STD EXCH RX165+ DRUM NO NOSE/ PLATE/GD-M"</f>
        <v>STD EXCH RX165+ DRUM NO NOSE/ PLATE/GD-M</v>
      </c>
      <c r="C623" s="4">
        <v>1016.5</v>
      </c>
      <c r="D623" s="9">
        <v>559.8882000000001</v>
      </c>
    </row>
    <row r="624" spans="1:4" x14ac:dyDescent="0.25">
      <c r="A624" s="2" t="str">
        <f>"09126220030"</f>
        <v>09126220030</v>
      </c>
      <c r="B624" s="2" t="str">
        <f>"STD EXCH RX200+/R220+ DRUM NO NOSE/ PLAT"</f>
        <v>STD EXCH RX200+/R220+ DRUM NO NOSE/ PLAT</v>
      </c>
      <c r="C624" s="4">
        <v>1016.5</v>
      </c>
      <c r="D624" s="9">
        <v>559.8882000000001</v>
      </c>
    </row>
    <row r="625" spans="1:4" x14ac:dyDescent="0.25">
      <c r="A625" s="2" t="str">
        <f>"09126260030"</f>
        <v>09126260030</v>
      </c>
      <c r="B625" s="2" t="str">
        <f>"RX 260 STD EXCHANGE DRUM"</f>
        <v>RX 260 STD EXCHANGE DRUM</v>
      </c>
      <c r="C625" s="4">
        <v>1164.6999999999998</v>
      </c>
      <c r="D625" s="9">
        <v>641.51675999999998</v>
      </c>
    </row>
    <row r="626" spans="1:4" x14ac:dyDescent="0.25">
      <c r="A626" s="2" t="str">
        <f>"09126300030"</f>
        <v>09126300030</v>
      </c>
      <c r="B626" s="2" t="str">
        <f>"STD EXCH RX300+ DRUM NO NOSE/ PLATE/GD-M"</f>
        <v>STD EXCH RX300+ DRUM NO NOSE/ PLATE/GD-M</v>
      </c>
      <c r="C626" s="4">
        <v>1296</v>
      </c>
      <c r="D626" s="9">
        <v>713.83680000000004</v>
      </c>
    </row>
    <row r="627" spans="1:4" x14ac:dyDescent="0.25">
      <c r="A627" s="2" t="str">
        <f>"09130124140"</f>
        <v>09130124140</v>
      </c>
      <c r="B627" s="2" t="str">
        <f>"28X SX33/R26 SREWS"</f>
        <v>28X SX33/R26 SREWS</v>
      </c>
      <c r="C627" s="4">
        <v>33.1</v>
      </c>
      <c r="D627" s="9">
        <v>18.231480000000005</v>
      </c>
    </row>
    <row r="628" spans="1:4" x14ac:dyDescent="0.25">
      <c r="A628" s="2" t="str">
        <f>"09130124190"</f>
        <v>09130124190</v>
      </c>
      <c r="B628" s="2" t="str">
        <f>"44X SX53 SCREWS"</f>
        <v>44X SX53 SCREWS</v>
      </c>
      <c r="C628" s="4">
        <v>94.1</v>
      </c>
      <c r="D628" s="9">
        <v>51.830280000000002</v>
      </c>
    </row>
    <row r="629" spans="1:4" x14ac:dyDescent="0.25">
      <c r="A629" s="2" t="str">
        <f>"09130124320"</f>
        <v>09130124320</v>
      </c>
      <c r="B629" s="2" t="str">
        <f>"28X SX25/R14+24 SCREWS"</f>
        <v>28X SX25/R14+24 SCREWS</v>
      </c>
      <c r="C629" s="4">
        <v>27.900000000000002</v>
      </c>
      <c r="D629" s="9">
        <v>15.367320000000003</v>
      </c>
    </row>
    <row r="630" spans="1:4" x14ac:dyDescent="0.25">
      <c r="A630" s="2" t="str">
        <f>"09130124350"</f>
        <v>09130124350</v>
      </c>
      <c r="B630" s="2" t="str">
        <f>"36X SX25/R14+24 SCREWS"</f>
        <v>36X SX25/R14+24 SCREWS</v>
      </c>
      <c r="C630" s="4">
        <v>96.699999999999989</v>
      </c>
      <c r="D630" s="9">
        <v>53.262360000000001</v>
      </c>
    </row>
    <row r="631" spans="1:4" x14ac:dyDescent="0.25">
      <c r="A631" s="2" t="str">
        <f>"09130125112"</f>
        <v>09130125112</v>
      </c>
      <c r="B631" s="2" t="str">
        <f>"8 SX25 BUSHINGS/D4 FORESTAY 9M40 - BUSHI"</f>
        <v>8 SX25 BUSHINGS/D4 FORESTAY 9M40 - BUSHI</v>
      </c>
      <c r="C631" s="4">
        <v>46.7</v>
      </c>
      <c r="D631" s="9">
        <v>25.722360000000005</v>
      </c>
    </row>
    <row r="632" spans="1:4" x14ac:dyDescent="0.25">
      <c r="A632" s="2" t="str">
        <f>"09130125122"</f>
        <v>09130125122</v>
      </c>
      <c r="B632" s="2" t="str">
        <f>"9 SX25 BUSHINGS/D5-6 FORESTAY 11M40 - BU"</f>
        <v>9 SX25 BUSHINGS/D5-6 FORESTAY 11M40 - BU</v>
      </c>
      <c r="C632" s="4">
        <v>51.7</v>
      </c>
      <c r="D632" s="9">
        <v>28.476360000000007</v>
      </c>
    </row>
    <row r="633" spans="1:4" x14ac:dyDescent="0.25">
      <c r="A633" s="2" t="str">
        <f>"09130125158"</f>
        <v>09130125158</v>
      </c>
      <c r="B633" s="2" t="str">
        <f>"12 SX39 BUSHINGS/D10 FORESTAY 17M50 - BU"</f>
        <v>12 SX39 BUSHINGS/D10 FORESTAY 17M50 - BU</v>
      </c>
      <c r="C633" s="4">
        <v>94</v>
      </c>
      <c r="D633" s="9">
        <v>51.775200000000005</v>
      </c>
    </row>
    <row r="634" spans="1:4" x14ac:dyDescent="0.25">
      <c r="A634" s="2" t="str">
        <f>"09130125168"</f>
        <v>09130125168</v>
      </c>
      <c r="B634" s="2" t="str">
        <f>"12 SX39 BUSHINGS-D12 FORESTAY 17M50 - BU"</f>
        <v>12 SX39 BUSHINGS-D12 FORESTAY 17M50 - BU</v>
      </c>
      <c r="C634" s="4">
        <v>94</v>
      </c>
      <c r="D634" s="9">
        <v>51.775200000000005</v>
      </c>
    </row>
    <row r="635" spans="1:4" x14ac:dyDescent="0.25">
      <c r="A635" s="2" t="str">
        <f>"09130125173"</f>
        <v>09130125173</v>
      </c>
      <c r="B635" s="2" t="str">
        <f>"13 SX47 BUSHNG/D8-9.52FORESTAY 19M50 - B"</f>
        <v>13 SX47 BUSHNG/D8-9.52FORESTAY 19M50 - B</v>
      </c>
      <c r="C635" s="4">
        <v>167.1</v>
      </c>
      <c r="D635" s="9">
        <v>92.038680000000014</v>
      </c>
    </row>
    <row r="636" spans="1:4" x14ac:dyDescent="0.25">
      <c r="A636" s="2" t="str">
        <f>"09130125189"</f>
        <v>09130125189</v>
      </c>
      <c r="B636" s="2" t="str">
        <f>"14 SX47 BUSHINGS/D16 FORESTAY 21M50 - BU"</f>
        <v>14 SX47 BUSHINGS/D16 FORESTAY 21M50 - BU</v>
      </c>
      <c r="C636" s="4">
        <v>179.5</v>
      </c>
      <c r="D636" s="9">
        <v>98.868600000000001</v>
      </c>
    </row>
    <row r="637" spans="1:4" x14ac:dyDescent="0.25">
      <c r="A637" s="2" t="str">
        <f>"09130125191"</f>
        <v>09130125191</v>
      </c>
      <c r="B637" s="2" t="str">
        <f>"15 SX53 BUSHG/D12+12.7FORESTAY 23M50 - B"</f>
        <v>15 SX53 BUSHG/D12+12.7FORESTAY 23M50 - B</v>
      </c>
      <c r="C637" s="4">
        <v>316.10000000000002</v>
      </c>
      <c r="D637" s="9">
        <v>174.10788000000005</v>
      </c>
    </row>
    <row r="638" spans="1:4" x14ac:dyDescent="0.25">
      <c r="A638" s="2" t="str">
        <f>"09130125194"</f>
        <v>09130125194</v>
      </c>
      <c r="B638" s="2" t="str">
        <f>"15 SX53 BUSHINGS/D16 FORESTAY 23M50 - BU"</f>
        <v>15 SX53 BUSHINGS/D16 FORESTAY 23M50 - BU</v>
      </c>
      <c r="C638" s="4">
        <v>316.10000000000002</v>
      </c>
      <c r="D638" s="9">
        <v>174.10788000000005</v>
      </c>
    </row>
    <row r="639" spans="1:4" x14ac:dyDescent="0.25">
      <c r="A639" s="2" t="str">
        <f>"09130125196"</f>
        <v>09130125196</v>
      </c>
      <c r="B639" s="2" t="str">
        <f>"15 SX53 BUSHINGS/D19 FORESTAY 23M50 - BU"</f>
        <v>15 SX53 BUSHINGS/D19 FORESTAY 23M50 - BU</v>
      </c>
      <c r="C639" s="4">
        <v>316.10000000000002</v>
      </c>
      <c r="D639" s="9">
        <v>174.10788000000005</v>
      </c>
    </row>
    <row r="640" spans="1:4" x14ac:dyDescent="0.25">
      <c r="A640" s="2" t="str">
        <f>"09130125198"</f>
        <v>09130125198</v>
      </c>
      <c r="B640" s="2" t="str">
        <f>"15 SX53 BUSHINGS/D20 FORESTAY 23M50 - BU"</f>
        <v>15 SX53 BUSHINGS/D20 FORESTAY 23M50 - BU</v>
      </c>
      <c r="C640" s="4">
        <v>316.10000000000002</v>
      </c>
      <c r="D640" s="9">
        <v>174.10788000000005</v>
      </c>
    </row>
    <row r="641" spans="1:4" x14ac:dyDescent="0.25">
      <c r="A641" s="2" t="str">
        <f>"09130125199"</f>
        <v>09130125199</v>
      </c>
      <c r="B641" s="2" t="str">
        <f>"15 SX53 BUSHINGS-D22 FORESTAY 23M50 - BU"</f>
        <v>15 SX53 BUSHINGS-D22 FORESTAY 23M50 - BU</v>
      </c>
      <c r="C641" s="4">
        <v>316.10000000000002</v>
      </c>
      <c r="D641" s="9">
        <v>174.10788000000005</v>
      </c>
    </row>
    <row r="642" spans="1:4" x14ac:dyDescent="0.25">
      <c r="A642" s="2" t="str">
        <f>"09130125374"</f>
        <v>09130125374</v>
      </c>
      <c r="B642" s="2" t="str">
        <f>"14 R34 BUSHNG/D10+11.1FORESTAY 21M50 - B"</f>
        <v>14 R34 BUSHNG/D10+11.1FORESTAY 21M50 - B</v>
      </c>
      <c r="C642" s="4">
        <v>216.29999999999998</v>
      </c>
      <c r="D642" s="9">
        <v>119.13804000000002</v>
      </c>
    </row>
    <row r="643" spans="1:4" x14ac:dyDescent="0.25">
      <c r="A643" s="2" t="str">
        <f>"09130125378"</f>
        <v>09130125378</v>
      </c>
      <c r="B643" s="2" t="str">
        <f>"14 R34 BUSHINGS/D12.7 FORESTAY 21M50 - B"</f>
        <v>14 R34 BUSHINGS/D12.7 FORESTAY 21M50 - B</v>
      </c>
      <c r="C643" s="4">
        <v>216.29999999999998</v>
      </c>
      <c r="D643" s="9">
        <v>119.13804000000002</v>
      </c>
    </row>
    <row r="644" spans="1:4" x14ac:dyDescent="0.25">
      <c r="A644" s="2" t="str">
        <f>"09130128242"</f>
        <v>09130128242</v>
      </c>
      <c r="B644" s="2" t="str">
        <f>"REMOVABLE R24 SS SAIL FEEDER COMPLETE"</f>
        <v>REMOVABLE R24 SS SAIL FEEDER COMPLETE</v>
      </c>
      <c r="C644" s="4">
        <v>65.399999999999991</v>
      </c>
      <c r="D644" s="9">
        <v>36.022320000000001</v>
      </c>
    </row>
    <row r="645" spans="1:4" x14ac:dyDescent="0.25">
      <c r="A645" s="2" t="str">
        <f>"09130128262"</f>
        <v>09130128262</v>
      </c>
      <c r="B645" s="2" t="str">
        <f>"REMOVABLE R26 SS SAIL FEEDER COMPLETE"</f>
        <v>REMOVABLE R26 SS SAIL FEEDER COMPLETE</v>
      </c>
      <c r="C645" s="4">
        <v>70.899999999999991</v>
      </c>
      <c r="D645" s="9">
        <v>39.051720000000003</v>
      </c>
    </row>
    <row r="646" spans="1:4" x14ac:dyDescent="0.25">
      <c r="A646" s="2" t="str">
        <f>"09130128470"</f>
        <v>09130128470</v>
      </c>
      <c r="B646" s="2" t="str">
        <f>"COMPLETE SX47 STD SAIL FEEDER"</f>
        <v>COMPLETE SX47 STD SAIL FEEDER</v>
      </c>
      <c r="C646" s="4">
        <v>83.5</v>
      </c>
      <c r="D646" s="9">
        <v>45.991800000000005</v>
      </c>
    </row>
    <row r="647" spans="1:4" x14ac:dyDescent="0.25">
      <c r="A647" s="2" t="str">
        <f>"09130128472"</f>
        <v>09130128472</v>
      </c>
      <c r="B647" s="2" t="str">
        <f>"REMOVABLE S/S FEEDER SX47"</f>
        <v>REMOVABLE S/S FEEDER SX47</v>
      </c>
      <c r="C647" s="4">
        <v>83.5</v>
      </c>
      <c r="D647" s="9">
        <v>45.991800000000005</v>
      </c>
    </row>
    <row r="648" spans="1:4" x14ac:dyDescent="0.25">
      <c r="A648" s="2" t="str">
        <f>"09130128530"</f>
        <v>09130128530</v>
      </c>
      <c r="B648" s="2" t="str">
        <f>"COMPLETE SX53 STD SAIL FEEDER"</f>
        <v>COMPLETE SX53 STD SAIL FEEDER</v>
      </c>
      <c r="C648" s="4">
        <v>99.5</v>
      </c>
      <c r="D648" s="9">
        <v>54.804600000000015</v>
      </c>
    </row>
    <row r="649" spans="1:4" x14ac:dyDescent="0.25">
      <c r="A649" s="2" t="str">
        <f>"09130129250"</f>
        <v>09130129250</v>
      </c>
      <c r="B649" s="2" t="str">
        <f>"COMPLETE SX25 STAIN. STEEL SAIL FEEDER"</f>
        <v>COMPLETE SX25 STAIN. STEEL SAIL FEEDER</v>
      </c>
      <c r="C649" s="4">
        <v>106.69999999999999</v>
      </c>
      <c r="D649" s="9">
        <v>58.770359999999997</v>
      </c>
    </row>
    <row r="650" spans="1:4" x14ac:dyDescent="0.25">
      <c r="A650" s="2" t="str">
        <f>"09130129330"</f>
        <v>09130129330</v>
      </c>
      <c r="B650" s="2" t="str">
        <f>"COMPLETE SX33 STAIN. STEEL SAIL FEEDER"</f>
        <v>COMPLETE SX33 STAIN. STEEL SAIL FEEDER</v>
      </c>
      <c r="C650" s="4">
        <v>73.3</v>
      </c>
      <c r="D650" s="9">
        <v>40.373640000000002</v>
      </c>
    </row>
    <row r="651" spans="1:4" x14ac:dyDescent="0.25">
      <c r="A651" s="2" t="str">
        <f>"09130129530"</f>
        <v>09130129530</v>
      </c>
      <c r="B651" s="2" t="str">
        <f>"COMPLETE SX53 STAIN. SAIL FEEDER"</f>
        <v>COMPLETE SX53 STAIN. SAIL FEEDER</v>
      </c>
      <c r="C651" s="4">
        <v>142.29999999999998</v>
      </c>
      <c r="D651" s="9">
        <v>78.378839999999997</v>
      </c>
    </row>
    <row r="652" spans="1:4" x14ac:dyDescent="0.25">
      <c r="A652" s="2" t="str">
        <f>"09130131250"</f>
        <v>09130131250</v>
      </c>
      <c r="B652" s="2" t="str">
        <f>"PAIR OF HALF PROTECT. RINGS L60-70/R70"</f>
        <v>PAIR OF HALF PROTECT. RINGS L60-70/R70</v>
      </c>
      <c r="C652" s="4">
        <v>33.700000000000003</v>
      </c>
      <c r="D652" s="9">
        <v>18.561960000000006</v>
      </c>
    </row>
    <row r="653" spans="1:4" x14ac:dyDescent="0.25">
      <c r="A653" s="2" t="str">
        <f>"09130131330"</f>
        <v>09130131330</v>
      </c>
      <c r="B653" s="2" t="str">
        <f>"PAIR OF HALF PROTECT. RINGS L/R100-130"</f>
        <v>PAIR OF HALF PROTECT. RINGS L/R100-130</v>
      </c>
      <c r="C653" s="4">
        <v>39</v>
      </c>
      <c r="D653" s="9">
        <v>21.481200000000001</v>
      </c>
    </row>
    <row r="654" spans="1:4" x14ac:dyDescent="0.25">
      <c r="A654" s="2" t="str">
        <f>"09130131390"</f>
        <v>09130131390</v>
      </c>
      <c r="B654" s="2" t="str">
        <f>"PAIR HALF PROTECT. RINGS L165-180/R165-2"</f>
        <v>PAIR HALF PROTECT. RINGS L165-180/R165-2</v>
      </c>
      <c r="C654" s="4">
        <v>51.1</v>
      </c>
      <c r="D654" s="9">
        <v>28.145880000000005</v>
      </c>
    </row>
    <row r="655" spans="1:4" x14ac:dyDescent="0.25">
      <c r="A655" s="2" t="str">
        <f>"09130131470"</f>
        <v>09130131470</v>
      </c>
      <c r="B655" s="2" t="str">
        <f>"PAIR HALF PROTECT. RINGS L200-290-330/R2"</f>
        <v>PAIR HALF PROTECT. RINGS L200-290-330/R2</v>
      </c>
      <c r="C655" s="4">
        <v>76.899999999999991</v>
      </c>
      <c r="D655" s="9">
        <v>42.356519999999996</v>
      </c>
    </row>
    <row r="656" spans="1:4" x14ac:dyDescent="0.25">
      <c r="A656" s="2" t="str">
        <f>"09130131530"</f>
        <v>09130131530</v>
      </c>
      <c r="B656" s="2" t="str">
        <f>"PAIR HALF PROTECT. RINGS L330"</f>
        <v>PAIR HALF PROTECT. RINGS L330</v>
      </c>
      <c r="C656" s="4">
        <v>251.1</v>
      </c>
      <c r="D656" s="9">
        <v>138.30588</v>
      </c>
    </row>
    <row r="657" spans="1:4" x14ac:dyDescent="0.25">
      <c r="A657" s="2" t="str">
        <f>"09130202250"</f>
        <v>09130202250</v>
      </c>
      <c r="B657" s="2" t="str">
        <f>"SHACKLE KIT L60-70/R70"</f>
        <v>SHACKLE KIT L60-70/R70</v>
      </c>
      <c r="C657" s="4">
        <v>46.300000000000004</v>
      </c>
      <c r="D657" s="9">
        <v>25.502040000000008</v>
      </c>
    </row>
    <row r="658" spans="1:4" x14ac:dyDescent="0.25">
      <c r="A658" s="2" t="str">
        <f>"09130202330"</f>
        <v>09130202330</v>
      </c>
      <c r="B658" s="2" t="str">
        <f>"SHACKLE KIT L100-180/R100-260"</f>
        <v>SHACKLE KIT L100-180/R100-260</v>
      </c>
      <c r="C658" s="4">
        <v>48.4</v>
      </c>
      <c r="D658" s="9">
        <v>26.658719999999999</v>
      </c>
    </row>
    <row r="659" spans="1:4" x14ac:dyDescent="0.25">
      <c r="A659" s="2" t="str">
        <f>"09130202331"</f>
        <v>09130202331</v>
      </c>
      <c r="B659" s="2" t="str">
        <f>"SHACKLE KIT L100-130/R100-200"</f>
        <v>SHACKLE KIT L100-130/R100-200</v>
      </c>
      <c r="C659" s="4">
        <v>53.2</v>
      </c>
      <c r="D659" s="9">
        <v>29.302560000000007</v>
      </c>
    </row>
    <row r="660" spans="1:4" x14ac:dyDescent="0.25">
      <c r="A660" s="2" t="str">
        <f>"09130202391"</f>
        <v>09130202391</v>
      </c>
      <c r="B660" s="2" t="str">
        <f>"SHACKLE KIT L165-180/R220-260"</f>
        <v>SHACKLE KIT L165-180/R220-260</v>
      </c>
      <c r="C660" s="4">
        <v>53.2</v>
      </c>
      <c r="D660" s="9">
        <v>29.302560000000007</v>
      </c>
    </row>
    <row r="661" spans="1:4" x14ac:dyDescent="0.25">
      <c r="A661" s="2" t="str">
        <f>"09130202470"</f>
        <v>09130202470</v>
      </c>
      <c r="B661" s="2" t="str">
        <f>"SHACKLE KIT L200-290/R260-300"</f>
        <v>SHACKLE KIT L200-290/R260-300</v>
      </c>
      <c r="C661" s="4">
        <v>80.899999999999991</v>
      </c>
      <c r="D661" s="9">
        <v>44.559720000000006</v>
      </c>
    </row>
    <row r="662" spans="1:4" x14ac:dyDescent="0.25">
      <c r="A662" s="2" t="str">
        <f>"09130202530"</f>
        <v>09130202530</v>
      </c>
      <c r="B662" s="2" t="str">
        <f>"SHACKLE KIT L330"</f>
        <v>SHACKLE KIT L330</v>
      </c>
      <c r="C662" s="4">
        <v>250.6</v>
      </c>
      <c r="D662" s="9">
        <v>138.03048000000004</v>
      </c>
    </row>
    <row r="663" spans="1:4" x14ac:dyDescent="0.25">
      <c r="A663" s="2" t="str">
        <f>"09150025040"</f>
        <v>09150025040</v>
      </c>
      <c r="B663" s="2" t="str">
        <f>"COMPLETE FIXED NOSE L60-70"</f>
        <v>COMPLETE FIXED NOSE L60-70</v>
      </c>
      <c r="C663" s="4">
        <v>409.3</v>
      </c>
      <c r="D663" s="9">
        <v>225.44244</v>
      </c>
    </row>
    <row r="664" spans="1:4" x14ac:dyDescent="0.25">
      <c r="A664" s="2" t="str">
        <f>"09150033040"</f>
        <v>09150033040</v>
      </c>
      <c r="B664" s="2" t="str">
        <f>"COMPLETE FIXED NOSE L100-130"</f>
        <v>COMPLETE FIXED NOSE L100-130</v>
      </c>
      <c r="C664" s="4">
        <v>434.5</v>
      </c>
      <c r="D664" s="9">
        <v>239.32260000000005</v>
      </c>
    </row>
    <row r="665" spans="1:4" x14ac:dyDescent="0.25">
      <c r="A665" s="2" t="str">
        <f>"09150039040"</f>
        <v>09150039040</v>
      </c>
      <c r="B665" s="2" t="str">
        <f>"COMPLETE FIXED NOSE L165-180"</f>
        <v>COMPLETE FIXED NOSE L165-180</v>
      </c>
      <c r="C665" s="4">
        <v>475.8</v>
      </c>
      <c r="D665" s="9">
        <v>262.07064000000003</v>
      </c>
    </row>
    <row r="666" spans="1:4" x14ac:dyDescent="0.25">
      <c r="A666" s="2" t="str">
        <f>"09150047040"</f>
        <v>09150047040</v>
      </c>
      <c r="B666" s="2" t="str">
        <f>"COMPLETE FIXED NOSE L200-290"</f>
        <v>COMPLETE FIXED NOSE L200-290</v>
      </c>
      <c r="C666" s="4">
        <v>576.20000000000005</v>
      </c>
      <c r="D666" s="9">
        <v>317.37096000000003</v>
      </c>
    </row>
    <row r="667" spans="1:4" x14ac:dyDescent="0.25">
      <c r="A667" s="2" t="str">
        <f>"09150053040"</f>
        <v>09150053040</v>
      </c>
      <c r="B667" s="2" t="str">
        <f>"COMPLETE FIXED NOSE L330"</f>
        <v>COMPLETE FIXED NOSE L330</v>
      </c>
      <c r="C667" s="4">
        <v>859.7</v>
      </c>
      <c r="D667" s="9">
        <v>473.52276000000012</v>
      </c>
    </row>
    <row r="668" spans="1:4" x14ac:dyDescent="0.25">
      <c r="A668" s="2" t="str">
        <f>"09151014040"</f>
        <v>09151014040</v>
      </c>
      <c r="B668" s="2" t="str">
        <f>"COMPLETE ROTATING NOSE R70 FOR R14 FOIL"</f>
        <v>COMPLETE ROTATING NOSE R70 FOR R14 FOIL</v>
      </c>
      <c r="C668" s="4">
        <v>534.20000000000005</v>
      </c>
      <c r="D668" s="9">
        <v>294.23736000000002</v>
      </c>
    </row>
    <row r="669" spans="1:4" x14ac:dyDescent="0.25">
      <c r="A669" s="2" t="str">
        <f>"09151015040"</f>
        <v>09151015040</v>
      </c>
      <c r="B669" s="2" t="str">
        <f>"COMPLETE ROTATING NOSE R100-130 FOR R14"</f>
        <v>COMPLETE ROTATING NOSE R100-130 FOR R14</v>
      </c>
      <c r="C669" s="4">
        <v>562.5</v>
      </c>
      <c r="D669" s="9">
        <v>309.82499999999999</v>
      </c>
    </row>
    <row r="670" spans="1:4" x14ac:dyDescent="0.25">
      <c r="A670" s="2" t="str">
        <f>"09151024040"</f>
        <v>09151024040</v>
      </c>
      <c r="B670" s="2" t="str">
        <f>"COMPLETE ROTZTING NOSE R165-200"</f>
        <v>COMPLETE ROTZTING NOSE R165-200</v>
      </c>
      <c r="C670" s="4">
        <v>610.1</v>
      </c>
      <c r="D670" s="9">
        <v>336.04308000000003</v>
      </c>
    </row>
    <row r="671" spans="1:4" x14ac:dyDescent="0.25">
      <c r="A671" s="2" t="str">
        <f>"09151025040"</f>
        <v>09151025040</v>
      </c>
      <c r="B671" s="2" t="str">
        <f>"COMPLETE ROTATING NOSE L60-70"</f>
        <v>COMPLETE ROTATING NOSE L60-70</v>
      </c>
      <c r="C671" s="4">
        <v>528.1</v>
      </c>
      <c r="D671" s="9">
        <v>290.87748000000005</v>
      </c>
    </row>
    <row r="672" spans="1:4" x14ac:dyDescent="0.25">
      <c r="A672" s="2" t="str">
        <f>"09151026040"</f>
        <v>09151026040</v>
      </c>
      <c r="B672" s="2" t="str">
        <f>"COMPLETE ROTATING NOSE R260 FOR R26 FOIL"</f>
        <v>COMPLETE ROTATING NOSE R260 FOR R26 FOIL</v>
      </c>
      <c r="C672" s="4">
        <v>636.4</v>
      </c>
      <c r="D672" s="9">
        <v>350.52912000000003</v>
      </c>
    </row>
    <row r="673" spans="1:4" x14ac:dyDescent="0.25">
      <c r="A673" s="2" t="str">
        <f>"09151026041"</f>
        <v>09151026041</v>
      </c>
      <c r="B673" s="2" t="str">
        <f>"COMPLETE ROTATING NOSE R260 FOR R26 FOIL"</f>
        <v>COMPLETE ROTATING NOSE R260 FOR R26 FOIL</v>
      </c>
      <c r="C673" s="4">
        <v>597.30000000000007</v>
      </c>
      <c r="D673" s="9">
        <v>328.99284000000011</v>
      </c>
    </row>
    <row r="674" spans="1:4" x14ac:dyDescent="0.25">
      <c r="A674" s="2" t="str">
        <f>"09151033040"</f>
        <v>09151033040</v>
      </c>
      <c r="B674" s="2" t="str">
        <f>"COMPLETE ROTATING NOSE L100-130"</f>
        <v>COMPLETE ROTATING NOSE L100-130</v>
      </c>
      <c r="C674" s="4">
        <v>568.30000000000007</v>
      </c>
      <c r="D674" s="9">
        <v>313.01964000000004</v>
      </c>
    </row>
    <row r="675" spans="1:4" x14ac:dyDescent="0.25">
      <c r="A675" s="2" t="str">
        <f>"09151034040"</f>
        <v>09151034040</v>
      </c>
      <c r="B675" s="2" t="str">
        <f>"COMPLETE ROTATING NOSE R300 FOR R34 FOIL"</f>
        <v>COMPLETE ROTATING NOSE R300 FOR R34 FOIL</v>
      </c>
      <c r="C675" s="4">
        <v>793.4</v>
      </c>
      <c r="D675" s="9">
        <v>437.00472000000008</v>
      </c>
    </row>
    <row r="676" spans="1:4" x14ac:dyDescent="0.25">
      <c r="A676" s="2" t="str">
        <f>"09151039040"</f>
        <v>09151039040</v>
      </c>
      <c r="B676" s="2" t="str">
        <f>"COMPLETE ROTATING NOSE L165-180"</f>
        <v>COMPLETE ROTATING NOSE L165-180</v>
      </c>
      <c r="C676" s="4">
        <v>619.1</v>
      </c>
      <c r="D676" s="9">
        <v>341.00028000000009</v>
      </c>
    </row>
    <row r="677" spans="1:4" x14ac:dyDescent="0.25">
      <c r="A677" s="2" t="str">
        <f>"09151047040"</f>
        <v>09151047040</v>
      </c>
      <c r="B677" s="2" t="str">
        <f>"COMPLETE ROTATING NOSE L200-290"</f>
        <v>COMPLETE ROTATING NOSE L200-290</v>
      </c>
      <c r="C677" s="4">
        <v>823.2</v>
      </c>
      <c r="D677" s="9">
        <v>453.41856000000007</v>
      </c>
    </row>
    <row r="678" spans="1:4" x14ac:dyDescent="0.25">
      <c r="A678" s="2" t="str">
        <f>"09151053040"</f>
        <v>09151053040</v>
      </c>
      <c r="B678" s="2" t="str">
        <f>"COMPLETE ROTATING NOSE L330"</f>
        <v>COMPLETE ROTATING NOSE L330</v>
      </c>
      <c r="C678" s="4">
        <v>1084.0999999999999</v>
      </c>
      <c r="D678" s="9">
        <v>597.12228000000005</v>
      </c>
    </row>
    <row r="679" spans="1:4" x14ac:dyDescent="0.25">
      <c r="A679" s="2" t="str">
        <f>"09152025040"</f>
        <v>09152025040</v>
      </c>
      <c r="B679" s="2" t="str">
        <f>"COMPL. FIX NOSE L60-70+INTERN. TURN. KIT"</f>
        <v>COMPL. FIX NOSE L60-70+INTERN. TURN. KIT</v>
      </c>
      <c r="C679" s="4">
        <v>579.30000000000007</v>
      </c>
      <c r="D679" s="9">
        <v>319.07844000000006</v>
      </c>
    </row>
    <row r="680" spans="1:4" x14ac:dyDescent="0.25">
      <c r="A680" s="2" t="str">
        <f>"09152033040"</f>
        <v>09152033040</v>
      </c>
      <c r="B680" s="2" t="str">
        <f>"LONG FIXED NOSE L100-130"</f>
        <v>LONG FIXED NOSE L100-130</v>
      </c>
      <c r="C680" s="4">
        <v>622.70000000000005</v>
      </c>
      <c r="D680" s="9">
        <v>342.98316000000005</v>
      </c>
    </row>
    <row r="681" spans="1:4" x14ac:dyDescent="0.25">
      <c r="A681" s="2" t="str">
        <f>"09152047040"</f>
        <v>09152047040</v>
      </c>
      <c r="B681" s="2" t="str">
        <f>"COMPL. FIX NOSE L200-290 INTERN. TURN. K"</f>
        <v>COMPL. FIX NOSE L200-290 INTERN. TURN. K</v>
      </c>
      <c r="C681" s="4">
        <v>1072.3999999999999</v>
      </c>
      <c r="D681" s="9">
        <v>590.67792000000009</v>
      </c>
    </row>
    <row r="682" spans="1:4" x14ac:dyDescent="0.25">
      <c r="A682" s="2" t="str">
        <f>"09152053040"</f>
        <v>09152053040</v>
      </c>
      <c r="B682" s="2" t="str">
        <f>"COMPL. FIX NOSE L330+INTERN. TURN. KIT"</f>
        <v>COMPL. FIX NOSE L330+INTERN. TURN. KIT</v>
      </c>
      <c r="C682" s="4">
        <v>1575.8</v>
      </c>
      <c r="D682" s="9">
        <v>867.95064000000013</v>
      </c>
    </row>
    <row r="683" spans="1:4" x14ac:dyDescent="0.25">
      <c r="A683" s="2" t="str">
        <f>"09153014040"</f>
        <v>09153014040</v>
      </c>
      <c r="B683" s="2" t="str">
        <f>"COMPL. ROT. NOSE R100-130+ INTERN. TURN."</f>
        <v>COMPL. ROT. NOSE R100-130+ INTERN. TURN.</v>
      </c>
      <c r="C683" s="4">
        <v>704.2</v>
      </c>
      <c r="D683" s="9">
        <v>387.87336000000005</v>
      </c>
    </row>
    <row r="684" spans="1:4" x14ac:dyDescent="0.25">
      <c r="A684" s="2" t="str">
        <f>"09153015040"</f>
        <v>09153015040</v>
      </c>
      <c r="B684" s="2" t="str">
        <f>"COMPL. ROT. NOSE R100-130+ INTERN. TURN."</f>
        <v>COMPL. ROT. NOSE R100-130+ INTERN. TURN.</v>
      </c>
      <c r="C684" s="4">
        <v>750.7</v>
      </c>
      <c r="D684" s="9">
        <v>413.48556000000008</v>
      </c>
    </row>
    <row r="685" spans="1:4" x14ac:dyDescent="0.25">
      <c r="A685" s="2" t="str">
        <f>"09153024040"</f>
        <v>09153024040</v>
      </c>
      <c r="B685" s="2" t="str">
        <f>"COMPL. ROT. NOSE R165-200+ INTERN. TURN."</f>
        <v>COMPL. ROT. NOSE R165-200+ INTERN. TURN.</v>
      </c>
      <c r="C685" s="4">
        <v>965.5</v>
      </c>
      <c r="D685" s="9">
        <v>531.79740000000004</v>
      </c>
    </row>
    <row r="686" spans="1:4" x14ac:dyDescent="0.25">
      <c r="A686" s="2" t="str">
        <f>"09153025040"</f>
        <v>09153025040</v>
      </c>
      <c r="B686" s="2" t="str">
        <f>"COMPL. ROT. NOSE L60-70+INTERN TURN. KIT"</f>
        <v>COMPL. ROT. NOSE L60-70+INTERN TURN. KIT</v>
      </c>
      <c r="C686" s="4">
        <v>698.2</v>
      </c>
      <c r="D686" s="9">
        <v>384.56856000000005</v>
      </c>
    </row>
    <row r="687" spans="1:4" x14ac:dyDescent="0.25">
      <c r="A687" s="2" t="str">
        <f>"09153026040"</f>
        <v>09153026040</v>
      </c>
      <c r="B687" s="2" t="str">
        <f>"COMPL. ROT. R260+INTERN. TURN. KIT"</f>
        <v>COMPL. ROT. R260+INTERN. TURN. KIT</v>
      </c>
      <c r="C687" s="4">
        <v>1196.3999999999999</v>
      </c>
      <c r="D687" s="9">
        <v>658.97712000000001</v>
      </c>
    </row>
    <row r="688" spans="1:4" x14ac:dyDescent="0.25">
      <c r="A688" s="2" t="str">
        <f>"09153026041"</f>
        <v>09153026041</v>
      </c>
      <c r="B688" s="2" t="str">
        <f>"COMPL. ROT. R260+INTERN TURN. KIT"</f>
        <v>COMPL. ROT. R260+INTERN TURN. KIT</v>
      </c>
      <c r="C688" s="4">
        <v>905.4</v>
      </c>
      <c r="D688" s="9">
        <v>498.69432000000006</v>
      </c>
    </row>
    <row r="689" spans="1:4" x14ac:dyDescent="0.25">
      <c r="A689" s="2" t="str">
        <f>"09153033040"</f>
        <v>09153033040</v>
      </c>
      <c r="B689" s="2" t="str">
        <f>"COMPL. ROT. NOSE L100-130+ INTERN. TUN."</f>
        <v>COMPL. ROT. NOSE L100-130+ INTERN. TUN.</v>
      </c>
      <c r="C689" s="4">
        <v>756.6</v>
      </c>
      <c r="D689" s="9">
        <v>416.73528000000005</v>
      </c>
    </row>
    <row r="690" spans="1:4" x14ac:dyDescent="0.25">
      <c r="A690" s="2" t="str">
        <f>"09153034040"</f>
        <v>09153034040</v>
      </c>
      <c r="B690" s="2" t="str">
        <f>"COMPL. ROT. NOSE R300+INTERN. TURN. KIT"</f>
        <v>COMPL. ROT. NOSE R300+INTERN. TURN. KIT</v>
      </c>
      <c r="C690" s="4">
        <v>1289.5999999999999</v>
      </c>
      <c r="D690" s="9">
        <v>710.31168000000002</v>
      </c>
    </row>
    <row r="691" spans="1:4" x14ac:dyDescent="0.25">
      <c r="A691" s="2" t="str">
        <f>"09153039040"</f>
        <v>09153039040</v>
      </c>
      <c r="B691" s="2" t="str">
        <f>"COMPL.ROT. NOSE L165-180+ INTERN. TURN."</f>
        <v>COMPL.ROT. NOSE L165-180+ INTERN. TURN.</v>
      </c>
      <c r="C691" s="4">
        <v>974.5</v>
      </c>
      <c r="D691" s="9">
        <v>536.7546000000001</v>
      </c>
    </row>
    <row r="692" spans="1:4" x14ac:dyDescent="0.25">
      <c r="A692" s="2" t="str">
        <f>"09153047040"</f>
        <v>09153047040</v>
      </c>
      <c r="B692" s="2" t="str">
        <f>"COMPL. ROT. NOSE L200-290+ INTERN. TURN."</f>
        <v>COMPL. ROT. NOSE L200-290+ INTERN. TURN.</v>
      </c>
      <c r="C692" s="4">
        <v>1242.3999999999999</v>
      </c>
      <c r="D692" s="9">
        <v>684.31392000000005</v>
      </c>
    </row>
    <row r="693" spans="1:4" x14ac:dyDescent="0.25">
      <c r="A693" s="2" t="str">
        <f>"09153053040"</f>
        <v>09153053040</v>
      </c>
      <c r="B693" s="2" t="str">
        <f>"COMPL. ROT. NOSE L330+INTERN. TURN. KIT"</f>
        <v>COMPL. ROT. NOSE L330+INTERN. TURN. KIT</v>
      </c>
      <c r="C693" s="4">
        <v>1800.1999999999998</v>
      </c>
      <c r="D693" s="9">
        <v>991.55016000000012</v>
      </c>
    </row>
    <row r="694" spans="1:4" x14ac:dyDescent="0.25">
      <c r="A694" s="2" t="str">
        <f>"09158060040"</f>
        <v>09158060040</v>
      </c>
      <c r="B694" s="2" t="str">
        <f>"COMPLETE HALF FURL. LINE GUIDE LX60"</f>
        <v>COMPLETE HALF FURL. LINE GUIDE LX60</v>
      </c>
      <c r="C694" s="4">
        <v>220.2</v>
      </c>
      <c r="D694" s="9">
        <v>121.28616</v>
      </c>
    </row>
    <row r="695" spans="1:4" x14ac:dyDescent="0.25">
      <c r="A695" s="2" t="str">
        <f>"09158070040"</f>
        <v>09158070040</v>
      </c>
      <c r="B695" s="2" t="str">
        <f>"COMPLETE HALF FURL. LINE GUIDE LX/RX70"</f>
        <v>COMPLETE HALF FURL. LINE GUIDE LX/RX70</v>
      </c>
      <c r="C695" s="4">
        <v>220.2</v>
      </c>
      <c r="D695" s="9">
        <v>121.28616</v>
      </c>
    </row>
    <row r="696" spans="1:4" x14ac:dyDescent="0.25">
      <c r="A696" s="2" t="str">
        <f>"09158100040"</f>
        <v>09158100040</v>
      </c>
      <c r="B696" s="2" t="str">
        <f>"COMPLETE HALF FURL. LINE GUIDE LX/RX100"</f>
        <v>COMPLETE HALF FURL. LINE GUIDE LX/RX100</v>
      </c>
      <c r="C696" s="4">
        <v>225</v>
      </c>
      <c r="D696" s="9">
        <v>123.93000000000002</v>
      </c>
    </row>
    <row r="697" spans="1:4" x14ac:dyDescent="0.25">
      <c r="A697" s="2" t="str">
        <f>"09158130040"</f>
        <v>09158130040</v>
      </c>
      <c r="B697" s="2" t="str">
        <f>"COMPLETE HALF FURL. LINE GUIDE LX/RX130"</f>
        <v>COMPLETE HALF FURL. LINE GUIDE LX/RX130</v>
      </c>
      <c r="C697" s="4">
        <v>225</v>
      </c>
      <c r="D697" s="9">
        <v>123.93000000000002</v>
      </c>
    </row>
    <row r="698" spans="1:4" x14ac:dyDescent="0.25">
      <c r="A698" s="2" t="str">
        <f>"09158165040"</f>
        <v>09158165040</v>
      </c>
      <c r="B698" s="2" t="str">
        <f>"COMPLETE HALF FURL. LINE GUIDE LX/RX165"</f>
        <v>COMPLETE HALF FURL. LINE GUIDE LX/RX165</v>
      </c>
      <c r="C698" s="4">
        <v>230</v>
      </c>
      <c r="D698" s="9">
        <v>126.68400000000003</v>
      </c>
    </row>
    <row r="699" spans="1:4" x14ac:dyDescent="0.25">
      <c r="A699" s="2" t="str">
        <f>"09158180040"</f>
        <v>09158180040</v>
      </c>
      <c r="B699" s="2" t="str">
        <f>"COMPLETE +1/2 FURL.  LX6180/RX200"</f>
        <v>COMPLETE +1/2 FURL.  LX6180/RX200</v>
      </c>
      <c r="C699" s="4">
        <v>230</v>
      </c>
      <c r="D699" s="9">
        <v>126.68400000000003</v>
      </c>
    </row>
    <row r="700" spans="1:4" x14ac:dyDescent="0.25">
      <c r="A700" s="2" t="str">
        <f>"09158200040"</f>
        <v>09158200040</v>
      </c>
      <c r="B700" s="2" t="str">
        <f>"+1/2 FURL. LINE GUIDE LX290/RX260"</f>
        <v>+1/2 FURL. LINE GUIDE LX290/RX260</v>
      </c>
      <c r="C700" s="4">
        <v>286.10000000000002</v>
      </c>
      <c r="D700" s="9">
        <v>157.58388000000002</v>
      </c>
    </row>
    <row r="701" spans="1:4" x14ac:dyDescent="0.25">
      <c r="A701" s="2" t="str">
        <f>"09158290040"</f>
        <v>09158290040</v>
      </c>
      <c r="B701" s="2" t="str">
        <f>"+1/2 FURL. LINE GUIDE LX290/RX300"</f>
        <v>+1/2 FURL. LINE GUIDE LX290/RX300</v>
      </c>
      <c r="C701" s="4">
        <v>286.10000000000002</v>
      </c>
      <c r="D701" s="9">
        <v>157.58388000000002</v>
      </c>
    </row>
    <row r="702" spans="1:4" x14ac:dyDescent="0.25">
      <c r="A702" s="2" t="str">
        <f>"09158330040"</f>
        <v>09158330040</v>
      </c>
      <c r="B702" s="2" t="str">
        <f>"COMPLETE HALF FURL. LINE GUIDE LX330"</f>
        <v>COMPLETE HALF FURL. LINE GUIDE LX330</v>
      </c>
      <c r="C702" s="4">
        <v>330.20000000000005</v>
      </c>
      <c r="D702" s="9">
        <v>181.87416000000007</v>
      </c>
    </row>
    <row r="703" spans="1:4" x14ac:dyDescent="0.25">
      <c r="A703" s="2" t="str">
        <f>"09160125050"</f>
        <v>09160125050</v>
      </c>
      <c r="B703" s="2" t="str">
        <f>"HALF GUDE+FIXATION+SCREWS/L60"</f>
        <v>HALF GUDE+FIXATION+SCREWS/L60</v>
      </c>
      <c r="C703" s="4">
        <v>41.7</v>
      </c>
      <c r="D703" s="9">
        <v>22.968360000000004</v>
      </c>
    </row>
    <row r="704" spans="1:4" x14ac:dyDescent="0.25">
      <c r="A704" s="2" t="str">
        <f>"09160125055"</f>
        <v>09160125055</v>
      </c>
      <c r="B704" s="2" t="str">
        <f>"HALF GUDE+FIXATION+SCREWS/L670 R70"</f>
        <v>HALF GUDE+FIXATION+SCREWS/L670 R70</v>
      </c>
      <c r="C704" s="4">
        <v>58</v>
      </c>
      <c r="D704" s="9">
        <v>31.946400000000004</v>
      </c>
    </row>
    <row r="705" spans="1:4" x14ac:dyDescent="0.25">
      <c r="A705" s="2" t="str">
        <f>"09160133050"</f>
        <v>09160133050</v>
      </c>
      <c r="B705" s="2" t="str">
        <f>"HALF GUDE+FIXATION+SCREWS/L100 R100"</f>
        <v>HALF GUDE+FIXATION+SCREWS/L100 R100</v>
      </c>
      <c r="C705" s="4">
        <v>73.099999999999994</v>
      </c>
      <c r="D705" s="9">
        <v>40.263480000000001</v>
      </c>
    </row>
    <row r="706" spans="1:4" x14ac:dyDescent="0.25">
      <c r="A706" s="2" t="str">
        <f>"09160133055"</f>
        <v>09160133055</v>
      </c>
      <c r="B706" s="2" t="str">
        <f>"HALF GUDE+FIXATION+SCREWS/L130 R130"</f>
        <v>HALF GUDE+FIXATION+SCREWS/L130 R130</v>
      </c>
      <c r="C706" s="4">
        <v>72.199999999999989</v>
      </c>
      <c r="D706" s="9">
        <v>39.767760000000003</v>
      </c>
    </row>
    <row r="707" spans="1:4" x14ac:dyDescent="0.25">
      <c r="A707" s="2" t="str">
        <f>"09160139050"</f>
        <v>09160139050</v>
      </c>
      <c r="B707" s="2" t="str">
        <f>"HALF GUDE+FIXATION+SCREWS/L165 R----"</f>
        <v>HALF GUDE+FIXATION+SCREWS/L165 R----</v>
      </c>
      <c r="C707" s="4">
        <v>110.1</v>
      </c>
      <c r="D707" s="9">
        <v>60.643079999999998</v>
      </c>
    </row>
    <row r="708" spans="1:4" x14ac:dyDescent="0.25">
      <c r="A708" s="2" t="str">
        <f>"09160139055"</f>
        <v>09160139055</v>
      </c>
      <c r="B708" s="2" t="str">
        <f>"HALF GUDE+FIXATION+SCREWS/L180 R---"</f>
        <v>HALF GUDE+FIXATION+SCREWS/L180 R---</v>
      </c>
      <c r="C708" s="4">
        <v>125.89999999999999</v>
      </c>
      <c r="D708" s="9">
        <v>69.34572</v>
      </c>
    </row>
    <row r="709" spans="1:4" x14ac:dyDescent="0.25">
      <c r="A709" s="2" t="str">
        <f>"09160147050"</f>
        <v>09160147050</v>
      </c>
      <c r="B709" s="2" t="str">
        <f>"HALF GUDE+FIXATION+SCREWS/L200 R---"</f>
        <v>HALF GUDE+FIXATION+SCREWS/L200 R---</v>
      </c>
      <c r="C709" s="4">
        <v>131.6</v>
      </c>
      <c r="D709" s="9">
        <v>72.485280000000003</v>
      </c>
    </row>
    <row r="710" spans="1:4" x14ac:dyDescent="0.25">
      <c r="A710" s="2" t="str">
        <f>"09160147055"</f>
        <v>09160147055</v>
      </c>
      <c r="B710" s="2" t="str">
        <f>"HALF GUDE+FIXATION+SCREWS/L290 R---"</f>
        <v>HALF GUDE+FIXATION+SCREWS/L290 R---</v>
      </c>
      <c r="C710" s="4">
        <v>169.2</v>
      </c>
      <c r="D710" s="9">
        <v>93.195359999999994</v>
      </c>
    </row>
    <row r="711" spans="1:4" x14ac:dyDescent="0.25">
      <c r="A711" s="2" t="str">
        <f>"09160153050"</f>
        <v>09160153050</v>
      </c>
      <c r="B711" s="2" t="str">
        <f>"HALF GUDE+FIXATION+SCREWS/L330"</f>
        <v>HALF GUDE+FIXATION+SCREWS/L330</v>
      </c>
      <c r="C711" s="4">
        <v>177.29999999999998</v>
      </c>
      <c r="D711" s="9">
        <v>97.656840000000003</v>
      </c>
    </row>
    <row r="712" spans="1:4" x14ac:dyDescent="0.25">
      <c r="A712" s="2" t="str">
        <f>"09160225050"</f>
        <v>09160225050</v>
      </c>
      <c r="B712" s="2" t="str">
        <f>"4 SCREWS+WASHER+HALF PLATES L60-70/R70"</f>
        <v>4 SCREWS+WASHER+HALF PLATES L60-70/R70</v>
      </c>
      <c r="C712" s="4">
        <v>52.2</v>
      </c>
      <c r="D712" s="9">
        <v>28.751760000000004</v>
      </c>
    </row>
    <row r="713" spans="1:4" x14ac:dyDescent="0.25">
      <c r="A713" s="2" t="str">
        <f>"09160233050"</f>
        <v>09160233050</v>
      </c>
      <c r="B713" s="2" t="str">
        <f>"4 SCREWS+WASHER+HALF PLATES L100-130/R10"</f>
        <v>4 SCREWS+WASHER+HALF PLATES L100-130/R10</v>
      </c>
      <c r="C713" s="4">
        <v>56.1</v>
      </c>
      <c r="D713" s="9">
        <v>30.899880000000007</v>
      </c>
    </row>
    <row r="714" spans="1:4" x14ac:dyDescent="0.25">
      <c r="A714" s="2" t="str">
        <f>"09160239050"</f>
        <v>09160239050</v>
      </c>
      <c r="B714" s="2" t="str">
        <f>"4 SCREWS+WASHER+HALF PLATES L165-180/R16"</f>
        <v>4 SCREWS+WASHER+HALF PLATES L165-180/R16</v>
      </c>
      <c r="C714" s="4">
        <v>56.1</v>
      </c>
      <c r="D714" s="9">
        <v>30.899880000000007</v>
      </c>
    </row>
    <row r="715" spans="1:4" x14ac:dyDescent="0.25">
      <c r="A715" s="2" t="str">
        <f>"09160247050"</f>
        <v>09160247050</v>
      </c>
      <c r="B715" s="2" t="str">
        <f>"4 SCREWS+WASHER+HALF PLATES L200-290-330"</f>
        <v>4 SCREWS+WASHER+HALF PLATES L200-290-330</v>
      </c>
      <c r="C715" s="4">
        <v>77.3</v>
      </c>
      <c r="D715" s="9">
        <v>42.576840000000004</v>
      </c>
    </row>
    <row r="716" spans="1:4" x14ac:dyDescent="0.25">
      <c r="A716" s="2" t="str">
        <f>"09160347050"</f>
        <v>09160347050</v>
      </c>
      <c r="B716" s="2" t="str">
        <f>"4F SCREWS+WASHER+HALF PLATES L200-290-33"</f>
        <v>4F SCREWS+WASHER+HALF PLATES L200-290-33</v>
      </c>
      <c r="C716" s="4">
        <v>136.69999999999999</v>
      </c>
      <c r="D716" s="9">
        <v>75.294360000000012</v>
      </c>
    </row>
    <row r="717" spans="1:4" x14ac:dyDescent="0.25">
      <c r="A717" s="2" t="str">
        <f>"09170014040"</f>
        <v>09170014040</v>
      </c>
      <c r="B717" s="2" t="str">
        <f>"NEW GENERATION C14 HAL. SWIVEL"</f>
        <v>NEW GENERATION C14 HAL. SWIVEL</v>
      </c>
      <c r="C717" s="4">
        <v>910.9</v>
      </c>
      <c r="D717" s="9">
        <v>501.72372000000007</v>
      </c>
    </row>
    <row r="718" spans="1:4" x14ac:dyDescent="0.25">
      <c r="A718" s="2" t="str">
        <f>"09170026040"</f>
        <v>09170026040</v>
      </c>
      <c r="B718" s="2" t="str">
        <f>"COMPLETE RA C26 SWIVEL"</f>
        <v>COMPLETE RA C26 SWIVEL</v>
      </c>
      <c r="C718" s="4">
        <v>1183.6999999999998</v>
      </c>
      <c r="D718" s="9">
        <v>651.98195999999996</v>
      </c>
    </row>
    <row r="719" spans="1:4" x14ac:dyDescent="0.25">
      <c r="A719" s="2" t="str">
        <f>"09170033040"</f>
        <v>09170033040</v>
      </c>
      <c r="B719" s="2" t="str">
        <f>"C33 CMP SWIVEL SEALED BEARING"</f>
        <v>C33 CMP SWIVEL SEALED BEARING</v>
      </c>
      <c r="C719" s="4">
        <v>785.4</v>
      </c>
      <c r="D719" s="9">
        <v>432.59832</v>
      </c>
    </row>
    <row r="720" spans="1:4" x14ac:dyDescent="0.25">
      <c r="A720" s="2" t="str">
        <f>"09170034040"</f>
        <v>09170034040</v>
      </c>
      <c r="B720" s="2" t="str">
        <f>"COMPLETE RA C34 SWIVEL"</f>
        <v>COMPLETE RA C34 SWIVEL</v>
      </c>
      <c r="C720" s="4">
        <v>1609.1</v>
      </c>
      <c r="D720" s="9">
        <v>886.29228000000012</v>
      </c>
    </row>
    <row r="721" spans="1:4" x14ac:dyDescent="0.25">
      <c r="A721" s="2" t="str">
        <f>"09170038040"</f>
        <v>09170038040</v>
      </c>
      <c r="B721" s="2" t="str">
        <f>"COMPLETE RA C38 SWIVEL"</f>
        <v>COMPLETE RA C38 SWIVEL</v>
      </c>
      <c r="C721" s="4">
        <v>1077.0999999999999</v>
      </c>
      <c r="D721" s="9">
        <v>593.26668000000006</v>
      </c>
    </row>
    <row r="722" spans="1:4" x14ac:dyDescent="0.25">
      <c r="A722" s="2" t="str">
        <f>"09170046040"</f>
        <v>09170046040</v>
      </c>
      <c r="B722" s="2" t="str">
        <f>"COMPLETE RA C46 SWIVEL"</f>
        <v>COMPLETE RA C46 SWIVEL</v>
      </c>
      <c r="C722" s="4">
        <v>1476.5</v>
      </c>
      <c r="D722" s="9">
        <v>813.25620000000004</v>
      </c>
    </row>
    <row r="723" spans="1:4" x14ac:dyDescent="0.25">
      <c r="A723" s="2" t="str">
        <f>"09170047040"</f>
        <v>09170047040</v>
      </c>
      <c r="B723" s="2" t="str">
        <f>"C47 CMP SWIVEL SEALED BEARING"</f>
        <v>C47 CMP SWIVEL SEALED BEARING</v>
      </c>
      <c r="C723" s="4">
        <v>1476.5</v>
      </c>
      <c r="D723" s="9">
        <v>813.25620000000004</v>
      </c>
    </row>
    <row r="724" spans="1:4" x14ac:dyDescent="0.25">
      <c r="A724" s="2" t="str">
        <f>"09171000312"</f>
        <v>09171000312</v>
      </c>
      <c r="B724" s="2" t="str">
        <f>"RDD MM HAL. DEF. WHEEL FORESTAY D12"</f>
        <v>RDD MM HAL. DEF. WHEEL FORESTAY D12</v>
      </c>
      <c r="C724" s="4">
        <v>117.3</v>
      </c>
      <c r="D724" s="9">
        <v>64.608840000000015</v>
      </c>
    </row>
    <row r="725" spans="1:4" x14ac:dyDescent="0.25">
      <c r="A725" s="2" t="str">
        <f>"09171000512"</f>
        <v>09171000512</v>
      </c>
      <c r="B725" s="2" t="str">
        <f>"RDD GM HAL. DEF. WHEEL FORESTAY D12-12.7"</f>
        <v>RDD GM HAL. DEF. WHEEL FORESTAY D12-12.7</v>
      </c>
      <c r="C725" s="4">
        <v>145.6</v>
      </c>
      <c r="D725" s="9">
        <v>80.196480000000008</v>
      </c>
    </row>
    <row r="726" spans="1:4" x14ac:dyDescent="0.25">
      <c r="A726" s="2" t="str">
        <f>"09171000516"</f>
        <v>09171000516</v>
      </c>
      <c r="B726" s="2" t="str">
        <f>"RDD GM HAL. DEF. WHEEL FORESTAY D16(MCHN"</f>
        <v>RDD GM HAL. DEF. WHEEL FORESTAY D16(MCHN</v>
      </c>
      <c r="C726" s="4">
        <v>145.6</v>
      </c>
      <c r="D726" s="9">
        <v>80.196480000000008</v>
      </c>
    </row>
    <row r="727" spans="1:4" x14ac:dyDescent="0.25">
      <c r="A727" s="2" t="str">
        <f>"09171000613"</f>
        <v>09171000613</v>
      </c>
      <c r="B727" s="2" t="str">
        <f>"RDD TGM HAL. DEF. WHEEL FORESTAY D12.7"</f>
        <v>RDD TGM HAL. DEF. WHEEL FORESTAY D12.7</v>
      </c>
      <c r="C727" s="4">
        <v>178.29999999999998</v>
      </c>
      <c r="D727" s="9">
        <v>98.207640000000012</v>
      </c>
    </row>
    <row r="728" spans="1:4" x14ac:dyDescent="0.25">
      <c r="A728" s="2" t="str">
        <f>"09171000614"</f>
        <v>09171000614</v>
      </c>
      <c r="B728" s="2" t="str">
        <f>"RDD TGM HAL. DEF. WHEEL FORESTAY D14"</f>
        <v>RDD TGM HAL. DEF. WHEEL FORESTAY D14</v>
      </c>
      <c r="C728" s="4">
        <v>178.29999999999998</v>
      </c>
      <c r="D728" s="9">
        <v>98.207640000000012</v>
      </c>
    </row>
    <row r="729" spans="1:4" x14ac:dyDescent="0.25">
      <c r="A729" s="2" t="str">
        <f>"09171000616"</f>
        <v>09171000616</v>
      </c>
      <c r="B729" s="2" t="str">
        <f>"RDD TGM HAL. DEF. WHEEL FORESTAY D16"</f>
        <v>RDD TGM HAL. DEF. WHEEL FORESTAY D16</v>
      </c>
      <c r="C729" s="4">
        <v>178.29999999999998</v>
      </c>
      <c r="D729" s="9">
        <v>98.207640000000012</v>
      </c>
    </row>
    <row r="730" spans="1:4" x14ac:dyDescent="0.25">
      <c r="A730" s="2" t="str">
        <f>"09171000619"</f>
        <v>09171000619</v>
      </c>
      <c r="B730" s="2" t="str">
        <f>"RDD TGM HAL. DEF. WHEEL FORESTAY D19"</f>
        <v>RDD TGM HAL. DEF. WHEEL FORESTAY D19</v>
      </c>
      <c r="C730" s="4">
        <v>178.29999999999998</v>
      </c>
      <c r="D730" s="9">
        <v>98.207640000000012</v>
      </c>
    </row>
    <row r="731" spans="1:4" x14ac:dyDescent="0.25">
      <c r="A731" s="2" t="str">
        <f>"09171000620"</f>
        <v>09171000620</v>
      </c>
      <c r="B731" s="2" t="str">
        <f>"RDD TGM HAL. DEF. WHEEL FORESTAY D20"</f>
        <v>RDD TGM HAL. DEF. WHEEL FORESTAY D20</v>
      </c>
      <c r="C731" s="4">
        <v>178.29999999999998</v>
      </c>
      <c r="D731" s="9">
        <v>98.207640000000012</v>
      </c>
    </row>
    <row r="732" spans="1:4" x14ac:dyDescent="0.25">
      <c r="A732" s="2" t="str">
        <f>"09182251006"</f>
        <v>09182251006</v>
      </c>
      <c r="B732" s="2" t="str">
        <f>"LPK 100MM D06 L60/70-R70"</f>
        <v>LPK 100MM D06 L60/70-R70</v>
      </c>
      <c r="C732" s="4">
        <v>111.1</v>
      </c>
      <c r="D732" s="9">
        <v>61.19388</v>
      </c>
    </row>
    <row r="733" spans="1:4" x14ac:dyDescent="0.25">
      <c r="A733" s="2" t="str">
        <f>"09182251008"</f>
        <v>09182251008</v>
      </c>
      <c r="B733" s="2" t="str">
        <f>"LPK 100MM D08 L60/70-R70"</f>
        <v>LPK 100MM D08 L60/70-R70</v>
      </c>
      <c r="C733" s="4">
        <v>111.1</v>
      </c>
      <c r="D733" s="9">
        <v>61.19388</v>
      </c>
    </row>
    <row r="734" spans="1:4" x14ac:dyDescent="0.25">
      <c r="A734" s="2" t="str">
        <f>"09182251010"</f>
        <v>09182251010</v>
      </c>
      <c r="B734" s="2" t="str">
        <f>"LPK 100MM D12 L60/70-R70"</f>
        <v>LPK 100MM D12 L60/70-R70</v>
      </c>
      <c r="C734" s="4">
        <v>111.1</v>
      </c>
      <c r="D734" s="9">
        <v>61.19388</v>
      </c>
    </row>
    <row r="735" spans="1:4" x14ac:dyDescent="0.25">
      <c r="A735" s="2" t="str">
        <f>"09182251013"</f>
        <v>09182251013</v>
      </c>
      <c r="B735" s="2" t="str">
        <f>"""LPK 100MM D12,7 L60/70-R70"""</f>
        <v>"LPK 100MM D12,7 L60/70-R70"</v>
      </c>
      <c r="C735" s="4">
        <v>112.19999999999999</v>
      </c>
      <c r="D735" s="9">
        <v>61.799759999999999</v>
      </c>
    </row>
    <row r="736" spans="1:4" x14ac:dyDescent="0.25">
      <c r="A736" s="2" t="str">
        <f>"09182252006"</f>
        <v>09182252006</v>
      </c>
      <c r="B736" s="2" t="str">
        <f>"LPK 200MM D06 L60/70-R70"</f>
        <v>LPK 200MM D06 L60/70-R70</v>
      </c>
      <c r="C736" s="4">
        <v>141.9</v>
      </c>
      <c r="D736" s="9">
        <v>78.15852000000001</v>
      </c>
    </row>
    <row r="737" spans="1:4" x14ac:dyDescent="0.25">
      <c r="A737" s="2" t="str">
        <f>"09182252008"</f>
        <v>09182252008</v>
      </c>
      <c r="B737" s="2" t="str">
        <f>"LPK 200MM D08 L60/70-R70"</f>
        <v>LPK 200MM D08 L60/70-R70</v>
      </c>
      <c r="C737" s="4">
        <v>141.9</v>
      </c>
      <c r="D737" s="9">
        <v>78.15852000000001</v>
      </c>
    </row>
    <row r="738" spans="1:4" x14ac:dyDescent="0.25">
      <c r="A738" s="2" t="str">
        <f>"09182252010"</f>
        <v>09182252010</v>
      </c>
      <c r="B738" s="2" t="str">
        <f>"LPK 200MM D10 L60/70-R70"</f>
        <v>LPK 200MM D10 L60/70-R70</v>
      </c>
      <c r="C738" s="4">
        <v>141.9</v>
      </c>
      <c r="D738" s="9">
        <v>78.15852000000001</v>
      </c>
    </row>
    <row r="739" spans="1:4" x14ac:dyDescent="0.25">
      <c r="A739" s="2" t="str">
        <f>"09182331008"</f>
        <v>09182331008</v>
      </c>
      <c r="B739" s="2" t="str">
        <f>"LPK 100MM D08 L100-130R100-130"</f>
        <v>LPK 100MM D08 L100-130R100-130</v>
      </c>
      <c r="C739" s="4">
        <v>128.1</v>
      </c>
      <c r="D739" s="9">
        <v>70.557480000000012</v>
      </c>
    </row>
    <row r="740" spans="1:4" x14ac:dyDescent="0.25">
      <c r="A740" s="2" t="str">
        <f>"09182331010"</f>
        <v>09182331010</v>
      </c>
      <c r="B740" s="2" t="str">
        <f>"LPK 100MM D10 L100-130-R100-130"</f>
        <v>LPK 100MM D10 L100-130-R100-130</v>
      </c>
      <c r="C740" s="4">
        <v>128.1</v>
      </c>
      <c r="D740" s="9">
        <v>70.557480000000012</v>
      </c>
    </row>
    <row r="741" spans="1:4" x14ac:dyDescent="0.25">
      <c r="A741" s="2" t="str">
        <f>"09182331012"</f>
        <v>09182331012</v>
      </c>
      <c r="B741" s="2" t="str">
        <f>"LPK 100MM D12 L100-130-R100-130"</f>
        <v>LPK 100MM D12 L100-130-R100-130</v>
      </c>
      <c r="C741" s="4">
        <v>128.1</v>
      </c>
      <c r="D741" s="9">
        <v>70.557480000000012</v>
      </c>
    </row>
    <row r="742" spans="1:4" x14ac:dyDescent="0.25">
      <c r="A742" s="2" t="str">
        <f>"09182331013"</f>
        <v>09182331013</v>
      </c>
      <c r="B742" s="2" t="str">
        <f>"LPK 100MM D12.7 L100-130-R100-130"</f>
        <v>LPK 100MM D12.7 L100-130-R100-130</v>
      </c>
      <c r="C742" s="4">
        <v>128.1</v>
      </c>
      <c r="D742" s="9">
        <v>70.557480000000012</v>
      </c>
    </row>
    <row r="743" spans="1:4" x14ac:dyDescent="0.25">
      <c r="A743" s="2" t="str">
        <f>"09182332008"</f>
        <v>09182332008</v>
      </c>
      <c r="B743" s="2" t="str">
        <f>"LPK 200MM D08 L100-130-R100-130"</f>
        <v>LPK 200MM D08 L100-130-R100-130</v>
      </c>
      <c r="C743" s="4">
        <v>170.1</v>
      </c>
      <c r="D743" s="9">
        <v>93.691080000000014</v>
      </c>
    </row>
    <row r="744" spans="1:4" x14ac:dyDescent="0.25">
      <c r="A744" s="2" t="str">
        <f>"09182332010"</f>
        <v>09182332010</v>
      </c>
      <c r="B744" s="2" t="str">
        <f>"LPK 200MM D10 L100-130-R100-130"</f>
        <v>LPK 200MM D10 L100-130-R100-130</v>
      </c>
      <c r="C744" s="4">
        <v>170.1</v>
      </c>
      <c r="D744" s="9">
        <v>93.691080000000014</v>
      </c>
    </row>
    <row r="745" spans="1:4" x14ac:dyDescent="0.25">
      <c r="A745" s="2" t="str">
        <f>"09182391510"</f>
        <v>09182391510</v>
      </c>
      <c r="B745" s="2" t="str">
        <f>"LPK 150MM D10 L165-180-R165-200"</f>
        <v>LPK 150MM D10 L165-180-R165-200</v>
      </c>
      <c r="C745" s="4">
        <v>158.6</v>
      </c>
      <c r="D745" s="9">
        <v>87.356880000000004</v>
      </c>
    </row>
    <row r="746" spans="1:4" x14ac:dyDescent="0.25">
      <c r="A746" s="2" t="str">
        <f>"09182391513"</f>
        <v>09182391513</v>
      </c>
      <c r="B746" s="2" t="str">
        <f>"LPK 150MM D12.7 L165-180-R165-200"</f>
        <v>LPK 150MM D12.7 L165-180-R165-200</v>
      </c>
      <c r="C746" s="4">
        <v>158.6</v>
      </c>
      <c r="D746" s="9">
        <v>87.356880000000004</v>
      </c>
    </row>
    <row r="747" spans="1:4" x14ac:dyDescent="0.25">
      <c r="A747" s="2" t="str">
        <f>"09182391514"</f>
        <v>09182391514</v>
      </c>
      <c r="B747" s="2" t="str">
        <f>"LP K 150MM D14 L165-180-R165-200"</f>
        <v>LP K 150MM D14 L165-180-R165-200</v>
      </c>
      <c r="C747" s="4">
        <v>158.6</v>
      </c>
      <c r="D747" s="9">
        <v>87.356880000000004</v>
      </c>
    </row>
    <row r="748" spans="1:4" x14ac:dyDescent="0.25">
      <c r="A748" s="2" t="str">
        <f>"09182392510"</f>
        <v>09182392510</v>
      </c>
      <c r="B748" s="2" t="str">
        <f>"LPK 250MM D10 L165-180-R165-200"</f>
        <v>LPK 250MM D10 L165-180-R165-200</v>
      </c>
      <c r="C748" s="4">
        <v>197.4</v>
      </c>
      <c r="D748" s="9">
        <v>108.72792000000001</v>
      </c>
    </row>
    <row r="749" spans="1:4" x14ac:dyDescent="0.25">
      <c r="A749" s="2" t="str">
        <f>"09182392512"</f>
        <v>09182392512</v>
      </c>
      <c r="B749" s="2" t="str">
        <f>"LPK 205MM D12 L165-180-R165-200"</f>
        <v>LPK 205MM D12 L165-180-R165-200</v>
      </c>
      <c r="C749" s="4">
        <v>197.4</v>
      </c>
      <c r="D749" s="9">
        <v>108.72792000000001</v>
      </c>
    </row>
    <row r="750" spans="1:4" x14ac:dyDescent="0.25">
      <c r="A750" s="2" t="str">
        <f>"09182392513"</f>
        <v>09182392513</v>
      </c>
      <c r="B750" s="2" t="str">
        <f>"LPK 250MM D12.7 L165-180-R165-200"</f>
        <v>LPK 250MM D12.7 L165-180-R165-200</v>
      </c>
      <c r="C750" s="4">
        <v>197.4</v>
      </c>
      <c r="D750" s="9">
        <v>108.72792000000001</v>
      </c>
    </row>
    <row r="751" spans="1:4" x14ac:dyDescent="0.25">
      <c r="A751" s="2" t="str">
        <f>"09182392514"</f>
        <v>09182392514</v>
      </c>
      <c r="B751" s="2" t="str">
        <f>"LPK 250MM D14 L165-180-R165-200"</f>
        <v>LPK 250MM D14 L165-180-R165-200</v>
      </c>
      <c r="C751" s="4">
        <v>197.4</v>
      </c>
      <c r="D751" s="9">
        <v>108.72792000000001</v>
      </c>
    </row>
    <row r="752" spans="1:4" x14ac:dyDescent="0.25">
      <c r="A752" s="2" t="str">
        <f>"09182392516"</f>
        <v>09182392516</v>
      </c>
      <c r="B752" s="2" t="str">
        <f>"LPK 250MM D16 L165-180-R165-200"</f>
        <v>LPK 250MM D16 L165-180-R165-200</v>
      </c>
      <c r="C752" s="4">
        <v>197.4</v>
      </c>
      <c r="D752" s="9">
        <v>108.72792000000001</v>
      </c>
    </row>
    <row r="753" spans="1:4" x14ac:dyDescent="0.25">
      <c r="A753" s="2" t="str">
        <f>"09182471512"</f>
        <v>09182471512</v>
      </c>
      <c r="B753" s="2" t="str">
        <f>"LPK 150MM D12 L200-290-R260-300"</f>
        <v>LPK 150MM D12 L200-290-R260-300</v>
      </c>
      <c r="C753" s="4">
        <v>235.9</v>
      </c>
      <c r="D753" s="9">
        <v>129.93371999999999</v>
      </c>
    </row>
    <row r="754" spans="1:4" x14ac:dyDescent="0.25">
      <c r="A754" s="2" t="str">
        <f>"09182471513"</f>
        <v>09182471513</v>
      </c>
      <c r="B754" s="2" t="str">
        <f>"LPK 150MM D12.7 L200-290-R260-300"</f>
        <v>LPK 150MM D12.7 L200-290-R260-300</v>
      </c>
      <c r="C754" s="4">
        <v>235.9</v>
      </c>
      <c r="D754" s="9">
        <v>129.93371999999999</v>
      </c>
    </row>
    <row r="755" spans="1:4" x14ac:dyDescent="0.25">
      <c r="A755" s="2" t="str">
        <f>"09182471514"</f>
        <v>09182471514</v>
      </c>
      <c r="B755" s="2" t="str">
        <f>"LPK 150MM D14 L200-290-R260-300"</f>
        <v>LPK 150MM D14 L200-290-R260-300</v>
      </c>
      <c r="C755" s="4">
        <v>235.9</v>
      </c>
      <c r="D755" s="9">
        <v>129.93371999999999</v>
      </c>
    </row>
    <row r="756" spans="1:4" x14ac:dyDescent="0.25">
      <c r="A756" s="2" t="str">
        <f>"09182471518"</f>
        <v>09182471518</v>
      </c>
      <c r="B756" s="2" t="str">
        <f>"LPK 150MM D18 L200-290-R260-300"</f>
        <v>LPK 150MM D18 L200-290-R260-300</v>
      </c>
      <c r="C756" s="4">
        <v>235.9</v>
      </c>
      <c r="D756" s="9">
        <v>129.93371999999999</v>
      </c>
    </row>
    <row r="757" spans="1:4" x14ac:dyDescent="0.25">
      <c r="A757" s="2" t="str">
        <f>"09182471519"</f>
        <v>09182471519</v>
      </c>
      <c r="B757" s="2" t="str">
        <f>"LPK 150MM D19 L200-290-R260-300"</f>
        <v>LPK 150MM D19 L200-290-R260-300</v>
      </c>
      <c r="C757" s="4">
        <v>235.9</v>
      </c>
      <c r="D757" s="9">
        <v>129.93371999999999</v>
      </c>
    </row>
    <row r="758" spans="1:4" x14ac:dyDescent="0.25">
      <c r="A758" s="2" t="str">
        <f>"09182471520"</f>
        <v>09182471520</v>
      </c>
      <c r="B758" s="2" t="str">
        <f>"LPK 150MM D20 L200-290-R260-300"</f>
        <v>LPK 150MM D20 L200-290-R260-300</v>
      </c>
      <c r="C758" s="4">
        <v>235.9</v>
      </c>
      <c r="D758" s="9">
        <v>129.93371999999999</v>
      </c>
    </row>
    <row r="759" spans="1:4" x14ac:dyDescent="0.25">
      <c r="A759" s="2" t="str">
        <f>"09182471522"</f>
        <v>09182471522</v>
      </c>
      <c r="B759" s="2" t="str">
        <f>"LPK 150MM D22 L200-290-R260-300"</f>
        <v>LPK 150MM D22 L200-290-R260-300</v>
      </c>
      <c r="C759" s="4">
        <v>235.9</v>
      </c>
      <c r="D759" s="9">
        <v>129.93371999999999</v>
      </c>
    </row>
    <row r="760" spans="1:4" x14ac:dyDescent="0.25">
      <c r="A760" s="2" t="str">
        <f>"09182471525"</f>
        <v>09182471525</v>
      </c>
      <c r="B760" s="2" t="str">
        <f>"LPK 150MM D25 L200-290-330-R260-300"</f>
        <v>LPK 150MM D25 L200-290-330-R260-300</v>
      </c>
      <c r="C760" s="4">
        <v>235.9</v>
      </c>
      <c r="D760" s="9">
        <v>129.93371999999999</v>
      </c>
    </row>
    <row r="761" spans="1:4" x14ac:dyDescent="0.25">
      <c r="A761" s="2" t="str">
        <f>"09182472512"</f>
        <v>09182472512</v>
      </c>
      <c r="B761" s="2" t="str">
        <f>"LPK 250MM D12 L200-290-R260-300"</f>
        <v>LPK 250MM D12 L200-290-R260-300</v>
      </c>
      <c r="C761" s="4">
        <v>339</v>
      </c>
      <c r="D761" s="9">
        <v>186.72120000000001</v>
      </c>
    </row>
    <row r="762" spans="1:4" x14ac:dyDescent="0.25">
      <c r="A762" s="2" t="str">
        <f>"09182472513"</f>
        <v>09182472513</v>
      </c>
      <c r="B762" s="2" t="str">
        <f>"LPK 250MM D12.7 L200-290-R260-300"</f>
        <v>LPK 250MM D12.7 L200-290-R260-300</v>
      </c>
      <c r="C762" s="4">
        <v>339</v>
      </c>
      <c r="D762" s="9">
        <v>186.72120000000001</v>
      </c>
    </row>
    <row r="763" spans="1:4" x14ac:dyDescent="0.25">
      <c r="A763" s="2" t="str">
        <f>"09182472514"</f>
        <v>09182472514</v>
      </c>
      <c r="B763" s="2" t="str">
        <f>"LPK 250MM D14 L200-290-R260-3000"</f>
        <v>LPK 250MM D14 L200-290-R260-3000</v>
      </c>
      <c r="C763" s="4">
        <v>339</v>
      </c>
      <c r="D763" s="9">
        <v>186.72120000000001</v>
      </c>
    </row>
    <row r="764" spans="1:4" x14ac:dyDescent="0.25">
      <c r="A764" s="2" t="str">
        <f>"09182472516"</f>
        <v>09182472516</v>
      </c>
      <c r="B764" s="2" t="str">
        <f>"LPK 250MM D16 L200-290-R260-300"</f>
        <v>LPK 250MM D16 L200-290-R260-300</v>
      </c>
      <c r="C764" s="4">
        <v>339</v>
      </c>
      <c r="D764" s="9">
        <v>186.72120000000001</v>
      </c>
    </row>
    <row r="765" spans="1:4" x14ac:dyDescent="0.25">
      <c r="A765" s="2" t="str">
        <f>"09182472518"</f>
        <v>09182472518</v>
      </c>
      <c r="B765" s="2" t="str">
        <f>"LPK 250MM D18 L200-290-R260-300"</f>
        <v>LPK 250MM D18 L200-290-R260-300</v>
      </c>
      <c r="C765" s="4">
        <v>339</v>
      </c>
      <c r="D765" s="9">
        <v>186.72120000000001</v>
      </c>
    </row>
    <row r="766" spans="1:4" x14ac:dyDescent="0.25">
      <c r="A766" s="2" t="str">
        <f>"09182472520"</f>
        <v>09182472520</v>
      </c>
      <c r="B766" s="2" t="str">
        <f>"LPK 250MM D20 L200-290-R260-300"</f>
        <v>LPK 250MM D20 L200-290-R260-300</v>
      </c>
      <c r="C766" s="4">
        <v>339</v>
      </c>
      <c r="D766" s="9">
        <v>186.72120000000001</v>
      </c>
    </row>
    <row r="767" spans="1:4" x14ac:dyDescent="0.25">
      <c r="A767" s="2" t="str">
        <f>"09182472522"</f>
        <v>09182472522</v>
      </c>
      <c r="B767" s="2" t="str">
        <f>"LPK 250MM D22 L200-290-R260-300"</f>
        <v>LPK 250MM D22 L200-290-R260-300</v>
      </c>
      <c r="C767" s="4">
        <v>339</v>
      </c>
      <c r="D767" s="9">
        <v>186.72120000000001</v>
      </c>
    </row>
    <row r="768" spans="1:4" x14ac:dyDescent="0.25">
      <c r="A768" s="2" t="str">
        <f>"09182473512"</f>
        <v>09182473512</v>
      </c>
      <c r="B768" s="2" t="str">
        <f>"LPK 350MM D12 L200-290-R260-300"</f>
        <v>LPK 350MM D12 L200-290-R260-300</v>
      </c>
      <c r="C768" s="4">
        <v>468.3</v>
      </c>
      <c r="D768" s="9">
        <v>257.93964</v>
      </c>
    </row>
    <row r="769" spans="1:4" x14ac:dyDescent="0.25">
      <c r="A769" s="2" t="str">
        <f>"09182473513"</f>
        <v>09182473513</v>
      </c>
      <c r="B769" s="2" t="str">
        <f>"LPK 350MM D12.7 L200-290-R260-300"</f>
        <v>LPK 350MM D12.7 L200-290-R260-300</v>
      </c>
      <c r="C769" s="4">
        <v>468.3</v>
      </c>
      <c r="D769" s="9">
        <v>257.93964</v>
      </c>
    </row>
    <row r="770" spans="1:4" x14ac:dyDescent="0.25">
      <c r="A770" s="2" t="str">
        <f>"09182473514"</f>
        <v>09182473514</v>
      </c>
      <c r="B770" s="2" t="str">
        <f>"LPK 350MM D14 L200-290-R260-300"</f>
        <v>LPK 350MM D14 L200-290-R260-300</v>
      </c>
      <c r="C770" s="4">
        <v>468.3</v>
      </c>
      <c r="D770" s="9">
        <v>257.93964</v>
      </c>
    </row>
    <row r="771" spans="1:4" x14ac:dyDescent="0.25">
      <c r="A771" s="2" t="str">
        <f>"09182473516"</f>
        <v>09182473516</v>
      </c>
      <c r="B771" s="2" t="str">
        <f>"LPK 350MM D16 L200-290-R260-300"</f>
        <v>LPK 350MM D16 L200-290-R260-300</v>
      </c>
      <c r="C771" s="4">
        <v>468.3</v>
      </c>
      <c r="D771" s="9">
        <v>257.93964</v>
      </c>
    </row>
    <row r="772" spans="1:4" x14ac:dyDescent="0.25">
      <c r="A772" s="2" t="str">
        <f>"09182473518"</f>
        <v>09182473518</v>
      </c>
      <c r="B772" s="2" t="str">
        <f>"LPK 350MM D18 L200-290-R260-300"</f>
        <v>LPK 350MM D18 L200-290-R260-300</v>
      </c>
      <c r="C772" s="4">
        <v>468.3</v>
      </c>
      <c r="D772" s="9">
        <v>257.93964</v>
      </c>
    </row>
    <row r="773" spans="1:4" x14ac:dyDescent="0.25">
      <c r="A773" s="2" t="str">
        <f>"09182473519"</f>
        <v>09182473519</v>
      </c>
      <c r="B773" s="2" t="str">
        <f>"LPK 350MM D19 L200-290-R260-300"</f>
        <v>LPK 350MM D19 L200-290-R260-300</v>
      </c>
      <c r="C773" s="4">
        <v>468.3</v>
      </c>
      <c r="D773" s="9">
        <v>257.93964</v>
      </c>
    </row>
    <row r="774" spans="1:4" x14ac:dyDescent="0.25">
      <c r="A774" s="2" t="str">
        <f>"09182473520"</f>
        <v>09182473520</v>
      </c>
      <c r="B774" s="2" t="str">
        <f>"LPK 350MM D20 L200-290-R260-300"</f>
        <v>LPK 350MM D20 L200-290-R260-300</v>
      </c>
      <c r="C774" s="4">
        <v>468.3</v>
      </c>
      <c r="D774" s="9">
        <v>257.93964</v>
      </c>
    </row>
    <row r="775" spans="1:4" x14ac:dyDescent="0.25">
      <c r="A775" s="2" t="str">
        <f>"09182473522"</f>
        <v>09182473522</v>
      </c>
      <c r="B775" s="2" t="str">
        <f>"LPK 350MM D22 L200-290-R260-300"</f>
        <v>LPK 350MM D22 L200-290-R260-300</v>
      </c>
      <c r="C775" s="4">
        <v>468.3</v>
      </c>
      <c r="D775" s="9">
        <v>257.93964</v>
      </c>
    </row>
    <row r="776" spans="1:4" x14ac:dyDescent="0.25">
      <c r="A776" s="2" t="str">
        <f>"09182531522"</f>
        <v>09182531522</v>
      </c>
      <c r="B776" s="2" t="str">
        <f>"LPK 150MM D22 L330"</f>
        <v>LPK 150MM D22 L330</v>
      </c>
      <c r="C776" s="4">
        <v>367.5</v>
      </c>
      <c r="D776" s="9">
        <v>202.41900000000001</v>
      </c>
    </row>
    <row r="777" spans="1:4" x14ac:dyDescent="0.25">
      <c r="A777" s="2" t="str">
        <f>"09182531525"</f>
        <v>09182531525</v>
      </c>
      <c r="B777" s="2" t="str">
        <f>"LPK 150MM D25 L330"</f>
        <v>LPK 150MM D25 L330</v>
      </c>
      <c r="C777" s="4">
        <v>367.5</v>
      </c>
      <c r="D777" s="9">
        <v>202.41900000000001</v>
      </c>
    </row>
    <row r="778" spans="1:4" x14ac:dyDescent="0.25">
      <c r="A778" s="2" t="str">
        <f>"09182531530"</f>
        <v>09182531530</v>
      </c>
      <c r="B778" s="2" t="str">
        <f>"LPK 150MM D30 L330"</f>
        <v>LPK 150MM D30 L330</v>
      </c>
      <c r="C778" s="4">
        <v>367.5</v>
      </c>
      <c r="D778" s="9">
        <v>202.41900000000001</v>
      </c>
    </row>
    <row r="779" spans="1:4" x14ac:dyDescent="0.25">
      <c r="A779" s="2" t="str">
        <f>"09182531531"</f>
        <v>09182531531</v>
      </c>
      <c r="B779" s="2" t="str">
        <f>"LPK 150MM D31.8 L330"</f>
        <v>LPK 150MM D31.8 L330</v>
      </c>
      <c r="C779" s="4">
        <v>367.5</v>
      </c>
      <c r="D779" s="9">
        <v>202.41900000000001</v>
      </c>
    </row>
    <row r="780" spans="1:4" x14ac:dyDescent="0.25">
      <c r="A780" s="2" t="str">
        <f>"09182532522"</f>
        <v>09182532522</v>
      </c>
      <c r="B780" s="2" t="str">
        <f>"LPK 250MM D22 L330"</f>
        <v>LPK 250MM D22 L330</v>
      </c>
      <c r="C780" s="4">
        <v>420.40000000000003</v>
      </c>
      <c r="D780" s="9">
        <v>231.55632000000008</v>
      </c>
    </row>
    <row r="781" spans="1:4" x14ac:dyDescent="0.25">
      <c r="A781" s="2" t="str">
        <f>"09182532525"</f>
        <v>09182532525</v>
      </c>
      <c r="B781" s="2" t="str">
        <f>"LPK 250MM D25 L330"</f>
        <v>LPK 250MM D25 L330</v>
      </c>
      <c r="C781" s="4">
        <v>420.40000000000003</v>
      </c>
      <c r="D781" s="9">
        <v>231.55632000000008</v>
      </c>
    </row>
    <row r="782" spans="1:4" x14ac:dyDescent="0.25">
      <c r="A782" s="2" t="str">
        <f>"09182532530"</f>
        <v>09182532530</v>
      </c>
      <c r="B782" s="2" t="str">
        <f>"LPK 250MM D30 L330"</f>
        <v>LPK 250MM D30 L330</v>
      </c>
      <c r="C782" s="4">
        <v>420.40000000000003</v>
      </c>
      <c r="D782" s="9">
        <v>231.55632000000008</v>
      </c>
    </row>
    <row r="783" spans="1:4" x14ac:dyDescent="0.25">
      <c r="A783" s="2" t="str">
        <f>"09182532531"</f>
        <v>09182532531</v>
      </c>
      <c r="B783" s="2" t="str">
        <f>"LPK 250MM D31.8 L330"</f>
        <v>LPK 250MM D31.8 L330</v>
      </c>
      <c r="C783" s="4">
        <v>420.40000000000003</v>
      </c>
      <c r="D783" s="9">
        <v>231.55632000000008</v>
      </c>
    </row>
    <row r="784" spans="1:4" x14ac:dyDescent="0.25">
      <c r="A784" s="2" t="str">
        <f>"09182533522"</f>
        <v>09182533522</v>
      </c>
      <c r="B784" s="2" t="str">
        <f>"LPK 350MM D22 L330"</f>
        <v>LPK 350MM D22 L330</v>
      </c>
      <c r="C784" s="4">
        <v>468.3</v>
      </c>
      <c r="D784" s="9">
        <v>257.93964</v>
      </c>
    </row>
    <row r="785" spans="1:4" x14ac:dyDescent="0.25">
      <c r="A785" s="2" t="str">
        <f>"09182533525"</f>
        <v>09182533525</v>
      </c>
      <c r="B785" s="2" t="str">
        <f>"LPK 350MM D25 L330"</f>
        <v>LPK 350MM D25 L330</v>
      </c>
      <c r="C785" s="4">
        <v>468.3</v>
      </c>
      <c r="D785" s="9">
        <v>257.93964</v>
      </c>
    </row>
    <row r="786" spans="1:4" x14ac:dyDescent="0.25">
      <c r="A786" s="2" t="str">
        <f>"09182533530"</f>
        <v>09182533530</v>
      </c>
      <c r="B786" s="2" t="str">
        <f>"LPK 350MM D30 L330"</f>
        <v>LPK 350MM D30 L330</v>
      </c>
      <c r="C786" s="4">
        <v>468.3</v>
      </c>
      <c r="D786" s="9">
        <v>257.93964</v>
      </c>
    </row>
    <row r="787" spans="1:4" x14ac:dyDescent="0.25">
      <c r="A787" s="2" t="str">
        <f>"09182533531"</f>
        <v>09182533531</v>
      </c>
      <c r="B787" s="2" t="str">
        <f>"LPK 350MM D31.8 L330"</f>
        <v>LPK 350MM D31.8 L330</v>
      </c>
      <c r="C787" s="4">
        <v>468.3</v>
      </c>
      <c r="D787" s="9">
        <v>257.93964</v>
      </c>
    </row>
    <row r="788" spans="1:4" x14ac:dyDescent="0.25">
      <c r="A788" s="2" t="str">
        <f>"09183110019"</f>
        <v>09183110019</v>
      </c>
      <c r="B788" s="2" t="str">
        <f>"LINK PLATE 100MM D19 L60-130 R70-130"</f>
        <v>LINK PLATE 100MM D19 L60-130 R70-130</v>
      </c>
      <c r="C788" s="4">
        <v>40.700000000000003</v>
      </c>
      <c r="D788" s="9">
        <v>22.417560000000005</v>
      </c>
    </row>
    <row r="789" spans="1:4" x14ac:dyDescent="0.25">
      <c r="A789" s="2" t="str">
        <f>"09183120019"</f>
        <v>09183120019</v>
      </c>
      <c r="B789" s="2" t="str">
        <f>"LINK PLATE 200MM D19 L60-130 R70-130"</f>
        <v>LINK PLATE 200MM D19 L60-130 R70-130</v>
      </c>
      <c r="C789" s="4">
        <v>58.300000000000004</v>
      </c>
      <c r="D789" s="9">
        <v>32.111640000000008</v>
      </c>
    </row>
    <row r="790" spans="1:4" x14ac:dyDescent="0.25">
      <c r="A790" s="2" t="str">
        <f>"09183315019"</f>
        <v>09183315019</v>
      </c>
      <c r="B790" s="2" t="str">
        <f>"LINK PLATE 150MM D20/165-180"</f>
        <v>LINK PLATE 150MM D20/165-180</v>
      </c>
      <c r="C790" s="4">
        <v>67.599999999999994</v>
      </c>
      <c r="D790" s="9">
        <v>37.234079999999999</v>
      </c>
    </row>
    <row r="791" spans="1:4" x14ac:dyDescent="0.25">
      <c r="A791" s="2" t="str">
        <f>"09183320019"</f>
        <v>09183320019</v>
      </c>
      <c r="B791" s="2" t="str">
        <f>"LINK PLATE 200MM D20/165-180"</f>
        <v>LINK PLATE 200MM D20/165-180</v>
      </c>
      <c r="C791" s="4">
        <v>86.199999999999989</v>
      </c>
      <c r="D791" s="9">
        <v>47.478960000000008</v>
      </c>
    </row>
    <row r="792" spans="1:4" x14ac:dyDescent="0.25">
      <c r="A792" s="2" t="str">
        <f>"09183325019"</f>
        <v>09183325019</v>
      </c>
      <c r="B792" s="2" t="str">
        <f>"LINK PLATE 250MM D20/165-180"</f>
        <v>LINK PLATE 250MM D20/165-180</v>
      </c>
      <c r="C792" s="4">
        <v>113.69999999999999</v>
      </c>
      <c r="D792" s="9">
        <v>62.625960000000006</v>
      </c>
    </row>
    <row r="793" spans="1:4" x14ac:dyDescent="0.25">
      <c r="A793" s="2" t="str">
        <f>"09183515015"</f>
        <v>09183515015</v>
      </c>
      <c r="B793" s="2" t="str">
        <f>"LINK PLATE 150MM/ 220-330-R260-300"</f>
        <v>LINK PLATE 150MM/ 220-330-R260-300</v>
      </c>
      <c r="C793" s="4">
        <v>98.3</v>
      </c>
      <c r="D793" s="9">
        <v>54.143640000000012</v>
      </c>
    </row>
    <row r="794" spans="1:4" x14ac:dyDescent="0.25">
      <c r="A794" s="2" t="str">
        <f>"09183515020"</f>
        <v>09183515020</v>
      </c>
      <c r="B794" s="2" t="str">
        <f>"LINK PLATE 150MM D26/200-230"</f>
        <v>LINK PLATE 150MM D26/200-230</v>
      </c>
      <c r="C794" s="4">
        <v>79.899999999999991</v>
      </c>
      <c r="D794" s="9">
        <v>44.008920000000003</v>
      </c>
    </row>
    <row r="795" spans="1:4" x14ac:dyDescent="0.25">
      <c r="A795" s="2" t="str">
        <f>"09183525015"</f>
        <v>09183525015</v>
      </c>
      <c r="B795" s="2" t="str">
        <f>"LINK PLATE 250MM/330"</f>
        <v>LINK PLATE 250MM/330</v>
      </c>
      <c r="C795" s="4">
        <v>177.7</v>
      </c>
      <c r="D795" s="9">
        <v>97.877160000000003</v>
      </c>
    </row>
    <row r="796" spans="1:4" x14ac:dyDescent="0.25">
      <c r="A796" s="2" t="str">
        <f>"09183525020"</f>
        <v>09183525020</v>
      </c>
      <c r="B796" s="2" t="str">
        <f>"LINK PLATE 250MM D26/200-330"</f>
        <v>LINK PLATE 250MM D26/200-330</v>
      </c>
      <c r="C796" s="4">
        <v>156.69999999999999</v>
      </c>
      <c r="D796" s="9">
        <v>86.310360000000003</v>
      </c>
    </row>
    <row r="797" spans="1:4" x14ac:dyDescent="0.25">
      <c r="A797" s="2" t="str">
        <f>"09183535015"</f>
        <v>09183535015</v>
      </c>
      <c r="B797" s="2" t="str">
        <f>"LINK PLATE 350MM/330"</f>
        <v>LINK PLATE 350MM/330</v>
      </c>
      <c r="C797" s="4">
        <v>302.8</v>
      </c>
      <c r="D797" s="9">
        <v>166.78224000000003</v>
      </c>
    </row>
    <row r="798" spans="1:4" x14ac:dyDescent="0.25">
      <c r="A798" s="2" t="str">
        <f>"09183535020"</f>
        <v>09183535020</v>
      </c>
      <c r="B798" s="2" t="str">
        <f>"LINK PLATE 350MM D26/200-330"</f>
        <v>LINK PLATE 350MM D26/200-330</v>
      </c>
      <c r="C798" s="4">
        <v>302.8</v>
      </c>
      <c r="D798" s="9">
        <v>166.78224000000003</v>
      </c>
    </row>
    <row r="799" spans="1:4" x14ac:dyDescent="0.25">
      <c r="A799" s="2" t="str">
        <f>"09184251008"</f>
        <v>09184251008</v>
      </c>
      <c r="B799" s="2" t="str">
        <f>"PIN LPK D08+BUSHINGS L60/70-R70"</f>
        <v>PIN LPK D08+BUSHINGS L60/70-R70</v>
      </c>
      <c r="C799" s="4">
        <v>47.1</v>
      </c>
      <c r="D799" s="9">
        <v>25.942680000000006</v>
      </c>
    </row>
    <row r="800" spans="1:4" x14ac:dyDescent="0.25">
      <c r="A800" s="2" t="str">
        <f>"09184251010"</f>
        <v>09184251010</v>
      </c>
      <c r="B800" s="2" t="str">
        <f>"PIN LPK D10+BUSHINGS L60/70-R70"</f>
        <v>PIN LPK D10+BUSHINGS L60/70-R70</v>
      </c>
      <c r="C800" s="4">
        <v>51.1</v>
      </c>
      <c r="D800" s="9">
        <v>28.145880000000005</v>
      </c>
    </row>
    <row r="801" spans="1:4" x14ac:dyDescent="0.25">
      <c r="A801" s="2" t="str">
        <f>"09184251012"</f>
        <v>09184251012</v>
      </c>
      <c r="B801" s="2" t="str">
        <f>"PIN LPK D12+BUSHINGS L60/70-R70"</f>
        <v>PIN LPK D12+BUSHINGS L60/70-R70</v>
      </c>
      <c r="C801" s="4">
        <v>55.6</v>
      </c>
      <c r="D801" s="9">
        <v>30.624480000000009</v>
      </c>
    </row>
    <row r="802" spans="1:4" x14ac:dyDescent="0.25">
      <c r="A802" s="2" t="str">
        <f>"09184251013"</f>
        <v>09184251013</v>
      </c>
      <c r="B802" s="2" t="str">
        <f>"""PIN LPK D12,7+BUSHINGS L60/70-R70"""</f>
        <v>"PIN LPK D12,7+BUSHINGS L60/70-R70"</v>
      </c>
      <c r="C802" s="4">
        <v>83</v>
      </c>
      <c r="D802" s="9">
        <v>45.716400000000007</v>
      </c>
    </row>
    <row r="803" spans="1:4" x14ac:dyDescent="0.25">
      <c r="A803" s="2" t="str">
        <f>"09184331008"</f>
        <v>09184331008</v>
      </c>
      <c r="B803" s="2" t="str">
        <f>"PIN LPK D08+BUSHINGS L-R100/130"</f>
        <v>PIN LPK D08+BUSHINGS L-R100/130</v>
      </c>
      <c r="C803" s="4">
        <v>46.5</v>
      </c>
      <c r="D803" s="9">
        <v>25.612200000000001</v>
      </c>
    </row>
    <row r="804" spans="1:4" x14ac:dyDescent="0.25">
      <c r="A804" s="2" t="str">
        <f>"09184331010"</f>
        <v>09184331010</v>
      </c>
      <c r="B804" s="2" t="str">
        <f>"PIN LPK D10+BUSHINGS L-R100/130"</f>
        <v>PIN LPK D10+BUSHINGS L-R100/130</v>
      </c>
      <c r="C804" s="4">
        <v>52.300000000000004</v>
      </c>
      <c r="D804" s="9">
        <v>28.806840000000012</v>
      </c>
    </row>
    <row r="805" spans="1:4" x14ac:dyDescent="0.25">
      <c r="A805" s="2" t="str">
        <f>"09184331013"</f>
        <v>09184331013</v>
      </c>
      <c r="B805" s="2" t="str">
        <f>"PIN LPK D12.7+BUSHINGS L-R100/130"</f>
        <v>PIN LPK D12.7+BUSHINGS L-R100/130</v>
      </c>
      <c r="C805" s="4">
        <v>82.6</v>
      </c>
      <c r="D805" s="9">
        <v>45.496079999999999</v>
      </c>
    </row>
    <row r="806" spans="1:4" x14ac:dyDescent="0.25">
      <c r="A806" s="2" t="str">
        <f>"09184391510"</f>
        <v>09184391510</v>
      </c>
      <c r="B806" s="2" t="str">
        <f>"PIN LPK D10+BUSHINGS L165/180+R165.200"</f>
        <v>PIN LPK D10+BUSHINGS L165/180+R165.200</v>
      </c>
      <c r="C806" s="4">
        <v>53.9</v>
      </c>
      <c r="D806" s="9">
        <v>29.688120000000001</v>
      </c>
    </row>
    <row r="807" spans="1:4" x14ac:dyDescent="0.25">
      <c r="A807" s="2" t="str">
        <f>"09184391512"</f>
        <v>09184391512</v>
      </c>
      <c r="B807" s="2" t="str">
        <f>"PIN LPK D12+BUSHINGS L165/180+R165/200"</f>
        <v>PIN LPK D12+BUSHINGS L165/180+R165/200</v>
      </c>
      <c r="C807" s="4">
        <v>68.099999999999994</v>
      </c>
      <c r="D807" s="9">
        <v>37.509480000000003</v>
      </c>
    </row>
    <row r="808" spans="1:4" x14ac:dyDescent="0.25">
      <c r="A808" s="2" t="str">
        <f>"09184391513"</f>
        <v>09184391513</v>
      </c>
      <c r="B808" s="2" t="str">
        <f>"PIN LPK D12.7+BUSHINGS L165/80+R165/200"</f>
        <v>PIN LPK D12.7+BUSHINGS L165/80+R165/200</v>
      </c>
      <c r="C808" s="4">
        <v>90.5</v>
      </c>
      <c r="D808" s="9">
        <v>49.847400000000007</v>
      </c>
    </row>
    <row r="809" spans="1:4" x14ac:dyDescent="0.25">
      <c r="A809" s="2" t="str">
        <f>"09184391514"</f>
        <v>09184391514</v>
      </c>
      <c r="B809" s="2" t="str">
        <f>"PIN LPK D14+BUSHINGS L165/180+R165/200"</f>
        <v>PIN LPK D14+BUSHINGS L165/180+R165/200</v>
      </c>
      <c r="C809" s="4">
        <v>112.5</v>
      </c>
      <c r="D809" s="9">
        <v>61.965000000000011</v>
      </c>
    </row>
    <row r="810" spans="1:4" x14ac:dyDescent="0.25">
      <c r="A810" s="2" t="str">
        <f>"09184471512"</f>
        <v>09184471512</v>
      </c>
      <c r="B810" s="2" t="str">
        <f>"PIN LPK D12+BUSHINGS L200/290+R260/300"</f>
        <v>PIN LPK D12+BUSHINGS L200/290+R260/300</v>
      </c>
      <c r="C810" s="4">
        <v>89.3</v>
      </c>
      <c r="D810" s="9">
        <v>49.186440000000005</v>
      </c>
    </row>
    <row r="811" spans="1:4" x14ac:dyDescent="0.25">
      <c r="A811" s="2" t="str">
        <f>"09184471513"</f>
        <v>09184471513</v>
      </c>
      <c r="B811" s="2" t="str">
        <f>"PIN LPK D12.7+BUSHINGS L200/290+R260/300"</f>
        <v>PIN LPK D12.7+BUSHINGS L200/290+R260/300</v>
      </c>
      <c r="C811" s="4">
        <v>116.19999999999999</v>
      </c>
      <c r="D811" s="9">
        <v>64.002959999999987</v>
      </c>
    </row>
    <row r="812" spans="1:4" x14ac:dyDescent="0.25">
      <c r="A812" s="2" t="str">
        <f>"09184471514"</f>
        <v>09184471514</v>
      </c>
      <c r="B812" s="2" t="str">
        <f>"PIN LPK D14+BUSHINGS L200/290-R260/300"</f>
        <v>PIN LPK D14+BUSHINGS L200/290-R260/300</v>
      </c>
      <c r="C812" s="4">
        <v>132.1</v>
      </c>
      <c r="D812" s="9">
        <v>72.760680000000008</v>
      </c>
    </row>
    <row r="813" spans="1:4" x14ac:dyDescent="0.25">
      <c r="A813" s="2" t="str">
        <f>"09184471516"</f>
        <v>09184471516</v>
      </c>
      <c r="B813" s="2" t="str">
        <f>"PIN LPK D16+BUSHINGS L200/290+R260/300"</f>
        <v>PIN LPK D16+BUSHINGS L200/290+R260/300</v>
      </c>
      <c r="C813" s="4">
        <v>148.1</v>
      </c>
      <c r="D813" s="9">
        <v>81.573480000000004</v>
      </c>
    </row>
    <row r="814" spans="1:4" x14ac:dyDescent="0.25">
      <c r="A814" s="2" t="str">
        <f>"09184471518"</f>
        <v>09184471518</v>
      </c>
      <c r="B814" s="2" t="str">
        <f>"PIN LPK D18+BUSHINGS L200/290-R260/300"</f>
        <v>PIN LPK D18+BUSHINGS L200/290-R260/300</v>
      </c>
      <c r="C814" s="4">
        <v>177.6</v>
      </c>
      <c r="D814" s="9">
        <v>97.822080000000014</v>
      </c>
    </row>
    <row r="815" spans="1:4" x14ac:dyDescent="0.25">
      <c r="A815" s="2" t="str">
        <f>"09184471520"</f>
        <v>09184471520</v>
      </c>
      <c r="B815" s="2" t="str">
        <f>"PIN LPK D20+BUSHINGS L200/290-R260/300"</f>
        <v>PIN LPK D20+BUSHINGS L200/290-R260/300</v>
      </c>
      <c r="C815" s="4">
        <v>229</v>
      </c>
      <c r="D815" s="9">
        <v>126.1332</v>
      </c>
    </row>
    <row r="816" spans="1:4" x14ac:dyDescent="0.25">
      <c r="A816" s="2" t="str">
        <f>"09184531522"</f>
        <v>09184531522</v>
      </c>
      <c r="B816" s="2" t="str">
        <f>"PIN LPK D22+BUSHINGS L330"</f>
        <v>PIN LPK D22+BUSHINGS L330</v>
      </c>
      <c r="C816" s="4">
        <v>251.1</v>
      </c>
      <c r="D816" s="9">
        <v>138.30588</v>
      </c>
    </row>
    <row r="817" spans="1:4" x14ac:dyDescent="0.25">
      <c r="A817" s="2" t="str">
        <f>"09184531525"</f>
        <v>09184531525</v>
      </c>
      <c r="B817" s="2" t="str">
        <f>"PIN LPK D25+BUSHINGS 60 L330"</f>
        <v>PIN LPK D25+BUSHINGS 60 L330</v>
      </c>
      <c r="C817" s="4">
        <v>251.1</v>
      </c>
      <c r="D817" s="9">
        <v>138.30588</v>
      </c>
    </row>
    <row r="818" spans="1:4" x14ac:dyDescent="0.25">
      <c r="A818" s="2" t="str">
        <f>"09184531526"</f>
        <v>09184531526</v>
      </c>
      <c r="B818" s="2" t="str">
        <f>"PIN LPK D25+BUSHINGS 63.5 L330"</f>
        <v>PIN LPK D25+BUSHINGS 63.5 L330</v>
      </c>
      <c r="C818" s="4">
        <v>273.40000000000003</v>
      </c>
      <c r="D818" s="9">
        <v>150.58872000000005</v>
      </c>
    </row>
    <row r="819" spans="1:4" x14ac:dyDescent="0.25">
      <c r="A819" s="2" t="str">
        <f>"09184531527"</f>
        <v>09184531527</v>
      </c>
      <c r="B819" s="2" t="str">
        <f>"PIN LPK D25+BUSHINGS 70 L330"</f>
        <v>PIN LPK D25+BUSHINGS 70 L330</v>
      </c>
      <c r="C819" s="4">
        <v>999.7</v>
      </c>
      <c r="D819" s="9">
        <v>550.63476000000003</v>
      </c>
    </row>
    <row r="820" spans="1:4" x14ac:dyDescent="0.25">
      <c r="A820" s="2" t="str">
        <f>"09184531528"</f>
        <v>09184531528</v>
      </c>
      <c r="B820" s="2" t="str">
        <f>"PIN LPK D28+BUSHINGS L330"</f>
        <v>PIN LPK D28+BUSHINGS L330</v>
      </c>
      <c r="C820" s="4">
        <v>390.1</v>
      </c>
      <c r="D820" s="9">
        <v>214.86708000000002</v>
      </c>
    </row>
    <row r="821" spans="1:4" x14ac:dyDescent="0.25">
      <c r="A821" s="2" t="str">
        <f>"09184531531"</f>
        <v>09184531531</v>
      </c>
      <c r="B821" s="2" t="str">
        <f>"PIN LPK D21+BUSHINGS L330"</f>
        <v>PIN LPK D21+BUSHINGS L330</v>
      </c>
      <c r="C821" s="4">
        <v>644.20000000000005</v>
      </c>
      <c r="D821" s="9">
        <v>354.82536000000005</v>
      </c>
    </row>
    <row r="822" spans="1:4" x14ac:dyDescent="0.25">
      <c r="A822" s="2" t="str">
        <f>"09190014041"</f>
        <v>09190014041</v>
      </c>
      <c r="B822" s="2" t="str">
        <f>"COMPLETE 2M R14 STD SECTION (FOR D6+7 MM"</f>
        <v>COMPLETE 2M R14 STD SECTION (FOR D6+7 MM</v>
      </c>
      <c r="C822" s="4">
        <v>188.2</v>
      </c>
      <c r="D822" s="9">
        <v>103.66056</v>
      </c>
    </row>
    <row r="823" spans="1:4" x14ac:dyDescent="0.25">
      <c r="A823" s="2" t="str">
        <f>"09190025040"</f>
        <v>09190025040</v>
      </c>
      <c r="B823" s="2" t="str">
        <f>"COMPLETE 2M SX25 STD SECTION D4MM FOREST"</f>
        <v>COMPLETE 2M SX25 STD SECTION D4MM FOREST</v>
      </c>
      <c r="C823" s="4">
        <v>185.6</v>
      </c>
      <c r="D823" s="9">
        <v>102.22848</v>
      </c>
    </row>
    <row r="824" spans="1:4" x14ac:dyDescent="0.25">
      <c r="A824" s="2" t="str">
        <f>"09190025041"</f>
        <v>09190025041</v>
      </c>
      <c r="B824" s="2" t="str">
        <f>"COMPLETE 2M SX25 STD SECTION D5+6MM FORE"</f>
        <v>COMPLETE 2M SX25 STD SECTION D5+6MM FORE</v>
      </c>
      <c r="C824" s="4">
        <v>185.6</v>
      </c>
      <c r="D824" s="9">
        <v>102.22848</v>
      </c>
    </row>
    <row r="825" spans="1:4" x14ac:dyDescent="0.25">
      <c r="A825" s="2" t="str">
        <f>"09190033040"</f>
        <v>09190033040</v>
      </c>
      <c r="B825" s="2" t="str">
        <f>"COMPLETE 2M SX33 STD SECTION (FOR D5 MM"</f>
        <v>COMPLETE 2M SX33 STD SECTION (FOR D5 MM</v>
      </c>
      <c r="C825" s="4">
        <v>208.9</v>
      </c>
      <c r="D825" s="9">
        <v>115.06212000000002</v>
      </c>
    </row>
    <row r="826" spans="1:4" x14ac:dyDescent="0.25">
      <c r="A826" s="2" t="str">
        <f>"09190033041"</f>
        <v>09190033041</v>
      </c>
      <c r="B826" s="2" t="str">
        <f>"COMPLETE 2M SX33 STD SECTION (FOR D6+7 M"</f>
        <v>COMPLETE 2M SX33 STD SECTION (FOR D6+7 M</v>
      </c>
      <c r="C826" s="4">
        <v>208.9</v>
      </c>
      <c r="D826" s="9">
        <v>115.06212000000002</v>
      </c>
    </row>
    <row r="827" spans="1:4" x14ac:dyDescent="0.25">
      <c r="A827" s="2" t="str">
        <f>"09190039041"</f>
        <v>09190039041</v>
      </c>
      <c r="B827" s="2" t="str">
        <f>"COMPLETE 2M SX39 STD SECTION (FOR D10 MM"</f>
        <v>COMPLETE 2M SX39 STD SECTION (FOR D10 MM</v>
      </c>
      <c r="C827" s="4">
        <v>294.60000000000002</v>
      </c>
      <c r="D827" s="9">
        <v>162.26568000000003</v>
      </c>
    </row>
    <row r="828" spans="1:4" x14ac:dyDescent="0.25">
      <c r="A828" s="2" t="str">
        <f>"09190039042"</f>
        <v>09190039042</v>
      </c>
      <c r="B828" s="2" t="str">
        <f>"COMPLETE 2M SX39 STD SECTION (FOR D12 MM"</f>
        <v>COMPLETE 2M SX39 STD SECTION (FOR D12 MM</v>
      </c>
      <c r="C828" s="4">
        <v>294.60000000000002</v>
      </c>
      <c r="D828" s="9">
        <v>162.26568000000003</v>
      </c>
    </row>
    <row r="829" spans="1:4" x14ac:dyDescent="0.25">
      <c r="A829" s="2" t="str">
        <f>"09190047041"</f>
        <v>09190047041</v>
      </c>
      <c r="B829" s="2" t="str">
        <f>"COMPLETE 2M SX47 STD SECTION (FOR D12 MM"</f>
        <v>COMPLETE 2M SX47 STD SECTION (FOR D12 MM</v>
      </c>
      <c r="C829" s="4">
        <v>355.90000000000003</v>
      </c>
      <c r="D829" s="9">
        <v>196.02972000000003</v>
      </c>
    </row>
    <row r="830" spans="1:4" x14ac:dyDescent="0.25">
      <c r="A830" s="2" t="str">
        <f>"09190047042"</f>
        <v>09190047042</v>
      </c>
      <c r="B830" s="2" t="str">
        <f>"COMPLETE 2M SX47 STD SECTION (FOR D14 MM"</f>
        <v>COMPLETE 2M SX47 STD SECTION (FOR D14 MM</v>
      </c>
      <c r="C830" s="4">
        <v>355.90000000000003</v>
      </c>
      <c r="D830" s="9">
        <v>196.02972000000003</v>
      </c>
    </row>
    <row r="831" spans="1:4" x14ac:dyDescent="0.25">
      <c r="A831" s="2" t="str">
        <f>"09190047043"</f>
        <v>09190047043</v>
      </c>
      <c r="B831" s="2" t="str">
        <f>"COMPLETE 2M SX47 STD SECTION (FOR D16 MM"</f>
        <v>COMPLETE 2M SX47 STD SECTION (FOR D16 MM</v>
      </c>
      <c r="C831" s="4">
        <v>355.90000000000003</v>
      </c>
      <c r="D831" s="9">
        <v>196.02972000000003</v>
      </c>
    </row>
    <row r="832" spans="1:4" x14ac:dyDescent="0.25">
      <c r="A832" s="2" t="str">
        <f>"09190053041"</f>
        <v>09190053041</v>
      </c>
      <c r="B832" s="2" t="str">
        <f>"COMPLETE 2M SX53 STD SECTION (FOR D14 MM"</f>
        <v>COMPLETE 2M SX53 STD SECTION (FOR D14 MM</v>
      </c>
      <c r="C832" s="4">
        <v>452.90000000000003</v>
      </c>
      <c r="D832" s="9">
        <v>249.45732000000007</v>
      </c>
    </row>
    <row r="833" spans="1:4" x14ac:dyDescent="0.25">
      <c r="A833" s="2" t="str">
        <f>"09190053042"</f>
        <v>09190053042</v>
      </c>
      <c r="B833" s="2" t="str">
        <f>"COMPLETE 2M SX53 STD SECTION (FOR D16 MM"</f>
        <v>COMPLETE 2M SX53 STD SECTION (FOR D16 MM</v>
      </c>
      <c r="C833" s="4">
        <v>452.90000000000003</v>
      </c>
      <c r="D833" s="9">
        <v>249.45732000000007</v>
      </c>
    </row>
    <row r="834" spans="1:4" x14ac:dyDescent="0.25">
      <c r="A834" s="2" t="str">
        <f>"09190053043"</f>
        <v>09190053043</v>
      </c>
      <c r="B834" s="2" t="str">
        <f>"COMPLETE 2M SX53 STD SECTION (FOR D19 MM"</f>
        <v>COMPLETE 2M SX53 STD SECTION (FOR D19 MM</v>
      </c>
      <c r="C834" s="4">
        <v>452.90000000000003</v>
      </c>
      <c r="D834" s="9">
        <v>249.45732000000007</v>
      </c>
    </row>
    <row r="835" spans="1:4" x14ac:dyDescent="0.25">
      <c r="A835" s="2" t="str">
        <f>"09190053044"</f>
        <v>09190053044</v>
      </c>
      <c r="B835" s="2" t="str">
        <f>"COMPLETE 2M SX53 STD SECTION (FOR D20 MM"</f>
        <v>COMPLETE 2M SX53 STD SECTION (FOR D20 MM</v>
      </c>
      <c r="C835" s="4">
        <v>452.90000000000003</v>
      </c>
      <c r="D835" s="9">
        <v>249.45732000000007</v>
      </c>
    </row>
    <row r="836" spans="1:4" x14ac:dyDescent="0.25">
      <c r="A836" s="2" t="str">
        <f>"09190053045"</f>
        <v>09190053045</v>
      </c>
      <c r="B836" s="2" t="str">
        <f>"COMPLETE 2M SX53 STD SECTION (FOR D22 MM"</f>
        <v>COMPLETE 2M SX53 STD SECTION (FOR D22 MM</v>
      </c>
      <c r="C836" s="4">
        <v>452.90000000000003</v>
      </c>
      <c r="D836" s="9">
        <v>249.45732000000007</v>
      </c>
    </row>
    <row r="837" spans="1:4" x14ac:dyDescent="0.25">
      <c r="A837" s="2" t="str">
        <f>"09190114040"</f>
        <v>09190114040</v>
      </c>
      <c r="B837" s="2" t="str">
        <f>"COMPLETE 1M R14 STD SECTION (FOR D4+5 MM"</f>
        <v>COMPLETE 1M R14 STD SECTION (FOR D4+5 MM</v>
      </c>
      <c r="C837" s="4">
        <v>94.199999999999989</v>
      </c>
      <c r="D837" s="9">
        <v>51.885359999999999</v>
      </c>
    </row>
    <row r="838" spans="1:4" x14ac:dyDescent="0.25">
      <c r="A838" s="2" t="str">
        <f>"09190114041"</f>
        <v>09190114041</v>
      </c>
      <c r="B838" s="2" t="str">
        <f>"COMPLETE 1M R14 STD SECTION (FOR D6+7 MM"</f>
        <v>COMPLETE 1M R14 STD SECTION (FOR D6+7 MM</v>
      </c>
      <c r="C838" s="4">
        <v>94.199999999999989</v>
      </c>
      <c r="D838" s="9">
        <v>51.885359999999999</v>
      </c>
    </row>
    <row r="839" spans="1:4" x14ac:dyDescent="0.25">
      <c r="A839" s="2" t="str">
        <f>"09190124040"</f>
        <v>09190124040</v>
      </c>
      <c r="B839" s="2" t="str">
        <f>"COMPLETE 1M R24 STD SECTION (FOR D6+7+8"</f>
        <v>COMPLETE 1M R24 STD SECTION (FOR D6+7+8</v>
      </c>
      <c r="C839" s="4">
        <v>106.39999999999999</v>
      </c>
      <c r="D839" s="9">
        <v>58.605120000000014</v>
      </c>
    </row>
    <row r="840" spans="1:4" x14ac:dyDescent="0.25">
      <c r="A840" s="2" t="str">
        <f>"09190125041"</f>
        <v>09190125041</v>
      </c>
      <c r="B840" s="2" t="str">
        <f>"COMPLETE 1M SX25 STD SECTION (FOR D5+6 M"</f>
        <v>COMPLETE 1M SX25 STD SECTION (FOR D5+6 M</v>
      </c>
      <c r="C840" s="4">
        <v>90.199999999999989</v>
      </c>
      <c r="D840" s="9">
        <v>49.682159999999996</v>
      </c>
    </row>
    <row r="841" spans="1:4" x14ac:dyDescent="0.25">
      <c r="A841" s="2" t="str">
        <f>"09190126040"</f>
        <v>09190126040</v>
      </c>
      <c r="B841" s="2" t="str">
        <f>"COMPLETE 1M R26 STD SECTION (FOR D8 MM F"</f>
        <v>COMPLETE 1M R26 STD SECTION (FOR D8 MM F</v>
      </c>
      <c r="C841" s="4">
        <v>127.6</v>
      </c>
      <c r="D841" s="9">
        <v>70.282080000000008</v>
      </c>
    </row>
    <row r="842" spans="1:4" x14ac:dyDescent="0.25">
      <c r="A842" s="2" t="str">
        <f>"09190126041"</f>
        <v>09190126041</v>
      </c>
      <c r="B842" s="2" t="str">
        <f>"COMPLETE 1M R26 STD SECTION (FOR D10+11"</f>
        <v>COMPLETE 1M R26 STD SECTION (FOR D10+11</v>
      </c>
      <c r="C842" s="4">
        <v>127.6</v>
      </c>
      <c r="D842" s="9">
        <v>70.282080000000008</v>
      </c>
    </row>
    <row r="843" spans="1:4" x14ac:dyDescent="0.25">
      <c r="A843" s="2" t="str">
        <f>"09190133040"</f>
        <v>09190133040</v>
      </c>
      <c r="B843" s="2" t="str">
        <f>"COMPLETE 1M SX33 STD SECTION (FOR D5 MM"</f>
        <v>COMPLETE 1M SX33 STD SECTION (FOR D5 MM</v>
      </c>
      <c r="C843" s="4">
        <v>101.5</v>
      </c>
      <c r="D843" s="9">
        <v>55.906200000000013</v>
      </c>
    </row>
    <row r="844" spans="1:4" x14ac:dyDescent="0.25">
      <c r="A844" s="2" t="str">
        <f>"09190133041"</f>
        <v>09190133041</v>
      </c>
      <c r="B844" s="2" t="str">
        <f>"COMPLETE 1M SX33 STD SECTION (FOR D6+7 M"</f>
        <v>COMPLETE 1M SX33 STD SECTION (FOR D6+7 M</v>
      </c>
      <c r="C844" s="4">
        <v>101.5</v>
      </c>
      <c r="D844" s="9">
        <v>55.906200000000013</v>
      </c>
    </row>
    <row r="845" spans="1:4" x14ac:dyDescent="0.25">
      <c r="A845" s="2" t="str">
        <f>"09190134040"</f>
        <v>09190134040</v>
      </c>
      <c r="B845" s="2" t="str">
        <f>"COMPLETE 1M R34 STD SECTION (FOR D10+11"</f>
        <v>COMPLETE 1M R34 STD SECTION (FOR D10+11</v>
      </c>
      <c r="C845" s="4">
        <v>191.4</v>
      </c>
      <c r="D845" s="9">
        <v>105.42312000000003</v>
      </c>
    </row>
    <row r="846" spans="1:4" x14ac:dyDescent="0.25">
      <c r="A846" s="2" t="str">
        <f>"09190134041"</f>
        <v>09190134041</v>
      </c>
      <c r="B846" s="2" t="str">
        <f>"COMPLETE 1M R14 STD SECTION (FOR D12.7 M"</f>
        <v>COMPLETE 1M R14 STD SECTION (FOR D12.7 M</v>
      </c>
      <c r="C846" s="4">
        <v>191.4</v>
      </c>
      <c r="D846" s="9">
        <v>105.42312000000003</v>
      </c>
    </row>
    <row r="847" spans="1:4" x14ac:dyDescent="0.25">
      <c r="A847" s="2" t="str">
        <f>"09190139040"</f>
        <v>09190139040</v>
      </c>
      <c r="B847" s="2" t="str">
        <f>"SX39 1M SECTION ONLY"</f>
        <v>SX39 1M SECTION ONLY</v>
      </c>
      <c r="C847" s="4">
        <v>143.1</v>
      </c>
      <c r="D847" s="9">
        <v>78.819480000000013</v>
      </c>
    </row>
    <row r="848" spans="1:4" x14ac:dyDescent="0.25">
      <c r="A848" s="2" t="str">
        <f>"09190139041"</f>
        <v>09190139041</v>
      </c>
      <c r="B848" s="2" t="str">
        <f>"COMPLETE 1M SX39 STD SECTION (FOR D10 MM"</f>
        <v>COMPLETE 1M SX39 STD SECTION (FOR D10 MM</v>
      </c>
      <c r="C848" s="4">
        <v>143.1</v>
      </c>
      <c r="D848" s="9">
        <v>78.819480000000013</v>
      </c>
    </row>
    <row r="849" spans="1:4" x14ac:dyDescent="0.25">
      <c r="A849" s="2" t="str">
        <f>"09190139042"</f>
        <v>09190139042</v>
      </c>
      <c r="B849" s="2" t="str">
        <f>"COMPLETE 1M SX39 STD SECTION (FOR D12 MM"</f>
        <v>COMPLETE 1M SX39 STD SECTION (FOR D12 MM</v>
      </c>
      <c r="C849" s="4">
        <v>143.1</v>
      </c>
      <c r="D849" s="9">
        <v>78.819480000000013</v>
      </c>
    </row>
    <row r="850" spans="1:4" x14ac:dyDescent="0.25">
      <c r="A850" s="2" t="str">
        <f>"09190147041"</f>
        <v>09190147041</v>
      </c>
      <c r="B850" s="2" t="str">
        <f>"COMPLETE 1M R14 STD SECTION (FOR D12 MM"</f>
        <v>COMPLETE 1M R14 STD SECTION (FOR D12 MM</v>
      </c>
      <c r="C850" s="4">
        <v>172.79999999999998</v>
      </c>
      <c r="D850" s="9">
        <v>95.178239999999988</v>
      </c>
    </row>
    <row r="851" spans="1:4" x14ac:dyDescent="0.25">
      <c r="A851" s="2" t="str">
        <f>"09190147042"</f>
        <v>09190147042</v>
      </c>
      <c r="B851" s="2" t="str">
        <f>"COMPLETE 1M SX39 STD SECTION (FOR D14 MM"</f>
        <v>COMPLETE 1M SX39 STD SECTION (FOR D14 MM</v>
      </c>
      <c r="C851" s="4">
        <v>172.79999999999998</v>
      </c>
      <c r="D851" s="9">
        <v>95.178239999999988</v>
      </c>
    </row>
    <row r="852" spans="1:4" x14ac:dyDescent="0.25">
      <c r="A852" s="2" t="str">
        <f>"09190147043"</f>
        <v>09190147043</v>
      </c>
      <c r="B852" s="2" t="str">
        <f>"COMPLETE 1M SX47 STD SECTION (FOR D16 MM"</f>
        <v>COMPLETE 1M SX47 STD SECTION (FOR D16 MM</v>
      </c>
      <c r="C852" s="4">
        <v>172.79999999999998</v>
      </c>
      <c r="D852" s="9">
        <v>95.178239999999988</v>
      </c>
    </row>
    <row r="853" spans="1:4" x14ac:dyDescent="0.25">
      <c r="A853" s="2" t="str">
        <f>"09190153041"</f>
        <v>09190153041</v>
      </c>
      <c r="B853" s="2" t="str">
        <f>"SX53 1M SECTION ONLY"</f>
        <v>SX53 1M SECTION ONLY</v>
      </c>
      <c r="C853" s="4">
        <v>219.9</v>
      </c>
      <c r="D853" s="9">
        <v>121.12092</v>
      </c>
    </row>
    <row r="854" spans="1:4" x14ac:dyDescent="0.25">
      <c r="A854" s="2" t="str">
        <f>"09190153042"</f>
        <v>09190153042</v>
      </c>
      <c r="B854" s="2" t="str">
        <f>"COMPLETE 1M SX53 STD SECTION (FOR D16 MM"</f>
        <v>COMPLETE 1M SX53 STD SECTION (FOR D16 MM</v>
      </c>
      <c r="C854" s="4">
        <v>219.9</v>
      </c>
      <c r="D854" s="9">
        <v>121.12092</v>
      </c>
    </row>
    <row r="855" spans="1:4" x14ac:dyDescent="0.25">
      <c r="A855" s="2" t="str">
        <f>"09190153043"</f>
        <v>09190153043</v>
      </c>
      <c r="B855" s="2" t="str">
        <f>"COMPLETE 1M SX53 STD SECTION (FOR D19 MM"</f>
        <v>COMPLETE 1M SX53 STD SECTION (FOR D19 MM</v>
      </c>
      <c r="C855" s="4">
        <v>219.9</v>
      </c>
      <c r="D855" s="9">
        <v>121.12092</v>
      </c>
    </row>
    <row r="856" spans="1:4" x14ac:dyDescent="0.25">
      <c r="A856" s="2" t="str">
        <f>"09190153044"</f>
        <v>09190153044</v>
      </c>
      <c r="B856" s="2" t="str">
        <f>"COMPLETE 1M SX53 STD SECTION (FOR D20 MM"</f>
        <v>COMPLETE 1M SX53 STD SECTION (FOR D20 MM</v>
      </c>
      <c r="C856" s="4">
        <v>219.9</v>
      </c>
      <c r="D856" s="9">
        <v>121.12092</v>
      </c>
    </row>
    <row r="857" spans="1:4" x14ac:dyDescent="0.25">
      <c r="A857" s="2" t="str">
        <f>"09190153045"</f>
        <v>09190153045</v>
      </c>
      <c r="B857" s="2" t="str">
        <f>"COMPLETE 1M SX53 STD SECTION (FOR D22 MM"</f>
        <v>COMPLETE 1M SX53 STD SECTION (FOR D22 MM</v>
      </c>
      <c r="C857" s="4">
        <v>219.9</v>
      </c>
      <c r="D857" s="9">
        <v>121.12092</v>
      </c>
    </row>
    <row r="858" spans="1:4" x14ac:dyDescent="0.25">
      <c r="A858" s="2" t="str">
        <f>"09192014030"</f>
        <v>09192014030</v>
      </c>
      <c r="B858" s="2" t="str">
        <f>"R14 CONNECTOR + SCREWS"</f>
        <v>R14 CONNECTOR + SCREWS</v>
      </c>
      <c r="C858" s="4">
        <v>57.300000000000004</v>
      </c>
      <c r="D858" s="9">
        <v>31.560840000000006</v>
      </c>
    </row>
    <row r="859" spans="1:4" x14ac:dyDescent="0.25">
      <c r="A859" s="2" t="str">
        <f>"09192026030"</f>
        <v>09192026030</v>
      </c>
      <c r="B859" s="2" t="str">
        <f>"R26 CONNECTOR + SCREWS"</f>
        <v>R26 CONNECTOR + SCREWS</v>
      </c>
      <c r="C859" s="4">
        <v>81.399999999999991</v>
      </c>
      <c r="D859" s="9">
        <v>44.835120000000003</v>
      </c>
    </row>
    <row r="860" spans="1:4" x14ac:dyDescent="0.25">
      <c r="A860" s="2" t="str">
        <f>"09192034030"</f>
        <v>09192034030</v>
      </c>
      <c r="B860" s="2" t="str">
        <f>"R34 CONNECTOR + SCREWS"</f>
        <v>R34 CONNECTOR + SCREWS</v>
      </c>
      <c r="C860" s="4">
        <v>104.19999999999999</v>
      </c>
      <c r="D860" s="9">
        <v>57.393359999999994</v>
      </c>
    </row>
    <row r="861" spans="1:4" x14ac:dyDescent="0.25">
      <c r="A861" s="2" t="str">
        <f>"09192047030"</f>
        <v>09192047030</v>
      </c>
      <c r="B861" s="2" t="str">
        <f>"SX47 CONNECTOR + SCREWS"</f>
        <v>SX47 CONNECTOR + SCREWS</v>
      </c>
      <c r="C861" s="4">
        <v>102.19999999999999</v>
      </c>
      <c r="D861" s="9">
        <v>56.291759999999996</v>
      </c>
    </row>
    <row r="862" spans="1:4" x14ac:dyDescent="0.25">
      <c r="A862" s="2" t="str">
        <f>"09195025060"</f>
        <v>09195025060</v>
      </c>
      <c r="B862" s="2" t="str">
        <f>"D6MM STD PIN + BUSHINGS L60-70/R70"</f>
        <v>D6MM STD PIN + BUSHINGS L60-70/R70</v>
      </c>
      <c r="C862" s="4">
        <v>32.300000000000004</v>
      </c>
      <c r="D862" s="9">
        <v>17.790840000000006</v>
      </c>
    </row>
    <row r="863" spans="1:4" x14ac:dyDescent="0.25">
      <c r="A863" s="2" t="str">
        <f>"09195025080"</f>
        <v>09195025080</v>
      </c>
      <c r="B863" s="2" t="str">
        <f>"D8MM STD PIN + BUSHINGS L60-70/R70"</f>
        <v>D8MM STD PIN + BUSHINGS L60-70/R70</v>
      </c>
      <c r="C863" s="4">
        <v>37.800000000000004</v>
      </c>
      <c r="D863" s="9">
        <v>20.820240000000005</v>
      </c>
    </row>
    <row r="864" spans="1:4" x14ac:dyDescent="0.25">
      <c r="A864" s="2" t="str">
        <f>"09195025100"</f>
        <v>09195025100</v>
      </c>
      <c r="B864" s="2" t="str">
        <f>"D10MM STD PIN + BUSHINGS L60-70/R70"</f>
        <v>D10MM STD PIN + BUSHINGS L60-70/R70</v>
      </c>
      <c r="C864" s="4">
        <v>44</v>
      </c>
      <c r="D864" s="9">
        <v>24.235200000000003</v>
      </c>
    </row>
    <row r="865" spans="1:4" x14ac:dyDescent="0.25">
      <c r="A865" s="2" t="str">
        <f>"09195025120"</f>
        <v>09195025120</v>
      </c>
      <c r="B865" s="2" t="str">
        <f>"D12MM STD PIN + BUSHINGS L60-70/R70"</f>
        <v>D12MM STD PIN + BUSHINGS L60-70/R70</v>
      </c>
      <c r="C865" s="4">
        <v>54.800000000000004</v>
      </c>
      <c r="D865" s="9">
        <v>30.183840000000004</v>
      </c>
    </row>
    <row r="866" spans="1:4" x14ac:dyDescent="0.25">
      <c r="A866" s="2" t="str">
        <f>"09195025130"</f>
        <v>09195025130</v>
      </c>
      <c r="B866" s="2" t="str">
        <f>"""D12,7M STD PIN + BUSHINGS L60-70/R70"""</f>
        <v>"D12,7M STD PIN + BUSHINGS L60-70/R70"</v>
      </c>
      <c r="C866" s="4">
        <v>77.199999999999989</v>
      </c>
      <c r="D866" s="9">
        <v>42.521759999999993</v>
      </c>
    </row>
    <row r="867" spans="1:4" x14ac:dyDescent="0.25">
      <c r="A867" s="2" t="str">
        <f>"09195033080"</f>
        <v>09195033080</v>
      </c>
      <c r="B867" s="2" t="str">
        <f>"D08MM STD PIN + BUSHINGS L100-130/R100-1"</f>
        <v>D08MM STD PIN + BUSHINGS L100-130/R100-1</v>
      </c>
      <c r="C867" s="4">
        <v>35.300000000000004</v>
      </c>
      <c r="D867" s="9">
        <v>19.443240000000003</v>
      </c>
    </row>
    <row r="868" spans="1:4" x14ac:dyDescent="0.25">
      <c r="A868" s="2" t="str">
        <f>"09195033100"</f>
        <v>09195033100</v>
      </c>
      <c r="B868" s="2" t="str">
        <f>"D10MM STD PIN + BUSHINGS L100-130/R100-1"</f>
        <v>D10MM STD PIN + BUSHINGS L100-130/R100-1</v>
      </c>
      <c r="C868" s="4">
        <v>42.800000000000004</v>
      </c>
      <c r="D868" s="9">
        <v>23.574240000000007</v>
      </c>
    </row>
    <row r="869" spans="1:4" x14ac:dyDescent="0.25">
      <c r="A869" s="2" t="str">
        <f>"09195033120"</f>
        <v>09195033120</v>
      </c>
      <c r="B869" s="2" t="str">
        <f>"D12MM STD PIN + BUSHINGS L100-130/R100-1"</f>
        <v>D12MM STD PIN + BUSHINGS L100-130/R100-1</v>
      </c>
      <c r="C869" s="4">
        <v>51.5</v>
      </c>
      <c r="D869" s="9">
        <v>28.366200000000003</v>
      </c>
    </row>
    <row r="870" spans="1:4" x14ac:dyDescent="0.25">
      <c r="A870" s="2" t="str">
        <f>"09195033130"</f>
        <v>09195033130</v>
      </c>
      <c r="B870" s="2" t="str">
        <f>"D12.7MM STD PIN + BUSHINGS L100-130/R100"</f>
        <v>D12.7MM STD PIN + BUSHINGS L100-130/R100</v>
      </c>
      <c r="C870" s="4">
        <v>88.5</v>
      </c>
      <c r="D870" s="9">
        <v>48.74580000000001</v>
      </c>
    </row>
    <row r="871" spans="1:4" x14ac:dyDescent="0.25">
      <c r="A871" s="2" t="str">
        <f>"09195039100"</f>
        <v>09195039100</v>
      </c>
      <c r="B871" s="2" t="str">
        <f>"D10MM STD PIN + BUSHINGS L165-180/R165-2"</f>
        <v>D10MM STD PIN + BUSHINGS L165-180/R165-2</v>
      </c>
      <c r="C871" s="4">
        <v>52.6</v>
      </c>
      <c r="D871" s="9">
        <v>28.972080000000002</v>
      </c>
    </row>
    <row r="872" spans="1:4" x14ac:dyDescent="0.25">
      <c r="A872" s="2" t="str">
        <f>"09195039120"</f>
        <v>09195039120</v>
      </c>
      <c r="B872" s="2" t="str">
        <f>"D12MM STD PIN + BUSHINGS L165-180/R165-2"</f>
        <v>D12MM STD PIN + BUSHINGS L165-180/R165-2</v>
      </c>
      <c r="C872" s="4">
        <v>62.4</v>
      </c>
      <c r="D872" s="9">
        <v>34.36992</v>
      </c>
    </row>
    <row r="873" spans="1:4" x14ac:dyDescent="0.25">
      <c r="A873" s="2" t="str">
        <f>"09195039130"</f>
        <v>09195039130</v>
      </c>
      <c r="B873" s="2" t="str">
        <f>"D12.7MM STD PIN + BUSHINGS L165-180/R165"</f>
        <v>D12.7MM STD PIN + BUSHINGS L165-180/R165</v>
      </c>
      <c r="C873" s="4">
        <v>88.5</v>
      </c>
      <c r="D873" s="9">
        <v>48.74580000000001</v>
      </c>
    </row>
    <row r="874" spans="1:4" x14ac:dyDescent="0.25">
      <c r="A874" s="2" t="str">
        <f>"09195039140"</f>
        <v>09195039140</v>
      </c>
      <c r="B874" s="2" t="str">
        <f>"D14MM STD PIN + BUSHINGS L165-180/R165-2"</f>
        <v>D14MM STD PIN + BUSHINGS L165-180/R165-2</v>
      </c>
      <c r="C874" s="4">
        <v>95.199999999999989</v>
      </c>
      <c r="D874" s="9">
        <v>52.436159999999994</v>
      </c>
    </row>
    <row r="875" spans="1:4" x14ac:dyDescent="0.25">
      <c r="A875" s="2" t="str">
        <f>"09195039160"</f>
        <v>09195039160</v>
      </c>
      <c r="B875" s="2" t="str">
        <f>"D16MM STD PIN + BUSHINGS L165-180/R165-2"</f>
        <v>D16MM STD PIN + BUSHINGS L165-180/R165-2</v>
      </c>
      <c r="C875" s="4">
        <v>116.39999999999999</v>
      </c>
      <c r="D875" s="9">
        <v>64.113120000000009</v>
      </c>
    </row>
    <row r="876" spans="1:4" x14ac:dyDescent="0.25">
      <c r="A876" s="2" t="str">
        <f>"09195047120"</f>
        <v>09195047120</v>
      </c>
      <c r="B876" s="2" t="str">
        <f>"D12MM STD PIN + BUSHINGS L200"</f>
        <v>D12MM STD PIN + BUSHINGS L200</v>
      </c>
      <c r="C876" s="4">
        <v>72.099999999999994</v>
      </c>
      <c r="D876" s="9">
        <v>39.712679999999999</v>
      </c>
    </row>
    <row r="877" spans="1:4" x14ac:dyDescent="0.25">
      <c r="A877" s="2" t="str">
        <f>"09195047130"</f>
        <v>09195047130</v>
      </c>
      <c r="B877" s="2" t="str">
        <f>"D12.7MM STD PIN + BUSHINGS L200"</f>
        <v>D12.7MM STD PIN + BUSHINGS L200</v>
      </c>
      <c r="C877" s="4">
        <v>84</v>
      </c>
      <c r="D877" s="9">
        <v>46.26720000000001</v>
      </c>
    </row>
    <row r="878" spans="1:4" x14ac:dyDescent="0.25">
      <c r="A878" s="2" t="str">
        <f>"09195047140"</f>
        <v>09195047140</v>
      </c>
      <c r="B878" s="2" t="str">
        <f>"D14MM STD PIN + BUSHINGS L200"</f>
        <v>D14MM STD PIN + BUSHINGS L200</v>
      </c>
      <c r="C878" s="4">
        <v>92.199999999999989</v>
      </c>
      <c r="D878" s="9">
        <v>50.783760000000001</v>
      </c>
    </row>
    <row r="879" spans="1:4" x14ac:dyDescent="0.25">
      <c r="A879" s="2" t="str">
        <f>"09195047160"</f>
        <v>09195047160</v>
      </c>
      <c r="B879" s="2" t="str">
        <f>"D16MM STD PIN + BUSHINGS L200-330/R260-3"</f>
        <v>D16MM STD PIN + BUSHINGS L200-330/R260-3</v>
      </c>
      <c r="C879" s="4">
        <v>95.5</v>
      </c>
      <c r="D879" s="9">
        <v>52.601399999999998</v>
      </c>
    </row>
    <row r="880" spans="1:4" x14ac:dyDescent="0.25">
      <c r="A880" s="2" t="str">
        <f>"09195047190"</f>
        <v>09195047190</v>
      </c>
      <c r="B880" s="2" t="str">
        <f>"D19MM STD PIN + BUSHINGS L200-330/R260-3"</f>
        <v>D19MM STD PIN + BUSHINGS L200-330/R260-3</v>
      </c>
      <c r="C880" s="4">
        <v>200.9</v>
      </c>
      <c r="D880" s="9">
        <v>110.65572000000003</v>
      </c>
    </row>
    <row r="881" spans="1:4" x14ac:dyDescent="0.25">
      <c r="A881" s="2" t="str">
        <f>"09195047200"</f>
        <v>09195047200</v>
      </c>
      <c r="B881" s="2" t="str">
        <f>"D20MM STD PIN + BUSHINGS L200-330/R260-3"</f>
        <v>D20MM STD PIN + BUSHINGS L200-330/R260-3</v>
      </c>
      <c r="C881" s="4">
        <v>222</v>
      </c>
      <c r="D881" s="9">
        <v>122.27760000000001</v>
      </c>
    </row>
    <row r="882" spans="1:4" x14ac:dyDescent="0.25">
      <c r="A882" s="2" t="str">
        <f>"09196014040"</f>
        <v>09196014040</v>
      </c>
      <c r="B882" s="2" t="str">
        <f>"OLD R14 BUSHING D4+5 MM FORESTAY"</f>
        <v>OLD R14 BUSHING D4+5 MM FORESTAY</v>
      </c>
      <c r="C882" s="4">
        <v>12.1</v>
      </c>
      <c r="D882" s="9">
        <v>6.6646799999999997</v>
      </c>
    </row>
    <row r="883" spans="1:4" x14ac:dyDescent="0.25">
      <c r="A883" s="2" t="str">
        <f>"09196014060"</f>
        <v>09196014060</v>
      </c>
      <c r="B883" s="2" t="str">
        <f>"R14 BUSHING FORESTAY DIAM. 6+7 MM"</f>
        <v>R14 BUSHING FORESTAY DIAM. 6+7 MM</v>
      </c>
      <c r="C883" s="4">
        <v>12.1</v>
      </c>
      <c r="D883" s="9">
        <v>6.6646799999999997</v>
      </c>
    </row>
    <row r="884" spans="1:4" x14ac:dyDescent="0.25">
      <c r="A884" s="2" t="str">
        <f>"09196024060"</f>
        <v>09196024060</v>
      </c>
      <c r="B884" s="2" t="str">
        <f>"R24 BUSHING D6+7+8MM FORESTAY"</f>
        <v>R24 BUSHING D6+7+8MM FORESTAY</v>
      </c>
      <c r="C884" s="4">
        <v>18.700000000000003</v>
      </c>
      <c r="D884" s="9">
        <v>10.299960000000004</v>
      </c>
    </row>
    <row r="885" spans="1:4" x14ac:dyDescent="0.25">
      <c r="A885" s="2" t="str">
        <f>"09196025050"</f>
        <v>09196025050</v>
      </c>
      <c r="B885" s="2" t="str">
        <f>"SX25 BUSHING D7 FORESTAY D5+6 MM"</f>
        <v>SX25 BUSHING D7 FORESTAY D5+6 MM</v>
      </c>
      <c r="C885" s="4">
        <v>11.299999999999999</v>
      </c>
      <c r="D885" s="9">
        <v>6.2240400000000005</v>
      </c>
    </row>
    <row r="886" spans="1:4" x14ac:dyDescent="0.25">
      <c r="A886" s="2" t="str">
        <f>"09196026080"</f>
        <v>09196026080</v>
      </c>
      <c r="B886" s="2" t="str">
        <f>"R26 BUSHING D10.5 FORESTAY D8+9 MM"</f>
        <v>R26 BUSHING D10.5 FORESTAY D8+9 MM</v>
      </c>
      <c r="C886" s="4">
        <v>23</v>
      </c>
      <c r="D886" s="9">
        <v>12.6684</v>
      </c>
    </row>
    <row r="887" spans="1:4" x14ac:dyDescent="0.25">
      <c r="A887" s="2" t="str">
        <f>"09196026100"</f>
        <v>09196026100</v>
      </c>
      <c r="B887" s="2" t="str">
        <f>"R26 BUSHING D12.5 FORESTAY D10+11.1"</f>
        <v>R26 BUSHING D12.5 FORESTAY D10+11.1</v>
      </c>
      <c r="C887" s="4">
        <v>23</v>
      </c>
      <c r="D887" s="9">
        <v>12.6684</v>
      </c>
    </row>
    <row r="888" spans="1:4" x14ac:dyDescent="0.25">
      <c r="A888" s="2" t="str">
        <f>"09196033050"</f>
        <v>09196033050</v>
      </c>
      <c r="B888" s="2" t="str">
        <f>"SX33 D6.5 BUSHING/FORESTAY D5"</f>
        <v>SX33 D6.5 BUSHING/FORESTAY D5</v>
      </c>
      <c r="C888" s="4">
        <v>12.7</v>
      </c>
      <c r="D888" s="9">
        <v>6.9951600000000012</v>
      </c>
    </row>
    <row r="889" spans="1:4" x14ac:dyDescent="0.25">
      <c r="A889" s="2" t="str">
        <f>"09196033070"</f>
        <v>09196033070</v>
      </c>
      <c r="B889" s="2" t="str">
        <f>"SX33 BUSHING D8/FORESTAY D6+7"</f>
        <v>SX33 BUSHING D8/FORESTAY D6+7</v>
      </c>
      <c r="C889" s="4">
        <v>12.7</v>
      </c>
      <c r="D889" s="9">
        <v>6.9951600000000012</v>
      </c>
    </row>
    <row r="890" spans="1:4" x14ac:dyDescent="0.25">
      <c r="A890" s="2" t="str">
        <f>"09196039100"</f>
        <v>09196039100</v>
      </c>
      <c r="B890" s="2" t="str">
        <f>"SX39 BUSHING/FORESTAY D10 MM"</f>
        <v>SX39 BUSHING/FORESTAY D10 MM</v>
      </c>
      <c r="C890" s="4">
        <v>14.7</v>
      </c>
      <c r="D890" s="9">
        <v>8.0967600000000015</v>
      </c>
    </row>
    <row r="891" spans="1:4" x14ac:dyDescent="0.25">
      <c r="A891" s="2" t="str">
        <f>"09196039120"</f>
        <v>09196039120</v>
      </c>
      <c r="B891" s="2" t="str">
        <f>"SX39 BUSHING/FORESTAY D12 MM ."</f>
        <v>SX39 BUSHING/FORESTAY D12 MM .</v>
      </c>
      <c r="C891" s="4">
        <v>14.7</v>
      </c>
      <c r="D891" s="9">
        <v>8.0967600000000015</v>
      </c>
    </row>
    <row r="892" spans="1:4" x14ac:dyDescent="0.25">
      <c r="A892" s="2" t="str">
        <f>"09196047080"</f>
        <v>09196047080</v>
      </c>
      <c r="B892" s="2" t="str">
        <f>"SX47 BUSHING/FORESTAY D10 MM"</f>
        <v>SX47 BUSHING/FORESTAY D10 MM</v>
      </c>
      <c r="C892" s="4">
        <v>24.700000000000003</v>
      </c>
      <c r="D892" s="9">
        <v>13.604760000000002</v>
      </c>
    </row>
    <row r="893" spans="1:4" x14ac:dyDescent="0.25">
      <c r="A893" s="2" t="str">
        <f>"09196047090"</f>
        <v>09196047090</v>
      </c>
      <c r="B893" s="2" t="str">
        <f>"SX47 BUSHING/FORESTAY D8+9.52 ."</f>
        <v>SX47 BUSHING/FORESTAY D8+9.52 .</v>
      </c>
      <c r="C893" s="4">
        <v>24.700000000000003</v>
      </c>
      <c r="D893" s="9">
        <v>13.604760000000002</v>
      </c>
    </row>
    <row r="894" spans="1:4" x14ac:dyDescent="0.25">
      <c r="A894" s="2" t="str">
        <f>"09196047120"</f>
        <v>09196047120</v>
      </c>
      <c r="B894" s="2" t="str">
        <f>"SX47 BUSHING/FORESTAY D12MM"</f>
        <v>SX47 BUSHING/FORESTAY D12MM</v>
      </c>
      <c r="C894" s="4">
        <v>24.700000000000003</v>
      </c>
      <c r="D894" s="9">
        <v>13.604760000000002</v>
      </c>
    </row>
    <row r="895" spans="1:4" x14ac:dyDescent="0.25">
      <c r="A895" s="2" t="str">
        <f>"09196047140"</f>
        <v>09196047140</v>
      </c>
      <c r="B895" s="2" t="str">
        <f>"SX47 BUSHING/FORESTAY D14MM"</f>
        <v>SX47 BUSHING/FORESTAY D14MM</v>
      </c>
      <c r="C895" s="4">
        <v>24.700000000000003</v>
      </c>
      <c r="D895" s="9">
        <v>13.604760000000002</v>
      </c>
    </row>
    <row r="896" spans="1:4" x14ac:dyDescent="0.25">
      <c r="A896" s="2" t="str">
        <f>"09196047160"</f>
        <v>09196047160</v>
      </c>
      <c r="B896" s="2" t="str">
        <f>"SX47 BUSHING/FORESTAY D16 MM"</f>
        <v>SX47 BUSHING/FORESTAY D16 MM</v>
      </c>
      <c r="C896" s="4">
        <v>24.700000000000003</v>
      </c>
      <c r="D896" s="9">
        <v>13.604760000000002</v>
      </c>
    </row>
    <row r="897" spans="1:4" x14ac:dyDescent="0.25">
      <c r="A897" s="2" t="str">
        <f>"09196053130"</f>
        <v>09196053130</v>
      </c>
      <c r="B897" s="2" t="str">
        <f>"SX53 BUSHING/FORESTAY D12.7MM"</f>
        <v>SX53 BUSHING/FORESTAY D12.7MM</v>
      </c>
      <c r="C897" s="4">
        <v>44.9</v>
      </c>
      <c r="D897" s="9">
        <v>24.730920000000001</v>
      </c>
    </row>
    <row r="898" spans="1:4" x14ac:dyDescent="0.25">
      <c r="A898" s="2" t="str">
        <f>"09196053140"</f>
        <v>09196053140</v>
      </c>
      <c r="B898" s="2" t="str">
        <f>"SX53 BUSHING/FORESTAY D14MM"</f>
        <v>SX53 BUSHING/FORESTAY D14MM</v>
      </c>
      <c r="C898" s="4">
        <v>44.9</v>
      </c>
      <c r="D898" s="9">
        <v>24.730920000000001</v>
      </c>
    </row>
    <row r="899" spans="1:4" x14ac:dyDescent="0.25">
      <c r="A899" s="2" t="str">
        <f>"09196053160"</f>
        <v>09196053160</v>
      </c>
      <c r="B899" s="2" t="str">
        <f>"SX53 BUSHING/FORESTAY D16MM ."</f>
        <v>SX53 BUSHING/FORESTAY D16MM .</v>
      </c>
      <c r="C899" s="4">
        <v>44.9</v>
      </c>
      <c r="D899" s="9">
        <v>24.730920000000001</v>
      </c>
    </row>
    <row r="900" spans="1:4" x14ac:dyDescent="0.25">
      <c r="A900" s="2" t="str">
        <f>"09196053190"</f>
        <v>09196053190</v>
      </c>
      <c r="B900" s="2" t="str">
        <f>"SX53 BUSHING/FORESTAY D18/19MM"</f>
        <v>SX53 BUSHING/FORESTAY D18/19MM</v>
      </c>
      <c r="C900" s="4">
        <v>44.9</v>
      </c>
      <c r="D900" s="9">
        <v>24.730920000000001</v>
      </c>
    </row>
    <row r="901" spans="1:4" x14ac:dyDescent="0.25">
      <c r="A901" s="2" t="str">
        <f>"09196053200"</f>
        <v>09196053200</v>
      </c>
      <c r="B901" s="2" t="str">
        <f>"SX53 BUSHING/FORESTAY D20MM"</f>
        <v>SX53 BUSHING/FORESTAY D20MM</v>
      </c>
      <c r="C901" s="4">
        <v>44.9</v>
      </c>
      <c r="D901" s="9">
        <v>24.730920000000001</v>
      </c>
    </row>
    <row r="902" spans="1:4" x14ac:dyDescent="0.25">
      <c r="A902" s="2" t="str">
        <f>"09213110041"</f>
        <v>09213110041</v>
      </c>
      <c r="B902" s="2" t="str">
        <f>"COMPLT NOSE+TBK DRUM FD190 SX25"</f>
        <v>COMPLT NOSE+TBK DRUM FD190 SX25</v>
      </c>
      <c r="C902" s="4">
        <v>5015</v>
      </c>
      <c r="D902" s="9">
        <v>2762.2620000000002</v>
      </c>
    </row>
    <row r="903" spans="1:4" x14ac:dyDescent="0.25">
      <c r="A903" s="2" t="str">
        <f>"09213190040"</f>
        <v>09213190040</v>
      </c>
      <c r="B903" s="2" t="str">
        <f>"COMPLT NOSE+TBK DRUM FD190R24 STANDARD K"</f>
        <v>COMPLT NOSE+TBK DRUM FD190R24 STANDARD K</v>
      </c>
      <c r="C903" s="4">
        <v>7549.2000000000007</v>
      </c>
      <c r="D903" s="9">
        <v>4158.0993600000011</v>
      </c>
    </row>
    <row r="904" spans="1:4" x14ac:dyDescent="0.25">
      <c r="A904" s="2" t="str">
        <f>"09213190041"</f>
        <v>09213190041</v>
      </c>
      <c r="B904" s="2" t="str">
        <f>"COMPLT NOSE+TBK DRUM FD190 SX33"</f>
        <v>COMPLT NOSE+TBK DRUM FD190 SX33</v>
      </c>
      <c r="C904" s="4">
        <v>7535.2000000000007</v>
      </c>
      <c r="D904" s="9">
        <v>4150.3881600000004</v>
      </c>
    </row>
    <row r="905" spans="1:4" x14ac:dyDescent="0.25">
      <c r="A905" s="2" t="str">
        <f>"09213230040"</f>
        <v>09213230040</v>
      </c>
      <c r="B905" s="2" t="str">
        <f>"COMPLT NOSE+TBK DRUM FD230 R26 STANDARD"</f>
        <v>COMPLT NOSE+TBK DRUM FD230 R26 STANDARD</v>
      </c>
      <c r="C905" s="4">
        <v>7525.3</v>
      </c>
      <c r="D905" s="9">
        <v>4144.9352400000007</v>
      </c>
    </row>
    <row r="906" spans="1:4" x14ac:dyDescent="0.25">
      <c r="A906" s="2" t="str">
        <f>"09213230041"</f>
        <v>09213230041</v>
      </c>
      <c r="B906" s="2" t="str">
        <f>"COMPLT NOSE+TBK DRUM FD230 SX39"</f>
        <v>COMPLT NOSE+TBK DRUM FD230 SX39</v>
      </c>
      <c r="C906" s="4">
        <v>7519.3</v>
      </c>
      <c r="D906" s="9">
        <v>4141.6304400000008</v>
      </c>
    </row>
    <row r="907" spans="1:4" x14ac:dyDescent="0.25">
      <c r="A907" s="2" t="str">
        <f>"09213310060"</f>
        <v>09213310060</v>
      </c>
      <c r="B907" s="2" t="str">
        <f>"COMPLT STD NOSE DRUM FD310 R34"</f>
        <v>COMPLT STD NOSE DRUM FD310 R34</v>
      </c>
      <c r="C907" s="4">
        <v>4129.7000000000007</v>
      </c>
      <c r="D907" s="9">
        <v>2274.6387600000012</v>
      </c>
    </row>
    <row r="908" spans="1:4" x14ac:dyDescent="0.25">
      <c r="A908" s="2" t="str">
        <f>"09213310061"</f>
        <v>09213310061</v>
      </c>
      <c r="B908" s="2" t="str">
        <f>"COMPLT STD NOSE DRUM FD280 SX47"</f>
        <v>COMPLT STD NOSE DRUM FD280 SX47</v>
      </c>
      <c r="C908" s="4">
        <v>4129.7000000000007</v>
      </c>
      <c r="D908" s="9">
        <v>2274.6387600000012</v>
      </c>
    </row>
    <row r="909" spans="1:4" x14ac:dyDescent="0.25">
      <c r="A909" s="2" t="str">
        <f>"09220110110"</f>
        <v>09220110110</v>
      </c>
      <c r="B909" s="2" t="str">
        <f>"R14FD110DRUMKIT+FL+LP05PIN10 REPLACEMT O"</f>
        <v>R14FD110DRUMKIT+FL+LP05PIN10 REPLACEMT O</v>
      </c>
      <c r="C909" s="4">
        <v>2105.9</v>
      </c>
      <c r="D909" s="9">
        <v>1159.9297200000003</v>
      </c>
    </row>
    <row r="910" spans="1:4" x14ac:dyDescent="0.25">
      <c r="A910" s="2" t="str">
        <f>"09220110112"</f>
        <v>09220110112</v>
      </c>
      <c r="B910" s="2" t="str">
        <f>"R14FD110DRUMKIT+FL+LP05PIN12 REPLACEMT O"</f>
        <v>R14FD110DRUMKIT+FL+LP05PIN12 REPLACEMT O</v>
      </c>
      <c r="C910" s="4">
        <v>2105.9</v>
      </c>
      <c r="D910" s="9">
        <v>1159.9297200000003</v>
      </c>
    </row>
    <row r="911" spans="1:4" x14ac:dyDescent="0.25">
      <c r="A911" s="2" t="str">
        <f>"09220110208"</f>
        <v>09220110208</v>
      </c>
      <c r="B911" s="2" t="str">
        <f>"SX25FD090DRUMKIT+FL+LP05PIN08 REPLACEMT"</f>
        <v>SX25FD090DRUMKIT+FL+LP05PIN08 REPLACEMT</v>
      </c>
      <c r="C911" s="4">
        <v>2105.9</v>
      </c>
      <c r="D911" s="9">
        <v>1159.9297200000003</v>
      </c>
    </row>
    <row r="912" spans="1:4" x14ac:dyDescent="0.25">
      <c r="A912" s="2" t="str">
        <f>"09220110210"</f>
        <v>09220110210</v>
      </c>
      <c r="B912" s="2" t="str">
        <f>"SX25FD090DRUMKIT+FL+LP05PIN10 REPLACEMT"</f>
        <v>SX25FD090DRUMKIT+FL+LP05PIN10 REPLACEMT</v>
      </c>
      <c r="C912" s="4">
        <v>2105.9</v>
      </c>
      <c r="D912" s="9">
        <v>1159.9297200000003</v>
      </c>
    </row>
    <row r="913" spans="1:4" x14ac:dyDescent="0.25">
      <c r="A913" s="2" t="str">
        <f>"09220190110"</f>
        <v>09220190110</v>
      </c>
      <c r="B913" s="2" t="str">
        <f>"R24FD190DRUMKIT+FL+LP06PIN10 REPLACEMT O"</f>
        <v>R24FD190DRUMKIT+FL+LP06PIN10 REPLACEMT O</v>
      </c>
      <c r="C913" s="4">
        <v>2463.4</v>
      </c>
      <c r="D913" s="9">
        <v>1356.8407200000001</v>
      </c>
    </row>
    <row r="914" spans="1:4" x14ac:dyDescent="0.25">
      <c r="A914" s="2" t="str">
        <f>"09220190112"</f>
        <v>09220190112</v>
      </c>
      <c r="B914" s="2" t="str">
        <f>"R24FD190DRUMKIT+FL+LP06PIN12 REPLACEMT O"</f>
        <v>R24FD190DRUMKIT+FL+LP06PIN12 REPLACEMT O</v>
      </c>
      <c r="C914" s="4">
        <v>2463.4</v>
      </c>
      <c r="D914" s="9">
        <v>1356.8407200000001</v>
      </c>
    </row>
    <row r="915" spans="1:4" x14ac:dyDescent="0.25">
      <c r="A915" s="2" t="str">
        <f>"09220190113"</f>
        <v>09220190113</v>
      </c>
      <c r="B915" s="2" t="str">
        <f>"R24FD190DRUMKIT+FL+LP06PIN12.7 REPLACEMT"</f>
        <v>R24FD190DRUMKIT+FL+LP06PIN12.7 REPLACEMT</v>
      </c>
      <c r="C915" s="4">
        <v>2463.4</v>
      </c>
      <c r="D915" s="9">
        <v>1356.8407200000001</v>
      </c>
    </row>
    <row r="916" spans="1:4" x14ac:dyDescent="0.25">
      <c r="A916" s="2" t="str">
        <f>"09220190114"</f>
        <v>09220190114</v>
      </c>
      <c r="B916" s="2" t="str">
        <f>"R24FD190DRUMKIT+FL+LP06PIN14 REPLACEMT O"</f>
        <v>R24FD190DRUMKIT+FL+LP06PIN14 REPLACEMT O</v>
      </c>
      <c r="C916" s="4">
        <v>2463.4</v>
      </c>
      <c r="D916" s="9">
        <v>1356.8407200000001</v>
      </c>
    </row>
    <row r="917" spans="1:4" x14ac:dyDescent="0.25">
      <c r="A917" s="2" t="str">
        <f>"09220190116"</f>
        <v>09220190116</v>
      </c>
      <c r="B917" s="2" t="str">
        <f>"R24FD190DRUMKIT+FL+LP06PIN16 REPLACEMT O"</f>
        <v>R24FD190DRUMKIT+FL+LP06PIN16 REPLACEMT O</v>
      </c>
      <c r="C917" s="4">
        <v>2463.4</v>
      </c>
      <c r="D917" s="9">
        <v>1356.8407200000001</v>
      </c>
    </row>
    <row r="918" spans="1:4" x14ac:dyDescent="0.25">
      <c r="A918" s="2" t="str">
        <f>"09220190210"</f>
        <v>09220190210</v>
      </c>
      <c r="B918" s="2" t="str">
        <f>"SX33FD170DRUMKIT+FL+LP06PIN10 REPLACEMT"</f>
        <v>SX33FD170DRUMKIT+FL+LP06PIN10 REPLACEMT</v>
      </c>
      <c r="C918" s="4">
        <v>2463.4</v>
      </c>
      <c r="D918" s="9">
        <v>1356.8407200000001</v>
      </c>
    </row>
    <row r="919" spans="1:4" x14ac:dyDescent="0.25">
      <c r="A919" s="2" t="str">
        <f>"09220190212"</f>
        <v>09220190212</v>
      </c>
      <c r="B919" s="2" t="str">
        <f>"SX33FD170DRUMKIT+FL+LP06PIN12 REPLACEMT"</f>
        <v>SX33FD170DRUMKIT+FL+LP06PIN12 REPLACEMT</v>
      </c>
      <c r="C919" s="4">
        <v>2463.4</v>
      </c>
      <c r="D919" s="9">
        <v>1356.8407200000001</v>
      </c>
    </row>
    <row r="920" spans="1:4" x14ac:dyDescent="0.25">
      <c r="A920" s="2" t="str">
        <f>"09220190213"</f>
        <v>09220190213</v>
      </c>
      <c r="B920" s="2" t="str">
        <f>"SX33FD170DRUMKIT+FL+LP06PIN13 REPLACEMT"</f>
        <v>SX33FD170DRUMKIT+FL+LP06PIN13 REPLACEMT</v>
      </c>
      <c r="C920" s="4">
        <v>2463.4</v>
      </c>
      <c r="D920" s="9">
        <v>1356.8407200000001</v>
      </c>
    </row>
    <row r="921" spans="1:4" x14ac:dyDescent="0.25">
      <c r="A921" s="2" t="str">
        <f>"09220230112"</f>
        <v>09220230112</v>
      </c>
      <c r="B921" s="2" t="str">
        <f>"R26FD230DRUMKIT+FL+LP06PIN12 REPLACEMT O"</f>
        <v>R26FD230DRUMKIT+FL+LP06PIN12 REPLACEMT O</v>
      </c>
      <c r="C921" s="4">
        <v>2905.6</v>
      </c>
      <c r="D921" s="9">
        <v>1600.4044800000001</v>
      </c>
    </row>
    <row r="922" spans="1:4" x14ac:dyDescent="0.25">
      <c r="A922" s="2" t="str">
        <f>"09220230113"</f>
        <v>09220230113</v>
      </c>
      <c r="B922" s="2" t="str">
        <f>"R26FD230DRUMKIT+FL+LP06PIN13 REPLACEMT O"</f>
        <v>R26FD230DRUMKIT+FL+LP06PIN13 REPLACEMT O</v>
      </c>
      <c r="C922" s="4">
        <v>2905.6</v>
      </c>
      <c r="D922" s="9">
        <v>1600.4044800000001</v>
      </c>
    </row>
    <row r="923" spans="1:4" x14ac:dyDescent="0.25">
      <c r="A923" s="2" t="str">
        <f>"09220230114"</f>
        <v>09220230114</v>
      </c>
      <c r="B923" s="2" t="str">
        <f>"R26FD230DRUMKIT+FL+LP06PIN14 REPLACEMT O"</f>
        <v>R26FD230DRUMKIT+FL+LP06PIN14 REPLACEMT O</v>
      </c>
      <c r="C923" s="4">
        <v>2905.6</v>
      </c>
      <c r="D923" s="9">
        <v>1600.4044800000001</v>
      </c>
    </row>
    <row r="924" spans="1:4" x14ac:dyDescent="0.25">
      <c r="A924" s="2" t="str">
        <f>"09220230119"</f>
        <v>09220230119</v>
      </c>
      <c r="B924" s="2" t="str">
        <f>"R26FD230DRUMKIT+FL+LP06PIN19 REPLACEMT O"</f>
        <v>R26FD230DRUMKIT+FL+LP06PIN19 REPLACEMT O</v>
      </c>
      <c r="C924" s="4">
        <v>2905.6</v>
      </c>
      <c r="D924" s="9">
        <v>1600.4044800000001</v>
      </c>
    </row>
    <row r="925" spans="1:4" x14ac:dyDescent="0.25">
      <c r="A925" s="2" t="str">
        <f>"09220230212"</f>
        <v>09220230212</v>
      </c>
      <c r="B925" s="2" t="str">
        <f>"SX39FD210DRUMKIT+FL+LP06PIN12 REPLACEMT"</f>
        <v>SX39FD210DRUMKIT+FL+LP06PIN12 REPLACEMT</v>
      </c>
      <c r="C925" s="4">
        <v>2905.6</v>
      </c>
      <c r="D925" s="9">
        <v>1600.4044800000001</v>
      </c>
    </row>
    <row r="926" spans="1:4" x14ac:dyDescent="0.25">
      <c r="A926" s="2" t="str">
        <f>"09220230213"</f>
        <v>09220230213</v>
      </c>
      <c r="B926" s="2" t="str">
        <f>"SX39FD210DRUMKIT+FL+LP06PIN13 REPLACEMT"</f>
        <v>SX39FD210DRUMKIT+FL+LP06PIN13 REPLACEMT</v>
      </c>
      <c r="C926" s="4">
        <v>2905.6</v>
      </c>
      <c r="D926" s="9">
        <v>1600.4044800000001</v>
      </c>
    </row>
    <row r="927" spans="1:4" x14ac:dyDescent="0.25">
      <c r="A927" s="2" t="str">
        <f>"09220230214"</f>
        <v>09220230214</v>
      </c>
      <c r="B927" s="2" t="str">
        <f>"SX39FD210DRUMKIT+FL+LP06PIN14 REPLACEMT"</f>
        <v>SX39FD210DRUMKIT+FL+LP06PIN14 REPLACEMT</v>
      </c>
      <c r="C927" s="4">
        <v>2905.6</v>
      </c>
      <c r="D927" s="9">
        <v>1600.4044800000001</v>
      </c>
    </row>
    <row r="928" spans="1:4" x14ac:dyDescent="0.25">
      <c r="A928" s="2" t="str">
        <f>"09220230216"</f>
        <v>09220230216</v>
      </c>
      <c r="B928" s="2" t="str">
        <f>"SX39FD210DRUMKIT+FL+LP06PIN16 REPLACEMT"</f>
        <v>SX39FD210DRUMKIT+FL+LP06PIN16 REPLACEMT</v>
      </c>
      <c r="C928" s="4">
        <v>2905.6</v>
      </c>
      <c r="D928" s="9">
        <v>1600.4044800000001</v>
      </c>
    </row>
    <row r="929" spans="1:4" x14ac:dyDescent="0.25">
      <c r="A929" s="2" t="str">
        <f>"09220310116"</f>
        <v>09220310116</v>
      </c>
      <c r="B929" s="2" t="str">
        <f>"R34FD310DRUMKIT+FL+LP07PIN16 REPLACEMT O"</f>
        <v>R34FD310DRUMKIT+FL+LP07PIN16 REPLACEMT O</v>
      </c>
      <c r="C929" s="4">
        <v>4342.4000000000005</v>
      </c>
      <c r="D929" s="9">
        <v>2391.793920000001</v>
      </c>
    </row>
    <row r="930" spans="1:4" x14ac:dyDescent="0.25">
      <c r="A930" s="2" t="str">
        <f>"09220310118"</f>
        <v>09220310118</v>
      </c>
      <c r="B930" s="2" t="str">
        <f>"R34FD310DRUMKIT+FL+LP07PIN18 REPLACEMT O"</f>
        <v>R34FD310DRUMKIT+FL+LP07PIN18 REPLACEMT O</v>
      </c>
      <c r="C930" s="4">
        <v>4342.4000000000005</v>
      </c>
      <c r="D930" s="9">
        <v>2391.793920000001</v>
      </c>
    </row>
    <row r="931" spans="1:4" x14ac:dyDescent="0.25">
      <c r="A931" s="2" t="str">
        <f>"09220310119"</f>
        <v>09220310119</v>
      </c>
      <c r="B931" s="2" t="str">
        <f>"R34FD310DRUMKIT+FL+LP07PIN19 REPLACEMT O"</f>
        <v>R34FD310DRUMKIT+FL+LP07PIN19 REPLACEMT O</v>
      </c>
      <c r="C931" s="4">
        <v>4342.4000000000005</v>
      </c>
      <c r="D931" s="9">
        <v>2391.793920000001</v>
      </c>
    </row>
    <row r="932" spans="1:4" x14ac:dyDescent="0.25">
      <c r="A932" s="2" t="str">
        <f>"09220310219"</f>
        <v>09220310219</v>
      </c>
      <c r="B932" s="2" t="str">
        <f>"SX47FD280DRUMKIT+FL+LP07PIN19 REPLACEMT"</f>
        <v>SX47FD280DRUMKIT+FL+LP07PIN19 REPLACEMT</v>
      </c>
      <c r="C932" s="4">
        <v>4342.4000000000005</v>
      </c>
      <c r="D932" s="9">
        <v>2391.793920000001</v>
      </c>
    </row>
    <row r="933" spans="1:4" x14ac:dyDescent="0.25">
      <c r="A933" s="2" t="str">
        <f>"09220310222"</f>
        <v>09220310222</v>
      </c>
      <c r="B933" s="2" t="str">
        <f>"SX47FD280DRUMKIT+FL+LP07PIN22 REPLACEMT"</f>
        <v>SX47FD280DRUMKIT+FL+LP07PIN22 REPLACEMT</v>
      </c>
      <c r="C933" s="4">
        <v>4342.4000000000005</v>
      </c>
      <c r="D933" s="9">
        <v>2391.793920000001</v>
      </c>
    </row>
    <row r="934" spans="1:4" x14ac:dyDescent="0.25">
      <c r="A934" s="2" t="str">
        <f>"09230202250"</f>
        <v>09230202250</v>
      </c>
      <c r="B934" s="2" t="str">
        <f>"SHACKLE KIT FD090/FD110"</f>
        <v>SHACKLE KIT FD090/FD110</v>
      </c>
      <c r="C934" s="4">
        <v>45.800000000000004</v>
      </c>
      <c r="D934" s="9">
        <v>25.226640000000007</v>
      </c>
    </row>
    <row r="935" spans="1:4" x14ac:dyDescent="0.25">
      <c r="A935" s="2" t="str">
        <f>"09264014040"</f>
        <v>09264014040</v>
      </c>
      <c r="B935" s="2" t="str">
        <f>"COMPLETE CHD14 SWIVEL TORLON BEARING"</f>
        <v>COMPLETE CHD14 SWIVEL TORLON BEARING</v>
      </c>
      <c r="C935" s="4">
        <v>828.1</v>
      </c>
      <c r="D935" s="9">
        <v>456.11748000000011</v>
      </c>
    </row>
    <row r="936" spans="1:4" x14ac:dyDescent="0.25">
      <c r="A936" s="2" t="str">
        <f>"09264025040"</f>
        <v>09264025040</v>
      </c>
      <c r="B936" s="2" t="str">
        <f>"COMPLETE CHD25 SWIVEL TORLON BEARING"</f>
        <v>COMPLETE CHD25 SWIVEL TORLON BEARING</v>
      </c>
      <c r="C936" s="4">
        <v>1936.6</v>
      </c>
      <c r="D936" s="9">
        <v>1066.6792800000001</v>
      </c>
    </row>
    <row r="937" spans="1:4" x14ac:dyDescent="0.25">
      <c r="A937" s="2" t="str">
        <f>"09264026040"</f>
        <v>09264026040</v>
      </c>
      <c r="B937" s="2" t="str">
        <f>"COMPLETE CHD26 SWIVEL TORLON BEARING"</f>
        <v>COMPLETE CHD26 SWIVEL TORLON BEARING</v>
      </c>
      <c r="C937" s="4">
        <v>1133.0999999999999</v>
      </c>
      <c r="D937" s="9">
        <v>624.11148000000003</v>
      </c>
    </row>
    <row r="938" spans="1:4" x14ac:dyDescent="0.25">
      <c r="A938" s="2" t="str">
        <f>"09264030040"</f>
        <v>09264030040</v>
      </c>
      <c r="B938" s="2" t="str">
        <f>"COMPLETE CHD30 SWIVEL TORLON BEARING"</f>
        <v>COMPLETE CHD30 SWIVEL TORLON BEARING</v>
      </c>
      <c r="C938" s="4">
        <v>634.1</v>
      </c>
      <c r="D938" s="9">
        <v>349.26228000000003</v>
      </c>
    </row>
    <row r="939" spans="1:4" x14ac:dyDescent="0.25">
      <c r="A939" s="2" t="str">
        <f>"09264033040"</f>
        <v>09264033040</v>
      </c>
      <c r="B939" s="2" t="str">
        <f>"COMPLETE CHD33 SWIVEL"</f>
        <v>COMPLETE CHD33 SWIVEL</v>
      </c>
      <c r="C939" s="4">
        <v>714.1</v>
      </c>
      <c r="D939" s="9">
        <v>393.32628</v>
      </c>
    </row>
    <row r="940" spans="1:4" x14ac:dyDescent="0.25">
      <c r="A940" s="2" t="str">
        <f>"09264034040"</f>
        <v>09264034040</v>
      </c>
      <c r="B940" s="2" t="str">
        <f>"COMPLETE CHD34 SWIVEL"</f>
        <v>COMPLETE CHD34 SWIVEL</v>
      </c>
      <c r="C940" s="4">
        <v>1462.8999999999999</v>
      </c>
      <c r="D940" s="9">
        <v>805.76531999999997</v>
      </c>
    </row>
    <row r="941" spans="1:4" x14ac:dyDescent="0.25">
      <c r="A941" s="2" t="str">
        <f>"09264038040"</f>
        <v>09264038040</v>
      </c>
      <c r="B941" s="2" t="str">
        <f>"COMPLETE CHD38 SWIVEL"</f>
        <v>COMPLETE CHD38 SWIVEL</v>
      </c>
      <c r="C941" s="4">
        <v>979.2</v>
      </c>
      <c r="D941" s="9">
        <v>539.34336000000008</v>
      </c>
    </row>
    <row r="942" spans="1:4" x14ac:dyDescent="0.25">
      <c r="A942" s="2" t="str">
        <f>"09264046040"</f>
        <v>09264046040</v>
      </c>
      <c r="B942" s="2" t="str">
        <f>"COMPLETE CHD46 SWIVEL"</f>
        <v>COMPLETE CHD46 SWIVEL</v>
      </c>
      <c r="C942" s="4">
        <v>1389.6999999999998</v>
      </c>
      <c r="D942" s="9">
        <v>765.44676000000004</v>
      </c>
    </row>
    <row r="943" spans="1:4" x14ac:dyDescent="0.25">
      <c r="A943" s="2" t="str">
        <f>"09264153040"</f>
        <v>09264153040</v>
      </c>
      <c r="B943" s="2" t="str">
        <f>"COMPLETE CHD53 SWIVEL"</f>
        <v>COMPLETE CHD53 SWIVEL</v>
      </c>
      <c r="C943" s="4">
        <v>2191.5</v>
      </c>
      <c r="D943" s="9">
        <v>1207.0782000000002</v>
      </c>
    </row>
    <row r="944" spans="1:4" x14ac:dyDescent="0.25">
      <c r="A944" s="2" t="str">
        <f>"09266053040"</f>
        <v>09266053040</v>
      </c>
      <c r="B944" s="2" t="str">
        <f>"C600 CMP SWIVEL SEALED BEARING"</f>
        <v>C600 CMP SWIVEL SEALED BEARING</v>
      </c>
      <c r="C944" s="4">
        <v>2410.5</v>
      </c>
      <c r="D944" s="9">
        <v>1327.7034000000001</v>
      </c>
    </row>
    <row r="945" spans="1:4" x14ac:dyDescent="0.25">
      <c r="A945" s="2" t="str">
        <f>"09266110040"</f>
        <v>09266110040</v>
      </c>
      <c r="B945" s="2" t="str">
        <f>"FRL LINE/WEB+WB END SWIVLFD110 FL08X09M-"</f>
        <v>FRL LINE/WEB+WB END SWIVLFD110 FL08X09M-</v>
      </c>
      <c r="C945" s="4">
        <v>366.3</v>
      </c>
      <c r="D945" s="9">
        <v>201.75804000000002</v>
      </c>
    </row>
    <row r="946" spans="1:4" x14ac:dyDescent="0.25">
      <c r="A946" s="2" t="str">
        <f>"09266110041"</f>
        <v>09266110041</v>
      </c>
      <c r="B946" s="2" t="str">
        <f>"FRL LINE/WEB+WB END SWIVLFD110 KC08X09M-"</f>
        <v>FRL LINE/WEB+WB END SWIVLFD110 KC08X09M-</v>
      </c>
      <c r="C946" s="4">
        <v>275.40000000000003</v>
      </c>
      <c r="D946" s="9">
        <v>151.69032000000004</v>
      </c>
    </row>
    <row r="947" spans="1:4" x14ac:dyDescent="0.25">
      <c r="A947" s="2" t="str">
        <f>"09266230040"</f>
        <v>09266230040</v>
      </c>
      <c r="B947" s="2" t="str">
        <f>"FRL LINE/WEB+WB END SWIVLFD230 FL10X15M-"</f>
        <v>FRL LINE/WEB+WB END SWIVLFD230 FL10X15M-</v>
      </c>
      <c r="C947" s="4">
        <v>506.6</v>
      </c>
      <c r="D947" s="9">
        <v>279.03528000000006</v>
      </c>
    </row>
    <row r="948" spans="1:4" x14ac:dyDescent="0.25">
      <c r="A948" s="2" t="str">
        <f>"09266230041"</f>
        <v>09266230041</v>
      </c>
      <c r="B948" s="2" t="str">
        <f>"FRL LINE/WEB  SWIVLFD190+230 KC10X15M-SG"</f>
        <v>FRL LINE/WEB  SWIVLFD190+230 KC10X15M-SG</v>
      </c>
      <c r="C948" s="4">
        <v>1047.5</v>
      </c>
      <c r="D948" s="9">
        <v>576.96300000000008</v>
      </c>
    </row>
    <row r="949" spans="1:4" x14ac:dyDescent="0.25">
      <c r="A949" s="2" t="str">
        <f>"09266310040"</f>
        <v>09266310040</v>
      </c>
      <c r="B949" s="2" t="str">
        <f>"FRL LINE/WEB+WB END SWIVLFD310 FL10X15M-"</f>
        <v>FRL LINE/WEB+WB END SWIVLFD310 FL10X15M-</v>
      </c>
      <c r="C949" s="4">
        <v>749.80000000000007</v>
      </c>
      <c r="D949" s="9">
        <v>412.98984000000007</v>
      </c>
    </row>
    <row r="950" spans="1:4" x14ac:dyDescent="0.25">
      <c r="A950" s="2" t="str">
        <f>"09266310041"</f>
        <v>09266310041</v>
      </c>
      <c r="B950" s="2" t="str">
        <f>"FRL LINE/WEB+WB END SWIVLFD310 KC10X18M-"</f>
        <v>FRL LINE/WEB+WB END SWIVLFD310 KC10X18M-</v>
      </c>
      <c r="C950" s="4">
        <v>677.7</v>
      </c>
      <c r="D950" s="9">
        <v>373.27716000000009</v>
      </c>
    </row>
    <row r="951" spans="1:4" x14ac:dyDescent="0.25">
      <c r="A951" s="2" t="str">
        <f>"09274301403"</f>
        <v>09274301403</v>
      </c>
      <c r="B951" s="2" t="str">
        <f>"HALF NYLON RING FD110+3 SCREWS FD90"</f>
        <v>HALF NYLON RING FD110+3 SCREWS FD90</v>
      </c>
      <c r="C951" s="4">
        <v>24.900000000000002</v>
      </c>
      <c r="D951" s="9">
        <v>13.714920000000003</v>
      </c>
    </row>
    <row r="952" spans="1:4" x14ac:dyDescent="0.25">
      <c r="A952" s="2" t="str">
        <f>"09274302403"</f>
        <v>09274302403</v>
      </c>
      <c r="B952" s="2" t="str">
        <f>"HALF NYLON RING FD190+3 SCREWS FD230-FD1"</f>
        <v>HALF NYLON RING FD190+3 SCREWS FD230-FD1</v>
      </c>
      <c r="C952" s="4">
        <v>32.200000000000003</v>
      </c>
      <c r="D952" s="9">
        <v>17.735760000000006</v>
      </c>
    </row>
    <row r="953" spans="1:4" x14ac:dyDescent="0.25">
      <c r="A953" s="2" t="str">
        <f>"09274303403"</f>
        <v>09274303403</v>
      </c>
      <c r="B953" s="2" t="str">
        <f>"HALF NYLON RING FD310+3 SCREWS FD280"</f>
        <v>HALF NYLON RING FD310+3 SCREWS FD280</v>
      </c>
      <c r="C953" s="4">
        <v>38.800000000000004</v>
      </c>
      <c r="D953" s="9">
        <v>21.371040000000004</v>
      </c>
    </row>
    <row r="954" spans="1:4" x14ac:dyDescent="0.25">
      <c r="A954" s="2" t="str">
        <f>"09274714130"</f>
        <v>09274714130</v>
      </c>
      <c r="B954" s="2" t="str">
        <f>"4 FIXATION CROSSING SCREWS FD110-F090"</f>
        <v>4 FIXATION CROSSING SCREWS FD110-F090</v>
      </c>
      <c r="C954" s="4">
        <v>6</v>
      </c>
      <c r="D954" s="9">
        <v>3.3048000000000002</v>
      </c>
    </row>
    <row r="955" spans="1:4" x14ac:dyDescent="0.25">
      <c r="A955" s="2" t="str">
        <f>"09274724130"</f>
        <v>09274724130</v>
      </c>
      <c r="B955" s="2" t="str">
        <f>"4 FIXATION CROSSING SCREWS FD230/170/210"</f>
        <v>4 FIXATION CROSSING SCREWS FD230/170/210</v>
      </c>
      <c r="C955" s="4">
        <v>6.1999999999999993</v>
      </c>
      <c r="D955" s="9">
        <v>3.4149600000000007</v>
      </c>
    </row>
    <row r="956" spans="1:4" x14ac:dyDescent="0.25">
      <c r="A956" s="2" t="str">
        <f>"09274734130"</f>
        <v>09274734130</v>
      </c>
      <c r="B956" s="2" t="str">
        <f>"4 FIXATION CROSSING SCREWS FD310/FD280"</f>
        <v>4 FIXATION CROSSING SCREWS FD310/FD280</v>
      </c>
      <c r="C956" s="4">
        <v>6.3999999999999995</v>
      </c>
      <c r="D956" s="9">
        <v>3.5251200000000003</v>
      </c>
    </row>
    <row r="957" spans="1:4" x14ac:dyDescent="0.25">
      <c r="A957" s="2" t="str">
        <f>"09274814130"</f>
        <v>09274814130</v>
      </c>
      <c r="B957" s="2" t="str">
        <f>"SCREW+WASHER F/TTE SECTION FD190-FD170"</f>
        <v>SCREW+WASHER F/TTE SECTION FD190-FD170</v>
      </c>
      <c r="C957" s="4">
        <v>2.7</v>
      </c>
      <c r="D957" s="9">
        <v>1.4871600000000003</v>
      </c>
    </row>
    <row r="958" spans="1:4" x14ac:dyDescent="0.25">
      <c r="A958" s="2" t="str">
        <f>"09274826130"</f>
        <v>09274826130</v>
      </c>
      <c r="B958" s="2" t="str">
        <f>"SCREW+WASHER F/TTE SECTION FD230-FD210"</f>
        <v>SCREW+WASHER F/TTE SECTION FD230-FD210</v>
      </c>
      <c r="C958" s="4">
        <v>0.79999999999999993</v>
      </c>
      <c r="D958" s="9">
        <v>0.44064000000000003</v>
      </c>
    </row>
    <row r="959" spans="1:4" x14ac:dyDescent="0.25">
      <c r="A959" s="2" t="str">
        <f>"09274834130"</f>
        <v>09274834130</v>
      </c>
      <c r="B959" s="2" t="str">
        <f>"SCREW+WASHER F/TTE SECTION FD310-FD280"</f>
        <v>SCREW+WASHER F/TTE SECTION FD310-FD280</v>
      </c>
      <c r="C959" s="4">
        <v>2.8000000000000003</v>
      </c>
      <c r="D959" s="9">
        <v>1.5422400000000005</v>
      </c>
    </row>
    <row r="960" spans="1:4" x14ac:dyDescent="0.25">
      <c r="A960" s="2" t="str">
        <f>"09274914130"</f>
        <v>09274914130</v>
      </c>
      <c r="B960" s="2" t="str">
        <f>"SCREW SET FOR HALF FD GUIDE"</f>
        <v>SCREW SET FOR HALF FD GUIDE</v>
      </c>
      <c r="C960" s="4">
        <v>8.9</v>
      </c>
      <c r="D960" s="9">
        <v>4.9021200000000009</v>
      </c>
    </row>
    <row r="961" spans="1:4" x14ac:dyDescent="0.25">
      <c r="A961" s="2" t="str">
        <f>"09275014130"</f>
        <v>09275014130</v>
      </c>
      <c r="B961" s="2" t="str">
        <f>"FD SCREW SET FOR PLATE FD110-FD090"</f>
        <v>FD SCREW SET FOR PLATE FD110-FD090</v>
      </c>
      <c r="C961" s="4">
        <v>5.3999999999999995</v>
      </c>
      <c r="D961" s="9">
        <v>2.9743199999999996</v>
      </c>
    </row>
    <row r="962" spans="1:4" x14ac:dyDescent="0.25">
      <c r="A962" s="2" t="str">
        <f>"09275024130"</f>
        <v>09275024130</v>
      </c>
      <c r="B962" s="2" t="str">
        <f>"FD SCREW SET FOR PLATE FD190-FD170"</f>
        <v>FD SCREW SET FOR PLATE FD190-FD170</v>
      </c>
      <c r="C962" s="4">
        <v>7</v>
      </c>
      <c r="D962" s="9">
        <v>3.8556000000000008</v>
      </c>
    </row>
    <row r="963" spans="1:4" x14ac:dyDescent="0.25">
      <c r="A963" s="2" t="str">
        <f>"09275034130"</f>
        <v>09275034130</v>
      </c>
      <c r="B963" s="2" t="str">
        <f>"FD SCREW SET FOR PLATE FD310-FD280"</f>
        <v>FD SCREW SET FOR PLATE FD310-FD280</v>
      </c>
      <c r="C963" s="4">
        <v>4.8</v>
      </c>
      <c r="D963" s="9">
        <v>2.6438400000000004</v>
      </c>
    </row>
    <row r="964" spans="1:4" x14ac:dyDescent="0.25">
      <c r="A964" s="2" t="str">
        <f>"09276900030"</f>
        <v>09276900030</v>
      </c>
      <c r="B964" s="2" t="str">
        <f>"SCREW+WASHER DRUM NOSE 60=&gt;130"</f>
        <v>SCREW+WASHER DRUM NOSE 60=&gt;130</v>
      </c>
      <c r="C964" s="4">
        <v>3.1</v>
      </c>
      <c r="D964" s="9">
        <v>1.7074800000000003</v>
      </c>
    </row>
    <row r="965" spans="1:4" x14ac:dyDescent="0.25">
      <c r="A965" s="2" t="str">
        <f>"09276900035"</f>
        <v>09276900035</v>
      </c>
      <c r="B965" s="2" t="str">
        <f>"SCREW+WASHER DRUM NOSE165=&gt;290"</f>
        <v>SCREW+WASHER DRUM NOSE165=&gt;290</v>
      </c>
      <c r="C965" s="4">
        <v>3.1</v>
      </c>
      <c r="D965" s="9">
        <v>1.7074800000000003</v>
      </c>
    </row>
    <row r="966" spans="1:4" x14ac:dyDescent="0.25">
      <c r="A966" s="2" t="str">
        <f>"09276900040"</f>
        <v>09276900040</v>
      </c>
      <c r="B966" s="2" t="str">
        <f>"SCREW+WASHER DRUM NOSE 330"</f>
        <v>SCREW+WASHER DRUM NOSE 330</v>
      </c>
      <c r="C966" s="4">
        <v>4.1999999999999993</v>
      </c>
      <c r="D966" s="9">
        <v>2.3133599999999999</v>
      </c>
    </row>
    <row r="967" spans="1:4" x14ac:dyDescent="0.25">
      <c r="A967" s="2" t="str">
        <f>"09282251006"</f>
        <v>09282251006</v>
      </c>
      <c r="B967" s="2" t="str">
        <f>"LPK 100MM D06 FD110"</f>
        <v>LPK 100MM D06 FD110</v>
      </c>
      <c r="C967" s="4">
        <v>111.1</v>
      </c>
      <c r="D967" s="9">
        <v>61.19388</v>
      </c>
    </row>
    <row r="968" spans="1:4" x14ac:dyDescent="0.25">
      <c r="A968" s="2" t="str">
        <f>"09282251008"</f>
        <v>09282251008</v>
      </c>
      <c r="B968" s="2" t="str">
        <f>"LPK 100MM D08 FD110"</f>
        <v>LPK 100MM D08 FD110</v>
      </c>
      <c r="C968" s="4">
        <v>111.1</v>
      </c>
      <c r="D968" s="9">
        <v>61.19388</v>
      </c>
    </row>
    <row r="969" spans="1:4" x14ac:dyDescent="0.25">
      <c r="A969" s="2" t="str">
        <f>"09282251012"</f>
        <v>09282251012</v>
      </c>
      <c r="B969" s="2" t="str">
        <f>"LPK 100MM D12 FD90-FD110"</f>
        <v>LPK 100MM D12 FD90-FD110</v>
      </c>
      <c r="C969" s="4">
        <v>111.1</v>
      </c>
      <c r="D969" s="9">
        <v>61.19388</v>
      </c>
    </row>
    <row r="970" spans="1:4" x14ac:dyDescent="0.25">
      <c r="A970" s="2" t="str">
        <f>"09282251013"</f>
        <v>09282251013</v>
      </c>
      <c r="B970" s="2" t="str">
        <f>"LPK 100MM D13 FD90-FD110"</f>
        <v>LPK 100MM D13 FD90-FD110</v>
      </c>
      <c r="C970" s="4">
        <v>111.1</v>
      </c>
      <c r="D970" s="9">
        <v>61.19388</v>
      </c>
    </row>
    <row r="971" spans="1:4" x14ac:dyDescent="0.25">
      <c r="A971" s="2" t="str">
        <f>"09282252006"</f>
        <v>09282252006</v>
      </c>
      <c r="B971" s="2" t="str">
        <f>"LPK 200MM D06 FD110"</f>
        <v>LPK 200MM D06 FD110</v>
      </c>
      <c r="C971" s="4">
        <v>141.9</v>
      </c>
      <c r="D971" s="9">
        <v>78.15852000000001</v>
      </c>
    </row>
    <row r="972" spans="1:4" x14ac:dyDescent="0.25">
      <c r="A972" s="2" t="str">
        <f>"09282252008"</f>
        <v>09282252008</v>
      </c>
      <c r="B972" s="2" t="str">
        <f>"LPK 200MM D08 FD110"</f>
        <v>LPK 200MM D08 FD110</v>
      </c>
      <c r="C972" s="4">
        <v>141.9</v>
      </c>
      <c r="D972" s="9">
        <v>78.15852000000001</v>
      </c>
    </row>
    <row r="973" spans="1:4" x14ac:dyDescent="0.25">
      <c r="A973" s="2" t="str">
        <f>"09282252010"</f>
        <v>09282252010</v>
      </c>
      <c r="B973" s="2" t="str">
        <f>"LPK 200MM D10 FD110"</f>
        <v>LPK 200MM D10 FD110</v>
      </c>
      <c r="C973" s="4">
        <v>141.9</v>
      </c>
      <c r="D973" s="9">
        <v>78.15852000000001</v>
      </c>
    </row>
    <row r="974" spans="1:4" x14ac:dyDescent="0.25">
      <c r="A974" s="2" t="str">
        <f>"09282252012"</f>
        <v>09282252012</v>
      </c>
      <c r="B974" s="2" t="str">
        <f>"LPK 200MM D12 FD110"</f>
        <v>LPK 200MM D12 FD110</v>
      </c>
      <c r="C974" s="4">
        <v>141.9</v>
      </c>
      <c r="D974" s="9">
        <v>78.15852000000001</v>
      </c>
    </row>
    <row r="975" spans="1:4" x14ac:dyDescent="0.25">
      <c r="A975" s="2" t="str">
        <f>"09282391510"</f>
        <v>09282391510</v>
      </c>
      <c r="B975" s="2" t="str">
        <f>"LPK 150MM D10 FD190-230-310"</f>
        <v>LPK 150MM D10 FD190-230-310</v>
      </c>
      <c r="C975" s="4">
        <v>185.4</v>
      </c>
      <c r="D975" s="9">
        <v>102.11832000000001</v>
      </c>
    </row>
    <row r="976" spans="1:4" x14ac:dyDescent="0.25">
      <c r="A976" s="2" t="str">
        <f>"09282391512"</f>
        <v>09282391512</v>
      </c>
      <c r="B976" s="2" t="str">
        <f>"LPK 150MM D12 FD190-230-310"</f>
        <v>LPK 150MM D12 FD190-230-310</v>
      </c>
      <c r="C976" s="4">
        <v>185.4</v>
      </c>
      <c r="D976" s="9">
        <v>102.11832000000001</v>
      </c>
    </row>
    <row r="977" spans="1:4" x14ac:dyDescent="0.25">
      <c r="A977" s="2" t="str">
        <f>"09282391513"</f>
        <v>09282391513</v>
      </c>
      <c r="B977" s="2" t="str">
        <f>"LPK 150MM D12.7 FD190-230-310"</f>
        <v>LPK 150MM D12.7 FD190-230-310</v>
      </c>
      <c r="C977" s="4">
        <v>185.4</v>
      </c>
      <c r="D977" s="9">
        <v>102.11832000000001</v>
      </c>
    </row>
    <row r="978" spans="1:4" x14ac:dyDescent="0.25">
      <c r="A978" s="2" t="str">
        <f>"09282391514"</f>
        <v>09282391514</v>
      </c>
      <c r="B978" s="2" t="str">
        <f>"LPK 150MM D14 FD190-230-310"</f>
        <v>LPK 150MM D14 FD190-230-310</v>
      </c>
      <c r="C978" s="4">
        <v>185.4</v>
      </c>
      <c r="D978" s="9">
        <v>102.11832000000001</v>
      </c>
    </row>
    <row r="979" spans="1:4" x14ac:dyDescent="0.25">
      <c r="A979" s="2" t="str">
        <f>"09282391516"</f>
        <v>09282391516</v>
      </c>
      <c r="B979" s="2" t="str">
        <f>"LPK 150MM D16 FD190-230-310"</f>
        <v>LPK 150MM D16 FD190-230-310</v>
      </c>
      <c r="C979" s="4">
        <v>185.4</v>
      </c>
      <c r="D979" s="9">
        <v>102.11832000000001</v>
      </c>
    </row>
    <row r="980" spans="1:4" x14ac:dyDescent="0.25">
      <c r="A980" s="2" t="str">
        <f>"09282391519"</f>
        <v>09282391519</v>
      </c>
      <c r="B980" s="2" t="str">
        <f>"LPK 150MM D19 FD190-230-310"</f>
        <v>LPK 150MM D19 FD190-230-310</v>
      </c>
      <c r="C980" s="4">
        <v>185.4</v>
      </c>
      <c r="D980" s="9">
        <v>102.11832000000001</v>
      </c>
    </row>
    <row r="981" spans="1:4" x14ac:dyDescent="0.25">
      <c r="A981" s="2" t="str">
        <f>"09282392510"</f>
        <v>09282392510</v>
      </c>
      <c r="B981" s="2" t="str">
        <f>"LPK 250MM D10 FD190-230-310"</f>
        <v>LPK 250MM D10 FD190-230-310</v>
      </c>
      <c r="C981" s="4">
        <v>197.6</v>
      </c>
      <c r="D981" s="9">
        <v>108.83808000000001</v>
      </c>
    </row>
    <row r="982" spans="1:4" x14ac:dyDescent="0.25">
      <c r="A982" s="2" t="str">
        <f>"09282392512"</f>
        <v>09282392512</v>
      </c>
      <c r="B982" s="2" t="str">
        <f>"LPK 250MM D12 FD190-230-310"</f>
        <v>LPK 250MM D12 FD190-230-310</v>
      </c>
      <c r="C982" s="4">
        <v>197.6</v>
      </c>
      <c r="D982" s="9">
        <v>108.83808000000001</v>
      </c>
    </row>
    <row r="983" spans="1:4" x14ac:dyDescent="0.25">
      <c r="A983" s="2" t="str">
        <f>"09282392513"</f>
        <v>09282392513</v>
      </c>
      <c r="B983" s="2" t="str">
        <f>"LPK 250MM D12.7 FD190-230-310"</f>
        <v>LPK 250MM D12.7 FD190-230-310</v>
      </c>
      <c r="C983" s="4">
        <v>197.6</v>
      </c>
      <c r="D983" s="9">
        <v>108.83808000000001</v>
      </c>
    </row>
    <row r="984" spans="1:4" x14ac:dyDescent="0.25">
      <c r="A984" s="2" t="str">
        <f>"09282392514"</f>
        <v>09282392514</v>
      </c>
      <c r="B984" s="2" t="str">
        <f>"LPK 250MM D12 FD190-230-310"</f>
        <v>LPK 250MM D12 FD190-230-310</v>
      </c>
      <c r="C984" s="4">
        <v>197.6</v>
      </c>
      <c r="D984" s="9">
        <v>108.83808000000001</v>
      </c>
    </row>
    <row r="985" spans="1:4" x14ac:dyDescent="0.25">
      <c r="A985" s="2" t="str">
        <f>"09282392516"</f>
        <v>09282392516</v>
      </c>
      <c r="B985" s="2" t="str">
        <f>"LPK 250MM D16 FD190-230-310"</f>
        <v>LPK 250MM D16 FD190-230-310</v>
      </c>
      <c r="C985" s="4">
        <v>197.6</v>
      </c>
      <c r="D985" s="9">
        <v>108.83808000000001</v>
      </c>
    </row>
    <row r="986" spans="1:4" x14ac:dyDescent="0.25">
      <c r="A986" s="2" t="str">
        <f>"09282392519"</f>
        <v>09282392519</v>
      </c>
      <c r="B986" s="2" t="str">
        <f>"LPK 250MM D19 FD310"</f>
        <v>LPK 250MM D19 FD310</v>
      </c>
      <c r="C986" s="4">
        <v>188.79999999999998</v>
      </c>
      <c r="D986" s="9">
        <v>103.99104</v>
      </c>
    </row>
    <row r="987" spans="1:4" x14ac:dyDescent="0.25">
      <c r="A987" s="2" t="str">
        <f>"09282471513"</f>
        <v>09282471513</v>
      </c>
      <c r="B987" s="2" t="str">
        <f>"LPK 150MM D12.7 FD310"</f>
        <v>LPK 150MM D12.7 FD310</v>
      </c>
      <c r="C987" s="4">
        <v>134.9</v>
      </c>
      <c r="D987" s="9">
        <v>74.302920000000015</v>
      </c>
    </row>
    <row r="988" spans="1:4" x14ac:dyDescent="0.25">
      <c r="A988" s="2" t="str">
        <f>"09282471516"</f>
        <v>09282471516</v>
      </c>
      <c r="B988" s="2" t="str">
        <f>"LPK 150MM D16 FD310"</f>
        <v>LPK 150MM D16 FD310</v>
      </c>
      <c r="C988" s="4">
        <v>144.1</v>
      </c>
      <c r="D988" s="9">
        <v>79.370280000000008</v>
      </c>
    </row>
    <row r="989" spans="1:4" x14ac:dyDescent="0.25">
      <c r="A989" s="2" t="str">
        <f>"09282471519"</f>
        <v>09282471519</v>
      </c>
      <c r="B989" s="2" t="str">
        <f>"LPK 150MM D19 FD310"</f>
        <v>LPK 150MM D19 FD310</v>
      </c>
      <c r="C989" s="4">
        <v>142.79999999999998</v>
      </c>
      <c r="D989" s="9">
        <v>78.654240000000001</v>
      </c>
    </row>
    <row r="990" spans="1:4" x14ac:dyDescent="0.25">
      <c r="A990" s="2" t="str">
        <f>"09282472516"</f>
        <v>09282472516</v>
      </c>
      <c r="B990" s="2" t="str">
        <f>"LPK 250MM D16 FD310"</f>
        <v>LPK 250MM D16 FD310</v>
      </c>
      <c r="C990" s="4">
        <v>185.9</v>
      </c>
      <c r="D990" s="9">
        <v>102.39372000000002</v>
      </c>
    </row>
    <row r="991" spans="1:4" x14ac:dyDescent="0.25">
      <c r="A991" s="2" t="str">
        <f>"09282472518"</f>
        <v>09282472518</v>
      </c>
      <c r="B991" s="2" t="str">
        <f>"LPK 250MM D18 FD310"</f>
        <v>LPK 250MM D18 FD310</v>
      </c>
      <c r="C991" s="4">
        <v>235.6</v>
      </c>
      <c r="D991" s="9">
        <v>129.76847999999998</v>
      </c>
    </row>
    <row r="992" spans="1:4" x14ac:dyDescent="0.25">
      <c r="A992" s="2" t="str">
        <f>"09297014080"</f>
        <v>09297014080</v>
      </c>
      <c r="B992" s="2" t="str">
        <f>"FD110-090 08MMPIN+BUSHNGS+BOLT"</f>
        <v>FD110-090 08MMPIN+BUSHNGS+BOLT</v>
      </c>
      <c r="C992" s="4">
        <v>23.700000000000003</v>
      </c>
      <c r="D992" s="9">
        <v>13.053960000000004</v>
      </c>
    </row>
    <row r="993" spans="1:4" x14ac:dyDescent="0.25">
      <c r="A993" s="2" t="str">
        <f>"09297014100"</f>
        <v>09297014100</v>
      </c>
      <c r="B993" s="2" t="str">
        <f>"FD110-090 10MMPIN+BUSHNGS+BOLT"</f>
        <v>FD110-090 10MMPIN+BUSHNGS+BOLT</v>
      </c>
      <c r="C993" s="4">
        <v>29.5</v>
      </c>
      <c r="D993" s="9">
        <v>16.248600000000003</v>
      </c>
    </row>
    <row r="994" spans="1:4" x14ac:dyDescent="0.25">
      <c r="A994" s="2" t="str">
        <f>"09297014120"</f>
        <v>09297014120</v>
      </c>
      <c r="B994" s="2" t="str">
        <f>"FD110-090 12MMPIN+BUSHNGS+BOLT"</f>
        <v>FD110-090 12MMPIN+BUSHNGS+BOLT</v>
      </c>
      <c r="C994" s="4">
        <v>59.800000000000004</v>
      </c>
      <c r="D994" s="9">
        <v>32.937840000000008</v>
      </c>
    </row>
    <row r="995" spans="1:4" x14ac:dyDescent="0.25">
      <c r="A995" s="2" t="str">
        <f>"09297014130"</f>
        <v>09297014130</v>
      </c>
      <c r="B995" s="2" t="str">
        <f>"FD110-090 12.7PIN+BUSHNGS+BOLT"</f>
        <v>FD110-090 12.7PIN+BUSHNGS+BOLT</v>
      </c>
      <c r="C995" s="4">
        <v>32.4</v>
      </c>
      <c r="D995" s="9">
        <v>17.845920000000003</v>
      </c>
    </row>
    <row r="996" spans="1:4" x14ac:dyDescent="0.25">
      <c r="A996" s="2" t="str">
        <f>"09297024100"</f>
        <v>09297024100</v>
      </c>
      <c r="B996" s="2" t="str">
        <f>"FD190-170 10MMPIN+BUSHNGS+BOLT"</f>
        <v>FD190-170 10MMPIN+BUSHNGS+BOLT</v>
      </c>
      <c r="C996" s="4">
        <v>33.300000000000004</v>
      </c>
      <c r="D996" s="9">
        <v>18.341640000000005</v>
      </c>
    </row>
    <row r="997" spans="1:4" x14ac:dyDescent="0.25">
      <c r="A997" s="2" t="str">
        <f>"09297024120"</f>
        <v>09297024120</v>
      </c>
      <c r="B997" s="2" t="str">
        <f>"FD190-170 12MMPIN+BUSHNGS+BOLT"</f>
        <v>FD190-170 12MMPIN+BUSHNGS+BOLT</v>
      </c>
      <c r="C997" s="4">
        <v>64</v>
      </c>
      <c r="D997" s="9">
        <v>35.251200000000004</v>
      </c>
    </row>
    <row r="998" spans="1:4" x14ac:dyDescent="0.25">
      <c r="A998" s="2" t="str">
        <f>"09297024130"</f>
        <v>09297024130</v>
      </c>
      <c r="B998" s="2" t="str">
        <f>"FD190-170 12.7PIN+BUSHNGS+BOLT"</f>
        <v>FD190-170 12.7PIN+BUSHNGS+BOLT</v>
      </c>
      <c r="C998" s="4">
        <v>29.5</v>
      </c>
      <c r="D998" s="9">
        <v>16.248600000000003</v>
      </c>
    </row>
    <row r="999" spans="1:4" x14ac:dyDescent="0.25">
      <c r="A999" s="2" t="str">
        <f>"09297024140"</f>
        <v>09297024140</v>
      </c>
      <c r="B999" s="2" t="str">
        <f>"FD190-170 14MMPIN+BUSHNGS+BOLT"</f>
        <v>FD190-170 14MMPIN+BUSHNGS+BOLT</v>
      </c>
      <c r="C999" s="4">
        <v>64.899999999999991</v>
      </c>
      <c r="D999" s="9">
        <v>35.746920000000003</v>
      </c>
    </row>
    <row r="1000" spans="1:4" x14ac:dyDescent="0.25">
      <c r="A1000" s="2" t="str">
        <f>"09297024160"</f>
        <v>09297024160</v>
      </c>
      <c r="B1000" s="2" t="str">
        <f>"FD190-170 16MMPIN+BUSHNGS+BOLT"</f>
        <v>FD190-170 16MMPIN+BUSHNGS+BOLT</v>
      </c>
      <c r="C1000" s="4">
        <v>69</v>
      </c>
      <c r="D1000" s="9">
        <v>38.005200000000002</v>
      </c>
    </row>
    <row r="1001" spans="1:4" x14ac:dyDescent="0.25">
      <c r="A1001" s="2" t="str">
        <f>"09297026120"</f>
        <v>09297026120</v>
      </c>
      <c r="B1001" s="2" t="str">
        <f>"FD230-210 12MMPIN+BUSHNGS+BOLT"</f>
        <v>FD230-210 12MMPIN+BUSHNGS+BOLT</v>
      </c>
      <c r="C1001" s="4">
        <v>37.4</v>
      </c>
      <c r="D1001" s="9">
        <v>20.599920000000004</v>
      </c>
    </row>
    <row r="1002" spans="1:4" x14ac:dyDescent="0.25">
      <c r="A1002" s="2" t="str">
        <f>"09297026130"</f>
        <v>09297026130</v>
      </c>
      <c r="B1002" s="2" t="str">
        <f>"FD230-210 12.7PIN+BUSHNGS+BOLT"</f>
        <v>FD230-210 12.7PIN+BUSHNGS+BOLT</v>
      </c>
      <c r="C1002" s="4">
        <v>55</v>
      </c>
      <c r="D1002" s="9">
        <v>30.294000000000004</v>
      </c>
    </row>
    <row r="1003" spans="1:4" x14ac:dyDescent="0.25">
      <c r="A1003" s="2" t="str">
        <f>"09297026140"</f>
        <v>09297026140</v>
      </c>
      <c r="B1003" s="2" t="str">
        <f>"FD230-210 14MMPIN+BUSHNGS+BOLT"</f>
        <v>FD230-210 14MMPIN+BUSHNGS+BOLT</v>
      </c>
      <c r="C1003" s="4">
        <v>56.7</v>
      </c>
      <c r="D1003" s="9">
        <v>31.230360000000001</v>
      </c>
    </row>
    <row r="1004" spans="1:4" x14ac:dyDescent="0.25">
      <c r="A1004" s="2" t="str">
        <f>"09297026160"</f>
        <v>09297026160</v>
      </c>
      <c r="B1004" s="2" t="str">
        <f>"FD230-210 16MMPIN+BUSHNGS+BOLT"</f>
        <v>FD230-210 16MMPIN+BUSHNGS+BOLT</v>
      </c>
      <c r="C1004" s="4">
        <v>78.199999999999989</v>
      </c>
      <c r="D1004" s="9">
        <v>43.072559999999996</v>
      </c>
    </row>
    <row r="1005" spans="1:4" x14ac:dyDescent="0.25">
      <c r="A1005" s="2" t="str">
        <f>"09297034160"</f>
        <v>09297034160</v>
      </c>
      <c r="B1005" s="2" t="str">
        <f>"FD310-280 16MMPIN+BUSHNGS+BOLT"</f>
        <v>FD310-280 16MMPIN+BUSHNGS+BOLT</v>
      </c>
      <c r="C1005" s="4">
        <v>42.800000000000004</v>
      </c>
      <c r="D1005" s="9">
        <v>23.574240000000007</v>
      </c>
    </row>
    <row r="1006" spans="1:4" x14ac:dyDescent="0.25">
      <c r="A1006" s="2" t="str">
        <f>"09297034180"</f>
        <v>09297034180</v>
      </c>
      <c r="B1006" s="2" t="str">
        <f>"FD310-280 18MMPIN+BUSHNGS+BOLT"</f>
        <v>FD310-280 18MMPIN+BUSHNGS+BOLT</v>
      </c>
      <c r="C1006" s="4">
        <v>60.7</v>
      </c>
      <c r="D1006" s="9">
        <v>33.43356</v>
      </c>
    </row>
    <row r="1007" spans="1:4" x14ac:dyDescent="0.25">
      <c r="A1007" s="2" t="str">
        <f>"09297034190"</f>
        <v>09297034190</v>
      </c>
      <c r="B1007" s="2" t="str">
        <f>"FD310-280 19MMPIN+BUSHNGS+BOLT"</f>
        <v>FD310-280 19MMPIN+BUSHNGS+BOLT</v>
      </c>
      <c r="C1007" s="4">
        <v>118.19999999999999</v>
      </c>
      <c r="D1007" s="9">
        <v>65.104560000000006</v>
      </c>
    </row>
    <row r="1008" spans="1:4" x14ac:dyDescent="0.25">
      <c r="A1008" s="2" t="str">
        <f>"09297034220"</f>
        <v>09297034220</v>
      </c>
      <c r="B1008" s="2" t="str">
        <f>"FD310-280 22MMPIN+BUSHNGS+BOLT"</f>
        <v>FD310-280 22MMPIN+BUSHNGS+BOLT</v>
      </c>
      <c r="C1008" s="4">
        <v>145</v>
      </c>
      <c r="D1008" s="9">
        <v>79.866000000000014</v>
      </c>
    </row>
    <row r="1009" spans="1:4" x14ac:dyDescent="0.25">
      <c r="A1009" s="2" t="str">
        <f>"14031302506"</f>
        <v>14031302506</v>
      </c>
      <c r="B1009" s="2" t="str">
        <f>"HALF PLATE L60 DRUM"</f>
        <v>HALF PLATE L60 DRUM</v>
      </c>
      <c r="C1009" s="4">
        <v>40.1</v>
      </c>
      <c r="D1009" s="9">
        <v>22.087080000000004</v>
      </c>
    </row>
    <row r="1010" spans="1:4" x14ac:dyDescent="0.25">
      <c r="A1010" s="2" t="str">
        <f>"14031402506"</f>
        <v>14031402506</v>
      </c>
      <c r="B1010" s="2" t="str">
        <f>"HALF PLATE L/R70 DRUM"</f>
        <v>HALF PLATE L/R70 DRUM</v>
      </c>
      <c r="C1010" s="4">
        <v>46.5</v>
      </c>
      <c r="D1010" s="9">
        <v>25.612200000000001</v>
      </c>
    </row>
    <row r="1011" spans="1:4" x14ac:dyDescent="0.25">
      <c r="A1011" s="2" t="str">
        <f>"14031552506"</f>
        <v>14031552506</v>
      </c>
      <c r="B1011" s="2" t="str">
        <f>"HALF PLATE L/R 100 DRUM"</f>
        <v>HALF PLATE L/R 100 DRUM</v>
      </c>
      <c r="C1011" s="4">
        <v>48.4</v>
      </c>
      <c r="D1011" s="9">
        <v>26.658719999999999</v>
      </c>
    </row>
    <row r="1012" spans="1:4" x14ac:dyDescent="0.25">
      <c r="A1012" s="2" t="str">
        <f>"14031752506"</f>
        <v>14031752506</v>
      </c>
      <c r="B1012" s="2" t="str">
        <f>"HALF PLATE L/R130 DRUM ."</f>
        <v>HALF PLATE L/R130 DRUM .</v>
      </c>
      <c r="C1012" s="4">
        <v>54.9</v>
      </c>
      <c r="D1012" s="9">
        <v>30.238920000000004</v>
      </c>
    </row>
    <row r="1013" spans="1:4" x14ac:dyDescent="0.25">
      <c r="A1013" s="2" t="str">
        <f>"14031903006"</f>
        <v>14031903006</v>
      </c>
      <c r="B1013" s="2" t="str">
        <f>"HALF PLATE L/R165 DRUM"</f>
        <v>HALF PLATE L/R165 DRUM</v>
      </c>
      <c r="C1013" s="4">
        <v>58.6</v>
      </c>
      <c r="D1013" s="9">
        <v>32.276880000000006</v>
      </c>
    </row>
    <row r="1014" spans="1:4" x14ac:dyDescent="0.25">
      <c r="A1014" s="2" t="str">
        <f>"14032053006"</f>
        <v>14032053006</v>
      </c>
      <c r="B1014" s="2" t="str">
        <f>"HALF PLATE L180/R200 DRUM"</f>
        <v>HALF PLATE L180/R200 DRUM</v>
      </c>
      <c r="C1014" s="4">
        <v>67.899999999999991</v>
      </c>
      <c r="D1014" s="9">
        <v>37.399320000000003</v>
      </c>
    </row>
    <row r="1015" spans="1:4" x14ac:dyDescent="0.25">
      <c r="A1015" s="2" t="str">
        <f>"14032204006"</f>
        <v>14032204006</v>
      </c>
      <c r="B1015" s="2" t="str">
        <f>"HALF PLATE L200/R260 DRUM"</f>
        <v>HALF PLATE L200/R260 DRUM</v>
      </c>
      <c r="C1015" s="4">
        <v>99.1</v>
      </c>
      <c r="D1015" s="9">
        <v>54.584280000000007</v>
      </c>
    </row>
    <row r="1016" spans="1:4" x14ac:dyDescent="0.25">
      <c r="A1016" s="2" t="str">
        <f>"14032504006"</f>
        <v>14032504006</v>
      </c>
      <c r="B1016" s="2" t="str">
        <f>"HALF PLATE L290/R300 DRUM"</f>
        <v>HALF PLATE L290/R300 DRUM</v>
      </c>
      <c r="C1016" s="4">
        <v>105.19999999999999</v>
      </c>
      <c r="D1016" s="9">
        <v>57.944160000000004</v>
      </c>
    </row>
    <row r="1017" spans="1:4" x14ac:dyDescent="0.25">
      <c r="A1017" s="2" t="str">
        <f>"14032954006"</f>
        <v>14032954006</v>
      </c>
      <c r="B1017" s="2" t="str">
        <f>"HALF PLATE L330 DRUM"</f>
        <v>HALF PLATE L330 DRUM</v>
      </c>
      <c r="C1017" s="4">
        <v>196.4</v>
      </c>
      <c r="D1017" s="9">
        <v>108.17712000000003</v>
      </c>
    </row>
    <row r="1018" spans="1:4" x14ac:dyDescent="0.25">
      <c r="A1018" s="2" t="str">
        <f>"14041302506"</f>
        <v>14041302506</v>
      </c>
      <c r="B1018" s="2" t="str">
        <f>"ANODISED 5086 130X2.5"</f>
        <v>ANODISED 5086 130X2.5</v>
      </c>
      <c r="C1018" s="4">
        <v>64.899999999999991</v>
      </c>
      <c r="D1018" s="9">
        <v>35.746920000000003</v>
      </c>
    </row>
    <row r="1019" spans="1:4" x14ac:dyDescent="0.25">
      <c r="A1019" s="2" t="str">
        <f>"14041402506"</f>
        <v>14041402506</v>
      </c>
      <c r="B1019" s="2" t="str">
        <f>"ANODISED 140*2.5 PLATE"</f>
        <v>ANODISED 140*2.5 PLATE</v>
      </c>
      <c r="C1019" s="4">
        <v>46.4</v>
      </c>
      <c r="D1019" s="9">
        <v>25.557120000000001</v>
      </c>
    </row>
    <row r="1020" spans="1:4" x14ac:dyDescent="0.25">
      <c r="A1020" s="2" t="str">
        <f>"14041552506"</f>
        <v>14041552506</v>
      </c>
      <c r="B1020" s="2" t="str">
        <f>"DRUM CHEEK0155X2.5 BLACK 100"</f>
        <v>DRUM CHEEK0155X2.5 BLACK 100</v>
      </c>
      <c r="C1020" s="4">
        <v>33.300000000000004</v>
      </c>
      <c r="D1020" s="9">
        <v>18.341640000000005</v>
      </c>
    </row>
    <row r="1021" spans="1:4" x14ac:dyDescent="0.25">
      <c r="A1021" s="2" t="str">
        <f>"14041752506"</f>
        <v>14041752506</v>
      </c>
      <c r="B1021" s="2" t="str">
        <f>"DRUM5086  CHEEK0175X2.5 BLACK 130"</f>
        <v>DRUM5086  CHEEK0175X2.5 BLACK 130</v>
      </c>
      <c r="C1021" s="4">
        <v>62.5</v>
      </c>
      <c r="D1021" s="9">
        <v>34.425000000000004</v>
      </c>
    </row>
    <row r="1022" spans="1:4" x14ac:dyDescent="0.25">
      <c r="A1022" s="2" t="str">
        <f>"14041903006"</f>
        <v>14041903006</v>
      </c>
      <c r="B1022" s="2" t="str">
        <f>"DRUM5086  CHEEK0190X3 BLACK 165"</f>
        <v>DRUM5086  CHEEK0190X3 BLACK 165</v>
      </c>
      <c r="C1022" s="4">
        <v>83.199999999999989</v>
      </c>
      <c r="D1022" s="9">
        <v>45.826560000000001</v>
      </c>
    </row>
    <row r="1023" spans="1:4" x14ac:dyDescent="0.25">
      <c r="A1023" s="2" t="str">
        <f>"14042053006"</f>
        <v>14042053006</v>
      </c>
      <c r="B1023" s="2" t="str">
        <f>"DRUM5086  CHEEK205X3 ANODIZED 180"</f>
        <v>DRUM5086  CHEEK205X3 ANODIZED 180</v>
      </c>
      <c r="C1023" s="4">
        <v>90.1</v>
      </c>
      <c r="D1023" s="9">
        <v>49.627080000000007</v>
      </c>
    </row>
    <row r="1024" spans="1:4" x14ac:dyDescent="0.25">
      <c r="A1024" s="2" t="str">
        <f>"14042204006"</f>
        <v>14042204006</v>
      </c>
      <c r="B1024" s="2" t="str">
        <f>"DRUM CHEEK 5086 220X4BLACK ANO 200 MODEL"</f>
        <v>DRUM CHEEK 5086 220X4BLACK ANO 200 MODEL</v>
      </c>
      <c r="C1024" s="4">
        <v>90</v>
      </c>
      <c r="D1024" s="9">
        <v>49.572000000000003</v>
      </c>
    </row>
    <row r="1025" spans="1:4" x14ac:dyDescent="0.25">
      <c r="A1025" s="2" t="str">
        <f>"14042504006"</f>
        <v>14042504006</v>
      </c>
      <c r="B1025" s="2" t="str">
        <f>"DRUM5086  CHEEK205X4 ANODIZED 290"</f>
        <v>DRUM5086  CHEEK205X4 ANODIZED 290</v>
      </c>
      <c r="C1025" s="4">
        <v>113</v>
      </c>
      <c r="D1025" s="9">
        <v>62.240400000000008</v>
      </c>
    </row>
    <row r="1026" spans="1:4" x14ac:dyDescent="0.25">
      <c r="A1026" s="2" t="str">
        <f>"14042954006"</f>
        <v>14042954006</v>
      </c>
      <c r="B1026" s="2" t="str">
        <f>"DRUM5086  CHEEK295X4 ANODIZED 330"</f>
        <v>DRUM5086  CHEEK295X4 ANODIZED 330</v>
      </c>
      <c r="C1026" s="4">
        <v>238.5</v>
      </c>
      <c r="D1026" s="9">
        <v>131.36580000000001</v>
      </c>
    </row>
    <row r="1027" spans="1:4" x14ac:dyDescent="0.25">
      <c r="A1027" s="2" t="str">
        <f>"14045053006"</f>
        <v>14045053006</v>
      </c>
      <c r="B1027" s="2" t="str">
        <f>"FXT+7000 ANODIZED PLATE"</f>
        <v>FXT+7000 ANODIZED PLATE</v>
      </c>
      <c r="C1027" s="4">
        <v>62.7</v>
      </c>
      <c r="D1027" s="9">
        <v>34.535160000000005</v>
      </c>
    </row>
    <row r="1028" spans="1:4" x14ac:dyDescent="0.25">
      <c r="A1028" s="2" t="str">
        <f>"14098005100"</f>
        <v>14098005100</v>
      </c>
      <c r="B1028" s="2" t="str">
        <f>"DELRIN BALLS 5MM DIAMETER"</f>
        <v>DELRIN BALLS 5MM DIAMETER</v>
      </c>
      <c r="C1028" s="4">
        <v>0.6</v>
      </c>
      <c r="D1028" s="9">
        <v>0.33048000000000005</v>
      </c>
    </row>
    <row r="1029" spans="1:4" x14ac:dyDescent="0.25">
      <c r="A1029" s="2" t="str">
        <f>"20001060480"</f>
        <v>20001060480</v>
      </c>
      <c r="B1029" s="2" t="str">
        <f>"06*48 S-S SCREW"</f>
        <v>06*48 S-S SCREW</v>
      </c>
      <c r="C1029" s="4">
        <v>9.2999999999999989</v>
      </c>
      <c r="D1029" s="9">
        <v>5.1224400000000001</v>
      </c>
    </row>
    <row r="1030" spans="1:4" x14ac:dyDescent="0.25">
      <c r="A1030" s="2" t="str">
        <f>"20001060670"</f>
        <v>20001060670</v>
      </c>
      <c r="B1030" s="2" t="str">
        <f>"SINGLE SCREW FOR HEADBOARD CAR FT20"</f>
        <v>SINGLE SCREW FOR HEADBOARD CAR FT20</v>
      </c>
      <c r="C1030" s="4">
        <v>7.8999999999999995</v>
      </c>
      <c r="D1030" s="9">
        <v>4.3513200000000003</v>
      </c>
    </row>
    <row r="1031" spans="1:4" x14ac:dyDescent="0.25">
      <c r="A1031" s="2" t="str">
        <f>"20001060700"</f>
        <v>20001060700</v>
      </c>
      <c r="B1031" s="2" t="str">
        <f>"SS BOLT 6X70"</f>
        <v>SS BOLT 6X70</v>
      </c>
      <c r="C1031" s="4">
        <v>3.8000000000000003</v>
      </c>
      <c r="D1031" s="9">
        <v>2.0930400000000007</v>
      </c>
    </row>
    <row r="1032" spans="1:4" x14ac:dyDescent="0.25">
      <c r="A1032" s="2" t="str">
        <f>"20001080560"</f>
        <v>20001080560</v>
      </c>
      <c r="B1032" s="2" t="str">
        <f>"08*56 S-S SCREW"</f>
        <v>08*56 S-S SCREW</v>
      </c>
      <c r="C1032" s="4">
        <v>19</v>
      </c>
      <c r="D1032" s="9">
        <v>10.465200000000001</v>
      </c>
    </row>
    <row r="1033" spans="1:4" x14ac:dyDescent="0.25">
      <c r="A1033" s="2" t="str">
        <f>"20001080700"</f>
        <v>20001080700</v>
      </c>
      <c r="B1033" s="2" t="str">
        <f>"S/S BOLT 08X70"</f>
        <v>S/S BOLT 08X70</v>
      </c>
      <c r="C1033" s="4">
        <v>4.3</v>
      </c>
      <c r="D1033" s="9">
        <v>2.3684400000000001</v>
      </c>
    </row>
    <row r="1034" spans="1:4" x14ac:dyDescent="0.25">
      <c r="A1034" s="2" t="str">
        <f>"20001080760"</f>
        <v>20001080760</v>
      </c>
      <c r="B1034" s="2" t="str">
        <f>"SINGLE SCREW FOR HEADBOARD CAR FT30"</f>
        <v>SINGLE SCREW FOR HEADBOARD CAR FT30</v>
      </c>
      <c r="C1034" s="4">
        <v>13</v>
      </c>
      <c r="D1034" s="9">
        <v>7.1604000000000001</v>
      </c>
    </row>
    <row r="1035" spans="1:4" x14ac:dyDescent="0.25">
      <c r="A1035" s="2" t="str">
        <f>"20001081100"</f>
        <v>20001081100</v>
      </c>
      <c r="B1035" s="2" t="str">
        <f>"HEX HEADED SCREW 08X110 (120)"</f>
        <v>HEX HEADED SCREW 08X110 (120)</v>
      </c>
      <c r="C1035" s="4">
        <v>15.6</v>
      </c>
      <c r="D1035" s="9">
        <v>8.5924800000000001</v>
      </c>
    </row>
    <row r="1036" spans="1:4" x14ac:dyDescent="0.25">
      <c r="A1036" s="2" t="str">
        <f>"20001081201"</f>
        <v>20001081201</v>
      </c>
      <c r="B1036" s="2" t="str">
        <f>"08*111 S-S SCREW"</f>
        <v>08*111 S-S SCREW</v>
      </c>
      <c r="C1036" s="4">
        <v>17.200000000000003</v>
      </c>
      <c r="D1036" s="9">
        <v>9.4737600000000022</v>
      </c>
    </row>
    <row r="1037" spans="1:4" x14ac:dyDescent="0.25">
      <c r="A1037" s="2" t="str">
        <f>"20002050120"</f>
        <v>20002050120</v>
      </c>
      <c r="B1037" s="2" t="str">
        <f>"TH 5X12 SCREW"</f>
        <v>TH 5X12 SCREW</v>
      </c>
      <c r="C1037" s="4">
        <v>1.3</v>
      </c>
      <c r="D1037" s="9">
        <v>0.71604000000000012</v>
      </c>
    </row>
    <row r="1038" spans="1:4" x14ac:dyDescent="0.25">
      <c r="A1038" s="2" t="str">
        <f>"20002050160"</f>
        <v>20002050160</v>
      </c>
      <c r="B1038" s="2" t="str">
        <f>"(3/16X5/8) 5X16 HH SCREW"</f>
        <v>(3/16X5/8) 5X16 HH SCREW</v>
      </c>
      <c r="C1038" s="4">
        <v>0.9</v>
      </c>
      <c r="D1038" s="9">
        <v>0.49572000000000005</v>
      </c>
    </row>
    <row r="1039" spans="1:4" x14ac:dyDescent="0.25">
      <c r="A1039" s="2" t="str">
        <f>"20002050180"</f>
        <v>20002050180</v>
      </c>
      <c r="B1039" s="2" t="str">
        <f>"5X16(3/16  X23/32  )HH SLG SCREW"</f>
        <v>5X16(3/16  X23/32  )HH SLG SCREW</v>
      </c>
      <c r="C1039" s="4">
        <v>2.5</v>
      </c>
      <c r="D1039" s="9">
        <v>1.3770000000000002</v>
      </c>
    </row>
    <row r="1040" spans="1:4" x14ac:dyDescent="0.25">
      <c r="A1040" s="2" t="str">
        <f>"20002050200"</f>
        <v>20002050200</v>
      </c>
      <c r="B1040" s="2" t="str">
        <f>"5X20 HH SCREW + NUT"</f>
        <v>5X20 HH SCREW + NUT</v>
      </c>
      <c r="C1040" s="4">
        <v>1.4000000000000001</v>
      </c>
      <c r="D1040" s="9">
        <v>0.77112000000000025</v>
      </c>
    </row>
    <row r="1041" spans="1:4" x14ac:dyDescent="0.25">
      <c r="A1041" s="2" t="str">
        <f>"20002080160"</f>
        <v>20002080160</v>
      </c>
      <c r="B1041" s="2" t="str">
        <f>"8X16(5/16''X5/8  ) HH SCREW"</f>
        <v>8X16(5/16''X5/8  ) HH SCREW</v>
      </c>
      <c r="C1041" s="4">
        <v>0.6</v>
      </c>
      <c r="D1041" s="9">
        <v>0.33048000000000005</v>
      </c>
    </row>
    <row r="1042" spans="1:4" x14ac:dyDescent="0.25">
      <c r="A1042" s="2" t="str">
        <f>"20002080200"</f>
        <v>20002080200</v>
      </c>
      <c r="B1042" s="2" t="str">
        <f>"M8 X 20 SCREWS"</f>
        <v>M8 X 20 SCREWS</v>
      </c>
      <c r="C1042" s="4">
        <v>1.6</v>
      </c>
      <c r="D1042" s="9">
        <v>0.88128000000000006</v>
      </c>
    </row>
    <row r="1043" spans="1:4" x14ac:dyDescent="0.25">
      <c r="A1043" s="2" t="str">
        <f>"20002080220"</f>
        <v>20002080220</v>
      </c>
      <c r="B1043" s="2" t="str">
        <f>"8X22(5/16''X7/8  )HH SLUG SCREW"</f>
        <v>8X22(5/16''X7/8  )HH SLUG SCREW</v>
      </c>
      <c r="C1043" s="4">
        <v>1.4000000000000001</v>
      </c>
      <c r="D1043" s="9">
        <v>0.77112000000000025</v>
      </c>
    </row>
    <row r="1044" spans="1:4" x14ac:dyDescent="0.25">
      <c r="A1044" s="2" t="str">
        <f>"20002100180"</f>
        <v>20002100180</v>
      </c>
      <c r="B1044" s="2" t="str">
        <f>"10X18(13/32''X23/32  )HH SCREW"</f>
        <v>10X18(13/32''X23/32  )HH SCREW</v>
      </c>
      <c r="C1044" s="4">
        <v>2.1</v>
      </c>
      <c r="D1044" s="9">
        <v>1.1566800000000002</v>
      </c>
    </row>
    <row r="1045" spans="1:4" x14ac:dyDescent="0.25">
      <c r="A1045" s="2" t="str">
        <f>"20004060000"</f>
        <v>20004060000</v>
      </c>
      <c r="B1045" s="2" t="str">
        <f>"NYLSTOP NUT A2 M6"</f>
        <v>NYLSTOP NUT A2 M6</v>
      </c>
      <c r="C1045" s="4">
        <v>0.30000000000000004</v>
      </c>
      <c r="D1045" s="9">
        <v>0.16524000000000005</v>
      </c>
    </row>
    <row r="1046" spans="1:4" x14ac:dyDescent="0.25">
      <c r="A1046" s="2" t="str">
        <f>"20004080000"</f>
        <v>20004080000</v>
      </c>
      <c r="B1046" s="2" t="str">
        <f>"NYLSTOP NUT A2 M8"</f>
        <v>NYLSTOP NUT A2 M8</v>
      </c>
      <c r="C1046" s="4">
        <v>0.7</v>
      </c>
      <c r="D1046" s="9">
        <v>0.38556000000000001</v>
      </c>
    </row>
    <row r="1047" spans="1:4" x14ac:dyDescent="0.25">
      <c r="A1047" s="2" t="str">
        <f>"20005080000"</f>
        <v>20005080000</v>
      </c>
      <c r="B1047" s="2" t="str">
        <f>"SINGLE NYLSTOP NUT M8"</f>
        <v>SINGLE NYLSTOP NUT M8</v>
      </c>
      <c r="C1047" s="4">
        <v>0.7</v>
      </c>
      <c r="D1047" s="9">
        <v>0.38556000000000001</v>
      </c>
    </row>
    <row r="1048" spans="1:4" x14ac:dyDescent="0.25">
      <c r="A1048" s="2" t="str">
        <f>"20009050600"</f>
        <v>20009050600</v>
      </c>
      <c r="B1048" s="2" t="str">
        <f>"SAFETY SCREW 05*06"</f>
        <v>SAFETY SCREW 05*06</v>
      </c>
      <c r="C1048" s="4">
        <v>0.30000000000000004</v>
      </c>
      <c r="D1048" s="9">
        <v>0.16524000000000005</v>
      </c>
    </row>
    <row r="1049" spans="1:4" x14ac:dyDescent="0.25">
      <c r="A1049" s="2" t="str">
        <f>"20009050810"</f>
        <v>20009050810</v>
      </c>
      <c r="B1049" s="2" t="str">
        <f>"SAFETY SCREW 06*08"</f>
        <v>SAFETY SCREW 06*08</v>
      </c>
      <c r="C1049" s="4">
        <v>0.5</v>
      </c>
      <c r="D1049" s="9">
        <v>0.27540000000000003</v>
      </c>
    </row>
    <row r="1050" spans="1:4" x14ac:dyDescent="0.25">
      <c r="A1050" s="2" t="str">
        <f>"20009052000"</f>
        <v>20009052000</v>
      </c>
      <c r="B1050" s="2" t="str">
        <f>"HSS SLUG SCREW 5X20(3/16-3/4  ) HEXAGON"</f>
        <v>HSS SLUG SCREW 5X20(3/16-3/4  ) HEXAGON</v>
      </c>
      <c r="C1050" s="4">
        <v>1.3</v>
      </c>
      <c r="D1050" s="9">
        <v>0.71604000000000012</v>
      </c>
    </row>
    <row r="1051" spans="1:4" x14ac:dyDescent="0.25">
      <c r="A1051" s="2" t="str">
        <f>"20009052500"</f>
        <v>20009052500</v>
      </c>
      <c r="B1051" s="2" t="str">
        <f>"HSS SLUG SCREW 5X25(3/16 - 1  ) HEXAGON"</f>
        <v>HSS SLUG SCREW 5X25(3/16 - 1  ) HEXAGON</v>
      </c>
      <c r="C1051" s="4">
        <v>2.3000000000000003</v>
      </c>
      <c r="D1051" s="9">
        <v>1.2668400000000002</v>
      </c>
    </row>
    <row r="1052" spans="1:4" x14ac:dyDescent="0.25">
      <c r="A1052" s="2" t="str">
        <f>"20009052501"</f>
        <v>20009052501</v>
      </c>
      <c r="B1052" s="2" t="str">
        <f>"HSG SLUG SPECIAL SCREW 5X25 (3/16 - 1  )"</f>
        <v>HSG SLUG SPECIAL SCREW 5X25 (3/16 - 1  )</v>
      </c>
      <c r="C1052" s="4">
        <v>3.9</v>
      </c>
      <c r="D1052" s="9">
        <v>2.14812</v>
      </c>
    </row>
    <row r="1053" spans="1:4" x14ac:dyDescent="0.25">
      <c r="A1053" s="2" t="str">
        <f>"20009063000"</f>
        <v>20009063000</v>
      </c>
      <c r="B1053" s="2" t="str">
        <f>"HSS SLUG SCREW 6X30(1/4 - 1  3/ (1/4 - 1"</f>
        <v>HSS SLUG SCREW 6X30(1/4 - 1  3/ (1/4 - 1</v>
      </c>
      <c r="C1053" s="4">
        <v>2.3000000000000003</v>
      </c>
      <c r="D1053" s="9">
        <v>1.2668400000000002</v>
      </c>
    </row>
    <row r="1054" spans="1:4" x14ac:dyDescent="0.25">
      <c r="A1054" s="2" t="str">
        <f>"20052051200"</f>
        <v>20052051200</v>
      </c>
      <c r="B1054" s="2" t="str">
        <f>"TH 5X12 SPECIAL SCREW"</f>
        <v>TH 5X12 SPECIAL SCREW</v>
      </c>
      <c r="C1054" s="4">
        <v>3.5</v>
      </c>
      <c r="D1054" s="9">
        <v>1.9278000000000004</v>
      </c>
    </row>
    <row r="1055" spans="1:4" x14ac:dyDescent="0.25">
      <c r="A1055" s="2" t="str">
        <f>"20052051600"</f>
        <v>20052051600</v>
      </c>
      <c r="B1055" s="2" t="str">
        <f>"TH Ø 5X16 SPECIAL SCREW"</f>
        <v>TH Ø 5X16 SPECIAL SCREW</v>
      </c>
      <c r="C1055" s="4">
        <v>11</v>
      </c>
      <c r="D1055" s="9">
        <v>6.0588000000000006</v>
      </c>
    </row>
    <row r="1056" spans="1:4" x14ac:dyDescent="0.25">
      <c r="A1056" s="2" t="str">
        <f>"20052052002"</f>
        <v>20052052002</v>
      </c>
      <c r="B1056" s="2" t="str">
        <f>"05*20 S-S SCREW/FOR D10MM SLUG"</f>
        <v>05*20 S-S SCREW/FOR D10MM SLUG</v>
      </c>
      <c r="C1056" s="4">
        <v>1.8</v>
      </c>
      <c r="D1056" s="9">
        <v>0.9914400000000001</v>
      </c>
    </row>
    <row r="1057" spans="1:4" x14ac:dyDescent="0.25">
      <c r="A1057" s="2" t="str">
        <f>"20059050200"</f>
        <v>20059050200</v>
      </c>
      <c r="B1057" s="2" t="str">
        <f>"HSS SLUG SPECIAL SCREW 5X25 (3/16-3/4  )"</f>
        <v>HSS SLUG SPECIAL SCREW 5X25 (3/16-3/4  )</v>
      </c>
      <c r="C1057" s="4">
        <v>2.6</v>
      </c>
      <c r="D1057" s="9">
        <v>1.4320800000000002</v>
      </c>
    </row>
    <row r="1058" spans="1:4" x14ac:dyDescent="0.25">
      <c r="A1058" s="2" t="str">
        <f>"24000600060"</f>
        <v>24000600060</v>
      </c>
      <c r="B1058" s="2" t="str">
        <f>"D6MM DYNEEMA SAIL ROPE"</f>
        <v>D6MM DYNEEMA SAIL ROPE</v>
      </c>
      <c r="C1058" s="4">
        <v>49.800000000000004</v>
      </c>
      <c r="D1058" s="9">
        <v>27.429840000000006</v>
      </c>
    </row>
    <row r="1059" spans="1:4" x14ac:dyDescent="0.25">
      <c r="A1059" s="2" t="str">
        <f>"24000600080"</f>
        <v>24000600080</v>
      </c>
      <c r="B1059" s="2" t="str">
        <f>"D8MM DYNEEMA SAIL ROPE"</f>
        <v>D8MM DYNEEMA SAIL ROPE</v>
      </c>
      <c r="C1059" s="4">
        <v>66.199999999999989</v>
      </c>
      <c r="D1059" s="9">
        <v>36.462960000000002</v>
      </c>
    </row>
    <row r="1060" spans="1:4" x14ac:dyDescent="0.25">
      <c r="A1060" s="2" t="str">
        <f>"24011008000"</f>
        <v>24011008000</v>
      </c>
      <c r="B1060" s="2" t="str">
        <f>"LUFF ROPE LRS D8(9) PER METER AFX 1500"</f>
        <v>LUFF ROPE LRS D8(9) PER METER AFX 1500</v>
      </c>
      <c r="C1060" s="4">
        <v>21.700000000000003</v>
      </c>
      <c r="D1060" s="9">
        <v>11.952360000000004</v>
      </c>
    </row>
    <row r="1061" spans="1:4" x14ac:dyDescent="0.25">
      <c r="A1061" s="2" t="str">
        <f>"24011011000"</f>
        <v>24011011000</v>
      </c>
      <c r="B1061" s="2" t="str">
        <f>"LUFF ROPE LRS D11MM PER METER"</f>
        <v>LUFF ROPE LRS D11MM PER METER</v>
      </c>
      <c r="C1061" s="4">
        <v>29.5</v>
      </c>
      <c r="D1061" s="9">
        <v>16.248600000000003</v>
      </c>
    </row>
    <row r="1062" spans="1:4" x14ac:dyDescent="0.25">
      <c r="A1062" s="2" t="str">
        <f>"24011013000"</f>
        <v>24011013000</v>
      </c>
      <c r="B1062" s="2" t="str">
        <f>"LUFF ROPE LRS D13MM P/ METER"</f>
        <v>LUFF ROPE LRS D13MM P/ METER</v>
      </c>
      <c r="C1062" s="4">
        <v>41</v>
      </c>
      <c r="D1062" s="9">
        <v>22.582800000000002</v>
      </c>
    </row>
    <row r="1063" spans="1:4" x14ac:dyDescent="0.25">
      <c r="A1063" s="2" t="str">
        <f>"24011016500"</f>
        <v>24011016500</v>
      </c>
      <c r="B1063" s="2" t="str">
        <f>"16MM ANTI-TORSION CABLE (PER FT)"</f>
        <v>16MM ANTI-TORSION CABLE (PER FT)</v>
      </c>
      <c r="C1063" s="4">
        <v>53.4</v>
      </c>
      <c r="D1063" s="9">
        <v>29.412720000000004</v>
      </c>
    </row>
    <row r="1064" spans="1:4" x14ac:dyDescent="0.25">
      <c r="A1064" s="2" t="str">
        <f>"24013161201"</f>
        <v>24013161201</v>
      </c>
      <c r="B1064" s="2" t="str">
        <f>"100 METER WEBBING 16MMX1.2"</f>
        <v>100 METER WEBBING 16MMX1.2</v>
      </c>
      <c r="C1064" s="4">
        <v>5</v>
      </c>
      <c r="D1064" s="9">
        <v>2.7540000000000004</v>
      </c>
    </row>
    <row r="1065" spans="1:4" x14ac:dyDescent="0.25">
      <c r="A1065" s="2" t="str">
        <f>"24013161220"</f>
        <v>24013161220</v>
      </c>
      <c r="B1065" s="2" t="str">
        <f>"100 METER OF WEBBING FD 16MMX1.2DY"</f>
        <v>100 METER OF WEBBING FD 16MMX1.2DY</v>
      </c>
      <c r="C1065" s="4">
        <v>13.4</v>
      </c>
      <c r="D1065" s="9">
        <v>7.3807200000000011</v>
      </c>
    </row>
    <row r="1066" spans="1:4" x14ac:dyDescent="0.25">
      <c r="A1066" s="2" t="str">
        <f>"24106200000"</f>
        <v>24106200000</v>
      </c>
      <c r="B1066" s="2" t="str">
        <f>"06MMX20M STD FURLING LINE* WHITE/YELLOW"</f>
        <v>06MMX20M STD FURLING LINE* WHITE/YELLOW</v>
      </c>
      <c r="C1066" s="4">
        <v>38.9</v>
      </c>
      <c r="D1066" s="9">
        <v>21.426120000000004</v>
      </c>
    </row>
    <row r="1067" spans="1:4" x14ac:dyDescent="0.25">
      <c r="A1067" s="2" t="str">
        <f>"24106201300"</f>
        <v>24106201300</v>
      </c>
      <c r="B1067" s="2" t="str">
        <f>"06MMX20M FURLING LINE+1+LEADS* WHITE/YEL"</f>
        <v>06MMX20M FURLING LINE+1+LEADS* WHITE/YEL</v>
      </c>
      <c r="C1067" s="4">
        <v>114.6</v>
      </c>
      <c r="D1067" s="9">
        <v>63.121679999999998</v>
      </c>
    </row>
    <row r="1068" spans="1:4" x14ac:dyDescent="0.25">
      <c r="A1068" s="2" t="str">
        <f>"24108240000"</f>
        <v>24108240000</v>
      </c>
      <c r="B1068" s="2" t="str">
        <f>"08MMX24M STD FURLING LINE* GREY/BLUE ID"</f>
        <v>08MMX24M STD FURLING LINE* GREY/BLUE ID</v>
      </c>
      <c r="C1068" s="4">
        <v>77.8</v>
      </c>
      <c r="D1068" s="9">
        <v>42.852240000000009</v>
      </c>
    </row>
    <row r="1069" spans="1:4" x14ac:dyDescent="0.25">
      <c r="A1069" s="2" t="str">
        <f>"24108240400"</f>
        <v>24108240400</v>
      </c>
      <c r="B1069" s="2" t="str">
        <f>"FURL. LINE KIT 24MD8MM+4XLEAD BLOCKS"</f>
        <v>FURL. LINE KIT 24MD8MM+4XLEAD BLOCKS</v>
      </c>
      <c r="C1069" s="4">
        <v>139.79999999999998</v>
      </c>
      <c r="D1069" s="9">
        <v>77.001840000000001</v>
      </c>
    </row>
    <row r="1070" spans="1:4" x14ac:dyDescent="0.25">
      <c r="A1070" s="2" t="str">
        <f>"24108241300"</f>
        <v>24108241300</v>
      </c>
      <c r="B1070" s="2" t="str">
        <f>"08MMX20M FURLING LINE+1+3LEADS GREY/BLUE"</f>
        <v>08MMX20M FURLING LINE+1+3LEADS GREY/BLUE</v>
      </c>
      <c r="C1070" s="4">
        <v>153.5</v>
      </c>
      <c r="D1070" s="9">
        <v>84.547800000000009</v>
      </c>
    </row>
    <row r="1071" spans="1:4" x14ac:dyDescent="0.25">
      <c r="A1071" s="2" t="str">
        <f>"24110241400"</f>
        <v>24110241400</v>
      </c>
      <c r="B1071" s="2" t="str">
        <f>"10MMX24M FURLING LINE+1+4LEADS GREY/BLUE"</f>
        <v>10MMX24M FURLING LINE+1+4LEADS GREY/BLUE</v>
      </c>
      <c r="C1071" s="4">
        <v>182.7</v>
      </c>
      <c r="D1071" s="9">
        <v>100.63116000000001</v>
      </c>
    </row>
    <row r="1072" spans="1:4" x14ac:dyDescent="0.25">
      <c r="A1072" s="2" t="str">
        <f>"24161015180"</f>
        <v>24161015180</v>
      </c>
      <c r="B1072" s="2" t="str">
        <f>"LINE D10MMX15M + WEBBING 20M"</f>
        <v>LINE D10MMX15M + WEBBING 20M</v>
      </c>
      <c r="C1072" s="4">
        <v>321.40000000000003</v>
      </c>
      <c r="D1072" s="9">
        <v>177.02712000000005</v>
      </c>
    </row>
    <row r="1073" spans="1:4" x14ac:dyDescent="0.25">
      <c r="A1073" s="2" t="str">
        <f>"25200000750"</f>
        <v>25200000750</v>
      </c>
      <c r="B1073" s="2" t="str">
        <f>"RING FOR HEADBOARD CAR D10"</f>
        <v>RING FOR HEADBOARD CAR D10</v>
      </c>
      <c r="C1073" s="4">
        <v>60.7</v>
      </c>
      <c r="D1073" s="9">
        <v>33.43356</v>
      </c>
    </row>
    <row r="1074" spans="1:4" x14ac:dyDescent="0.25">
      <c r="A1074" s="2" t="str">
        <f>"25200010026"</f>
        <v>25200010026</v>
      </c>
      <c r="B1074" s="2" t="str">
        <f>"S-S SLUG NO 1 M5 - 16MM WIDE"</f>
        <v>S-S SLUG NO 1 M5 - 16MM WIDE</v>
      </c>
      <c r="C1074" s="4">
        <v>5.3999999999999995</v>
      </c>
      <c r="D1074" s="9">
        <v>2.9743199999999996</v>
      </c>
    </row>
    <row r="1075" spans="1:4" x14ac:dyDescent="0.25">
      <c r="A1075" s="2" t="str">
        <f>"25200010028"</f>
        <v>25200010028</v>
      </c>
      <c r="B1075" s="2" t="str">
        <f>"S-S SLUG NO 2 M5 - 19MM WIDE"</f>
        <v>S-S SLUG NO 2 M5 - 19MM WIDE</v>
      </c>
      <c r="C1075" s="4">
        <v>5.6</v>
      </c>
      <c r="D1075" s="9">
        <v>3.0844800000000001</v>
      </c>
    </row>
    <row r="1076" spans="1:4" x14ac:dyDescent="0.25">
      <c r="A1076" s="2" t="str">
        <f>"25200010030"</f>
        <v>25200010030</v>
      </c>
      <c r="B1076" s="2" t="str">
        <f>"SINGLE FLAT SLUG: SS PL3 M5"</f>
        <v>SINGLE FLAT SLUG: SS PL3 M5</v>
      </c>
      <c r="C1076" s="4">
        <v>6.3</v>
      </c>
      <c r="D1076" s="9">
        <v>3.47004</v>
      </c>
    </row>
    <row r="1077" spans="1:4" x14ac:dyDescent="0.25">
      <c r="A1077" s="2" t="str">
        <f>"25200010032"</f>
        <v>25200010032</v>
      </c>
      <c r="B1077" s="2" t="str">
        <f>"SINGLE FLAT SLUG: SS PL3 M6"</f>
        <v>SINGLE FLAT SLUG: SS PL3 M6</v>
      </c>
      <c r="C1077" s="4">
        <v>8.5</v>
      </c>
      <c r="D1077" s="9">
        <v>4.6818</v>
      </c>
    </row>
    <row r="1078" spans="1:4" x14ac:dyDescent="0.25">
      <c r="A1078" s="2" t="str">
        <f>"25200010033"</f>
        <v>25200010033</v>
      </c>
      <c r="B1078" s="2" t="str">
        <f>"D10 STAINLESS STEEL SLUG"</f>
        <v>D10 STAINLESS STEEL SLUG</v>
      </c>
      <c r="C1078" s="4">
        <v>5.6</v>
      </c>
      <c r="D1078" s="9">
        <v>3.0844800000000001</v>
      </c>
    </row>
    <row r="1079" spans="1:4" x14ac:dyDescent="0.25">
      <c r="A1079" s="2" t="str">
        <f>"25200180010"</f>
        <v>25200180010</v>
      </c>
      <c r="B1079" s="2" t="str">
        <f>"SFT4500/7000 SNAPSHACKLE ADAPTER"</f>
        <v>SFT4500/7000 SNAPSHACKLE ADAPTER</v>
      </c>
      <c r="C1079" s="4">
        <v>31</v>
      </c>
      <c r="D1079" s="9">
        <v>17.074800000000003</v>
      </c>
    </row>
    <row r="1080" spans="1:4" x14ac:dyDescent="0.25">
      <c r="A1080" s="2" t="str">
        <f>"25301009000"</f>
        <v>25301009000</v>
      </c>
      <c r="B1080" s="2" t="str">
        <f>"CARBON GUIDE FX+900"</f>
        <v>CARBON GUIDE FX+900</v>
      </c>
      <c r="C1080" s="4">
        <v>281.20000000000005</v>
      </c>
      <c r="D1080" s="9">
        <v>154.88496000000004</v>
      </c>
    </row>
    <row r="1081" spans="1:4" x14ac:dyDescent="0.25">
      <c r="A1081" s="2" t="str">
        <f>"25301015000"</f>
        <v>25301015000</v>
      </c>
      <c r="B1081" s="2" t="str">
        <f>"CARBON GUIDE FX+1500"</f>
        <v>CARBON GUIDE FX+1500</v>
      </c>
      <c r="C1081" s="4">
        <v>398.5</v>
      </c>
      <c r="D1081" s="9">
        <v>219.49380000000002</v>
      </c>
    </row>
    <row r="1082" spans="1:4" x14ac:dyDescent="0.25">
      <c r="A1082" s="2" t="str">
        <f>"25301025000"</f>
        <v>25301025000</v>
      </c>
      <c r="B1082" s="2" t="str">
        <f>"CARBON GUIDE FX+2500"</f>
        <v>CARBON GUIDE FX+2500</v>
      </c>
      <c r="C1082" s="4">
        <v>529.20000000000005</v>
      </c>
      <c r="D1082" s="9">
        <v>291.48336000000006</v>
      </c>
    </row>
    <row r="1083" spans="1:4" x14ac:dyDescent="0.25">
      <c r="A1083" s="2" t="str">
        <f>"25301045000"</f>
        <v>25301045000</v>
      </c>
      <c r="B1083" s="2" t="str">
        <f>"CARBON GUIDE FX+4500"</f>
        <v>CARBON GUIDE FX+4500</v>
      </c>
      <c r="C1083" s="4">
        <v>879.9</v>
      </c>
      <c r="D1083" s="9">
        <v>484.64891999999998</v>
      </c>
    </row>
    <row r="1084" spans="1:4" x14ac:dyDescent="0.25">
      <c r="A1084" s="2" t="str">
        <f>"25301070000"</f>
        <v>25301070000</v>
      </c>
      <c r="B1084" s="2" t="str">
        <f>"CARBON GUIDE FX+7000"</f>
        <v>CARBON GUIDE FX+7000</v>
      </c>
      <c r="C1084" s="4">
        <v>1192.5</v>
      </c>
      <c r="D1084" s="9">
        <v>656.82900000000006</v>
      </c>
    </row>
    <row r="1085" spans="1:4" x14ac:dyDescent="0.25">
      <c r="A1085" s="2" t="str">
        <f>"26025070011"</f>
        <v>26025070011</v>
      </c>
      <c r="B1085" s="2" t="str">
        <f>"1600MM LONG D70MM SECTION STANDARD LENGT"</f>
        <v>1600MM LONG D70MM SECTION STANDARD LENGT</v>
      </c>
      <c r="C1085" s="4">
        <v>145.79999999999998</v>
      </c>
      <c r="D1085" s="9">
        <v>80.306639999999987</v>
      </c>
    </row>
    <row r="1086" spans="1:4" x14ac:dyDescent="0.25">
      <c r="A1086" s="2" t="str">
        <f>"26025070012"</f>
        <v>26025070012</v>
      </c>
      <c r="B1086" s="2" t="str">
        <f>"BOWSPRIT D70MM 1600-TO-2400 OVERALL LENG"</f>
        <v>BOWSPRIT D70MM 1600-TO-2400 OVERALL LENG</v>
      </c>
      <c r="C1086" s="4">
        <v>195.6</v>
      </c>
      <c r="D1086" s="9">
        <v>107.73648000000001</v>
      </c>
    </row>
    <row r="1087" spans="1:4" x14ac:dyDescent="0.25">
      <c r="A1087" s="2" t="str">
        <f>"26025070013"</f>
        <v>26025070013</v>
      </c>
      <c r="B1087" s="2" t="str">
        <f>"24-3200MM LONG D70MM SECTION OVERALL LEN"</f>
        <v>24-3200MM LONG D70MM SECTION OVERALL LEN</v>
      </c>
      <c r="C1087" s="4">
        <v>245.6</v>
      </c>
      <c r="D1087" s="9">
        <v>135.27648000000002</v>
      </c>
    </row>
    <row r="1088" spans="1:4" x14ac:dyDescent="0.25">
      <c r="A1088" s="2" t="str">
        <f>"26025080011"</f>
        <v>26025080011</v>
      </c>
      <c r="B1088" s="2" t="str">
        <f>"1800MM LONG D80MM SECTION STANDARD LENGT"</f>
        <v>1800MM LONG D80MM SECTION STANDARD LENGT</v>
      </c>
      <c r="C1088" s="4">
        <v>222.2</v>
      </c>
      <c r="D1088" s="9">
        <v>122.38776</v>
      </c>
    </row>
    <row r="1089" spans="1:4" x14ac:dyDescent="0.25">
      <c r="A1089" s="2" t="str">
        <f>"26025080012"</f>
        <v>26025080012</v>
      </c>
      <c r="B1089" s="2" t="str">
        <f>"18-2600MM LONG D80MM SECTION OVERALL LEN"</f>
        <v>18-2600MM LONG D80MM SECTION OVERALL LEN</v>
      </c>
      <c r="C1089" s="4">
        <v>310.3</v>
      </c>
      <c r="D1089" s="9">
        <v>170.91324</v>
      </c>
    </row>
    <row r="1090" spans="1:4" x14ac:dyDescent="0.25">
      <c r="A1090" s="2" t="str">
        <f>"26025080013"</f>
        <v>26025080013</v>
      </c>
      <c r="B1090" s="2" t="str">
        <f>"26-3400MM LONG D80MM SECTION OVERALL LEN"</f>
        <v>26-3400MM LONG D80MM SECTION OVERALL LEN</v>
      </c>
      <c r="C1090" s="4">
        <v>398.40000000000003</v>
      </c>
      <c r="D1090" s="9">
        <v>219.43872000000005</v>
      </c>
    </row>
    <row r="1091" spans="1:4" x14ac:dyDescent="0.25">
      <c r="A1091" s="2" t="str">
        <f>"26025090011"</f>
        <v>26025090011</v>
      </c>
      <c r="B1091" s="2" t="str">
        <f>"1900MM LONG D90MM SECTION STANDARD LENGT"</f>
        <v>1900MM LONG D90MM SECTION STANDARD LENGT</v>
      </c>
      <c r="C1091" s="4">
        <v>184.1</v>
      </c>
      <c r="D1091" s="9">
        <v>101.40228</v>
      </c>
    </row>
    <row r="1092" spans="1:4" x14ac:dyDescent="0.25">
      <c r="A1092" s="2" t="str">
        <f>"26025090012"</f>
        <v>26025090012</v>
      </c>
      <c r="B1092" s="2" t="str">
        <f>"19-320MM LONG D90MM SECTION OVERALL LENG"</f>
        <v>19-320MM LONG D90MM SECTION OVERALL LENG</v>
      </c>
      <c r="C1092" s="4">
        <v>262</v>
      </c>
      <c r="D1092" s="9">
        <v>144.30960000000002</v>
      </c>
    </row>
    <row r="1093" spans="1:4" x14ac:dyDescent="0.25">
      <c r="A1093" s="2" t="str">
        <f>"26025090013"</f>
        <v>26025090013</v>
      </c>
      <c r="B1093" s="2" t="str">
        <f>"32-4500MM LONG D90MM SECTION OVERALL LEN"</f>
        <v>32-4500MM LONG D90MM SECTION OVERALL LEN</v>
      </c>
      <c r="C1093" s="4">
        <v>523.5</v>
      </c>
      <c r="D1093" s="9">
        <v>288.34379999999999</v>
      </c>
    </row>
    <row r="1094" spans="1:4" x14ac:dyDescent="0.25">
      <c r="A1094" s="2" t="str">
        <f>"26025100011"</f>
        <v>26025100011</v>
      </c>
      <c r="B1094" s="2" t="str">
        <f>"2000MM LONG D100MM SECTION STANDARD LENG"</f>
        <v>2000MM LONG D100MM SECTION STANDARD LENG</v>
      </c>
      <c r="C1094" s="4">
        <v>272</v>
      </c>
      <c r="D1094" s="9">
        <v>149.8176</v>
      </c>
    </row>
    <row r="1095" spans="1:4" x14ac:dyDescent="0.25">
      <c r="A1095" s="2" t="str">
        <f>"26025100012"</f>
        <v>26025100012</v>
      </c>
      <c r="B1095" s="2" t="str">
        <f>"2000-3250 BOWSPRIT D100SECTION OVERALL L"</f>
        <v>2000-3250 BOWSPRIT D100SECTION OVERALL L</v>
      </c>
      <c r="C1095" s="4">
        <v>484.40000000000003</v>
      </c>
      <c r="D1095" s="9">
        <v>266.80752000000007</v>
      </c>
    </row>
    <row r="1096" spans="1:4" x14ac:dyDescent="0.25">
      <c r="A1096" s="2" t="str">
        <f>"26025100013"</f>
        <v>26025100013</v>
      </c>
      <c r="B1096" s="2" t="str">
        <f>"3250-4500MM LG D100MM SECTION OVERALL LE"</f>
        <v>3250-4500MM LG D100MM SECTION OVERALL LE</v>
      </c>
      <c r="C1096" s="4">
        <v>621.6</v>
      </c>
      <c r="D1096" s="9">
        <v>342.37728000000004</v>
      </c>
    </row>
    <row r="1097" spans="1:4" x14ac:dyDescent="0.25">
      <c r="A1097" s="2" t="str">
        <f>"26095014202"</f>
        <v>26095014202</v>
      </c>
      <c r="B1097" s="2" t="str">
        <f>"R14 2M SECTION ONLY (CLEAR ANO)"</f>
        <v>R14 2M SECTION ONLY (CLEAR ANO)</v>
      </c>
      <c r="C1097" s="4">
        <v>130</v>
      </c>
      <c r="D1097" s="9">
        <v>71.603999999999999</v>
      </c>
    </row>
    <row r="1098" spans="1:4" x14ac:dyDescent="0.25">
      <c r="A1098" s="2" t="str">
        <f>"26095024202"</f>
        <v>26095024202</v>
      </c>
      <c r="B1098" s="2" t="str">
        <f>"R24 2M SECTION ONLY (CLEAR ANO)"</f>
        <v>R24 2M SECTION ONLY (CLEAR ANO)</v>
      </c>
      <c r="C1098" s="4">
        <v>148.69999999999999</v>
      </c>
      <c r="D1098" s="9">
        <v>81.903960000000012</v>
      </c>
    </row>
    <row r="1099" spans="1:4" x14ac:dyDescent="0.25">
      <c r="A1099" s="2" t="str">
        <f>"26095034202"</f>
        <v>26095034202</v>
      </c>
      <c r="B1099" s="2" t="str">
        <f>"R34 2M SECTION ONLY (CLEAR ANO)"</f>
        <v>R34 2M SECTION ONLY (CLEAR ANO)</v>
      </c>
      <c r="C1099" s="4">
        <v>214.9</v>
      </c>
      <c r="D1099" s="9">
        <v>118.36692000000001</v>
      </c>
    </row>
    <row r="1100" spans="1:4" x14ac:dyDescent="0.25">
      <c r="A1100" s="2" t="str">
        <f>"26097014030"</f>
        <v>26097014030</v>
      </c>
      <c r="B1100" s="2" t="str">
        <f>"R14 CONNECTOR"</f>
        <v>R14 CONNECTOR</v>
      </c>
      <c r="C1100" s="4">
        <v>57.300000000000004</v>
      </c>
      <c r="D1100" s="9">
        <v>31.560840000000006</v>
      </c>
    </row>
    <row r="1101" spans="1:4" x14ac:dyDescent="0.25">
      <c r="A1101" s="2" t="str">
        <f>"26097034030"</f>
        <v>26097034030</v>
      </c>
      <c r="B1101" s="2" t="str">
        <f>"R34 CONNECTOR"</f>
        <v>R34 CONNECTOR</v>
      </c>
      <c r="C1101" s="4">
        <v>107</v>
      </c>
      <c r="D1101" s="9">
        <v>58.935600000000008</v>
      </c>
    </row>
    <row r="1102" spans="1:4" x14ac:dyDescent="0.25">
      <c r="A1102" s="2" t="str">
        <f>"26132250106"</f>
        <v>26132250106</v>
      </c>
      <c r="B1102" s="2" t="str">
        <f>"SX25 1M SECTION ONLY"</f>
        <v>SX25 1M SECTION ONLY</v>
      </c>
      <c r="C1102" s="4">
        <v>77.699999999999989</v>
      </c>
      <c r="D1102" s="9">
        <v>42.797159999999998</v>
      </c>
    </row>
    <row r="1103" spans="1:4" x14ac:dyDescent="0.25">
      <c r="A1103" s="2" t="str">
        <f>"26132260206"</f>
        <v>26132260206</v>
      </c>
      <c r="B1103" s="2" t="str">
        <f>"R26 2M SECTION ONLY (CLEAR ANO)"</f>
        <v>R26 2M SECTION ONLY (CLEAR ANO)</v>
      </c>
      <c r="C1103" s="4">
        <v>170.1</v>
      </c>
      <c r="D1103" s="9">
        <v>93.691080000000014</v>
      </c>
    </row>
    <row r="1104" spans="1:4" x14ac:dyDescent="0.25">
      <c r="A1104" s="2" t="str">
        <f>"26132470106"</f>
        <v>26132470106</v>
      </c>
      <c r="B1104" s="2" t="str">
        <f>"SX47 1M SECTION ONLY"</f>
        <v>SX47 1M SECTION ONLY</v>
      </c>
      <c r="C1104" s="4">
        <v>112.39999999999999</v>
      </c>
      <c r="D1104" s="9">
        <v>61.909920000000007</v>
      </c>
    </row>
    <row r="1105" spans="1:4" x14ac:dyDescent="0.25">
      <c r="A1105" s="2" t="str">
        <f>"26132530206"</f>
        <v>26132530206</v>
      </c>
      <c r="B1105" s="2" t="str">
        <f>"SX53 2M SECTION ONLY"</f>
        <v>SX53 2M SECTION ONLY</v>
      </c>
      <c r="C1105" s="4">
        <v>324.40000000000003</v>
      </c>
      <c r="D1105" s="9">
        <v>178.67952000000002</v>
      </c>
    </row>
    <row r="1106" spans="1:4" x14ac:dyDescent="0.25">
      <c r="A1106" s="2" t="str">
        <f>"26134250036"</f>
        <v>26134250036</v>
      </c>
      <c r="B1106" s="2" t="str">
        <f>"SX25 CONNECTOR"</f>
        <v>SX25 CONNECTOR</v>
      </c>
      <c r="C1106" s="4">
        <v>55</v>
      </c>
      <c r="D1106" s="9">
        <v>30.294000000000004</v>
      </c>
    </row>
    <row r="1107" spans="1:4" x14ac:dyDescent="0.25">
      <c r="A1107" s="2" t="str">
        <f>"26134260036"</f>
        <v>26134260036</v>
      </c>
      <c r="B1107" s="2" t="str">
        <f>"R26 CONNECTOR + BUSHING"</f>
        <v>R26 CONNECTOR + BUSHING</v>
      </c>
      <c r="C1107" s="4">
        <v>85.1</v>
      </c>
      <c r="D1107" s="9">
        <v>46.873080000000002</v>
      </c>
    </row>
    <row r="1108" spans="1:4" x14ac:dyDescent="0.25">
      <c r="A1108" s="2" t="str">
        <f>"26134330036"</f>
        <v>26134330036</v>
      </c>
      <c r="B1108" s="2" t="str">
        <f>"SX33 CONNECTOR"</f>
        <v>SX33 CONNECTOR</v>
      </c>
      <c r="C1108" s="4">
        <v>66.399999999999991</v>
      </c>
      <c r="D1108" s="9">
        <v>36.573119999999996</v>
      </c>
    </row>
    <row r="1109" spans="1:4" x14ac:dyDescent="0.25">
      <c r="A1109" s="2" t="str">
        <f>"26134390036"</f>
        <v>26134390036</v>
      </c>
      <c r="B1109" s="2" t="str">
        <f>"SX39 CONNECTOR"</f>
        <v>SX39 CONNECTOR</v>
      </c>
      <c r="C1109" s="4">
        <v>82.199999999999989</v>
      </c>
      <c r="D1109" s="9">
        <v>45.275759999999998</v>
      </c>
    </row>
    <row r="1110" spans="1:4" x14ac:dyDescent="0.25">
      <c r="A1110" s="2" t="str">
        <f>"26134470036"</f>
        <v>26134470036</v>
      </c>
      <c r="B1110" s="2" t="str">
        <f>"SX47 CONNECTOR"</f>
        <v>SX47 CONNECTOR</v>
      </c>
      <c r="C1110" s="4">
        <v>102.19999999999999</v>
      </c>
      <c r="D1110" s="9">
        <v>56.291759999999996</v>
      </c>
    </row>
    <row r="1111" spans="1:4" x14ac:dyDescent="0.25">
      <c r="A1111" s="2" t="str">
        <f>"26134530036"</f>
        <v>26134530036</v>
      </c>
      <c r="B1111" s="2" t="str">
        <f>"SX53 CONNECTOR"</f>
        <v>SX53 CONNECTOR</v>
      </c>
      <c r="C1111" s="4">
        <v>136.1</v>
      </c>
      <c r="D1111" s="9">
        <v>74.963880000000003</v>
      </c>
    </row>
    <row r="1112" spans="1:4" x14ac:dyDescent="0.25">
      <c r="A1112" s="2" t="str">
        <f>"26136140166"</f>
        <v>26136140166</v>
      </c>
      <c r="B1112" s="2" t="str">
        <f>"R14 TELESCOPIC SECTION"</f>
        <v>R14 TELESCOPIC SECTION</v>
      </c>
      <c r="C1112" s="4">
        <v>120.69999999999999</v>
      </c>
      <c r="D1112" s="9">
        <v>66.481560000000002</v>
      </c>
    </row>
    <row r="1113" spans="1:4" x14ac:dyDescent="0.25">
      <c r="A1113" s="2" t="str">
        <f>"26136240166"</f>
        <v>26136240166</v>
      </c>
      <c r="B1113" s="2" t="str">
        <f>"R24 TELESCOPIC SECTION"</f>
        <v>R24 TELESCOPIC SECTION</v>
      </c>
      <c r="C1113" s="4">
        <v>143.5</v>
      </c>
      <c r="D1113" s="9">
        <v>79.039800000000014</v>
      </c>
    </row>
    <row r="1114" spans="1:4" x14ac:dyDescent="0.25">
      <c r="A1114" s="2" t="str">
        <f>"26136260166"</f>
        <v>26136260166</v>
      </c>
      <c r="B1114" s="2" t="str">
        <f>"R26 TELESCOPIC SECTION"</f>
        <v>R26 TELESCOPIC SECTION</v>
      </c>
      <c r="C1114" s="4">
        <v>170.5</v>
      </c>
      <c r="D1114" s="9">
        <v>93.911400000000015</v>
      </c>
    </row>
    <row r="1115" spans="1:4" x14ac:dyDescent="0.25">
      <c r="A1115" s="2" t="str">
        <f>"26136340166"</f>
        <v>26136340166</v>
      </c>
      <c r="B1115" s="2" t="str">
        <f>"R34 TELESCOPIC SECTION"</f>
        <v>R34 TELESCOPIC SECTION</v>
      </c>
      <c r="C1115" s="4">
        <v>199.7</v>
      </c>
      <c r="D1115" s="9">
        <v>109.99476</v>
      </c>
    </row>
    <row r="1116" spans="1:4" x14ac:dyDescent="0.25">
      <c r="A1116" s="2" t="str">
        <f>"27090430010"</f>
        <v>27090430010</v>
      </c>
      <c r="B1116" s="2" t="str">
        <f>"PLASTIC STRIP/MAINS.FURLER"</f>
        <v>PLASTIC STRIP/MAINS.FURLER</v>
      </c>
      <c r="C1116" s="4">
        <v>26</v>
      </c>
      <c r="D1116" s="9">
        <v>14.3208</v>
      </c>
    </row>
    <row r="1117" spans="1:4" x14ac:dyDescent="0.25">
      <c r="A1117" s="2" t="str">
        <f>"28026211006"</f>
        <v>28026211006</v>
      </c>
      <c r="B1117" s="2" t="str">
        <f>"PL. SLEEVE INTER CAR FI07"</f>
        <v>PL. SLEEVE INTER CAR FI07</v>
      </c>
      <c r="C1117" s="4">
        <v>10</v>
      </c>
      <c r="D1117" s="9">
        <v>5.5080000000000009</v>
      </c>
    </row>
    <row r="1118" spans="1:4" x14ac:dyDescent="0.25">
      <c r="A1118" s="2" t="str">
        <f>"28026271009"</f>
        <v>28026271009</v>
      </c>
      <c r="B1118" s="2" t="str">
        <f>"PLASTIC SLEEVE/INTER CAR FI40 FI40"</f>
        <v>PLASTIC SLEEVE/INTER CAR FI40 FI40</v>
      </c>
      <c r="C1118" s="4">
        <v>43.9</v>
      </c>
      <c r="D1118" s="9">
        <v>24.180120000000002</v>
      </c>
    </row>
    <row r="1119" spans="1:4" x14ac:dyDescent="0.25">
      <c r="A1119" s="2" t="str">
        <f>"28035130007"</f>
        <v>28035130007</v>
      </c>
      <c r="B1119" s="2" t="str">
        <f>"HALF FRL.LINE GUIDE L/R130"</f>
        <v>HALF FRL.LINE GUIDE L/R130</v>
      </c>
      <c r="C1119" s="4">
        <v>46.6</v>
      </c>
      <c r="D1119" s="9">
        <v>25.667280000000002</v>
      </c>
    </row>
    <row r="1120" spans="1:4" x14ac:dyDescent="0.25">
      <c r="A1120" s="2" t="str">
        <f>"28035165007"</f>
        <v>28035165007</v>
      </c>
      <c r="B1120" s="2" t="str">
        <f>"HALF FRL.LINE GUIDE L/R165"</f>
        <v>HALF FRL.LINE GUIDE L/R165</v>
      </c>
      <c r="C1120" s="4">
        <v>55</v>
      </c>
      <c r="D1120" s="9">
        <v>30.294000000000004</v>
      </c>
    </row>
    <row r="1121" spans="1:4" x14ac:dyDescent="0.25">
      <c r="A1121" s="2" t="str">
        <f>"28035200007"</f>
        <v>28035200007</v>
      </c>
      <c r="B1121" s="2" t="str">
        <f>"HALF FRL.LINE GUIDE L200/R260"</f>
        <v>HALF FRL.LINE GUIDE L200/R260</v>
      </c>
      <c r="C1121" s="4">
        <v>66.5</v>
      </c>
      <c r="D1121" s="9">
        <v>36.628200000000007</v>
      </c>
    </row>
    <row r="1122" spans="1:4" x14ac:dyDescent="0.25">
      <c r="A1122" s="2" t="str">
        <f>"28035290007"</f>
        <v>28035290007</v>
      </c>
      <c r="B1122" s="2" t="str">
        <f>"HALF FRL.LINE GUIDE L290/R300"</f>
        <v>HALF FRL.LINE GUIDE L290/R300</v>
      </c>
      <c r="C1122" s="4">
        <v>67.8</v>
      </c>
      <c r="D1122" s="9">
        <v>37.344239999999999</v>
      </c>
    </row>
    <row r="1123" spans="1:4" x14ac:dyDescent="0.25">
      <c r="A1123" s="2" t="str">
        <f>"28037114008"</f>
        <v>28037114008</v>
      </c>
      <c r="B1123" s="2" t="str">
        <f>"HALF GUIDE FD110"</f>
        <v>HALF GUIDE FD110</v>
      </c>
      <c r="C1123" s="4">
        <v>113.69999999999999</v>
      </c>
      <c r="D1123" s="9">
        <v>62.625960000000006</v>
      </c>
    </row>
    <row r="1124" spans="1:4" x14ac:dyDescent="0.25">
      <c r="A1124" s="2" t="str">
        <f>"28037124008"</f>
        <v>28037124008</v>
      </c>
      <c r="B1124" s="2" t="str">
        <f>"HALF GUIDE FD190-230"</f>
        <v>HALF GUIDE FD190-230</v>
      </c>
      <c r="C1124" s="4">
        <v>138.5</v>
      </c>
      <c r="D1124" s="9">
        <v>76.285800000000009</v>
      </c>
    </row>
    <row r="1125" spans="1:4" x14ac:dyDescent="0.25">
      <c r="A1125" s="2" t="str">
        <f>"28037134008"</f>
        <v>28037134008</v>
      </c>
      <c r="B1125" s="2" t="str">
        <f>"HALF GUIDE FD310"</f>
        <v>HALF GUIDE FD310</v>
      </c>
      <c r="C1125" s="4">
        <v>161.19999999999999</v>
      </c>
      <c r="D1125" s="9">
        <v>88.788960000000003</v>
      </c>
    </row>
    <row r="1126" spans="1:4" x14ac:dyDescent="0.25">
      <c r="A1126" s="2" t="str">
        <f>"28051006160"</f>
        <v>28051006160</v>
      </c>
      <c r="B1126" s="2" t="str">
        <f>"ALUM ROUND D16MM SLUG M6"</f>
        <v>ALUM ROUND D16MM SLUG M6</v>
      </c>
      <c r="C1126" s="4">
        <v>9.6999999999999993</v>
      </c>
      <c r="D1126" s="9">
        <v>5.3427600000000002</v>
      </c>
    </row>
    <row r="1127" spans="1:4" x14ac:dyDescent="0.25">
      <c r="A1127" s="2" t="str">
        <f>"28080050600"</f>
        <v>28080050600</v>
      </c>
      <c r="B1127" s="2" t="str">
        <f>"SPECIAL NUT FACSLIDE M5"</f>
        <v>SPECIAL NUT FACSLIDE M5</v>
      </c>
      <c r="C1127" s="4">
        <v>7.6</v>
      </c>
      <c r="D1127" s="9">
        <v>4.1860800000000005</v>
      </c>
    </row>
    <row r="1128" spans="1:4" x14ac:dyDescent="0.25">
      <c r="A1128" s="2" t="str">
        <f>"28084080653"</f>
        <v>28084080653</v>
      </c>
      <c r="B1128" s="2" t="str">
        <f>"SINGLE PIN D8 LG 65.8 CAR FL30"</f>
        <v>SINGLE PIN D8 LG 65.8 CAR FL30</v>
      </c>
      <c r="C1128" s="4">
        <v>44.4</v>
      </c>
      <c r="D1128" s="9">
        <v>24.455520000000003</v>
      </c>
    </row>
    <row r="1129" spans="1:4" x14ac:dyDescent="0.25">
      <c r="A1129" s="2" t="str">
        <f>"28085080453"</f>
        <v>28085080453</v>
      </c>
      <c r="B1129" s="2" t="str">
        <f>"SINGLE PIN D8 LG 45 CAR FI40"</f>
        <v>SINGLE PIN D8 LG 45 CAR FI40</v>
      </c>
      <c r="C1129" s="4">
        <v>43.9</v>
      </c>
      <c r="D1129" s="9">
        <v>24.180120000000002</v>
      </c>
    </row>
    <row r="1130" spans="1:4" x14ac:dyDescent="0.25">
      <c r="A1130" s="2" t="str">
        <f>"28085081003"</f>
        <v>28085081003</v>
      </c>
      <c r="B1130" s="2" t="str">
        <f>"SINGLE PIN D8 LG 100 CAR FL40"</f>
        <v>SINGLE PIN D8 LG 100 CAR FL40</v>
      </c>
      <c r="C1130" s="4">
        <v>53</v>
      </c>
      <c r="D1130" s="9">
        <v>29.192399999999999</v>
      </c>
    </row>
    <row r="1131" spans="1:4" x14ac:dyDescent="0.25">
      <c r="A1131" s="2" t="str">
        <f>"28119702851"</f>
        <v>28119702851</v>
      </c>
      <c r="B1131" s="2" t="str">
        <f>"D28MM PIN FOR LS330"</f>
        <v>D28MM PIN FOR LS330</v>
      </c>
      <c r="C1131" s="4">
        <v>254.29999999999998</v>
      </c>
      <c r="D1131" s="9">
        <v>140.06844000000001</v>
      </c>
    </row>
    <row r="1132" spans="1:4" x14ac:dyDescent="0.25">
      <c r="A1132" s="2" t="str">
        <f>"29050000010"</f>
        <v>29050000010</v>
      </c>
      <c r="B1132" s="2" t="str">
        <f>"GREY STICKER D025"</f>
        <v>GREY STICKER D025</v>
      </c>
      <c r="C1132" s="4">
        <v>0.9</v>
      </c>
      <c r="D1132" s="9">
        <v>0.49572000000000005</v>
      </c>
    </row>
    <row r="1133" spans="1:4" x14ac:dyDescent="0.25">
      <c r="A1133" s="2" t="str">
        <f>"29050000080"</f>
        <v>29050000080</v>
      </c>
      <c r="B1133" s="2" t="str">
        <f>"RUBBER ROUND PATCH D8 F07-10-20-30-40"</f>
        <v>RUBBER ROUND PATCH D8 F07-10-20-30-40</v>
      </c>
      <c r="C1133" s="4">
        <v>0.9</v>
      </c>
      <c r="D1133" s="9">
        <v>0.49572000000000005</v>
      </c>
    </row>
    <row r="1134" spans="1:4" x14ac:dyDescent="0.25">
      <c r="A1134" s="2" t="str">
        <f>"31000200010"</f>
        <v>31000200010</v>
      </c>
      <c r="B1134" s="2" t="str">
        <f>"D70 BOWSPRIT FRONT END FITTING ."</f>
        <v>D70 BOWSPRIT FRONT END FITTING .</v>
      </c>
      <c r="C1134" s="4">
        <v>150.1</v>
      </c>
      <c r="D1134" s="9">
        <v>82.675079999999994</v>
      </c>
    </row>
    <row r="1135" spans="1:4" x14ac:dyDescent="0.25">
      <c r="A1135" s="2" t="str">
        <f>"31000200020"</f>
        <v>31000200020</v>
      </c>
      <c r="B1135" s="2" t="str">
        <f>"D80 BOWSPRIT FRONT END FITTING ."</f>
        <v>D80 BOWSPRIT FRONT END FITTING .</v>
      </c>
      <c r="C1135" s="4">
        <v>228.1</v>
      </c>
      <c r="D1135" s="9">
        <v>125.63748000000001</v>
      </c>
    </row>
    <row r="1136" spans="1:4" x14ac:dyDescent="0.25">
      <c r="A1136" s="2" t="str">
        <f>"31000200030"</f>
        <v>31000200030</v>
      </c>
      <c r="B1136" s="2" t="str">
        <f>"D90 BOWSPRIT FRONT END FITTING ."</f>
        <v>D90 BOWSPRIT FRONT END FITTING .</v>
      </c>
      <c r="C1136" s="4">
        <v>295.5</v>
      </c>
      <c r="D1136" s="9">
        <v>162.76140000000004</v>
      </c>
    </row>
    <row r="1137" spans="1:4" x14ac:dyDescent="0.25">
      <c r="A1137" s="2" t="str">
        <f>"31000200040"</f>
        <v>31000200040</v>
      </c>
      <c r="B1137" s="2" t="str">
        <f>"D10 BOWSPRIT FRONT END FITTING ."</f>
        <v>D10 BOWSPRIT FRONT END FITTING .</v>
      </c>
      <c r="C1137" s="4">
        <v>377.1</v>
      </c>
      <c r="D1137" s="9">
        <v>207.70668000000006</v>
      </c>
    </row>
    <row r="1138" spans="1:4" x14ac:dyDescent="0.25">
      <c r="A1138" s="2" t="str">
        <f>"31000300010"</f>
        <v>31000300010</v>
      </c>
      <c r="B1138" s="2" t="str">
        <f>"D70 BOWSPRIT BACK END FITTING ."</f>
        <v>D70 BOWSPRIT BACK END FITTING .</v>
      </c>
      <c r="C1138" s="4">
        <v>267.90000000000003</v>
      </c>
      <c r="D1138" s="9">
        <v>147.55932000000004</v>
      </c>
    </row>
    <row r="1139" spans="1:4" x14ac:dyDescent="0.25">
      <c r="A1139" s="2" t="str">
        <f>"31000300020"</f>
        <v>31000300020</v>
      </c>
      <c r="B1139" s="2" t="str">
        <f>"D80 BOWSPRIT BACK END FITTING ."</f>
        <v>D80 BOWSPRIT BACK END FITTING .</v>
      </c>
      <c r="C1139" s="4">
        <v>347.6</v>
      </c>
      <c r="D1139" s="9">
        <v>191.45808000000002</v>
      </c>
    </row>
    <row r="1140" spans="1:4" x14ac:dyDescent="0.25">
      <c r="A1140" s="2" t="str">
        <f>"31000300030"</f>
        <v>31000300030</v>
      </c>
      <c r="B1140" s="2" t="str">
        <f>"D90 BOWSPRIT BACK END FITTING ."</f>
        <v>D90 BOWSPRIT BACK END FITTING .</v>
      </c>
      <c r="C1140" s="4">
        <v>435.6</v>
      </c>
      <c r="D1140" s="9">
        <v>239.92848000000006</v>
      </c>
    </row>
    <row r="1141" spans="1:4" x14ac:dyDescent="0.25">
      <c r="A1141" s="2" t="str">
        <f>"31000300040"</f>
        <v>31000300040</v>
      </c>
      <c r="B1141" s="2" t="str">
        <f>"D100 BOWSPRIT BACK END FITTING ."</f>
        <v>D100 BOWSPRIT BACK END FITTING .</v>
      </c>
      <c r="C1141" s="4">
        <v>540.4</v>
      </c>
      <c r="D1141" s="9">
        <v>297.65232000000003</v>
      </c>
    </row>
    <row r="1142" spans="1:4" x14ac:dyDescent="0.25">
      <c r="A1142" s="2" t="str">
        <f>"31000400010"</f>
        <v>31000400010</v>
      </c>
      <c r="B1142" s="2" t="str">
        <f>"D70 BOWSPRIT CENTRAL FIXATION RING"</f>
        <v>D70 BOWSPRIT CENTRAL FIXATION RING</v>
      </c>
      <c r="C1142" s="4">
        <v>176.9</v>
      </c>
      <c r="D1142" s="9">
        <v>97.436520000000016</v>
      </c>
    </row>
    <row r="1143" spans="1:4" x14ac:dyDescent="0.25">
      <c r="A1143" s="2" t="str">
        <f>"31000400020"</f>
        <v>31000400020</v>
      </c>
      <c r="B1143" s="2" t="str">
        <f>"D80 BOWSPRIT CENTRAL FIXATION RING"</f>
        <v>D80 BOWSPRIT CENTRAL FIXATION RING</v>
      </c>
      <c r="C1143" s="4">
        <v>199.1</v>
      </c>
      <c r="D1143" s="9">
        <v>109.66428000000001</v>
      </c>
    </row>
    <row r="1144" spans="1:4" x14ac:dyDescent="0.25">
      <c r="A1144" s="2" t="str">
        <f>"31000600020"</f>
        <v>31000600020</v>
      </c>
      <c r="B1144" s="2" t="str">
        <f>"PREPARATION KIT FOR BRIDDLE"</f>
        <v>PREPARATION KIT FOR BRIDDLE</v>
      </c>
      <c r="C1144" s="4">
        <v>153</v>
      </c>
      <c r="D1144" s="9">
        <v>84.272400000000005</v>
      </c>
    </row>
    <row r="1145" spans="1:4" x14ac:dyDescent="0.25">
      <c r="A1145" s="2" t="str">
        <f>"31001220600"</f>
        <v>31001220600</v>
      </c>
      <c r="B1145" s="2" t="str">
        <f>"LONG FORGED SHACKLE 6 MM"</f>
        <v>LONG FORGED SHACKLE 6 MM</v>
      </c>
      <c r="C1145" s="4">
        <v>19.5</v>
      </c>
      <c r="D1145" s="9">
        <v>10.740600000000001</v>
      </c>
    </row>
    <row r="1146" spans="1:4" x14ac:dyDescent="0.25">
      <c r="A1146" s="2" t="str">
        <f>"31001220800"</f>
        <v>31001220800</v>
      </c>
      <c r="B1146" s="2" t="str">
        <f>"LONG FORGED SHACKLE 8 MM"</f>
        <v>LONG FORGED SHACKLE 8 MM</v>
      </c>
      <c r="C1146" s="4">
        <v>28.900000000000002</v>
      </c>
      <c r="D1146" s="9">
        <v>15.918120000000005</v>
      </c>
    </row>
    <row r="1147" spans="1:4" x14ac:dyDescent="0.25">
      <c r="A1147" s="2" t="str">
        <f>"31001221000"</f>
        <v>31001221000</v>
      </c>
      <c r="B1147" s="2" t="str">
        <f>"LONG FORGED SHACKLE 10MM"</f>
        <v>LONG FORGED SHACKLE 10MM</v>
      </c>
      <c r="C1147" s="4">
        <v>35</v>
      </c>
      <c r="D1147" s="9">
        <v>19.278000000000002</v>
      </c>
    </row>
    <row r="1148" spans="1:4" x14ac:dyDescent="0.25">
      <c r="A1148" s="2" t="str">
        <f>"31001250500"</f>
        <v>31001250500</v>
      </c>
      <c r="B1148" s="2" t="str">
        <f>"BOW SHACKLE D05MM"</f>
        <v>BOW SHACKLE D05MM</v>
      </c>
      <c r="C1148" s="4">
        <v>11</v>
      </c>
      <c r="D1148" s="9">
        <v>6.0588000000000006</v>
      </c>
    </row>
    <row r="1149" spans="1:4" x14ac:dyDescent="0.25">
      <c r="A1149" s="2" t="str">
        <f>"31001250600"</f>
        <v>31001250600</v>
      </c>
      <c r="B1149" s="2" t="str">
        <f>"BOW SHACKLE D06MM"</f>
        <v>BOW SHACKLE D06MM</v>
      </c>
      <c r="C1149" s="4">
        <v>11.1</v>
      </c>
      <c r="D1149" s="9">
        <v>6.1138800000000009</v>
      </c>
    </row>
    <row r="1150" spans="1:4" x14ac:dyDescent="0.25">
      <c r="A1150" s="2" t="str">
        <f>"31001250800"</f>
        <v>31001250800</v>
      </c>
      <c r="B1150" s="2" t="str">
        <f>"BOW SHACKLE D08MM"</f>
        <v>BOW SHACKLE D08MM</v>
      </c>
      <c r="C1150" s="4">
        <v>18.600000000000001</v>
      </c>
      <c r="D1150" s="9">
        <v>10.244880000000002</v>
      </c>
    </row>
    <row r="1151" spans="1:4" x14ac:dyDescent="0.25">
      <c r="A1151" s="2" t="str">
        <f>"31001251000"</f>
        <v>31001251000</v>
      </c>
      <c r="B1151" s="2" t="str">
        <f>"BOW SHACKLE D10MM"</f>
        <v>BOW SHACKLE D10MM</v>
      </c>
      <c r="C1151" s="4">
        <v>23.3</v>
      </c>
      <c r="D1151" s="9">
        <v>12.833640000000001</v>
      </c>
    </row>
    <row r="1152" spans="1:4" x14ac:dyDescent="0.25">
      <c r="A1152" s="2" t="str">
        <f>"31001260600"</f>
        <v>31001260600</v>
      </c>
      <c r="B1152" s="2" t="str">
        <f>"HIL DEE SHACKLE - D06MM SHORT"</f>
        <v>HIL DEE SHACKLE - D06MM SHORT</v>
      </c>
      <c r="C1152" s="4">
        <v>49.2</v>
      </c>
      <c r="D1152" s="9">
        <v>27.099360000000001</v>
      </c>
    </row>
    <row r="1153" spans="1:4" x14ac:dyDescent="0.25">
      <c r="A1153" s="2" t="str">
        <f>"31001270800"</f>
        <v>31001270800</v>
      </c>
      <c r="B1153" s="2" t="str">
        <f>"LARGE FORGED SHACKLE 8MM"</f>
        <v>LARGE FORGED SHACKLE 8MM</v>
      </c>
      <c r="C1153" s="4">
        <v>64.599999999999994</v>
      </c>
      <c r="D1153" s="9">
        <v>35.581679999999999</v>
      </c>
    </row>
    <row r="1154" spans="1:4" x14ac:dyDescent="0.25">
      <c r="A1154" s="2" t="str">
        <f>"31001280800"</f>
        <v>31001280800</v>
      </c>
      <c r="B1154" s="2" t="str">
        <f>"HIL BOW SHACKLE - D08MM"</f>
        <v>HIL BOW SHACKLE - D08MM</v>
      </c>
      <c r="C1154" s="4">
        <v>77.099999999999994</v>
      </c>
      <c r="D1154" s="9">
        <v>42.466680000000004</v>
      </c>
    </row>
    <row r="1155" spans="1:4" x14ac:dyDescent="0.25">
      <c r="A1155" s="2" t="str">
        <f>"31001281000"</f>
        <v>31001281000</v>
      </c>
      <c r="B1155" s="2" t="str">
        <f>"HIL BOW SHACKLE - D10MM"</f>
        <v>HIL BOW SHACKLE - D10MM</v>
      </c>
      <c r="C1155" s="4">
        <v>130.19999999999999</v>
      </c>
      <c r="D1155" s="9">
        <v>71.714160000000007</v>
      </c>
    </row>
    <row r="1156" spans="1:4" x14ac:dyDescent="0.25">
      <c r="A1156" s="2" t="str">
        <f>"31001281200"</f>
        <v>31001281200</v>
      </c>
      <c r="B1156" s="2" t="str">
        <f>"HIL BOW SHACKLE - D12MM"</f>
        <v>HIL BOW SHACKLE - D12MM</v>
      </c>
      <c r="C1156" s="4">
        <v>181</v>
      </c>
      <c r="D1156" s="9">
        <v>99.694800000000015</v>
      </c>
    </row>
    <row r="1157" spans="1:4" x14ac:dyDescent="0.25">
      <c r="A1157" s="2" t="str">
        <f>"31001281600"</f>
        <v>31001281600</v>
      </c>
      <c r="B1157" s="2" t="str">
        <f>"HIL BOW SHACKLE - D16MM"</f>
        <v>HIL BOW SHACKLE - D16MM</v>
      </c>
      <c r="C1157" s="4">
        <v>353.5</v>
      </c>
      <c r="D1157" s="9">
        <v>194.70780000000002</v>
      </c>
    </row>
    <row r="1158" spans="1:4" x14ac:dyDescent="0.25">
      <c r="A1158" s="2" t="str">
        <f>"31001282000"</f>
        <v>31001282000</v>
      </c>
      <c r="B1158" s="2" t="str">
        <f>"HIL BOW SHACKLE - D20MM"</f>
        <v>HIL BOW SHACKLE - D20MM</v>
      </c>
      <c r="C1158" s="4">
        <v>589.4</v>
      </c>
      <c r="D1158" s="9">
        <v>324.64152000000001</v>
      </c>
    </row>
    <row r="1159" spans="1:4" x14ac:dyDescent="0.25">
      <c r="A1159" s="2" t="str">
        <f>"31001320500"</f>
        <v>31001320500</v>
      </c>
      <c r="B1159" s="2" t="str">
        <f>"LONG MILLED SHACKLE 5 MM"</f>
        <v>LONG MILLED SHACKLE 5 MM</v>
      </c>
      <c r="C1159" s="4">
        <v>27.5</v>
      </c>
      <c r="D1159" s="9">
        <v>15.147000000000002</v>
      </c>
    </row>
    <row r="1160" spans="1:4" x14ac:dyDescent="0.25">
      <c r="A1160" s="2" t="str">
        <f>"31001320600"</f>
        <v>31001320600</v>
      </c>
      <c r="B1160" s="2" t="str">
        <f>"C38 D6MM TOP LONG SHACKLE"</f>
        <v>C38 D6MM TOP LONG SHACKLE</v>
      </c>
      <c r="C1160" s="4">
        <v>28.3</v>
      </c>
      <c r="D1160" s="9">
        <v>15.587640000000004</v>
      </c>
    </row>
    <row r="1161" spans="1:4" x14ac:dyDescent="0.25">
      <c r="A1161" s="2" t="str">
        <f>"31001320800"</f>
        <v>31001320800</v>
      </c>
      <c r="B1161" s="2" t="str">
        <f>"LONG MILLED SHACKLE 8 MM"</f>
        <v>LONG MILLED SHACKLE 8 MM</v>
      </c>
      <c r="C1161" s="4">
        <v>33.800000000000004</v>
      </c>
      <c r="D1161" s="9">
        <v>18.617040000000003</v>
      </c>
    </row>
    <row r="1162" spans="1:4" x14ac:dyDescent="0.25">
      <c r="A1162" s="2" t="str">
        <f>"31003271200"</f>
        <v>31003271200</v>
      </c>
      <c r="B1162" s="2" t="str">
        <f>"SNAP SHACKLE 52MM"</f>
        <v>SNAP SHACKLE 52MM</v>
      </c>
      <c r="C1162" s="4">
        <v>118</v>
      </c>
      <c r="D1162" s="9">
        <v>64.994400000000013</v>
      </c>
    </row>
    <row r="1163" spans="1:4" x14ac:dyDescent="0.25">
      <c r="A1163" s="2" t="str">
        <f>"31003271600"</f>
        <v>31003271600</v>
      </c>
      <c r="B1163" s="2" t="str">
        <f>"SNAP SHACKLE 70MM"</f>
        <v>SNAP SHACKLE 70MM</v>
      </c>
      <c r="C1163" s="4">
        <v>157.29999999999998</v>
      </c>
      <c r="D1163" s="9">
        <v>86.640839999999997</v>
      </c>
    </row>
    <row r="1164" spans="1:4" x14ac:dyDescent="0.25">
      <c r="A1164" s="2" t="str">
        <f>"31003271800"</f>
        <v>31003271800</v>
      </c>
      <c r="B1164" s="2" t="str">
        <f>"SNAP SHACKLE 86MM"</f>
        <v>SNAP SHACKLE 86MM</v>
      </c>
      <c r="C1164" s="4">
        <v>236</v>
      </c>
      <c r="D1164" s="9">
        <v>129.98880000000003</v>
      </c>
    </row>
    <row r="1165" spans="1:4" x14ac:dyDescent="0.25">
      <c r="A1165" s="2" t="str">
        <f>"33015100814"</f>
        <v>33015100814</v>
      </c>
      <c r="B1165" s="2" t="str">
        <f>"SINGLE NYLN WASHR 08.2X14.0EP1 FT30-FT40"</f>
        <v>SINGLE NYLN WASHR 08.2X14.0EP1 FT30-FT40</v>
      </c>
      <c r="C1165" s="4">
        <v>0.9</v>
      </c>
      <c r="D1165" s="9">
        <v>0.49572000000000005</v>
      </c>
    </row>
    <row r="1166" spans="1:4" x14ac:dyDescent="0.25">
      <c r="A1166" s="2" t="str">
        <f>"33015101051"</f>
        <v>33015101051</v>
      </c>
      <c r="B1166" s="2" t="str">
        <f>"""AFX 1500 NYLON WASHER 10,5*21"""</f>
        <v>"AFX 1500 NYLON WASHER 10,5*21"</v>
      </c>
      <c r="C1166" s="4">
        <v>2.1</v>
      </c>
      <c r="D1166" s="9">
        <v>1.1566800000000002</v>
      </c>
    </row>
    <row r="1167" spans="1:4" x14ac:dyDescent="0.25">
      <c r="A1167" s="2" t="str">
        <f>"33015101401"</f>
        <v>33015101401</v>
      </c>
      <c r="B1167" s="2" t="str">
        <f>"AFX 2500 NYLON WASHER 14*25"</f>
        <v>AFX 2500 NYLON WASHER 14*25</v>
      </c>
      <c r="C1167" s="4">
        <v>2.3000000000000003</v>
      </c>
      <c r="D1167" s="9">
        <v>1.2668400000000002</v>
      </c>
    </row>
    <row r="1168" spans="1:4" x14ac:dyDescent="0.25">
      <c r="A1168" s="2" t="str">
        <f>"33070080001"</f>
        <v>33070080001</v>
      </c>
      <c r="B1168" s="2" t="str">
        <f>"CF80 TOP CAP"</f>
        <v>CF80 TOP CAP</v>
      </c>
      <c r="C1168" s="4">
        <v>45.9</v>
      </c>
      <c r="D1168" s="9">
        <v>25.281720000000004</v>
      </c>
    </row>
    <row r="1169" spans="1:4" x14ac:dyDescent="0.25">
      <c r="A1169" s="2" t="str">
        <f>"33070090001"</f>
        <v>33070090001</v>
      </c>
      <c r="B1169" s="2" t="str">
        <f>"CF90 HOUSING TOP CAP"</f>
        <v>CF90 HOUSING TOP CAP</v>
      </c>
      <c r="C1169" s="4">
        <v>54.9</v>
      </c>
      <c r="D1169" s="9">
        <v>30.238920000000004</v>
      </c>
    </row>
    <row r="1170" spans="1:4" x14ac:dyDescent="0.25">
      <c r="A1170" s="2" t="str">
        <f>"33070105000"</f>
        <v>33070105000</v>
      </c>
      <c r="B1170" s="2" t="str">
        <f>"CF105 TOP CAP"</f>
        <v>CF105 TOP CAP</v>
      </c>
      <c r="C1170" s="4">
        <v>247.9</v>
      </c>
      <c r="D1170" s="9">
        <v>136.54331999999999</v>
      </c>
    </row>
    <row r="1171" spans="1:4" x14ac:dyDescent="0.25">
      <c r="A1171" s="2" t="str">
        <f>"35022000025"</f>
        <v>35022000025</v>
      </c>
      <c r="B1171" s="2" t="str">
        <f>"FLEXIBLE PLASTIC STRIPS L60-130/R70-130"</f>
        <v>FLEXIBLE PLASTIC STRIPS L60-130/R70-130</v>
      </c>
      <c r="C1171" s="4">
        <v>6.3</v>
      </c>
      <c r="D1171" s="9">
        <v>3.47004</v>
      </c>
    </row>
    <row r="1172" spans="1:4" x14ac:dyDescent="0.25">
      <c r="A1172" s="2" t="str">
        <f>"35022000039"</f>
        <v>35022000039</v>
      </c>
      <c r="B1172" s="2" t="str">
        <f>"FLEXIBLE PLASTIC STRIPS L165-180/R165-20"</f>
        <v>FLEXIBLE PLASTIC STRIPS L165-180/R165-20</v>
      </c>
      <c r="C1172" s="4">
        <v>7.1</v>
      </c>
      <c r="D1172" s="9">
        <v>3.9106800000000002</v>
      </c>
    </row>
    <row r="1173" spans="1:4" x14ac:dyDescent="0.25">
      <c r="A1173" s="2" t="str">
        <f>"35022000047"</f>
        <v>35022000047</v>
      </c>
      <c r="B1173" s="2" t="str">
        <f>"FLEXIBLE PLASTIC STRIPS L200-330-R260-30"</f>
        <v>FLEXIBLE PLASTIC STRIPS L200-330-R260-30</v>
      </c>
      <c r="C1173" s="4">
        <v>7.8999999999999995</v>
      </c>
      <c r="D1173" s="9">
        <v>4.3513200000000003</v>
      </c>
    </row>
    <row r="1174" spans="1:4" x14ac:dyDescent="0.25">
      <c r="A1174" s="2" t="str">
        <f>"35022000224"</f>
        <v>35022000224</v>
      </c>
      <c r="B1174" s="2" t="str">
        <f>"FLEXIBL PLSTC STRIPS FD170A310"</f>
        <v>FLEXIBL PLSTC STRIPS FD170A310</v>
      </c>
      <c r="C1174" s="4">
        <v>4.8</v>
      </c>
      <c r="D1174" s="9">
        <v>2.6438400000000004</v>
      </c>
    </row>
    <row r="1175" spans="1:4" x14ac:dyDescent="0.25">
      <c r="A1175" s="2" t="str">
        <f>"35025220253"</f>
        <v>35025220253</v>
      </c>
      <c r="B1175" s="2" t="str">
        <f>"SHEAVE PIN FOR FX2500 BLOCK"</f>
        <v>SHEAVE PIN FOR FX2500 BLOCK</v>
      </c>
      <c r="C1175" s="4">
        <v>183.5</v>
      </c>
      <c r="D1175" s="9">
        <v>101.07180000000002</v>
      </c>
    </row>
    <row r="1176" spans="1:4" x14ac:dyDescent="0.25">
      <c r="A1176" s="2" t="str">
        <f>"35025220453"</f>
        <v>35025220453</v>
      </c>
      <c r="B1176" s="2" t="str">
        <f>"SHEAVE PIN FOR FX4500 BLOCK"</f>
        <v>SHEAVE PIN FOR FX4500 BLOCK</v>
      </c>
      <c r="C1176" s="4">
        <v>229</v>
      </c>
      <c r="D1176" s="9">
        <v>126.1332</v>
      </c>
    </row>
    <row r="1177" spans="1:4" x14ac:dyDescent="0.25">
      <c r="A1177" s="2" t="str">
        <f>"35025220703"</f>
        <v>35025220703</v>
      </c>
      <c r="B1177" s="2" t="str">
        <f>"SHEAVE PIN FOR FX7000 BLOCK"</f>
        <v>SHEAVE PIN FOR FX7000 BLOCK</v>
      </c>
      <c r="C1177" s="4">
        <v>308</v>
      </c>
      <c r="D1177" s="9">
        <v>169.64640000000003</v>
      </c>
    </row>
    <row r="1178" spans="1:4" x14ac:dyDescent="0.25">
      <c r="A1178" s="2" t="str">
        <f>"43015001570"</f>
        <v>43015001570</v>
      </c>
      <c r="B1178" s="2" t="str">
        <f>"BOTTOM DRIVE UNIT+LINK PLATE+TOG STG3T"</f>
        <v>BOTTOM DRIVE UNIT+LINK PLATE+TOG STG3T</v>
      </c>
      <c r="C1178" s="4">
        <v>1861.3999999999999</v>
      </c>
      <c r="D1178" s="9">
        <v>1025.2591199999999</v>
      </c>
    </row>
    <row r="1179" spans="1:4" x14ac:dyDescent="0.25">
      <c r="A1179" s="2" t="str">
        <f>"43120230090"</f>
        <v>43120230090</v>
      </c>
      <c r="B1179" s="2" t="str">
        <f>"FX  900 RUBBER RING+NOTICE"</f>
        <v>FX  900 RUBBER RING+NOTICE</v>
      </c>
      <c r="C1179" s="4">
        <v>10.199999999999999</v>
      </c>
      <c r="D1179" s="9">
        <v>5.6181600000000005</v>
      </c>
    </row>
    <row r="1180" spans="1:4" x14ac:dyDescent="0.25">
      <c r="A1180" s="2" t="str">
        <f>"43120230250"</f>
        <v>43120230250</v>
      </c>
      <c r="B1180" s="2" t="str">
        <f>"FX 2500 RUBBER RING+NOTICE"</f>
        <v>FX 2500 RUBBER RING+NOTICE</v>
      </c>
      <c r="C1180" s="4">
        <v>20</v>
      </c>
      <c r="D1180" s="9">
        <v>11.016000000000002</v>
      </c>
    </row>
    <row r="1181" spans="1:4" x14ac:dyDescent="0.25">
      <c r="A1181" s="2" t="str">
        <f>"43120230700"</f>
        <v>43120230700</v>
      </c>
      <c r="B1181" s="2" t="str">
        <f>"FX 7000 RUBBER RING+NOTICE WITH NYLON SC"</f>
        <v>FX 7000 RUBBER RING+NOTICE WITH NYLON SC</v>
      </c>
      <c r="C1181" s="4">
        <v>123.89999999999999</v>
      </c>
      <c r="D1181" s="9">
        <v>68.244119999999995</v>
      </c>
    </row>
    <row r="1182" spans="1:4" x14ac:dyDescent="0.25">
      <c r="A1182" s="2" t="str">
        <f>"43120300020"</f>
        <v>43120300020</v>
      </c>
      <c r="B1182" s="2" t="str">
        <f>"FIXING SET (SCREWS+LOCTITE+ ALLEN KEY) F"</f>
        <v>FIXING SET (SCREWS+LOCTITE+ ALLEN KEY) F</v>
      </c>
      <c r="C1182" s="4">
        <v>63</v>
      </c>
      <c r="D1182" s="9">
        <v>34.700400000000002</v>
      </c>
    </row>
    <row r="1183" spans="1:4" x14ac:dyDescent="0.25">
      <c r="A1183" s="2" t="str">
        <f>"43120300040"</f>
        <v>43120300040</v>
      </c>
      <c r="B1183" s="2" t="str">
        <f>"FIXING SET (SCREWS+LOCTITE+ ALLEN KEY) F"</f>
        <v>FIXING SET (SCREWS+LOCTITE+ ALLEN KEY) F</v>
      </c>
      <c r="C1183" s="4">
        <v>82.8</v>
      </c>
      <c r="D1183" s="9">
        <v>45.60624</v>
      </c>
    </row>
    <row r="1184" spans="1:4" x14ac:dyDescent="0.25">
      <c r="A1184" s="2" t="str">
        <f>"43120300060"</f>
        <v>43120300060</v>
      </c>
      <c r="B1184" s="2" t="str">
        <f>"FIXING SET (SCREWS+LOCTITE+ ALLEN KEY) F"</f>
        <v>FIXING SET (SCREWS+LOCTITE+ ALLEN KEY) F</v>
      </c>
      <c r="C1184" s="4">
        <v>132</v>
      </c>
      <c r="D1184" s="9">
        <v>72.705600000000004</v>
      </c>
    </row>
    <row r="1185" spans="1:4" x14ac:dyDescent="0.25">
      <c r="A1185" s="2" t="str">
        <f>"43120500900"</f>
        <v>43120500900</v>
      </c>
      <c r="B1185" s="2" t="str">
        <f>"JAW PIN +SAFETY RING FX/FX+900 EM+PC FX/"</f>
        <v>JAW PIN +SAFETY RING FX/FX+900 EM+PC FX/</v>
      </c>
      <c r="C1185" s="4">
        <v>42.5</v>
      </c>
      <c r="D1185" s="9">
        <v>23.409000000000002</v>
      </c>
    </row>
    <row r="1186" spans="1:4" x14ac:dyDescent="0.25">
      <c r="A1186" s="2" t="str">
        <f>"43120501500"</f>
        <v>43120501500</v>
      </c>
      <c r="B1186" s="2" t="str">
        <f>"JAW PIN + SAFETY RING - FX1500"</f>
        <v>JAW PIN + SAFETY RING - FX1500</v>
      </c>
      <c r="C1186" s="4">
        <v>52.6</v>
      </c>
      <c r="D1186" s="9">
        <v>28.972080000000002</v>
      </c>
    </row>
    <row r="1187" spans="1:4" x14ac:dyDescent="0.25">
      <c r="A1187" s="2" t="str">
        <f>"43120502501"</f>
        <v>43120502501</v>
      </c>
      <c r="B1187" s="2" t="str">
        <f>"CLICK SYSTEM FOR PIN - FX2500"</f>
        <v>CLICK SYSTEM FOR PIN - FX2500</v>
      </c>
      <c r="C1187" s="4">
        <v>83.8</v>
      </c>
      <c r="D1187" s="9">
        <v>46.157040000000002</v>
      </c>
    </row>
    <row r="1188" spans="1:4" x14ac:dyDescent="0.25">
      <c r="A1188" s="2" t="str">
        <f>"43120512000"</f>
        <v>43120512000</v>
      </c>
      <c r="B1188" s="2" t="str">
        <f>"JAW PIN + SAFETY PIN - FX12000"</f>
        <v>JAW PIN + SAFETY PIN - FX12000</v>
      </c>
      <c r="C1188" s="4">
        <v>453.3</v>
      </c>
      <c r="D1188" s="9">
        <v>249.67764000000005</v>
      </c>
    </row>
    <row r="1189" spans="1:4" x14ac:dyDescent="0.25">
      <c r="A1189" s="2" t="str">
        <f>"43120520000"</f>
        <v>43120520000</v>
      </c>
      <c r="B1189" s="2" t="str">
        <f>"JAW PIN + SAFETY PIN - FX20000"</f>
        <v>JAW PIN + SAFETY PIN - FX20000</v>
      </c>
      <c r="C1189" s="4">
        <v>502.3</v>
      </c>
      <c r="D1189" s="9">
        <v>276.66684000000004</v>
      </c>
    </row>
    <row r="1190" spans="1:4" x14ac:dyDescent="0.25">
      <c r="A1190" s="2" t="str">
        <f>"43120530450"</f>
        <v>43120530450</v>
      </c>
      <c r="B1190" s="2" t="str">
        <f>"FX 4500 TEXTILE SHACKLE + S-S RING"</f>
        <v>FX 4500 TEXTILE SHACKLE + S-S RING</v>
      </c>
      <c r="C1190" s="4">
        <v>499.5</v>
      </c>
      <c r="D1190" s="9">
        <v>275.12460000000004</v>
      </c>
    </row>
    <row r="1191" spans="1:4" x14ac:dyDescent="0.25">
      <c r="A1191" s="2" t="str">
        <f>"43120530700"</f>
        <v>43120530700</v>
      </c>
      <c r="B1191" s="2" t="str">
        <f>"FX 7000 TEXTILE SHACKLE + S-S RING"</f>
        <v>FX 7000 TEXTILE SHACKLE + S-S RING</v>
      </c>
      <c r="C1191" s="4">
        <v>549.5</v>
      </c>
      <c r="D1191" s="9">
        <v>302.66460000000006</v>
      </c>
    </row>
    <row r="1192" spans="1:4" x14ac:dyDescent="0.25">
      <c r="A1192" s="2" t="str">
        <f>"43120531200"</f>
        <v>43120531200</v>
      </c>
      <c r="B1192" s="2" t="str">
        <f>"FX 12000 TEXTILE SHACKLE + S-S RING"</f>
        <v>FX 12000 TEXTILE SHACKLE + S-S RING</v>
      </c>
      <c r="C1192" s="4">
        <v>959</v>
      </c>
      <c r="D1192" s="9">
        <v>528.21720000000005</v>
      </c>
    </row>
    <row r="1193" spans="1:4" x14ac:dyDescent="0.25">
      <c r="A1193" s="2" t="str">
        <f>"43125204530"</f>
        <v>43125204530</v>
      </c>
      <c r="B1193" s="2" t="str">
        <f>"DRUM FXT 4500 ATTACH NOT INCLUDED"</f>
        <v>DRUM FXT 4500 ATTACH NOT INCLUDED</v>
      </c>
      <c r="C1193" s="4">
        <v>1261</v>
      </c>
      <c r="D1193" s="9">
        <v>694.55880000000013</v>
      </c>
    </row>
    <row r="1194" spans="1:4" x14ac:dyDescent="0.25">
      <c r="A1194" s="2" t="str">
        <f>"43125207030"</f>
        <v>43125207030</v>
      </c>
      <c r="B1194" s="2" t="str">
        <f>"DRUM FXT 7000 ATTACH NOT INCLUDED"</f>
        <v>DRUM FXT 7000 ATTACH NOT INCLUDED</v>
      </c>
      <c r="C1194" s="4">
        <v>1732.3999999999999</v>
      </c>
      <c r="D1194" s="9">
        <v>954.20591999999988</v>
      </c>
    </row>
    <row r="1195" spans="1:4" x14ac:dyDescent="0.25">
      <c r="A1195" s="2" t="str">
        <f>"43130102531"</f>
        <v>43130102531</v>
      </c>
      <c r="B1195" s="2" t="str">
        <f>"FX2500 SCREW+BOLT+SPLIT PIN"</f>
        <v>FX2500 SCREW+BOLT+SPLIT PIN</v>
      </c>
      <c r="C1195" s="4">
        <v>131.1</v>
      </c>
      <c r="D1195" s="9">
        <v>72.209879999999998</v>
      </c>
    </row>
    <row r="1196" spans="1:4" x14ac:dyDescent="0.25">
      <c r="A1196" s="2" t="str">
        <f>"43130102532"</f>
        <v>43130102532</v>
      </c>
      <c r="B1196" s="2" t="str">
        <f>"FX2500 BLOCK SHEAVE"</f>
        <v>FX2500 BLOCK SHEAVE</v>
      </c>
      <c r="C1196" s="4">
        <v>380.3</v>
      </c>
      <c r="D1196" s="9">
        <v>209.46924000000004</v>
      </c>
    </row>
    <row r="1197" spans="1:4" x14ac:dyDescent="0.25">
      <c r="A1197" s="2" t="str">
        <f>"43130104531"</f>
        <v>43130104531</v>
      </c>
      <c r="B1197" s="2" t="str">
        <f>"FX4500 SCREW+BOLT+SPLIT PIN"</f>
        <v>FX4500 SCREW+BOLT+SPLIT PIN</v>
      </c>
      <c r="C1197" s="4">
        <v>167.4</v>
      </c>
      <c r="D1197" s="9">
        <v>92.203920000000011</v>
      </c>
    </row>
    <row r="1198" spans="1:4" x14ac:dyDescent="0.25">
      <c r="A1198" s="2" t="str">
        <f>"43130104532"</f>
        <v>43130104532</v>
      </c>
      <c r="B1198" s="2" t="str">
        <f>"FX4500 BLOCK SHEAVE"</f>
        <v>FX4500 BLOCK SHEAVE</v>
      </c>
      <c r="C1198" s="4">
        <v>593.1</v>
      </c>
      <c r="D1198" s="9">
        <v>326.67948000000007</v>
      </c>
    </row>
    <row r="1199" spans="1:4" x14ac:dyDescent="0.25">
      <c r="A1199" s="2" t="str">
        <f>"43130107031"</f>
        <v>43130107031</v>
      </c>
      <c r="B1199" s="2" t="str">
        <f>"FX7000 SCREW+BOLT+SPLIT PIN"</f>
        <v>FX7000 SCREW+BOLT+SPLIT PIN</v>
      </c>
      <c r="C1199" s="4">
        <v>230.29999999999998</v>
      </c>
      <c r="D1199" s="9">
        <v>126.84924000000001</v>
      </c>
    </row>
    <row r="1200" spans="1:4" x14ac:dyDescent="0.25">
      <c r="A1200" s="2" t="str">
        <f>"43130107032"</f>
        <v>43130107032</v>
      </c>
      <c r="B1200" s="2" t="str">
        <f>"FX7000 BLOCK SHEAVE"</f>
        <v>FX7000 BLOCK SHEAVE</v>
      </c>
      <c r="C1200" s="4">
        <v>824.5</v>
      </c>
      <c r="D1200" s="9">
        <v>454.13460000000009</v>
      </c>
    </row>
    <row r="1201" spans="1:4" x14ac:dyDescent="0.25">
      <c r="A1201" s="2" t="str">
        <f>"43130120030"</f>
        <v>43130120030</v>
      </c>
      <c r="B1201" s="2" t="str">
        <f>"FB130- 2-TO-1  BLOCK - 20000"</f>
        <v>FB130- 2-TO-1  BLOCK - 20000</v>
      </c>
      <c r="C1201" s="4">
        <v>3691.9</v>
      </c>
      <c r="D1201" s="9">
        <v>2033.4985200000003</v>
      </c>
    </row>
    <row r="1202" spans="1:4" x14ac:dyDescent="0.25">
      <c r="A1202" s="2" t="str">
        <f>"43130304531"</f>
        <v>43130304531</v>
      </c>
      <c r="B1202" s="2" t="str">
        <f>"PIN KIT FOR FX4500 TEXTILE SHACKLE"</f>
        <v>PIN KIT FOR FX4500 TEXTILE SHACKLE</v>
      </c>
      <c r="C1202" s="4">
        <v>316</v>
      </c>
      <c r="D1202" s="9">
        <v>174.05280000000002</v>
      </c>
    </row>
    <row r="1203" spans="1:4" x14ac:dyDescent="0.25">
      <c r="A1203" s="2" t="str">
        <f>"43130312030"</f>
        <v>43130312030</v>
      </c>
      <c r="B1203" s="2" t="str">
        <f>"LOOP ATTACH FX 12000"</f>
        <v>LOOP ATTACH FX 12000</v>
      </c>
      <c r="C1203" s="4">
        <v>1245.6999999999998</v>
      </c>
      <c r="D1203" s="9">
        <v>686.13155999999992</v>
      </c>
    </row>
    <row r="1204" spans="1:4" x14ac:dyDescent="0.25">
      <c r="A1204" s="2" t="str">
        <f>"43130312031"</f>
        <v>43130312031</v>
      </c>
      <c r="B1204" s="2" t="str">
        <f>"PIN KIT FOR FX12000 TEXTILE SHACKLE"</f>
        <v>PIN KIT FOR FX12000 TEXTILE SHACKLE</v>
      </c>
      <c r="C1204" s="4">
        <v>373.5</v>
      </c>
      <c r="D1204" s="9">
        <v>205.72380000000001</v>
      </c>
    </row>
    <row r="1205" spans="1:4" x14ac:dyDescent="0.25">
      <c r="A1205" s="2" t="str">
        <f>"43130320030"</f>
        <v>43130320030</v>
      </c>
      <c r="B1205" s="2" t="str">
        <f>"LOOP ATTACH FX 20000"</f>
        <v>LOOP ATTACH FX 20000</v>
      </c>
      <c r="C1205" s="4">
        <v>1940.5</v>
      </c>
      <c r="D1205" s="9">
        <v>1068.8274000000004</v>
      </c>
    </row>
    <row r="1206" spans="1:4" x14ac:dyDescent="0.25">
      <c r="A1206" s="2" t="str">
        <f>"43130407030"</f>
        <v>43130407030</v>
      </c>
      <c r="B1206" s="2" t="str">
        <f>"SNAP SHACKLE ADAPTOR 7000 WICHARD"</f>
        <v>SNAP SHACKLE ADAPTOR 7000 WICHARD</v>
      </c>
      <c r="C1206" s="4">
        <v>743.5</v>
      </c>
      <c r="D1206" s="9">
        <v>409.51980000000003</v>
      </c>
    </row>
    <row r="1207" spans="1:4" x14ac:dyDescent="0.25">
      <c r="A1207" s="2" t="str">
        <f>"43142450258"</f>
        <v>43142450258</v>
      </c>
      <c r="B1207" s="2" t="str">
        <f>"S-S FURLING LINE GUIDE FX2500"</f>
        <v>S-S FURLING LINE GUIDE FX2500</v>
      </c>
      <c r="C1207" s="4">
        <v>320.20000000000005</v>
      </c>
      <c r="D1207" s="9">
        <v>176.36616000000006</v>
      </c>
    </row>
    <row r="1208" spans="1:4" x14ac:dyDescent="0.25">
      <c r="A1208" s="2" t="str">
        <f>"43142450458"</f>
        <v>43142450458</v>
      </c>
      <c r="B1208" s="2" t="str">
        <f>"S-S FURLING LINE GUIDE FX4500"</f>
        <v>S-S FURLING LINE GUIDE FX4500</v>
      </c>
      <c r="C1208" s="4">
        <v>432.3</v>
      </c>
      <c r="D1208" s="9">
        <v>238.11084000000008</v>
      </c>
    </row>
    <row r="1209" spans="1:4" x14ac:dyDescent="0.25">
      <c r="A1209" s="2" t="str">
        <f>"43142450708"</f>
        <v>43142450708</v>
      </c>
      <c r="B1209" s="2" t="str">
        <f>"S-S FURLING LINE GUIDE FX7000"</f>
        <v>S-S FURLING LINE GUIDE FX7000</v>
      </c>
      <c r="C1209" s="4">
        <v>767.9</v>
      </c>
      <c r="D1209" s="9">
        <v>422.95932000000005</v>
      </c>
    </row>
    <row r="1210" spans="1:4" x14ac:dyDescent="0.25">
      <c r="A1210" s="2" t="str">
        <f>"43143500153"</f>
        <v>43143500153</v>
      </c>
      <c r="B1210" s="2" t="str">
        <f>"AXIS SCREED LOCK D08LU28PO APX EMER+PC F"</f>
        <v>AXIS SCREED LOCK D08LU28PO APX EMER+PC F</v>
      </c>
      <c r="C1210" s="4">
        <v>38.300000000000004</v>
      </c>
      <c r="D1210" s="9">
        <v>21.095640000000007</v>
      </c>
    </row>
    <row r="1211" spans="1:4" x14ac:dyDescent="0.25">
      <c r="A1211" s="2" t="str">
        <f>"43143500253"</f>
        <v>43143500253</v>
      </c>
      <c r="B1211" s="2" t="str">
        <f>"AXIS SCREED LOCK D10LU35PO APX EMER+PC F"</f>
        <v>AXIS SCREED LOCK D10LU35PO APX EMER+PC F</v>
      </c>
      <c r="C1211" s="4">
        <v>42.9</v>
      </c>
      <c r="D1211" s="9">
        <v>23.62932</v>
      </c>
    </row>
    <row r="1212" spans="1:4" x14ac:dyDescent="0.25">
      <c r="A1212" s="2" t="str">
        <f>"43143500453"</f>
        <v>43143500453</v>
      </c>
      <c r="B1212" s="2" t="str">
        <f>"AXIS SCREED LOCK D12LU42PO APX EMER+PC F"</f>
        <v>AXIS SCREED LOCK D12LU42PO APX EMER+PC F</v>
      </c>
      <c r="C1212" s="4">
        <v>50.7</v>
      </c>
      <c r="D1212" s="9">
        <v>27.925560000000004</v>
      </c>
    </row>
    <row r="1213" spans="1:4" x14ac:dyDescent="0.25">
      <c r="A1213" s="2" t="str">
        <f>"43143500703"</f>
        <v>43143500703</v>
      </c>
      <c r="B1213" s="2" t="str">
        <f>"AXIS SCREED LOCK D14LU52PO APX EMER+PC F"</f>
        <v>AXIS SCREED LOCK D14LU52PO APX EMER+PC F</v>
      </c>
      <c r="C1213" s="4">
        <v>66.899999999999991</v>
      </c>
      <c r="D1213" s="9">
        <v>36.848520000000001</v>
      </c>
    </row>
    <row r="1214" spans="1:4" x14ac:dyDescent="0.25">
      <c r="A1214" s="2" t="str">
        <f>"43224001540"</f>
        <v>43224001540</v>
      </c>
      <c r="B1214" s="2" t="str">
        <f>"AFX1500 THERMO SLEEVE KIT"</f>
        <v>AFX1500 THERMO SLEEVE KIT</v>
      </c>
      <c r="C1214" s="4">
        <v>58.6</v>
      </c>
      <c r="D1214" s="9">
        <v>32.276880000000006</v>
      </c>
    </row>
    <row r="1215" spans="1:4" x14ac:dyDescent="0.25">
      <c r="A1215" s="2" t="str">
        <f>"43224002540"</f>
        <v>43224002540</v>
      </c>
      <c r="B1215" s="2" t="str">
        <f>"AFX2500 THERMO SLEEVE KIT"</f>
        <v>AFX2500 THERMO SLEEVE KIT</v>
      </c>
      <c r="C1215" s="4">
        <v>77.199999999999989</v>
      </c>
      <c r="D1215" s="9">
        <v>42.521759999999993</v>
      </c>
    </row>
    <row r="1216" spans="1:4" x14ac:dyDescent="0.25">
      <c r="A1216" s="2" t="str">
        <f>"43224004540"</f>
        <v>43224004540</v>
      </c>
      <c r="B1216" s="2" t="str">
        <f>"AFX4500 THERMO SLEEVE KIT"</f>
        <v>AFX4500 THERMO SLEEVE KIT</v>
      </c>
      <c r="C1216" s="4">
        <v>90.8</v>
      </c>
      <c r="D1216" s="9">
        <v>50.012640000000005</v>
      </c>
    </row>
    <row r="1217" spans="1:4" x14ac:dyDescent="0.25">
      <c r="A1217" s="2" t="str">
        <f>"43224007040"</f>
        <v>43224007040</v>
      </c>
      <c r="B1217" s="2" t="str">
        <f>"AFX7000 THERMO SLEEVE KIT"</f>
        <v>AFX7000 THERMO SLEEVE KIT</v>
      </c>
      <c r="C1217" s="4">
        <v>132.6</v>
      </c>
      <c r="D1217" s="9">
        <v>73.036079999999998</v>
      </c>
    </row>
    <row r="1218" spans="1:4" x14ac:dyDescent="0.25">
      <c r="A1218" s="2" t="str">
        <f>"43225001540"</f>
        <v>43225001540</v>
      </c>
      <c r="B1218" s="2" t="str">
        <f>"AFX1500 REPAIR TERMINAL KIT"</f>
        <v>AFX1500 REPAIR TERMINAL KIT</v>
      </c>
      <c r="C1218" s="4">
        <v>330</v>
      </c>
      <c r="D1218" s="9">
        <v>181.76400000000001</v>
      </c>
    </row>
    <row r="1219" spans="1:4" x14ac:dyDescent="0.25">
      <c r="A1219" s="2" t="str">
        <f>"43225002540"</f>
        <v>43225002540</v>
      </c>
      <c r="B1219" s="2" t="str">
        <f>"AFX2500 REPAIR TERMINAL KIT"</f>
        <v>AFX2500 REPAIR TERMINAL KIT</v>
      </c>
      <c r="C1219" s="4">
        <v>288.8</v>
      </c>
      <c r="D1219" s="9">
        <v>159.07104000000004</v>
      </c>
    </row>
    <row r="1220" spans="1:4" x14ac:dyDescent="0.25">
      <c r="A1220" s="2" t="str">
        <f>"43225004540"</f>
        <v>43225004540</v>
      </c>
      <c r="B1220" s="2" t="str">
        <f>"AFX4500 REPAIR TERMINAL KIT"</f>
        <v>AFX4500 REPAIR TERMINAL KIT</v>
      </c>
      <c r="C1220" s="4">
        <v>300.60000000000002</v>
      </c>
      <c r="D1220" s="9">
        <v>165.57048000000006</v>
      </c>
    </row>
    <row r="1221" spans="1:4" x14ac:dyDescent="0.25">
      <c r="A1221" s="2" t="str">
        <f>"43225007010"</f>
        <v>43225007010</v>
      </c>
      <c r="B1221" s="2" t="str">
        <f>"AFX7000 REPAIR TERMINAL KIT"</f>
        <v>AFX7000 REPAIR TERMINAL KIT</v>
      </c>
      <c r="C1221" s="4">
        <v>324.40000000000003</v>
      </c>
      <c r="D1221" s="9">
        <v>178.67952000000002</v>
      </c>
    </row>
    <row r="1222" spans="1:4" x14ac:dyDescent="0.25">
      <c r="A1222" s="2" t="str">
        <f>"43226001540"</f>
        <v>43226001540</v>
      </c>
      <c r="B1222" s="2" t="str">
        <f>"SAFETY PIN KIT AFX1500"</f>
        <v>SAFETY PIN KIT AFX1500</v>
      </c>
      <c r="C1222" s="4">
        <v>27.3</v>
      </c>
      <c r="D1222" s="9">
        <v>15.03684</v>
      </c>
    </row>
    <row r="1223" spans="1:4" x14ac:dyDescent="0.25">
      <c r="A1223" s="2" t="str">
        <f>"43226002540"</f>
        <v>43226002540</v>
      </c>
      <c r="B1223" s="2" t="str">
        <f>"SAFETY PIN KIT AFX2500"</f>
        <v>SAFETY PIN KIT AFX2500</v>
      </c>
      <c r="C1223" s="4">
        <v>30.200000000000003</v>
      </c>
      <c r="D1223" s="9">
        <v>16.634160000000005</v>
      </c>
    </row>
    <row r="1224" spans="1:4" x14ac:dyDescent="0.25">
      <c r="A1224" s="2" t="str">
        <f>"43226004540"</f>
        <v>43226004540</v>
      </c>
      <c r="B1224" s="2" t="str">
        <f>"SAFETY PIN KIT AFX4500"</f>
        <v>SAFETY PIN KIT AFX4500</v>
      </c>
      <c r="C1224" s="4">
        <v>33.200000000000003</v>
      </c>
      <c r="D1224" s="9">
        <v>18.286560000000005</v>
      </c>
    </row>
    <row r="1225" spans="1:4" x14ac:dyDescent="0.25">
      <c r="A1225" s="2" t="str">
        <f>"43226007040"</f>
        <v>43226007040</v>
      </c>
      <c r="B1225" s="2" t="str">
        <f>"SAFETY PIN KIT AFX7000"</f>
        <v>SAFETY PIN KIT AFX7000</v>
      </c>
      <c r="C1225" s="4">
        <v>39.6</v>
      </c>
      <c r="D1225" s="9">
        <v>21.811680000000006</v>
      </c>
    </row>
    <row r="1226" spans="1:4" x14ac:dyDescent="0.25">
      <c r="A1226" s="2" t="str">
        <f>"43243190156"</f>
        <v>43243190156</v>
      </c>
      <c r="B1226" s="2" t="str">
        <f>"AFX 1500 LUFF ROPE TERMINAL"</f>
        <v>AFX 1500 LUFF ROPE TERMINAL</v>
      </c>
      <c r="C1226" s="4">
        <v>127</v>
      </c>
      <c r="D1226" s="9">
        <v>69.951599999999999</v>
      </c>
    </row>
    <row r="1227" spans="1:4" x14ac:dyDescent="0.25">
      <c r="A1227" s="2" t="str">
        <f>"43243190256"</f>
        <v>43243190256</v>
      </c>
      <c r="B1227" s="2" t="str">
        <f>"AFX 2500 LUFF ROPE TERMINAL"</f>
        <v>AFX 2500 LUFF ROPE TERMINAL</v>
      </c>
      <c r="C1227" s="4">
        <v>124.89999999999999</v>
      </c>
      <c r="D1227" s="9">
        <v>68.794920000000005</v>
      </c>
    </row>
    <row r="1228" spans="1:4" x14ac:dyDescent="0.25">
      <c r="A1228" s="2" t="str">
        <f>"43243190456"</f>
        <v>43243190456</v>
      </c>
      <c r="B1228" s="2" t="str">
        <f>"AFX 4500 LUFF ROPE TERMINAL"</f>
        <v>AFX 4500 LUFF ROPE TERMINAL</v>
      </c>
      <c r="C1228" s="4">
        <v>145.9</v>
      </c>
      <c r="D1228" s="9">
        <v>80.36172000000002</v>
      </c>
    </row>
    <row r="1229" spans="1:4" x14ac:dyDescent="0.25">
      <c r="A1229" s="2" t="str">
        <f>"43243190706"</f>
        <v>43243190706</v>
      </c>
      <c r="B1229" s="2" t="str">
        <f>"AFX 7000 LUFF ROPE TERMINAL"</f>
        <v>AFX 7000 LUFF ROPE TERMINAL</v>
      </c>
      <c r="C1229" s="4">
        <v>343</v>
      </c>
      <c r="D1229" s="9">
        <v>188.92440000000002</v>
      </c>
    </row>
    <row r="1230" spans="1:4" x14ac:dyDescent="0.25">
      <c r="A1230" s="2" t="str">
        <f>"43243210451"</f>
        <v>43243210451</v>
      </c>
      <c r="B1230" s="2" t="str">
        <f>"AFX 4500 NYLON WASHER"</f>
        <v>AFX 4500 NYLON WASHER</v>
      </c>
      <c r="C1230" s="4">
        <v>26.3</v>
      </c>
      <c r="D1230" s="9">
        <v>14.486040000000001</v>
      </c>
    </row>
    <row r="1231" spans="1:4" x14ac:dyDescent="0.25">
      <c r="A1231" s="2" t="str">
        <f>"43243210701"</f>
        <v>43243210701</v>
      </c>
      <c r="B1231" s="2" t="str">
        <f>"AFX 7000 NYLON WASHER"</f>
        <v>AFX 7000 NYLON WASHER</v>
      </c>
      <c r="C1231" s="4">
        <v>37.800000000000004</v>
      </c>
      <c r="D1231" s="9">
        <v>20.820240000000005</v>
      </c>
    </row>
    <row r="1232" spans="1:4" x14ac:dyDescent="0.25">
      <c r="A1232" s="2" t="str">
        <f>"43243250150"</f>
        <v>43243250150</v>
      </c>
      <c r="B1232" s="2" t="str">
        <f>"AFX1500 PLASTIC CAP / D9 LUFF ROPE"</f>
        <v>AFX1500 PLASTIC CAP / D9 LUFF ROPE</v>
      </c>
      <c r="C1232" s="4">
        <v>23</v>
      </c>
      <c r="D1232" s="9">
        <v>12.6684</v>
      </c>
    </row>
    <row r="1233" spans="1:4" x14ac:dyDescent="0.25">
      <c r="A1233" s="2" t="str">
        <f>"43243250250"</f>
        <v>43243250250</v>
      </c>
      <c r="B1233" s="2" t="str">
        <f>"AFX2500 PLASTIC CAP / D11 LUFF ROPE"</f>
        <v>AFX2500 PLASTIC CAP / D11 LUFF ROPE</v>
      </c>
      <c r="C1233" s="4">
        <v>28.700000000000003</v>
      </c>
      <c r="D1233" s="9">
        <v>15.807960000000003</v>
      </c>
    </row>
    <row r="1234" spans="1:4" x14ac:dyDescent="0.25">
      <c r="A1234" s="2" t="str">
        <f>"43243250450"</f>
        <v>43243250450</v>
      </c>
      <c r="B1234" s="2" t="str">
        <f>"AFX4500 PLASTIC CAP / D13 LUFF ROPE"</f>
        <v>AFX4500 PLASTIC CAP / D13 LUFF ROPE</v>
      </c>
      <c r="C1234" s="4">
        <v>40.200000000000003</v>
      </c>
      <c r="D1234" s="9">
        <v>22.142160000000008</v>
      </c>
    </row>
    <row r="1235" spans="1:4" x14ac:dyDescent="0.25">
      <c r="A1235" s="2" t="str">
        <f>"43243250700"</f>
        <v>43243250700</v>
      </c>
      <c r="B1235" s="2" t="str">
        <f>"""AFX7000 PLASTIC CAP / D16,5 LUFF ROPE"""</f>
        <v>"AFX7000 PLASTIC CAP / D16,5 LUFF ROPE"</v>
      </c>
      <c r="C1235" s="4">
        <v>45.9</v>
      </c>
      <c r="D1235" s="9">
        <v>25.281720000000004</v>
      </c>
    </row>
    <row r="1236" spans="1:4" x14ac:dyDescent="0.25">
      <c r="A1236" s="2" t="str">
        <f>"43420100930"</f>
        <v>43420100930</v>
      </c>
      <c r="B1236" s="2" t="str">
        <f>"FX+ 900 SWIVEL ATTACH. NOT INCL."</f>
        <v>FX+ 900 SWIVEL ATTACH. NOT INCL.</v>
      </c>
      <c r="C1236" s="4">
        <v>271.8</v>
      </c>
      <c r="D1236" s="9">
        <v>149.70744000000002</v>
      </c>
    </row>
    <row r="1237" spans="1:4" x14ac:dyDescent="0.25">
      <c r="A1237" s="2" t="str">
        <f>"43420101530"</f>
        <v>43420101530</v>
      </c>
      <c r="B1237" s="2" t="str">
        <f>"FX+ 1500 SWIVEL ATTACH. NOT INCL."</f>
        <v>FX+ 1500 SWIVEL ATTACH. NOT INCL.</v>
      </c>
      <c r="C1237" s="4">
        <v>420.70000000000005</v>
      </c>
      <c r="D1237" s="9">
        <v>231.7215600000001</v>
      </c>
    </row>
    <row r="1238" spans="1:4" x14ac:dyDescent="0.25">
      <c r="A1238" s="2" t="str">
        <f>"43420102530"</f>
        <v>43420102530</v>
      </c>
      <c r="B1238" s="2" t="str">
        <f>"FX+ 2500 SWIVEL ATTACH. NOT INCL."</f>
        <v>FX+ 2500 SWIVEL ATTACH. NOT INCL.</v>
      </c>
      <c r="C1238" s="4">
        <v>660</v>
      </c>
      <c r="D1238" s="9">
        <v>363.52800000000002</v>
      </c>
    </row>
    <row r="1239" spans="1:4" x14ac:dyDescent="0.25">
      <c r="A1239" s="2" t="str">
        <f>"43420104530"</f>
        <v>43420104530</v>
      </c>
      <c r="B1239" s="2" t="str">
        <f>"FX+ 4500 SWIVEL ATTACH. NOT INCL."</f>
        <v>FX+ 4500 SWIVEL ATTACH. NOT INCL.</v>
      </c>
      <c r="C1239" s="4">
        <v>1173.3</v>
      </c>
      <c r="D1239" s="9">
        <v>646.25364000000002</v>
      </c>
    </row>
    <row r="1240" spans="1:4" x14ac:dyDescent="0.25">
      <c r="A1240" s="2" t="str">
        <f>"43420107030"</f>
        <v>43420107030</v>
      </c>
      <c r="B1240" s="2" t="str">
        <f>"FX+ 7000 SWIVEL ATTACH. NOT INCL."</f>
        <v>FX+ 7000 SWIVEL ATTACH. NOT INCL.</v>
      </c>
      <c r="C1240" s="4">
        <v>1971.1</v>
      </c>
      <c r="D1240" s="9">
        <v>1085.6818800000001</v>
      </c>
    </row>
    <row r="1241" spans="1:4" x14ac:dyDescent="0.25">
      <c r="A1241" s="2" t="str">
        <f>"43420200930"</f>
        <v>43420200930</v>
      </c>
      <c r="B1241" s="2" t="str">
        <f>"CONTINUOUS LINE DRUM FX+900 ATTACH. NOT"</f>
        <v>CONTINUOUS LINE DRUM FX+900 ATTACH. NOT</v>
      </c>
      <c r="C1241" s="4">
        <v>901.5</v>
      </c>
      <c r="D1241" s="9">
        <v>496.54620000000006</v>
      </c>
    </row>
    <row r="1242" spans="1:4" x14ac:dyDescent="0.25">
      <c r="A1242" s="2" t="str">
        <f>"43420201530"</f>
        <v>43420201530</v>
      </c>
      <c r="B1242" s="2" t="str">
        <f>"CONTINUOUS LINE DRUM FX+1500 ATTACH. NOT"</f>
        <v>CONTINUOUS LINE DRUM FX+1500 ATTACH. NOT</v>
      </c>
      <c r="C1242" s="4">
        <v>1136.8</v>
      </c>
      <c r="D1242" s="9">
        <v>626.14944000000003</v>
      </c>
    </row>
    <row r="1243" spans="1:4" x14ac:dyDescent="0.25">
      <c r="A1243" s="2" t="str">
        <f>"43420202530"</f>
        <v>43420202530</v>
      </c>
      <c r="B1243" s="2" t="str">
        <f>"CONTINUOUS LINE DRUM FX+2500 ATTACH. NOT"</f>
        <v>CONTINUOUS LINE DRUM FX+2500 ATTACH. NOT</v>
      </c>
      <c r="C1243" s="4">
        <v>1673.8</v>
      </c>
      <c r="D1243" s="9">
        <v>921.9290400000001</v>
      </c>
    </row>
    <row r="1244" spans="1:4" x14ac:dyDescent="0.25">
      <c r="A1244" s="2" t="str">
        <f>"43420204530"</f>
        <v>43420204530</v>
      </c>
      <c r="B1244" s="2" t="str">
        <f>"CONTINUOUS LINE DRUM FX+4500 ATTACH. NOT"</f>
        <v>CONTINUOUS LINE DRUM FX+4500 ATTACH. NOT</v>
      </c>
      <c r="C1244" s="4">
        <v>3130.1</v>
      </c>
      <c r="D1244" s="9">
        <v>1724.0590800000002</v>
      </c>
    </row>
    <row r="1245" spans="1:4" x14ac:dyDescent="0.25">
      <c r="A1245" s="2" t="str">
        <f>"43420207030"</f>
        <v>43420207030</v>
      </c>
      <c r="B1245" s="2" t="str">
        <f>"CONTINUOUS LINE DRUM FX+7000 ATTACH. NOT"</f>
        <v>CONTINUOUS LINE DRUM FX+7000 ATTACH. NOT</v>
      </c>
      <c r="C1245" s="4">
        <v>4822</v>
      </c>
      <c r="D1245" s="9">
        <v>2655.9576000000002</v>
      </c>
    </row>
    <row r="1246" spans="1:4" x14ac:dyDescent="0.25">
      <c r="A1246" s="2" t="str">
        <f>"43420207040"</f>
        <v>43420207040</v>
      </c>
      <c r="B1246" s="2" t="str">
        <f>"PC FX+7000+CLIQUET FX+-SANS ATTACHE"</f>
        <v>PC FX+7000+CLIQUET FX+-SANS ATTACHE</v>
      </c>
      <c r="C1246" s="4">
        <v>5065.5</v>
      </c>
      <c r="D1246" s="9">
        <v>2790.0774000000001</v>
      </c>
    </row>
    <row r="1247" spans="1:4" x14ac:dyDescent="0.25">
      <c r="A1247" s="2" t="str">
        <f>"43420300930"</f>
        <v>43420300930</v>
      </c>
      <c r="B1247" s="2" t="str">
        <f>"EQUIPPED CARBON GUIDE FX+900"</f>
        <v>EQUIPPED CARBON GUIDE FX+900</v>
      </c>
      <c r="C1247" s="4">
        <v>392</v>
      </c>
      <c r="D1247" s="9">
        <v>215.9136</v>
      </c>
    </row>
    <row r="1248" spans="1:4" x14ac:dyDescent="0.25">
      <c r="A1248" s="2" t="str">
        <f>"43420301530"</f>
        <v>43420301530</v>
      </c>
      <c r="B1248" s="2" t="str">
        <f>"EQUIPPED CARBON GUIDE FX+1500"</f>
        <v>EQUIPPED CARBON GUIDE FX+1500</v>
      </c>
      <c r="C1248" s="4">
        <v>541.9</v>
      </c>
      <c r="D1248" s="9">
        <v>298.47852</v>
      </c>
    </row>
    <row r="1249" spans="1:4" x14ac:dyDescent="0.25">
      <c r="A1249" s="2" t="str">
        <f>"43420302530"</f>
        <v>43420302530</v>
      </c>
      <c r="B1249" s="2" t="str">
        <f>"EQUIPPED CARBON GUIDE FX+2500 COMPLETE"</f>
        <v>EQUIPPED CARBON GUIDE FX+2500 COMPLETE</v>
      </c>
      <c r="C1249" s="4">
        <v>666</v>
      </c>
      <c r="D1249" s="9">
        <v>366.83280000000002</v>
      </c>
    </row>
    <row r="1250" spans="1:4" x14ac:dyDescent="0.25">
      <c r="A1250" s="2" t="str">
        <f>"43420304530"</f>
        <v>43420304530</v>
      </c>
      <c r="B1250" s="2" t="str">
        <f>"EQUIPPED CARBON GUIDE FX+4500"</f>
        <v>EQUIPPED CARBON GUIDE FX+4500</v>
      </c>
      <c r="C1250" s="4">
        <v>1103.1999999999998</v>
      </c>
      <c r="D1250" s="9">
        <v>607.64255999999989</v>
      </c>
    </row>
    <row r="1251" spans="1:4" x14ac:dyDescent="0.25">
      <c r="A1251" s="2" t="str">
        <f>"43420307030"</f>
        <v>43420307030</v>
      </c>
      <c r="B1251" s="2" t="str">
        <f>"EQUIPPED CARBON GUIDE FX+7000"</f>
        <v>EQUIPPED CARBON GUIDE FX+7000</v>
      </c>
      <c r="C1251" s="4">
        <v>1580.1</v>
      </c>
      <c r="D1251" s="9">
        <v>870.3190800000001</v>
      </c>
    </row>
    <row r="1252" spans="1:4" x14ac:dyDescent="0.25">
      <c r="A1252" s="2" t="str">
        <f>"43420312030"</f>
        <v>43420312030</v>
      </c>
      <c r="B1252" s="2" t="str">
        <f>"EQUIPPED CARBON GUIDE FX+12000 &amp; 09TSWL"</f>
        <v>EQUIPPED CARBON GUIDE FX+12000 &amp; 09TSWL</v>
      </c>
      <c r="C1252" s="4">
        <v>1677</v>
      </c>
      <c r="D1252" s="9">
        <v>923.69160000000011</v>
      </c>
    </row>
    <row r="1253" spans="1:4" x14ac:dyDescent="0.25">
      <c r="A1253" s="2" t="str">
        <f>"43420500930"</f>
        <v>43420500930</v>
      </c>
      <c r="B1253" s="2" t="str">
        <f>"GUIDE WASHER+SCREWS FX+900 FX+900"</f>
        <v>GUIDE WASHER+SCREWS FX+900 FX+900</v>
      </c>
      <c r="C1253" s="4">
        <v>19.100000000000001</v>
      </c>
      <c r="D1253" s="9">
        <v>10.520280000000001</v>
      </c>
    </row>
    <row r="1254" spans="1:4" x14ac:dyDescent="0.25">
      <c r="A1254" s="2" t="str">
        <f>"43420501510"</f>
        <v>43420501510</v>
      </c>
      <c r="B1254" s="2" t="str">
        <f>"QUICK PIN MECHANISM FX+1500"</f>
        <v>QUICK PIN MECHANISM FX+1500</v>
      </c>
      <c r="C1254" s="4">
        <v>25.8</v>
      </c>
      <c r="D1254" s="9">
        <v>14.21064</v>
      </c>
    </row>
    <row r="1255" spans="1:4" x14ac:dyDescent="0.25">
      <c r="A1255" s="2" t="str">
        <f>"43420501520"</f>
        <v>43420501520</v>
      </c>
      <c r="B1255" s="2" t="str">
        <f>"PIN RING + SCREW FX+1500"</f>
        <v>PIN RING + SCREW FX+1500</v>
      </c>
      <c r="C1255" s="4">
        <v>15.6</v>
      </c>
      <c r="D1255" s="9">
        <v>8.5924800000000001</v>
      </c>
    </row>
    <row r="1256" spans="1:4" x14ac:dyDescent="0.25">
      <c r="A1256" s="2" t="str">
        <f>"43420501530"</f>
        <v>43420501530</v>
      </c>
      <c r="B1256" s="2" t="str">
        <f>"GUIDE WASHER+SCREWS FX+1500 FX+1500"</f>
        <v>GUIDE WASHER+SCREWS FX+1500 FX+1500</v>
      </c>
      <c r="C1256" s="4">
        <v>19.700000000000003</v>
      </c>
      <c r="D1256" s="9">
        <v>10.850760000000001</v>
      </c>
    </row>
    <row r="1257" spans="1:4" x14ac:dyDescent="0.25">
      <c r="A1257" s="2" t="str">
        <f>"43420502510"</f>
        <v>43420502510</v>
      </c>
      <c r="B1257" s="2" t="str">
        <f>"QUICK PIN MECHANISM FX+2500"</f>
        <v>QUICK PIN MECHANISM FX+2500</v>
      </c>
      <c r="C1257" s="4">
        <v>29.700000000000003</v>
      </c>
      <c r="D1257" s="9">
        <v>16.358760000000004</v>
      </c>
    </row>
    <row r="1258" spans="1:4" x14ac:dyDescent="0.25">
      <c r="A1258" s="2" t="str">
        <f>"43420502520"</f>
        <v>43420502520</v>
      </c>
      <c r="B1258" s="2" t="str">
        <f>"PIN RING + SCREW FX+2500"</f>
        <v>PIN RING + SCREW FX+2500</v>
      </c>
      <c r="C1258" s="4">
        <v>18.400000000000002</v>
      </c>
      <c r="D1258" s="9">
        <v>10.134720000000002</v>
      </c>
    </row>
    <row r="1259" spans="1:4" x14ac:dyDescent="0.25">
      <c r="A1259" s="2" t="str">
        <f>"43420502530"</f>
        <v>43420502530</v>
      </c>
      <c r="B1259" s="2" t="str">
        <f>"GUIDE WASHER+SCREWS FX+2500 FX+2500"</f>
        <v>GUIDE WASHER+SCREWS FX+2500 FX+2500</v>
      </c>
      <c r="C1259" s="4">
        <v>41.7</v>
      </c>
      <c r="D1259" s="9">
        <v>22.968360000000004</v>
      </c>
    </row>
    <row r="1260" spans="1:4" x14ac:dyDescent="0.25">
      <c r="A1260" s="2" t="str">
        <f>"43420504510"</f>
        <v>43420504510</v>
      </c>
      <c r="B1260" s="2" t="str">
        <f>"QUICK PIN TRIGGER MECHANISM FX+4500"</f>
        <v>QUICK PIN TRIGGER MECHANISM FX+4500</v>
      </c>
      <c r="C1260" s="4">
        <v>43</v>
      </c>
      <c r="D1260" s="9">
        <v>23.684400000000004</v>
      </c>
    </row>
    <row r="1261" spans="1:4" x14ac:dyDescent="0.25">
      <c r="A1261" s="2" t="str">
        <f>"43420504520"</f>
        <v>43420504520</v>
      </c>
      <c r="B1261" s="2" t="str">
        <f>"PIN RING + SCREW FX+4500"</f>
        <v>PIN RING + SCREW FX+4500</v>
      </c>
      <c r="C1261" s="4">
        <v>29.200000000000003</v>
      </c>
      <c r="D1261" s="9">
        <v>16.083360000000003</v>
      </c>
    </row>
    <row r="1262" spans="1:4" x14ac:dyDescent="0.25">
      <c r="A1262" s="2" t="str">
        <f>"43420504530"</f>
        <v>43420504530</v>
      </c>
      <c r="B1262" s="2" t="str">
        <f>"GUIDE WASHER+SCREWS FX+4500 FX+4500"</f>
        <v>GUIDE WASHER+SCREWS FX+4500 FX+4500</v>
      </c>
      <c r="C1262" s="4">
        <v>68.899999999999991</v>
      </c>
      <c r="D1262" s="9">
        <v>37.950119999999998</v>
      </c>
    </row>
    <row r="1263" spans="1:4" x14ac:dyDescent="0.25">
      <c r="A1263" s="2" t="str">
        <f>"43420507010"</f>
        <v>43420507010</v>
      </c>
      <c r="B1263" s="2" t="str">
        <f>"QUICK PIN MECHANISM FX+70000"</f>
        <v>QUICK PIN MECHANISM FX+70000</v>
      </c>
      <c r="C1263" s="4">
        <v>57.7</v>
      </c>
      <c r="D1263" s="9">
        <v>31.781160000000003</v>
      </c>
    </row>
    <row r="1264" spans="1:4" x14ac:dyDescent="0.25">
      <c r="A1264" s="2" t="str">
        <f>"43420507020"</f>
        <v>43420507020</v>
      </c>
      <c r="B1264" s="2" t="str">
        <f>"PIN RING + SCREW FX+7000 FX+7000"</f>
        <v>PIN RING + SCREW FX+7000 FX+7000</v>
      </c>
      <c r="C1264" s="4">
        <v>37.4</v>
      </c>
      <c r="D1264" s="9">
        <v>20.599920000000004</v>
      </c>
    </row>
    <row r="1265" spans="1:4" x14ac:dyDescent="0.25">
      <c r="A1265" s="2" t="str">
        <f>"43420507030"</f>
        <v>43420507030</v>
      </c>
      <c r="B1265" s="2" t="str">
        <f>"GUIDE WASHER+SCREWS FX+4500 FX+4500"</f>
        <v>GUIDE WASHER+SCREWS FX+4500 FX+4500</v>
      </c>
      <c r="C1265" s="4">
        <v>87.3</v>
      </c>
      <c r="D1265" s="9">
        <v>48.084840000000007</v>
      </c>
    </row>
    <row r="1266" spans="1:4" x14ac:dyDescent="0.25">
      <c r="A1266" s="2" t="str">
        <f>"43420730005"</f>
        <v>43420730005</v>
      </c>
      <c r="B1266" s="2" t="str">
        <f>"STRIP BAG PU 390MMX15MM CRBN HOUSING FX+"</f>
        <v>STRIP BAG PU 390MMX15MM CRBN HOUSING FX+</v>
      </c>
      <c r="C1266" s="4">
        <v>13.2</v>
      </c>
      <c r="D1266" s="9">
        <v>7.2705600000000006</v>
      </c>
    </row>
    <row r="1267" spans="1:4" x14ac:dyDescent="0.25">
      <c r="A1267" s="2" t="str">
        <f>"43420730010"</f>
        <v>43420730010</v>
      </c>
      <c r="B1267" s="2" t="str">
        <f>"STRIP BAG PU 670MMX15MM CARBON HOUSING F"</f>
        <v>STRIP BAG PU 670MMX15MM CARBON HOUSING F</v>
      </c>
      <c r="C1267" s="4">
        <v>23.700000000000003</v>
      </c>
      <c r="D1267" s="9">
        <v>13.053960000000004</v>
      </c>
    </row>
    <row r="1268" spans="1:4" x14ac:dyDescent="0.25">
      <c r="A1268" s="2" t="str">
        <f>"43421009000"</f>
        <v>43421009000</v>
      </c>
      <c r="B1268" s="2" t="str">
        <f>"FX+900 FURL.LINE LEAD+3 SCREWS +SCREW FI"</f>
        <v>FX+900 FURL.LINE LEAD+3 SCREWS +SCREW FI</v>
      </c>
      <c r="C1268" s="4">
        <v>39.5</v>
      </c>
      <c r="D1268" s="9">
        <v>21.756600000000002</v>
      </c>
    </row>
    <row r="1269" spans="1:4" x14ac:dyDescent="0.25">
      <c r="A1269" s="2" t="str">
        <f>"43421015000"</f>
        <v>43421015000</v>
      </c>
      <c r="B1269" s="2" t="str">
        <f>"FX+1500 FURL.LINE LEAD+3SCREWS +SCREW FI"</f>
        <v>FX+1500 FURL.LINE LEAD+3SCREWS +SCREW FI</v>
      </c>
      <c r="C1269" s="4">
        <v>58.5</v>
      </c>
      <c r="D1269" s="9">
        <v>32.221800000000002</v>
      </c>
    </row>
    <row r="1270" spans="1:4" x14ac:dyDescent="0.25">
      <c r="A1270" s="2" t="str">
        <f>"43421025000"</f>
        <v>43421025000</v>
      </c>
      <c r="B1270" s="2" t="str">
        <f>"FX+2500 FURL.LINE LEAD+3SCREWS +SCREW FI"</f>
        <v>FX+2500 FURL.LINE LEAD+3SCREWS +SCREW FI</v>
      </c>
      <c r="C1270" s="4">
        <v>68.5</v>
      </c>
      <c r="D1270" s="9">
        <v>37.729800000000004</v>
      </c>
    </row>
    <row r="1271" spans="1:4" x14ac:dyDescent="0.25">
      <c r="A1271" s="2" t="str">
        <f>"43421045000"</f>
        <v>43421045000</v>
      </c>
      <c r="B1271" s="2" t="str">
        <f>"FX+4500 FURL.LINE LEAD+3 SCREW +SCREW FI"</f>
        <v>FX+4500 FURL.LINE LEAD+3 SCREW +SCREW FI</v>
      </c>
      <c r="C1271" s="4">
        <v>113.3</v>
      </c>
      <c r="D1271" s="9">
        <v>62.405640000000005</v>
      </c>
    </row>
    <row r="1272" spans="1:4" x14ac:dyDescent="0.25">
      <c r="A1272" s="2" t="str">
        <f>"43421070000"</f>
        <v>43421070000</v>
      </c>
      <c r="B1272" s="2" t="str">
        <f>"FX+7000 FURL.LINE LEAD+3 SCREW +SCREW FI"</f>
        <v>FX+7000 FURL.LINE LEAD+3 SCREW +SCREW FI</v>
      </c>
      <c r="C1272" s="4">
        <v>159.9</v>
      </c>
      <c r="D1272" s="9">
        <v>88.072920000000011</v>
      </c>
    </row>
    <row r="1273" spans="1:4" x14ac:dyDescent="0.25">
      <c r="A1273" s="2" t="str">
        <f>"43421120000"</f>
        <v>43421120000</v>
      </c>
      <c r="B1273" s="2" t="str">
        <f>"FX+12000FURL.LINE LEAD+3 SCREW +SCREW FI"</f>
        <v>FX+12000FURL.LINE LEAD+3 SCREW +SCREW FI</v>
      </c>
      <c r="C1273" s="4">
        <v>109.8</v>
      </c>
      <c r="D1273" s="9">
        <v>60.477840000000008</v>
      </c>
    </row>
    <row r="1274" spans="1:4" x14ac:dyDescent="0.25">
      <c r="A1274" s="2" t="str">
        <f>"43422009000"</f>
        <v>43422009000</v>
      </c>
      <c r="B1274" s="2" t="str">
        <f>"3 SCREWS FRL GUID.LEADFX+900"</f>
        <v>3 SCREWS FRL GUID.LEADFX+900</v>
      </c>
      <c r="C1274" s="4">
        <v>0.30000000000000004</v>
      </c>
      <c r="D1274" s="9">
        <v>0.16524000000000005</v>
      </c>
    </row>
    <row r="1275" spans="1:4" x14ac:dyDescent="0.25">
      <c r="A1275" s="2" t="str">
        <f>"43422015000"</f>
        <v>43422015000</v>
      </c>
      <c r="B1275" s="2" t="str">
        <f>"3 SCREWS FRL GUID.LEADFX+1500"</f>
        <v>3 SCREWS FRL GUID.LEADFX+1500</v>
      </c>
      <c r="C1275" s="4">
        <v>0.30000000000000004</v>
      </c>
      <c r="D1275" s="9">
        <v>0.16524000000000005</v>
      </c>
    </row>
    <row r="1276" spans="1:4" x14ac:dyDescent="0.25">
      <c r="A1276" s="2" t="str">
        <f>"43422025000"</f>
        <v>43422025000</v>
      </c>
      <c r="B1276" s="2" t="str">
        <f>"3 SCREWS FRL GUID.LEADFX+2500"</f>
        <v>3 SCREWS FRL GUID.LEADFX+2500</v>
      </c>
      <c r="C1276" s="4">
        <v>0.4</v>
      </c>
      <c r="D1276" s="9">
        <v>0.22032000000000002</v>
      </c>
    </row>
    <row r="1277" spans="1:4" x14ac:dyDescent="0.25">
      <c r="A1277" s="2" t="str">
        <f>"43422045000"</f>
        <v>43422045000</v>
      </c>
      <c r="B1277" s="2" t="str">
        <f>"3 SCREWS FRL GUID.LEADFX+4500"</f>
        <v>3 SCREWS FRL GUID.LEADFX+4500</v>
      </c>
      <c r="C1277" s="4">
        <v>0.6</v>
      </c>
      <c r="D1277" s="9">
        <v>0.33048000000000005</v>
      </c>
    </row>
    <row r="1278" spans="1:4" x14ac:dyDescent="0.25">
      <c r="A1278" s="2" t="str">
        <f>"43422070000"</f>
        <v>43422070000</v>
      </c>
      <c r="B1278" s="2" t="str">
        <f>"3 SCREWS FRL GUID.LEADFX+7000"</f>
        <v>3 SCREWS FRL GUID.LEADFX+7000</v>
      </c>
      <c r="C1278" s="4">
        <v>0.6</v>
      </c>
      <c r="D1278" s="9">
        <v>0.33048000000000005</v>
      </c>
    </row>
    <row r="1279" spans="1:4" x14ac:dyDescent="0.25">
      <c r="A1279" s="2" t="str">
        <f>"43422120000"</f>
        <v>43422120000</v>
      </c>
      <c r="B1279" s="2" t="str">
        <f>"3 SCREWS FRL GUID.LEADFX+12000"</f>
        <v>3 SCREWS FRL GUID.LEADFX+12000</v>
      </c>
      <c r="C1279" s="4">
        <v>1.1000000000000001</v>
      </c>
      <c r="D1279" s="9">
        <v>0.60588000000000009</v>
      </c>
    </row>
    <row r="1280" spans="1:4" x14ac:dyDescent="0.25">
      <c r="A1280" s="2" t="str">
        <f>"51009000100"</f>
        <v>51009000100</v>
      </c>
      <c r="B1280" s="2" t="str">
        <f>"KB/RC SLUG D08MM+SCREW BOOM FIXATION KIT"</f>
        <v>KB/RC SLUG D08MM+SCREW BOOM FIXATION KIT</v>
      </c>
      <c r="C1280" s="4">
        <v>42.5</v>
      </c>
      <c r="D1280" s="9">
        <v>23.409000000000002</v>
      </c>
    </row>
    <row r="1281" spans="1:4" x14ac:dyDescent="0.25">
      <c r="A1281" s="2" t="str">
        <f>"51009000200"</f>
        <v>51009000200</v>
      </c>
      <c r="B1281" s="2" t="str">
        <f>"KB/RC SLUG D10MM+SCREW BOOM FIXATION KIT"</f>
        <v>KB/RC SLUG D10MM+SCREW BOOM FIXATION KIT</v>
      </c>
      <c r="C1281" s="4">
        <v>43.6</v>
      </c>
      <c r="D1281" s="9">
        <v>24.014880000000002</v>
      </c>
    </row>
    <row r="1282" spans="1:4" x14ac:dyDescent="0.25">
      <c r="A1282" s="2" t="str">
        <f>"51009000300"</f>
        <v>51009000300</v>
      </c>
      <c r="B1282" s="2" t="str">
        <f>"KB/RC SLUG D14MM+SCREW BOOM FIXATION KIT"</f>
        <v>KB/RC SLUG D14MM+SCREW BOOM FIXATION KIT</v>
      </c>
      <c r="C1282" s="4">
        <v>111.19999999999999</v>
      </c>
      <c r="D1282" s="9">
        <v>61.248960000000004</v>
      </c>
    </row>
    <row r="1283" spans="1:4" x14ac:dyDescent="0.25">
      <c r="A1283" s="2" t="str">
        <f>"51009000400"</f>
        <v>51009000400</v>
      </c>
      <c r="B1283" s="2" t="str">
        <f>"KB/RC SLUG NO 1+SCREW BOOM FIXATION KIT"</f>
        <v>KB/RC SLUG NO 1+SCREW BOOM FIXATION KIT</v>
      </c>
      <c r="C1283" s="4">
        <v>55</v>
      </c>
      <c r="D1283" s="9">
        <v>30.294000000000004</v>
      </c>
    </row>
    <row r="1284" spans="1:4" x14ac:dyDescent="0.25">
      <c r="A1284" s="2" t="str">
        <f>"51009000500"</f>
        <v>51009000500</v>
      </c>
      <c r="B1284" s="2" t="str">
        <f>"KB/RC SLUG NO 2+SCREW BOOM FIXATION KIT"</f>
        <v>KB/RC SLUG NO 2+SCREW BOOM FIXATION KIT</v>
      </c>
      <c r="C1284" s="4">
        <v>60.7</v>
      </c>
      <c r="D1284" s="9">
        <v>33.43356</v>
      </c>
    </row>
    <row r="1285" spans="1:4" x14ac:dyDescent="0.25">
      <c r="A1285" s="2" t="str">
        <f>"51009000600"</f>
        <v>51009000600</v>
      </c>
      <c r="B1285" s="2" t="str">
        <f>"KB/RC SLUG NO 3+ SCREW BOOM FIXATION KIT"</f>
        <v>KB/RC SLUG NO 3+ SCREW BOOM FIXATION KIT</v>
      </c>
      <c r="C1285" s="4">
        <v>66.899999999999991</v>
      </c>
      <c r="D1285" s="9">
        <v>36.848520000000001</v>
      </c>
    </row>
    <row r="1286" spans="1:4" x14ac:dyDescent="0.25">
      <c r="A1286" s="2" t="str">
        <f>"51012070060"</f>
        <v>51012070060</v>
      </c>
      <c r="B1286" s="2" t="str">
        <f>"DRIVE UNIT CF 65/70"</f>
        <v>DRIVE UNIT CF 65/70</v>
      </c>
      <c r="C1286" s="4">
        <v>887.2</v>
      </c>
      <c r="D1286" s="9">
        <v>488.66976000000005</v>
      </c>
    </row>
    <row r="1287" spans="1:4" x14ac:dyDescent="0.25">
      <c r="A1287" s="2" t="str">
        <f>"51012080060"</f>
        <v>51012080060</v>
      </c>
      <c r="B1287" s="2" t="str">
        <f>"DRIVE UNIT CF80"</f>
        <v>DRIVE UNIT CF80</v>
      </c>
      <c r="C1287" s="4">
        <v>553.20000000000005</v>
      </c>
      <c r="D1287" s="9">
        <v>304.70256000000006</v>
      </c>
    </row>
    <row r="1288" spans="1:4" x14ac:dyDescent="0.25">
      <c r="A1288" s="2" t="str">
        <f>"51012080160"</f>
        <v>51012080160</v>
      </c>
      <c r="B1288" s="2" t="str">
        <f>"DRIVE UNIT CF 80"</f>
        <v>DRIVE UNIT CF 80</v>
      </c>
      <c r="C1288" s="4">
        <v>1193.0999999999999</v>
      </c>
      <c r="D1288" s="9">
        <v>657.15948000000003</v>
      </c>
    </row>
    <row r="1289" spans="1:4" x14ac:dyDescent="0.25">
      <c r="A1289" s="2" t="str">
        <f>"51012105060"</f>
        <v>51012105060</v>
      </c>
      <c r="B1289" s="2" t="str">
        <f>"DRIVE UNIT CF105"</f>
        <v>DRIVE UNIT CF105</v>
      </c>
      <c r="C1289" s="4">
        <v>749.30000000000007</v>
      </c>
      <c r="D1289" s="9">
        <v>412.71444000000002</v>
      </c>
    </row>
    <row r="1290" spans="1:4" x14ac:dyDescent="0.25">
      <c r="A1290" s="2" t="str">
        <f>"51012105160"</f>
        <v>51012105160</v>
      </c>
      <c r="B1290" s="2" t="str">
        <f>"DRIVE UNIT CF 105"</f>
        <v>DRIVE UNIT CF 105</v>
      </c>
      <c r="C1290" s="4">
        <v>1560.1999999999998</v>
      </c>
      <c r="D1290" s="9">
        <v>859.35816</v>
      </c>
    </row>
    <row r="1291" spans="1:4" x14ac:dyDescent="0.25">
      <c r="A1291" s="2" t="str">
        <f>"51052070040"</f>
        <v>51052070040</v>
      </c>
      <c r="B1291" s="2" t="str">
        <f>"HALYARD SLIDER CF 65/70"</f>
        <v>HALYARD SLIDER CF 65/70</v>
      </c>
      <c r="C1291" s="4">
        <v>422.3</v>
      </c>
      <c r="D1291" s="9">
        <v>232.60284000000001</v>
      </c>
    </row>
    <row r="1292" spans="1:4" x14ac:dyDescent="0.25">
      <c r="A1292" s="2" t="str">
        <f>"51052080040"</f>
        <v>51052080040</v>
      </c>
      <c r="B1292" s="2" t="str">
        <f>"HALYARD SLIDER CF 80"</f>
        <v>HALYARD SLIDER CF 80</v>
      </c>
      <c r="C1292" s="4">
        <v>422.3</v>
      </c>
      <c r="D1292" s="9">
        <v>232.60284000000001</v>
      </c>
    </row>
    <row r="1293" spans="1:4" x14ac:dyDescent="0.25">
      <c r="A1293" s="2" t="str">
        <f>"51052090040"</f>
        <v>51052090040</v>
      </c>
      <c r="B1293" s="2" t="str">
        <f>"HALYARD SLIDER CF90"</f>
        <v>HALYARD SLIDER CF90</v>
      </c>
      <c r="C1293" s="4">
        <v>504.8</v>
      </c>
      <c r="D1293" s="9">
        <v>278.04384000000005</v>
      </c>
    </row>
    <row r="1294" spans="1:4" x14ac:dyDescent="0.25">
      <c r="A1294" s="2" t="str">
        <f>"51053201100"</f>
        <v>51053201100</v>
      </c>
      <c r="B1294" s="2" t="str">
        <f>"CF 65-90 (N 1) SHEAVE TRAVELER"</f>
        <v>CF 65-90 (N 1) SHEAVE TRAVELER</v>
      </c>
      <c r="C1294" s="4">
        <v>431.3</v>
      </c>
      <c r="D1294" s="9">
        <v>237.56004000000007</v>
      </c>
    </row>
    <row r="1295" spans="1:4" x14ac:dyDescent="0.25">
      <c r="A1295" s="2" t="str">
        <f>"51053201200"</f>
        <v>51053201200</v>
      </c>
      <c r="B1295" s="2" t="str">
        <f>"KB SHEAVE CAR TRAVELER CF80/10"</f>
        <v>KB SHEAVE CAR TRAVELER CF80/10</v>
      </c>
      <c r="C1295" s="4">
        <v>522.20000000000005</v>
      </c>
      <c r="D1295" s="9">
        <v>287.62776000000008</v>
      </c>
    </row>
    <row r="1296" spans="1:4" x14ac:dyDescent="0.25">
      <c r="A1296" s="2" t="str">
        <f>"51053500100"</f>
        <v>51053500100</v>
      </c>
      <c r="B1296" s="2" t="str">
        <f>"100X D6.35MM DELRIN BALLS"</f>
        <v>100X D6.35MM DELRIN BALLS</v>
      </c>
      <c r="C1296" s="4">
        <v>49.6</v>
      </c>
      <c r="D1296" s="9">
        <v>27.319680000000005</v>
      </c>
    </row>
    <row r="1297" spans="1:4" x14ac:dyDescent="0.25">
      <c r="A1297" s="2" t="str">
        <f>"51054201700"</f>
        <v>51054201700</v>
      </c>
      <c r="B1297" s="2" t="str">
        <f>"CF TRACK 1.70M+SLIDER+SCREW"</f>
        <v>CF TRACK 1.70M+SLIDER+SCREW</v>
      </c>
      <c r="C1297" s="4">
        <v>231.2</v>
      </c>
      <c r="D1297" s="9">
        <v>127.34496000000001</v>
      </c>
    </row>
    <row r="1298" spans="1:4" x14ac:dyDescent="0.25">
      <c r="A1298" s="2" t="str">
        <f>"51055100500"</f>
        <v>51055100500</v>
      </c>
      <c r="B1298" s="2" t="str">
        <f>"COMPLETE END STOP RC BOOM"</f>
        <v>COMPLETE END STOP RC BOOM</v>
      </c>
      <c r="C1298" s="4">
        <v>38.6</v>
      </c>
      <c r="D1298" s="9">
        <v>21.26088</v>
      </c>
    </row>
    <row r="1299" spans="1:4" x14ac:dyDescent="0.25">
      <c r="A1299" s="2" t="str">
        <f>"51055200500"</f>
        <v>51055200500</v>
      </c>
      <c r="B1299" s="2" t="str">
        <f>"END STOP WITH PEBBLES"</f>
        <v>END STOP WITH PEBBLES</v>
      </c>
      <c r="C1299" s="4">
        <v>70.599999999999994</v>
      </c>
      <c r="D1299" s="9">
        <v>38.886479999999999</v>
      </c>
    </row>
    <row r="1300" spans="1:4" x14ac:dyDescent="0.25">
      <c r="A1300" s="2" t="str">
        <f>"51070070030"</f>
        <v>51070070030</v>
      </c>
      <c r="B1300" s="2" t="str">
        <f>"CF65/70 TOP CAP"</f>
        <v>CF65/70 TOP CAP</v>
      </c>
      <c r="C1300" s="4">
        <v>172</v>
      </c>
      <c r="D1300" s="9">
        <v>94.737600000000015</v>
      </c>
    </row>
    <row r="1301" spans="1:4" x14ac:dyDescent="0.25">
      <c r="A1301" s="2" t="str">
        <f>"51070105030"</f>
        <v>51070105030</v>
      </c>
      <c r="B1301" s="2" t="str">
        <f>"CF105 TOP CAP"</f>
        <v>CF105 TOP CAP</v>
      </c>
      <c r="C1301" s="4">
        <v>225.4</v>
      </c>
      <c r="D1301" s="9">
        <v>124.15032000000002</v>
      </c>
    </row>
    <row r="1302" spans="1:4" x14ac:dyDescent="0.25">
      <c r="A1302" s="2" t="str">
        <f>"51081030030"</f>
        <v>51081030030</v>
      </c>
      <c r="B1302" s="2" t="str">
        <f>"SHEAVE BOX BR30"</f>
        <v>SHEAVE BOX BR30</v>
      </c>
      <c r="C1302" s="4">
        <v>187.2</v>
      </c>
      <c r="D1302" s="9">
        <v>103.10976000000001</v>
      </c>
    </row>
    <row r="1303" spans="1:4" x14ac:dyDescent="0.25">
      <c r="A1303" s="2" t="str">
        <f>"51082101500"</f>
        <v>51082101500</v>
      </c>
      <c r="B1303" s="2" t="str">
        <f>"AHEAD SHEAVE KB65/90"</f>
        <v>AHEAD SHEAVE KB65/90</v>
      </c>
      <c r="C1303" s="4">
        <v>236</v>
      </c>
      <c r="D1303" s="9">
        <v>129.98880000000003</v>
      </c>
    </row>
    <row r="1304" spans="1:4" x14ac:dyDescent="0.25">
      <c r="A1304" s="2" t="str">
        <f>"51082102500"</f>
        <v>51082102500</v>
      </c>
      <c r="B1304" s="2" t="str">
        <f>"CF 105 (N 2) AHEAD SHEAVE"</f>
        <v>CF 105 (N 2) AHEAD SHEAVE</v>
      </c>
      <c r="C1304" s="4">
        <v>243.6</v>
      </c>
      <c r="D1304" s="9">
        <v>134.17488</v>
      </c>
    </row>
    <row r="1305" spans="1:4" x14ac:dyDescent="0.25">
      <c r="A1305" s="2" t="str">
        <f>"51082201500"</f>
        <v>51082201500</v>
      </c>
      <c r="B1305" s="2" t="str">
        <f>"BACK SHEAVE KB65/105"</f>
        <v>BACK SHEAVE KB65/105</v>
      </c>
      <c r="C1305" s="4">
        <v>182.79999999999998</v>
      </c>
      <c r="D1305" s="9">
        <v>100.68624000000001</v>
      </c>
    </row>
    <row r="1306" spans="1:4" x14ac:dyDescent="0.25">
      <c r="A1306" s="2" t="str">
        <f>"51087070000"</f>
        <v>51087070000</v>
      </c>
      <c r="B1306" s="2" t="str">
        <f>"CF65/70 RC STD BOOM KIT"</f>
        <v>CF65/70 RC STD BOOM KIT</v>
      </c>
      <c r="C1306" s="4">
        <v>423.5</v>
      </c>
      <c r="D1306" s="9">
        <v>233.26380000000003</v>
      </c>
    </row>
    <row r="1307" spans="1:4" x14ac:dyDescent="0.25">
      <c r="A1307" s="2" t="str">
        <f>"51087080000"</f>
        <v>51087080000</v>
      </c>
      <c r="B1307" s="2" t="str">
        <f>"RC80 TRACK+SLUGS+SCREWS"</f>
        <v>RC80 TRACK+SLUGS+SCREWS</v>
      </c>
      <c r="C1307" s="4">
        <v>737.2</v>
      </c>
      <c r="D1307" s="9">
        <v>406.04976000000005</v>
      </c>
    </row>
    <row r="1308" spans="1:4" x14ac:dyDescent="0.25">
      <c r="A1308" s="2" t="str">
        <f>"51087090000"</f>
        <v>51087090000</v>
      </c>
      <c r="B1308" s="2" t="str">
        <f>"CF90 RC STD BOOM KIT"</f>
        <v>CF90 RC STD BOOM KIT</v>
      </c>
      <c r="C1308" s="4">
        <v>687.7</v>
      </c>
      <c r="D1308" s="9">
        <v>378.78516000000008</v>
      </c>
    </row>
    <row r="1309" spans="1:4" x14ac:dyDescent="0.25">
      <c r="A1309" s="2" t="str">
        <f>"51087105000"</f>
        <v>51087105000</v>
      </c>
      <c r="B1309" s="2" t="str">
        <f>"RC COMPLETE TRACK+CAR KIT CF80/105"</f>
        <v>RC COMPLETE TRACK+CAR KIT CF80/105</v>
      </c>
      <c r="C1309" s="4">
        <v>987.1</v>
      </c>
      <c r="D1309" s="9">
        <v>543.69468000000006</v>
      </c>
    </row>
    <row r="1310" spans="1:4" x14ac:dyDescent="0.25">
      <c r="A1310" s="2" t="str">
        <f>"51088070000"</f>
        <v>51088070000</v>
      </c>
      <c r="B1310" s="2" t="str">
        <f>"CF65/70 RC SPECIAL BOOM KIT"</f>
        <v>CF65/70 RC SPECIAL BOOM KIT</v>
      </c>
      <c r="C1310" s="4">
        <v>1089.6999999999998</v>
      </c>
      <c r="D1310" s="9">
        <v>600.20676000000003</v>
      </c>
    </row>
    <row r="1311" spans="1:4" x14ac:dyDescent="0.25">
      <c r="A1311" s="2" t="str">
        <f>"51088080000"</f>
        <v>51088080000</v>
      </c>
      <c r="B1311" s="2" t="str">
        <f>"KB 80 BOOM KIT"</f>
        <v>KB 80 BOOM KIT</v>
      </c>
      <c r="C1311" s="4">
        <v>624.4</v>
      </c>
      <c r="D1311" s="9">
        <v>343.91952000000003</v>
      </c>
    </row>
    <row r="1312" spans="1:4" x14ac:dyDescent="0.25">
      <c r="A1312" s="2" t="str">
        <f>"51088090000"</f>
        <v>51088090000</v>
      </c>
      <c r="B1312" s="2" t="str">
        <f>"CF90 RC SPECIAL BOOM KIT"</f>
        <v>CF90 RC SPECIAL BOOM KIT</v>
      </c>
      <c r="C1312" s="4">
        <v>1351.8999999999999</v>
      </c>
      <c r="D1312" s="9">
        <v>744.62652000000003</v>
      </c>
    </row>
    <row r="1313" spans="1:4" x14ac:dyDescent="0.25">
      <c r="A1313" s="2" t="str">
        <f>"51088105000"</f>
        <v>51088105000</v>
      </c>
      <c r="B1313" s="2" t="str">
        <f>"KB 105 BOOM KIT"</f>
        <v>KB 105 BOOM KIT</v>
      </c>
      <c r="C1313" s="4">
        <v>932.30000000000007</v>
      </c>
      <c r="D1313" s="9">
        <v>513.51084000000014</v>
      </c>
    </row>
    <row r="1314" spans="1:4" x14ac:dyDescent="0.25">
      <c r="A1314" s="2" t="str">
        <f>"51091030100"</f>
        <v>51091030100</v>
      </c>
      <c r="B1314" s="2" t="str">
        <f>"CF65/70 STD FURLING TUBE"</f>
        <v>CF65/70 STD FURLING TUBE</v>
      </c>
      <c r="C1314" s="4">
        <v>150.6</v>
      </c>
      <c r="D1314" s="9">
        <v>82.950480000000013</v>
      </c>
    </row>
    <row r="1315" spans="1:4" x14ac:dyDescent="0.25">
      <c r="A1315" s="2" t="str">
        <f>"51091030300"</f>
        <v>51091030300</v>
      </c>
      <c r="B1315" s="2" t="str">
        <f>"CF65/70 LOW FURLING TUBE"</f>
        <v>CF65/70 LOW FURLING TUBE</v>
      </c>
      <c r="C1315" s="4">
        <v>153.6</v>
      </c>
      <c r="D1315" s="9">
        <v>84.602880000000013</v>
      </c>
    </row>
    <row r="1316" spans="1:4" x14ac:dyDescent="0.25">
      <c r="A1316" s="2" t="str">
        <f>"51091031100"</f>
        <v>51091031100</v>
      </c>
      <c r="B1316" s="2" t="str">
        <f>"STD INTERNAL ROD S30 1.7M(5'7"</f>
        <v>STD INTERNAL ROD S30 1.7M(5'7</v>
      </c>
      <c r="C1316" s="4">
        <v>171.6</v>
      </c>
      <c r="D1316" s="9">
        <v>94.51728</v>
      </c>
    </row>
    <row r="1317" spans="1:4" x14ac:dyDescent="0.25">
      <c r="A1317" s="2" t="str">
        <f>"51091031200"</f>
        <v>51091031200</v>
      </c>
      <c r="B1317" s="2" t="str">
        <f>"S30 TOP FURLING TUBE"</f>
        <v>S30 TOP FURLING TUBE</v>
      </c>
      <c r="C1317" s="4">
        <v>196</v>
      </c>
      <c r="D1317" s="9">
        <v>107.9568</v>
      </c>
    </row>
    <row r="1318" spans="1:4" x14ac:dyDescent="0.25">
      <c r="A1318" s="2" t="str">
        <f>"51091031300"</f>
        <v>51091031300</v>
      </c>
      <c r="B1318" s="2" t="str">
        <f>"LOW CF80/105 1.45M IN. SECTION"</f>
        <v>LOW CF80/105 1.45M IN. SECTION</v>
      </c>
      <c r="C1318" s="4">
        <v>201.79999999999998</v>
      </c>
      <c r="D1318" s="9">
        <v>111.15143999999999</v>
      </c>
    </row>
    <row r="1319" spans="1:4" x14ac:dyDescent="0.25">
      <c r="A1319" s="2" t="str">
        <f>"51091070300"</f>
        <v>51091070300</v>
      </c>
      <c r="B1319" s="2" t="str">
        <f>"CF65/70 LOW HOUSING SECTION"</f>
        <v>CF65/70 LOW HOUSING SECTION</v>
      </c>
      <c r="C1319" s="4">
        <v>421.40000000000003</v>
      </c>
      <c r="D1319" s="9">
        <v>232.10712000000004</v>
      </c>
    </row>
    <row r="1320" spans="1:4" x14ac:dyDescent="0.25">
      <c r="A1320" s="2" t="str">
        <f>"51091080300"</f>
        <v>51091080300</v>
      </c>
      <c r="B1320" s="2" t="str">
        <f>"LOW HOUSING SECT.CF80"</f>
        <v>LOW HOUSING SECT.CF80</v>
      </c>
      <c r="C1320" s="4">
        <v>657.9</v>
      </c>
      <c r="D1320" s="9">
        <v>362.37132000000003</v>
      </c>
    </row>
    <row r="1321" spans="1:4" x14ac:dyDescent="0.25">
      <c r="A1321" s="2" t="str">
        <f>"51091090300"</f>
        <v>51091090300</v>
      </c>
      <c r="B1321" s="2" t="str">
        <f>"CF90 LOW HOUSING SECTION"</f>
        <v>CF90 LOW HOUSING SECTION</v>
      </c>
      <c r="C1321" s="4">
        <v>616.1</v>
      </c>
      <c r="D1321" s="9">
        <v>339.34788000000009</v>
      </c>
    </row>
    <row r="1322" spans="1:4" x14ac:dyDescent="0.25">
      <c r="A1322" s="2" t="str">
        <f>"51091105200"</f>
        <v>51091105200</v>
      </c>
      <c r="B1322" s="2" t="str">
        <f>"TOP HOUSING SECT CF105"</f>
        <v>TOP HOUSING SECT CF105</v>
      </c>
      <c r="C1322" s="4">
        <v>975.5</v>
      </c>
      <c r="D1322" s="9">
        <v>537.30540000000008</v>
      </c>
    </row>
    <row r="1323" spans="1:4" x14ac:dyDescent="0.25">
      <c r="A1323" s="2" t="str">
        <f>"51091105300"</f>
        <v>51091105300</v>
      </c>
      <c r="B1323" s="2" t="str">
        <f>"LOW HOUSING SECT.CF105"</f>
        <v>LOW HOUSING SECT.CF105</v>
      </c>
      <c r="C1323" s="4">
        <v>911.9</v>
      </c>
      <c r="D1323" s="9">
        <v>502.27452000000005</v>
      </c>
    </row>
    <row r="1324" spans="1:4" x14ac:dyDescent="0.25">
      <c r="A1324" s="2" t="str">
        <f>"51094010000"</f>
        <v>51094010000</v>
      </c>
      <c r="B1324" s="2" t="str">
        <f>"N  1 SLUG 5/8 M5"</f>
        <v>N  1 SLUG 5/8 M5</v>
      </c>
      <c r="C1324" s="4">
        <v>8</v>
      </c>
      <c r="D1324" s="9">
        <v>4.4064000000000005</v>
      </c>
    </row>
    <row r="1325" spans="1:4" x14ac:dyDescent="0.25">
      <c r="A1325" s="2" t="str">
        <f>"51094015161"</f>
        <v>51094015161</v>
      </c>
      <c r="B1325" s="2" t="str">
        <f>"SLUG NØ1+SPCL SCREW 5X16+NUT TRACK/HSG S"</f>
        <v>SLUG NØ1+SPCL SCREW 5X16+NUT TRACK/HSG S</v>
      </c>
      <c r="C1325" s="4">
        <v>10.7</v>
      </c>
      <c r="D1325" s="9">
        <v>5.8935599999999999</v>
      </c>
    </row>
    <row r="1326" spans="1:4" x14ac:dyDescent="0.25">
      <c r="A1326" s="2" t="str">
        <f>"51094020000"</f>
        <v>51094020000</v>
      </c>
      <c r="B1326" s="2" t="str">
        <f>"N  2 SLUG 3/4 M5"</f>
        <v>N  2 SLUG 3/4 M5</v>
      </c>
      <c r="C1326" s="4">
        <v>8.2999999999999989</v>
      </c>
      <c r="D1326" s="9">
        <v>4.5716399999999995</v>
      </c>
    </row>
    <row r="1327" spans="1:4" x14ac:dyDescent="0.25">
      <c r="A1327" s="2" t="str">
        <f>"51094025161"</f>
        <v>51094025161</v>
      </c>
      <c r="B1327" s="2" t="str">
        <f>"SLUG NØ2+SPCL SCREW 5X16+NUT TRACK/HSG S"</f>
        <v>SLUG NØ2+SPCL SCREW 5X16+NUT TRACK/HSG S</v>
      </c>
      <c r="C1327" s="4">
        <v>11</v>
      </c>
      <c r="D1327" s="9">
        <v>6.0588000000000006</v>
      </c>
    </row>
    <row r="1328" spans="1:4" x14ac:dyDescent="0.25">
      <c r="A1328" s="2" t="str">
        <f>"51094036200"</f>
        <v>51094036200</v>
      </c>
      <c r="B1328" s="2" t="str">
        <f>"SLUG NØ3+SCREW 6X20+NUT M6 TRACK FIXING"</f>
        <v>SLUG NØ3+SCREW 6X20+NUT M6 TRACK FIXING</v>
      </c>
      <c r="C1328" s="4">
        <v>10.299999999999999</v>
      </c>
      <c r="D1328" s="9">
        <v>5.6732399999999998</v>
      </c>
    </row>
    <row r="1329" spans="1:4" x14ac:dyDescent="0.25">
      <c r="A1329" s="2" t="str">
        <f>"51095080000"</f>
        <v>51095080000</v>
      </c>
      <c r="B1329" s="2" t="str">
        <f>"D08 M5 5/16   SINGLE ROUND SLUG"</f>
        <v>D08 M5 5/16   SINGLE ROUND SLUG</v>
      </c>
      <c r="C1329" s="4">
        <v>4.8999999999999995</v>
      </c>
      <c r="D1329" s="9">
        <v>2.6989200000000002</v>
      </c>
    </row>
    <row r="1330" spans="1:4" x14ac:dyDescent="0.25">
      <c r="A1330" s="2" t="str">
        <f>"51095085201"</f>
        <v>51095085201</v>
      </c>
      <c r="B1330" s="2" t="str">
        <f>"SLUG D8+SPCL SCREW 5X20+NUT TRACK FIXING"</f>
        <v>SLUG D8+SPCL SCREW 5X20+NUT TRACK FIXING</v>
      </c>
      <c r="C1330" s="4">
        <v>12.7</v>
      </c>
      <c r="D1330" s="9">
        <v>6.9951600000000012</v>
      </c>
    </row>
    <row r="1331" spans="1:4" x14ac:dyDescent="0.25">
      <c r="A1331" s="2" t="str">
        <f>"51095085251"</f>
        <v>51095085251</v>
      </c>
      <c r="B1331" s="2" t="str">
        <f>"SET 1XD8 SLUG+1XSCREW+1XBOLT TRACK FIXAT"</f>
        <v>SET 1XD8 SLUG+1XSCREW+1XBOLT TRACK FIXAT</v>
      </c>
      <c r="C1331" s="4">
        <v>12.5</v>
      </c>
      <c r="D1331" s="9">
        <v>6.8850000000000007</v>
      </c>
    </row>
    <row r="1332" spans="1:4" x14ac:dyDescent="0.25">
      <c r="A1332" s="2" t="str">
        <f>"51095105201"</f>
        <v>51095105201</v>
      </c>
      <c r="B1332" s="2" t="str">
        <f>"SS D10 SLUG+SPCIL SCREW+NUT TRACK/HSG SC"</f>
        <v>SS D10 SLUG+SPCIL SCREW+NUT TRACK/HSG SC</v>
      </c>
      <c r="C1332" s="4">
        <v>7.8999999999999995</v>
      </c>
      <c r="D1332" s="9">
        <v>4.3513200000000003</v>
      </c>
    </row>
    <row r="1333" spans="1:4" x14ac:dyDescent="0.25">
      <c r="A1333" s="2" t="str">
        <f>"51095140050"</f>
        <v>51095140050</v>
      </c>
      <c r="B1333" s="2" t="str">
        <f>"D14 M5 9/16   SINGLE ROUND SLUG"</f>
        <v>D14 M5 9/16   SINGLE ROUND SLUG</v>
      </c>
      <c r="C1333" s="4">
        <v>7.8999999999999995</v>
      </c>
      <c r="D1333" s="9">
        <v>4.3513200000000003</v>
      </c>
    </row>
    <row r="1334" spans="1:4" x14ac:dyDescent="0.25">
      <c r="A1334" s="2" t="str">
        <f>"51095145250"</f>
        <v>51095145250</v>
      </c>
      <c r="B1334" s="2" t="str">
        <f>"SLUG D14+SCREW 5X25+NUT TRACK FIXING KIT"</f>
        <v>SLUG D14+SCREW 5X25+NUT TRACK FIXING KIT</v>
      </c>
      <c r="C1334" s="4">
        <v>10.5</v>
      </c>
      <c r="D1334" s="9">
        <v>5.7834000000000012</v>
      </c>
    </row>
    <row r="1335" spans="1:4" x14ac:dyDescent="0.25">
      <c r="A1335" s="2" t="str">
        <f>"51095145251"</f>
        <v>51095145251</v>
      </c>
      <c r="B1335" s="2" t="str">
        <f>"SET 1XD14 SLUG+1XSCREW+1XBOLT HALF THREA"</f>
        <v>SET 1XD14 SLUG+1XSCREW+1XBOLT HALF THREA</v>
      </c>
      <c r="C1335" s="4">
        <v>12.299999999999999</v>
      </c>
      <c r="D1335" s="9">
        <v>6.7748400000000002</v>
      </c>
    </row>
    <row r="1336" spans="1:4" x14ac:dyDescent="0.25">
      <c r="A1336" s="2" t="str">
        <f>"51095160000"</f>
        <v>51095160000</v>
      </c>
      <c r="B1336" s="2" t="str">
        <f>"SLIDER Ø 16 MM M6"</f>
        <v>SLIDER Ø 16 MM M6</v>
      </c>
      <c r="C1336" s="4">
        <v>8.9</v>
      </c>
      <c r="D1336" s="9">
        <v>4.9021200000000009</v>
      </c>
    </row>
    <row r="1337" spans="1:4" x14ac:dyDescent="0.25">
      <c r="A1337" s="2" t="str">
        <f>"51095166300"</f>
        <v>51095166300</v>
      </c>
      <c r="B1337" s="2" t="str">
        <f>"SLUG D16+SCREW 6X30+NUT"</f>
        <v>SLUG D16+SCREW 6X30+NUT</v>
      </c>
      <c r="C1337" s="4">
        <v>11.799999999999999</v>
      </c>
      <c r="D1337" s="9">
        <v>6.4994399999999999</v>
      </c>
    </row>
    <row r="1338" spans="1:4" x14ac:dyDescent="0.25">
      <c r="A1338" s="2" t="str">
        <f>"53612"</f>
        <v>53612</v>
      </c>
      <c r="B1338" s="2" t="str">
        <f>"screw spacer for FACNOR ELECTRCIC EF"</f>
        <v>screw spacer for FACNOR ELECTRCIC EF</v>
      </c>
      <c r="C1338" s="4">
        <v>286.3</v>
      </c>
    </row>
    <row r="1339" spans="1:4" x14ac:dyDescent="0.25">
      <c r="A1339" s="2" t="str">
        <f>"54008000171"</f>
        <v>54008000171</v>
      </c>
      <c r="B1339" s="2" t="str">
        <f>"F40 1.7M TRACK NO SLUGS"</f>
        <v>F40 1.7M TRACK NO SLUGS</v>
      </c>
      <c r="C1339" s="4">
        <v>337.20000000000005</v>
      </c>
      <c r="D1339" s="9">
        <v>185.72976000000006</v>
      </c>
    </row>
    <row r="1340" spans="1:4" x14ac:dyDescent="0.25">
      <c r="A1340" s="2" t="str">
        <f>"54008160170"</f>
        <v>54008160170</v>
      </c>
      <c r="B1340" s="2" t="str">
        <f>"F40 1.7M TRACK D16MM SLUG"</f>
        <v>F40 1.7M TRACK D16MM SLUG</v>
      </c>
      <c r="C1340" s="4">
        <v>40.800000000000004</v>
      </c>
      <c r="D1340" s="9">
        <v>22.472640000000002</v>
      </c>
    </row>
    <row r="1341" spans="1:4" x14ac:dyDescent="0.25">
      <c r="A1341" s="2" t="str">
        <f>"54009001030"</f>
        <v>54009001030</v>
      </c>
      <c r="B1341" s="2" t="str">
        <f>"DOOR TRACK 33CM NO SLUG F40"</f>
        <v>DOOR TRACK 33CM NO SLUG F40</v>
      </c>
      <c r="C1341" s="4">
        <v>214.2</v>
      </c>
      <c r="D1341" s="9">
        <v>117.98136000000002</v>
      </c>
    </row>
    <row r="1342" spans="1:4" x14ac:dyDescent="0.25">
      <c r="A1342" s="2" t="str">
        <f>"54011000001"</f>
        <v>54011000001</v>
      </c>
      <c r="B1342" s="2" t="str">
        <f>"FR25X15 2M STD TRCK NO SLG+PIN F10/20/30"</f>
        <v>FR25X15 2M STD TRCK NO SLG+PIN F10/20/30</v>
      </c>
      <c r="C1342" s="4">
        <v>200</v>
      </c>
      <c r="D1342" s="9">
        <v>110.16000000000001</v>
      </c>
    </row>
    <row r="1343" spans="1:4" x14ac:dyDescent="0.25">
      <c r="A1343" s="2" t="str">
        <f>"54011001000"</f>
        <v>54011001000</v>
      </c>
      <c r="B1343" s="2" t="str">
        <f>"FR25X15 2MDB DLTRCK NO SLG FACSLIDE +(=F"</f>
        <v>FR25X15 2MDB DLTRCK NO SLG FACSLIDE +(=F</v>
      </c>
      <c r="C1343" s="4">
        <v>214.2</v>
      </c>
      <c r="D1343" s="9">
        <v>117.98136000000002</v>
      </c>
    </row>
    <row r="1344" spans="1:4" x14ac:dyDescent="0.25">
      <c r="A1344" s="2" t="str">
        <f>"54011010000"</f>
        <v>54011010000</v>
      </c>
      <c r="B1344" s="2" t="str">
        <f>"TRACK 2.00M+SLUGS N 1/16MM F10/20/30 FAC"</f>
        <v>TRACK 2.00M+SLUGS N 1/16MM F10/20/30 FAC</v>
      </c>
      <c r="C1344" s="4">
        <v>332.3</v>
      </c>
      <c r="D1344" s="9">
        <v>183.03084000000004</v>
      </c>
    </row>
    <row r="1345" spans="1:4" x14ac:dyDescent="0.25">
      <c r="A1345" s="2" t="str">
        <f>"54011011000"</f>
        <v>54011011000</v>
      </c>
      <c r="B1345" s="2" t="str">
        <f>"TRACK 2.00M+SLUGS N 1/16MM DOUBLE DRILLI"</f>
        <v>TRACK 2.00M+SLUGS N 1/16MM DOUBLE DRILLI</v>
      </c>
      <c r="C1345" s="4">
        <v>214.2</v>
      </c>
      <c r="D1345" s="9">
        <v>117.98136000000002</v>
      </c>
    </row>
    <row r="1346" spans="1:4" x14ac:dyDescent="0.25">
      <c r="A1346" s="2" t="str">
        <f>"54011020000"</f>
        <v>54011020000</v>
      </c>
      <c r="B1346" s="2" t="str">
        <f>"TRACK 2.00M+SLUGS N 2/19MM F10/20/30 FAC"</f>
        <v>TRACK 2.00M+SLUGS N 2/19MM F10/20/30 FAC</v>
      </c>
      <c r="C1346" s="4">
        <v>332.3</v>
      </c>
      <c r="D1346" s="9">
        <v>183.03084000000004</v>
      </c>
    </row>
    <row r="1347" spans="1:4" x14ac:dyDescent="0.25">
      <c r="A1347" s="2" t="str">
        <f>"54011021000"</f>
        <v>54011021000</v>
      </c>
      <c r="B1347" s="2" t="str">
        <f>"TRACK 2.00M+SLUGS N 2/19MM DOUBLE DRILLI"</f>
        <v>TRACK 2.00M+SLUGS N 2/19MM DOUBLE DRILLI</v>
      </c>
      <c r="C1347" s="4">
        <v>214.2</v>
      </c>
      <c r="D1347" s="9">
        <v>117.98136000000002</v>
      </c>
    </row>
    <row r="1348" spans="1:4" x14ac:dyDescent="0.25">
      <c r="A1348" s="2" t="str">
        <f>"54011030000"</f>
        <v>54011030000</v>
      </c>
      <c r="B1348" s="2" t="str">
        <f>"TRACK 2.00M+SLUGS N 3/23MM F10/20/30 FAC"</f>
        <v>TRACK 2.00M+SLUGS N 3/23MM F10/20/30 FAC</v>
      </c>
      <c r="C1348" s="4">
        <v>332.3</v>
      </c>
      <c r="D1348" s="9">
        <v>183.03084000000004</v>
      </c>
    </row>
    <row r="1349" spans="1:4" x14ac:dyDescent="0.25">
      <c r="A1349" s="2" t="str">
        <f>"54011031000"</f>
        <v>54011031000</v>
      </c>
      <c r="B1349" s="2" t="str">
        <f>"TRACK 2.00M+SLUGS N 3/23MM DOUBLE DRILLI"</f>
        <v>TRACK 2.00M+SLUGS N 3/23MM DOUBLE DRILLI</v>
      </c>
      <c r="C1349" s="4">
        <v>214.2</v>
      </c>
      <c r="D1349" s="9">
        <v>117.98136000000002</v>
      </c>
    </row>
    <row r="1350" spans="1:4" x14ac:dyDescent="0.25">
      <c r="A1350" s="2" t="str">
        <f>"54011100000"</f>
        <v>54011100000</v>
      </c>
      <c r="B1350" s="2" t="str">
        <f>"TRACK 2.00M+SLUGS Ø10MM F10/20/30 FACSLI"</f>
        <v>TRACK 2.00M+SLUGS Ø10MM F10/20/30 FACSLI</v>
      </c>
      <c r="C1350" s="4">
        <v>214.2</v>
      </c>
      <c r="D1350" s="9">
        <v>117.98136000000002</v>
      </c>
    </row>
    <row r="1351" spans="1:4" x14ac:dyDescent="0.25">
      <c r="A1351" s="2" t="str">
        <f>"54011100005"</f>
        <v>54011100005</v>
      </c>
      <c r="B1351" s="2" t="str">
        <f>"TRACK 2.00M+SLUGS D10MM MACH.SCREW F10/2"</f>
        <v>TRACK 2.00M+SLUGS D10MM MACH.SCREW F10/2</v>
      </c>
      <c r="C1351" s="4">
        <v>332.3</v>
      </c>
      <c r="D1351" s="9">
        <v>183.03084000000004</v>
      </c>
    </row>
    <row r="1352" spans="1:4" x14ac:dyDescent="0.25">
      <c r="A1352" s="2" t="str">
        <f>"54011101000"</f>
        <v>54011101000</v>
      </c>
      <c r="B1352" s="2" t="str">
        <f>"TRACK 2.00M+SLUGS D10MM DOUBLE DRILLINGS"</f>
        <v>TRACK 2.00M+SLUGS D10MM DOUBLE DRILLINGS</v>
      </c>
      <c r="C1352" s="4">
        <v>332.3</v>
      </c>
      <c r="D1352" s="9">
        <v>183.03084000000004</v>
      </c>
    </row>
    <row r="1353" spans="1:4" x14ac:dyDescent="0.25">
      <c r="A1353" s="2" t="str">
        <f>"54011101005"</f>
        <v>54011101005</v>
      </c>
      <c r="B1353" s="2" t="str">
        <f>"TRACK 2.00M+SLUGS D10MM DB DRL MACH.SCRE"</f>
        <v>TRACK 2.00M+SLUGS D10MM DB DRL MACH.SCRE</v>
      </c>
      <c r="C1353" s="4">
        <v>214.2</v>
      </c>
      <c r="D1353" s="9">
        <v>117.98136000000002</v>
      </c>
    </row>
    <row r="1354" spans="1:4" x14ac:dyDescent="0.25">
      <c r="A1354" s="2" t="str">
        <f>"54011140000"</f>
        <v>54011140000</v>
      </c>
      <c r="B1354" s="2" t="str">
        <f>"TRACK 2.00M+SLUGS D14MM F10/20/30 FACSLI"</f>
        <v>TRACK 2.00M+SLUGS D14MM F10/20/30 FACSLI</v>
      </c>
      <c r="C1354" s="4">
        <v>214.2</v>
      </c>
      <c r="D1354" s="9">
        <v>117.98136000000002</v>
      </c>
    </row>
    <row r="1355" spans="1:4" x14ac:dyDescent="0.25">
      <c r="A1355" s="2" t="str">
        <f>"54011140005"</f>
        <v>54011140005</v>
      </c>
      <c r="B1355" s="2" t="str">
        <f>"TRACK 2.00M+SLUGS D14MM MACH.SCREW F10/2"</f>
        <v>TRACK 2.00M+SLUGS D14MM MACH.SCREW F10/2</v>
      </c>
      <c r="C1355" s="4">
        <v>332.3</v>
      </c>
      <c r="D1355" s="9">
        <v>183.03084000000004</v>
      </c>
    </row>
    <row r="1356" spans="1:4" x14ac:dyDescent="0.25">
      <c r="A1356" s="2" t="str">
        <f>"54011141000"</f>
        <v>54011141000</v>
      </c>
      <c r="B1356" s="2" t="str">
        <f>"TRACK 2.00M+SLUGS D14MM DOUBLE DRILLINGS"</f>
        <v>TRACK 2.00M+SLUGS D14MM DOUBLE DRILLINGS</v>
      </c>
      <c r="C1356" s="4">
        <v>195.1</v>
      </c>
      <c r="D1356" s="9">
        <v>107.46108000000001</v>
      </c>
    </row>
    <row r="1357" spans="1:4" x14ac:dyDescent="0.25">
      <c r="A1357" s="2" t="str">
        <f>"54011160000"</f>
        <v>54011160000</v>
      </c>
      <c r="B1357" s="2" t="str">
        <f>"STD 2M TRACK+SLUGD14 FACSLIDE+ FR25X15"</f>
        <v>STD 2M TRACK+SLUGD14 FACSLIDE+ FR25X15</v>
      </c>
      <c r="C1357" s="4">
        <v>32.300000000000004</v>
      </c>
      <c r="D1357" s="9">
        <v>17.790840000000006</v>
      </c>
    </row>
    <row r="1358" spans="1:4" x14ac:dyDescent="0.25">
      <c r="A1358" s="2" t="str">
        <f>"54013000000"</f>
        <v>54013000000</v>
      </c>
      <c r="B1358" s="2" t="str">
        <f>"DOOR TRACK 35CM +SLUG F10-20-30 FACSLIDE"</f>
        <v>DOOR TRACK 35CM +SLUG F10-20-30 FACSLIDE</v>
      </c>
      <c r="C1358" s="4">
        <v>52.5</v>
      </c>
      <c r="D1358" s="9">
        <v>28.917000000000002</v>
      </c>
    </row>
    <row r="1359" spans="1:4" x14ac:dyDescent="0.25">
      <c r="A1359" s="2" t="str">
        <f>"54016010000"</f>
        <v>54016010000</v>
      </c>
      <c r="B1359" s="2" t="str">
        <f>"LOADING 0.35M TRACK+SLUG1 F10-20-30 FACS"</f>
        <v>LOADING 0.35M TRACK+SLUG1 F10-20-30 FACS</v>
      </c>
      <c r="C1359" s="4">
        <v>52.5</v>
      </c>
      <c r="D1359" s="9">
        <v>28.917000000000002</v>
      </c>
    </row>
    <row r="1360" spans="1:4" x14ac:dyDescent="0.25">
      <c r="A1360" s="2" t="str">
        <f>"54016020000"</f>
        <v>54016020000</v>
      </c>
      <c r="B1360" s="2" t="str">
        <f>"LOADING 0.35M TRACK+SLUG2 F10-20-30 FACS"</f>
        <v>LOADING 0.35M TRACK+SLUG2 F10-20-30 FACS</v>
      </c>
      <c r="C1360" s="4">
        <v>52.5</v>
      </c>
      <c r="D1360" s="9">
        <v>28.917000000000002</v>
      </c>
    </row>
    <row r="1361" spans="1:4" x14ac:dyDescent="0.25">
      <c r="A1361" s="2" t="str">
        <f>"54016030000"</f>
        <v>54016030000</v>
      </c>
      <c r="B1361" s="2" t="str">
        <f>"LOADING 0.35M TRACK+SLUG3 F10-20-30 FACS"</f>
        <v>LOADING 0.35M TRACK+SLUG3 F10-20-30 FACS</v>
      </c>
      <c r="C1361" s="4">
        <v>52.5</v>
      </c>
      <c r="D1361" s="9">
        <v>28.917000000000002</v>
      </c>
    </row>
    <row r="1362" spans="1:4" x14ac:dyDescent="0.25">
      <c r="A1362" s="2" t="str">
        <f>"54016100000"</f>
        <v>54016100000</v>
      </c>
      <c r="B1362" s="2" t="str">
        <f>"LOADING 0.35M TRACK+SLUGD10 F10-20-30 FA"</f>
        <v>LOADING 0.35M TRACK+SLUGD10 F10-20-30 FA</v>
      </c>
      <c r="C1362" s="4">
        <v>52.5</v>
      </c>
      <c r="D1362" s="9">
        <v>28.917000000000002</v>
      </c>
    </row>
    <row r="1363" spans="1:4" x14ac:dyDescent="0.25">
      <c r="A1363" s="2" t="str">
        <f>"54016100001"</f>
        <v>54016100001</v>
      </c>
      <c r="B1363" s="2" t="str">
        <f>"LOADING 0.35M TRACK+SLUGD10TH PARTIAL TH"</f>
        <v>LOADING 0.35M TRACK+SLUGD10TH PARTIAL TH</v>
      </c>
      <c r="C1363" s="4">
        <v>52.5</v>
      </c>
      <c r="D1363" s="9">
        <v>28.917000000000002</v>
      </c>
    </row>
    <row r="1364" spans="1:4" x14ac:dyDescent="0.25">
      <c r="A1364" s="2" t="str">
        <f>"54016140000"</f>
        <v>54016140000</v>
      </c>
      <c r="B1364" s="2" t="str">
        <f>"LOADING 0.35M TRACK+SLUGD14MM F10-20-30"</f>
        <v>LOADING 0.35M TRACK+SLUGD14MM F10-20-30</v>
      </c>
      <c r="C1364" s="4">
        <v>962.9</v>
      </c>
      <c r="D1364" s="9">
        <v>530.36532</v>
      </c>
    </row>
    <row r="1365" spans="1:4" x14ac:dyDescent="0.25">
      <c r="A1365" s="2" t="str">
        <f>"54020400820"</f>
        <v>54020400820</v>
      </c>
      <c r="B1365" s="2" t="str">
        <f>"OUTHAUL CAR F40 SHEAVE"</f>
        <v>OUTHAUL CAR F40 SHEAVE</v>
      </c>
      <c r="C1365" s="4">
        <v>245</v>
      </c>
      <c r="D1365" s="9">
        <v>134.94600000000003</v>
      </c>
    </row>
    <row r="1366" spans="1:4" x14ac:dyDescent="0.25">
      <c r="A1366" s="2" t="str">
        <f>"54021100600"</f>
        <v>54021100600</v>
      </c>
      <c r="B1366" s="2" t="str">
        <f>"COMPLETE BATTEN CAR FL10+HLM10 FACSLIDE"</f>
        <v>COMPLETE BATTEN CAR FL10+HLM10 FACSLIDE</v>
      </c>
      <c r="C1366" s="4">
        <v>252.79999999999998</v>
      </c>
      <c r="D1366" s="9">
        <v>139.24224000000001</v>
      </c>
    </row>
    <row r="1367" spans="1:4" x14ac:dyDescent="0.25">
      <c r="A1367" s="2" t="str">
        <f>"54021200600"</f>
        <v>54021200600</v>
      </c>
      <c r="B1367" s="2" t="str">
        <f>"COMPLETE BATTEN CAR FL20+HLM10 FACSLIDE"</f>
        <v>COMPLETE BATTEN CAR FL20+HLM10 FACSLIDE</v>
      </c>
      <c r="C1367" s="4">
        <v>709</v>
      </c>
      <c r="D1367" s="9">
        <v>390.51720000000006</v>
      </c>
    </row>
    <row r="1368" spans="1:4" x14ac:dyDescent="0.25">
      <c r="A1368" s="2" t="str">
        <f>"54021400600"</f>
        <v>54021400600</v>
      </c>
      <c r="B1368" s="2" t="str">
        <f>"COMPLETE BATTEN CAR FL40+HLM12 FACSLIDE"</f>
        <v>COMPLETE BATTEN CAR FL40+HLM12 FACSLIDE</v>
      </c>
      <c r="C1368" s="4">
        <v>159.5</v>
      </c>
      <c r="D1368" s="9">
        <v>87.85260000000001</v>
      </c>
    </row>
    <row r="1369" spans="1:4" x14ac:dyDescent="0.25">
      <c r="A1369" s="2" t="str">
        <f>"54031100600"</f>
        <v>54031100600</v>
      </c>
      <c r="B1369" s="2" t="str">
        <f>"COMPLETE INTERMEDT CAR FI10+HL FACSLIDE"</f>
        <v>COMPLETE INTERMEDT CAR FI10+HL FACSLIDE</v>
      </c>
      <c r="C1369" s="4">
        <v>357.90000000000003</v>
      </c>
      <c r="D1369" s="9">
        <v>197.13132000000004</v>
      </c>
    </row>
    <row r="1370" spans="1:4" x14ac:dyDescent="0.25">
      <c r="A1370" s="2" t="str">
        <f>"54031400600"</f>
        <v>54031400600</v>
      </c>
      <c r="B1370" s="2" t="str">
        <f>"COMPLETE INTERMEDT CAR FI40+HL FACSLIDE"</f>
        <v>COMPLETE INTERMEDT CAR FI40+HL FACSLIDE</v>
      </c>
      <c r="C1370" s="4">
        <v>536.80000000000007</v>
      </c>
      <c r="D1370" s="9">
        <v>295.66944000000007</v>
      </c>
    </row>
    <row r="1371" spans="1:4" x14ac:dyDescent="0.25">
      <c r="A1371" s="2" t="str">
        <f>"54041100600"</f>
        <v>54041100600</v>
      </c>
      <c r="B1371" s="2" t="str">
        <f>"COMPLETE HEADBOARD CAR FT10+HL FACSLIDE"</f>
        <v>COMPLETE HEADBOARD CAR FT10+HL FACSLIDE</v>
      </c>
      <c r="C1371" s="4">
        <v>835.5</v>
      </c>
      <c r="D1371" s="9">
        <v>460.19340000000005</v>
      </c>
    </row>
    <row r="1372" spans="1:4" x14ac:dyDescent="0.25">
      <c r="A1372" s="2" t="str">
        <f>"54041300600"</f>
        <v>54041300600</v>
      </c>
      <c r="B1372" s="2" t="str">
        <f>"COMPLETE HEADBOARD CAR FT30+HL FACSLIDE"</f>
        <v>COMPLETE HEADBOARD CAR FT30+HL FACSLIDE</v>
      </c>
      <c r="C1372" s="4">
        <v>1455.8999999999999</v>
      </c>
      <c r="D1372" s="9">
        <v>801.90971999999999</v>
      </c>
    </row>
    <row r="1373" spans="1:4" x14ac:dyDescent="0.25">
      <c r="A1373" s="2" t="str">
        <f>"54041400600"</f>
        <v>54041400600</v>
      </c>
      <c r="B1373" s="2" t="str">
        <f>"COMPLETE HEADBOARD CAR FT40+HL FACSLIDE"</f>
        <v>COMPLETE HEADBOARD CAR FT40+HL FACSLIDE</v>
      </c>
      <c r="C1373" s="4">
        <v>400.90000000000003</v>
      </c>
      <c r="D1373" s="9">
        <v>220.81572000000003</v>
      </c>
    </row>
    <row r="1374" spans="1:4" x14ac:dyDescent="0.25">
      <c r="A1374" s="2" t="str">
        <f>"54052100601"</f>
        <v>54052100601</v>
      </c>
      <c r="B1374" s="2" t="str">
        <f>"SINGLE CAR L064MM+RUBBER INTER-FI10-34 B"</f>
        <v>SINGLE CAR L064MM+RUBBER INTER-FI10-34 B</v>
      </c>
      <c r="C1374" s="4">
        <v>451.6</v>
      </c>
      <c r="D1374" s="9">
        <v>248.74128000000002</v>
      </c>
    </row>
    <row r="1375" spans="1:4" x14ac:dyDescent="0.25">
      <c r="A1375" s="2" t="str">
        <f>"54052200601"</f>
        <v>54052200601</v>
      </c>
      <c r="B1375" s="2" t="str">
        <f>"SINGLE CAR L074MM+RUBBER M10-FT10-FL10/F"</f>
        <v>SINGLE CAR L074MM+RUBBER M10-FT10-FL10/F</v>
      </c>
      <c r="C1375" s="4">
        <v>601</v>
      </c>
      <c r="D1375" s="9">
        <v>331.0308</v>
      </c>
    </row>
    <row r="1376" spans="1:4" x14ac:dyDescent="0.25">
      <c r="A1376" s="2" t="str">
        <f>"54052300601"</f>
        <v>54052300601</v>
      </c>
      <c r="B1376" s="2" t="str">
        <f>"SINGLE CAR L084MM+RUBBER M10-FT20-FL20/F"</f>
        <v>SINGLE CAR L084MM+RUBBER M10-FT20-FL20/F</v>
      </c>
      <c r="C1376" s="4">
        <v>723.9</v>
      </c>
      <c r="D1376" s="9">
        <v>398.72412000000003</v>
      </c>
    </row>
    <row r="1377" spans="1:4" x14ac:dyDescent="0.25">
      <c r="A1377" s="2" t="str">
        <f>"54052400601"</f>
        <v>54052400601</v>
      </c>
      <c r="B1377" s="2" t="str">
        <f>"SINGLE CAR L094MM+RUBBER M10-FT30-FL30-4"</f>
        <v>SINGLE CAR L094MM+RUBBER M10-FT30-FL30-4</v>
      </c>
      <c r="C1377" s="4">
        <v>1027.3999999999999</v>
      </c>
      <c r="D1377" s="9">
        <v>565.89191999999991</v>
      </c>
    </row>
    <row r="1378" spans="1:4" x14ac:dyDescent="0.25">
      <c r="A1378" s="2" t="str">
        <f>"54052500601"</f>
        <v>54052500601</v>
      </c>
      <c r="B1378" s="2" t="str">
        <f>"SINGLE CAR L140MM+RUBBER FT40-FL40-62 BA"</f>
        <v>SINGLE CAR L140MM+RUBBER FT40-FL40-62 BA</v>
      </c>
      <c r="C1378" s="4">
        <v>762.7</v>
      </c>
      <c r="D1378" s="9">
        <v>420.09516000000008</v>
      </c>
    </row>
    <row r="1379" spans="1:4" x14ac:dyDescent="0.25">
      <c r="A1379" s="2" t="str">
        <f>"54052800610"</f>
        <v>54052800610</v>
      </c>
      <c r="B1379" s="2" t="str">
        <f>"SINGLE CAR L085MM+RUBBER INTER-FI40-34 B"</f>
        <v>SINGLE CAR L085MM+RUBBER INTER-FI40-34 B</v>
      </c>
      <c r="C1379" s="4">
        <v>81.3</v>
      </c>
      <c r="D1379" s="9">
        <v>44.78004</v>
      </c>
    </row>
    <row r="1380" spans="1:4" x14ac:dyDescent="0.25">
      <c r="A1380" s="2" t="str">
        <f>"54056300600"</f>
        <v>54056300600</v>
      </c>
      <c r="B1380" s="2" t="str">
        <f>"COMPLETE F30 HEADBOARD CAR PIN"</f>
        <v>COMPLETE F30 HEADBOARD CAR PIN</v>
      </c>
      <c r="C1380" s="4">
        <v>94</v>
      </c>
      <c r="D1380" s="9">
        <v>51.775200000000005</v>
      </c>
    </row>
    <row r="1381" spans="1:4" x14ac:dyDescent="0.25">
      <c r="A1381" s="2" t="str">
        <f>"54056400600"</f>
        <v>54056400600</v>
      </c>
      <c r="B1381" s="2" t="str">
        <f>"COMPLETE F40 HEADBOARD CAR PIN"</f>
        <v>COMPLETE F40 HEADBOARD CAR PIN</v>
      </c>
      <c r="C1381" s="4">
        <v>536.80000000000007</v>
      </c>
      <c r="D1381" s="9">
        <v>295.66944000000007</v>
      </c>
    </row>
    <row r="1382" spans="1:4" x14ac:dyDescent="0.25">
      <c r="A1382" s="2" t="str">
        <f>"54057120600"</f>
        <v>54057120600</v>
      </c>
      <c r="B1382" s="2" t="str">
        <f>"HEADBRD CAR JAW+SHACKLE F10/F20"</f>
        <v>HEADBRD CAR JAW+SHACKLE F10/F20</v>
      </c>
      <c r="C1382" s="4">
        <v>422.8</v>
      </c>
      <c r="D1382" s="9">
        <v>232.87824000000001</v>
      </c>
    </row>
    <row r="1383" spans="1:4" x14ac:dyDescent="0.25">
      <c r="A1383" s="2" t="str">
        <f>"54057300600"</f>
        <v>54057300600</v>
      </c>
      <c r="B1383" s="2" t="str">
        <f>"HEADBOARD CAR JAW+PIN F30"</f>
        <v>HEADBOARD CAR JAW+PIN F30</v>
      </c>
      <c r="C1383" s="4">
        <v>609.80000000000007</v>
      </c>
      <c r="D1383" s="9">
        <v>335.87784000000011</v>
      </c>
    </row>
    <row r="1384" spans="1:4" x14ac:dyDescent="0.25">
      <c r="A1384" s="2" t="str">
        <f>"54057400600"</f>
        <v>54057400600</v>
      </c>
      <c r="B1384" s="2" t="str">
        <f>"HEADBOARD CAR JAW+PIN F40"</f>
        <v>HEADBOARD CAR JAW+PIN F40</v>
      </c>
      <c r="C1384" s="4">
        <v>17.900000000000002</v>
      </c>
      <c r="D1384" s="9">
        <v>9.8593200000000021</v>
      </c>
    </row>
    <row r="1385" spans="1:4" x14ac:dyDescent="0.25">
      <c r="A1385" s="2" t="str">
        <f>"54058000001"</f>
        <v>54058000001</v>
      </c>
      <c r="B1385" s="2" t="str">
        <f>"SPRING DEVICE FI+FL 10+20 FOR FACSLIDE+"</f>
        <v>SPRING DEVICE FI+FL 10+20 FOR FACSLIDE+</v>
      </c>
      <c r="C1385" s="4">
        <v>19.400000000000002</v>
      </c>
      <c r="D1385" s="9">
        <v>10.685520000000002</v>
      </c>
    </row>
    <row r="1386" spans="1:4" x14ac:dyDescent="0.25">
      <c r="A1386" s="2" t="str">
        <f>"54058000003"</f>
        <v>54058000003</v>
      </c>
      <c r="B1386" s="2" t="str">
        <f>"SPRING DEVICE FI+FL 30+40 FOR FACSLIDE+"</f>
        <v>SPRING DEVICE FI+FL 30+40 FOR FACSLIDE+</v>
      </c>
      <c r="C1386" s="4">
        <v>2.1</v>
      </c>
      <c r="D1386" s="9">
        <v>1.1566800000000002</v>
      </c>
    </row>
    <row r="1387" spans="1:4" x14ac:dyDescent="0.25">
      <c r="A1387" s="2" t="str">
        <f>"54059000010"</f>
        <v>54059000010</v>
      </c>
      <c r="B1387" s="2" t="str">
        <f>"BAG OF 4 RUBBER CAR PROTECTION (1 CAR)"</f>
        <v>BAG OF 4 RUBBER CAR PROTECTION (1 CAR)</v>
      </c>
      <c r="C1387" s="4">
        <v>15.299999999999999</v>
      </c>
      <c r="D1387" s="9">
        <v>8.4272399999999994</v>
      </c>
    </row>
    <row r="1388" spans="1:4" x14ac:dyDescent="0.25">
      <c r="A1388" s="2" t="str">
        <f>"54061010620"</f>
        <v>54061010620</v>
      </c>
      <c r="B1388" s="2" t="str">
        <f>"ML TOP/LOW TRACK END STOP FAC+ FR25X15 T"</f>
        <v>ML TOP/LOW TRACK END STOP FAC+ FR25X15 T</v>
      </c>
      <c r="C1388" s="4">
        <v>56.9</v>
      </c>
      <c r="D1388" s="9">
        <v>31.340520000000001</v>
      </c>
    </row>
    <row r="1389" spans="1:4" x14ac:dyDescent="0.25">
      <c r="A1389" s="2" t="str">
        <f>"56012000195"</f>
        <v>56012000195</v>
      </c>
      <c r="B1389" s="2" t="str">
        <f>"Wireless control to relay box cable"</f>
        <v>Wireless control to relay box cable</v>
      </c>
      <c r="C1389" s="4">
        <v>13421</v>
      </c>
      <c r="D1389" s="9">
        <v>7392.2867999999999</v>
      </c>
    </row>
    <row r="1390" spans="1:4" x14ac:dyDescent="0.25">
      <c r="A1390" s="2" t="str">
        <f>"56020501212"</f>
        <v>56020501212</v>
      </c>
      <c r="B1390" s="2" t="str">
        <f>"DRIVE UNIT RMEJ1.02 12 V"</f>
        <v>DRIVE UNIT RMEJ1.02 12 V</v>
      </c>
      <c r="C1390" s="4">
        <v>13093.6</v>
      </c>
      <c r="D1390" s="9">
        <v>7211.9548800000011</v>
      </c>
    </row>
    <row r="1391" spans="1:4" x14ac:dyDescent="0.25">
      <c r="A1391" s="2" t="str">
        <f>"56020502414"</f>
        <v>56020502414</v>
      </c>
      <c r="B1391" s="2" t="str">
        <f>"DRIVE UNIT RMEJ1.02 24 V"</f>
        <v>DRIVE UNIT RMEJ1.02 24 V</v>
      </c>
      <c r="C1391" s="4">
        <v>899.5</v>
      </c>
      <c r="D1391" s="9">
        <v>495.44460000000015</v>
      </c>
    </row>
    <row r="1392" spans="1:4" x14ac:dyDescent="0.25">
      <c r="A1392" s="2" t="str">
        <f>"56020510002"</f>
        <v>56020510002</v>
      </c>
      <c r="B1392" s="2" t="str">
        <f>"DRIVE BELT MEJ 1.02 (KIT)"</f>
        <v>DRIVE BELT MEJ 1.02 (KIT)</v>
      </c>
      <c r="C1392" s="4">
        <v>178.2</v>
      </c>
      <c r="D1392" s="9">
        <v>98.152560000000008</v>
      </c>
    </row>
    <row r="1393" spans="1:4" x14ac:dyDescent="0.25">
      <c r="A1393" s="2" t="str">
        <f>"56020510004"</f>
        <v>56020510004</v>
      </c>
      <c r="B1393" s="2" t="str">
        <f>"TRANSMISSION BELT FOR MEJ1.02"</f>
        <v>TRANSMISSION BELT FOR MEJ1.02</v>
      </c>
      <c r="C1393" s="4">
        <v>159.5</v>
      </c>
      <c r="D1393" s="9">
        <v>87.85260000000001</v>
      </c>
    </row>
    <row r="1394" spans="1:4" x14ac:dyDescent="0.25">
      <c r="A1394" s="2" t="str">
        <f>"56020511208"</f>
        <v>56020511208</v>
      </c>
      <c r="B1394" s="2" t="str">
        <f>"RMEJ1.02 TOP TOOGLE PIN D12.5MM"</f>
        <v>RMEJ1.02 TOP TOOGLE PIN D12.5MM</v>
      </c>
      <c r="C1394" s="4">
        <v>194.5</v>
      </c>
      <c r="D1394" s="9">
        <v>107.13060000000002</v>
      </c>
    </row>
    <row r="1395" spans="1:4" x14ac:dyDescent="0.25">
      <c r="A1395" s="2" t="str">
        <f>"56020511510"</f>
        <v>56020511510</v>
      </c>
      <c r="B1395" s="2" t="str">
        <f>"RMEJ1.02 TOP TOOGLE PIN D15.6MM"</f>
        <v>RMEJ1.02 TOP TOOGLE PIN D15.6MM</v>
      </c>
      <c r="C1395" s="4">
        <v>199.6</v>
      </c>
      <c r="D1395" s="9">
        <v>109.93968000000001</v>
      </c>
    </row>
    <row r="1396" spans="1:4" x14ac:dyDescent="0.25">
      <c r="A1396" s="2" t="str">
        <f>"56020511812"</f>
        <v>56020511812</v>
      </c>
      <c r="B1396" s="2" t="str">
        <f>"RMEJ1.02 TOP TOOGLE PIN D18.5MM"</f>
        <v>RMEJ1.02 TOP TOOGLE PIN D18.5MM</v>
      </c>
      <c r="C1396" s="4">
        <v>777.6</v>
      </c>
      <c r="D1396" s="9">
        <v>428.30208000000005</v>
      </c>
    </row>
    <row r="1397" spans="1:4" x14ac:dyDescent="0.25">
      <c r="A1397" s="2" t="str">
        <f>"56020521208"</f>
        <v>56020521208</v>
      </c>
      <c r="B1397" s="2" t="str">
        <f>"D12.5MM PIN + TOGGLE"</f>
        <v>D12.5MM PIN + TOGGLE</v>
      </c>
      <c r="C1397" s="4">
        <v>874.80000000000007</v>
      </c>
      <c r="D1397" s="9">
        <v>481.83984000000004</v>
      </c>
    </row>
    <row r="1398" spans="1:4" x14ac:dyDescent="0.25">
      <c r="A1398" s="2" t="str">
        <f>"56020521510"</f>
        <v>56020521510</v>
      </c>
      <c r="B1398" s="2" t="str">
        <f>"D15.6MM PIN + TOGGLE"</f>
        <v>D15.6MM PIN + TOGGLE</v>
      </c>
      <c r="C1398" s="4">
        <v>458</v>
      </c>
      <c r="D1398" s="9">
        <v>252.2664</v>
      </c>
    </row>
    <row r="1399" spans="1:4" x14ac:dyDescent="0.25">
      <c r="A1399" s="2" t="str">
        <f>"56020521812"</f>
        <v>56020521812</v>
      </c>
      <c r="B1399" s="2" t="str">
        <f>"D18.5MM PIN + TOGGLE"</f>
        <v>D18.5MM PIN + TOGGLE</v>
      </c>
      <c r="C1399" s="4">
        <v>952.6</v>
      </c>
      <c r="D1399" s="9">
        <v>524.69208000000003</v>
      </c>
    </row>
    <row r="1400" spans="1:4" x14ac:dyDescent="0.25">
      <c r="A1400" s="2" t="str">
        <f>"56020522202"</f>
        <v>56020522202</v>
      </c>
      <c r="B1400" s="2" t="str">
        <f>"D22MM PIN + TOGGLE"</f>
        <v>D22MM PIN + TOGGLE</v>
      </c>
      <c r="C1400" s="4">
        <v>1410.6999999999998</v>
      </c>
      <c r="D1400" s="9">
        <v>777.01355999999998</v>
      </c>
    </row>
    <row r="1401" spans="1:4" x14ac:dyDescent="0.25">
      <c r="A1401" s="2" t="str">
        <f>"56020522529"</f>
        <v>56020522529</v>
      </c>
      <c r="B1401" s="2" t="str">
        <f>"D28MM PIN + TOGGLE"</f>
        <v>D28MM PIN + TOGGLE</v>
      </c>
      <c r="C1401" s="4">
        <v>556.5</v>
      </c>
      <c r="D1401" s="9">
        <v>306.52020000000005</v>
      </c>
    </row>
    <row r="1402" spans="1:4" x14ac:dyDescent="0.25">
      <c r="A1402" s="2" t="str">
        <f>"56020530239"</f>
        <v>56020530239</v>
      </c>
      <c r="B1402" s="2" t="str">
        <f>"FOIL SECTION ADAPTATING PART SX39"</f>
        <v>FOIL SECTION ADAPTATING PART SX39</v>
      </c>
      <c r="C1402" s="4">
        <v>285.8</v>
      </c>
      <c r="D1402" s="9">
        <v>157.41864000000001</v>
      </c>
    </row>
    <row r="1403" spans="1:4" x14ac:dyDescent="0.25">
      <c r="A1403" s="2" t="str">
        <f>"56020530248"</f>
        <v>56020530248</v>
      </c>
      <c r="B1403" s="2" t="str">
        <f>"FOIL SECTION ADAPTATING PART SX47"</f>
        <v>FOIL SECTION ADAPTATING PART SX47</v>
      </c>
      <c r="C1403" s="4">
        <v>290.20000000000005</v>
      </c>
      <c r="D1403" s="9">
        <v>159.84216000000004</v>
      </c>
    </row>
    <row r="1404" spans="1:4" x14ac:dyDescent="0.25">
      <c r="A1404" s="2" t="str">
        <f>"56020541016"</f>
        <v>56020541016</v>
      </c>
      <c r="B1404" s="2" t="str">
        <f>"S/S LINK PLATES 10-17 PIN 15.6"</f>
        <v>S/S LINK PLATES 10-17 PIN 15.6</v>
      </c>
      <c r="C1404" s="4">
        <v>290.20000000000005</v>
      </c>
      <c r="D1404" s="9">
        <v>159.84216000000004</v>
      </c>
    </row>
    <row r="1405" spans="1:4" x14ac:dyDescent="0.25">
      <c r="A1405" s="2" t="str">
        <f>"56020541219"</f>
        <v>56020541219</v>
      </c>
      <c r="B1405" s="2" t="str">
        <f>"S/S LINK PLATES 12-22 PIN 18.5"</f>
        <v>S/S LINK PLATES 12-22 PIN 18.5</v>
      </c>
      <c r="C1405" s="4">
        <v>290.20000000000005</v>
      </c>
      <c r="D1405" s="9">
        <v>159.84216000000004</v>
      </c>
    </row>
    <row r="1406" spans="1:4" x14ac:dyDescent="0.25">
      <c r="A1406" s="2" t="str">
        <f>"56020541422"</f>
        <v>56020541422</v>
      </c>
      <c r="B1406" s="2" t="str">
        <f>"S/S LINK PLATES 14-30 PIN 21.5"</f>
        <v>S/S LINK PLATES 14-30 PIN 21.5</v>
      </c>
      <c r="C1406" s="4">
        <v>996.7</v>
      </c>
      <c r="D1406" s="9">
        <v>548.9823600000002</v>
      </c>
    </row>
    <row r="1407" spans="1:4" x14ac:dyDescent="0.25">
      <c r="A1407" s="2" t="str">
        <f>"56020590002"</f>
        <v>56020590002</v>
      </c>
      <c r="B1407" s="2" t="str">
        <f>"RMEJ 1 STAINLESS STELL COVER"</f>
        <v>RMEJ 1 STAINLESS STELL COVER</v>
      </c>
      <c r="C1407" s="4">
        <v>281.5</v>
      </c>
      <c r="D1407" s="9">
        <v>155.05020000000002</v>
      </c>
    </row>
    <row r="1408" spans="1:4" x14ac:dyDescent="0.25">
      <c r="A1408" s="2" t="str">
        <f>"56020701470"</f>
        <v>56020701470</v>
      </c>
      <c r="B1408" s="2" t="str">
        <f>"EC47 MOTOR KIT"</f>
        <v>EC47 MOTOR KIT</v>
      </c>
      <c r="C1408" s="4">
        <v>22251.3</v>
      </c>
      <c r="D1408" s="9">
        <v>12256.01604</v>
      </c>
    </row>
    <row r="1409" spans="1:4" x14ac:dyDescent="0.25">
      <c r="A1409" s="2" t="str">
        <f>"56021001219"</f>
        <v>56021001219</v>
      </c>
      <c r="B1409" s="2" t="str">
        <f>"DRIVE UNIT RMEJ2.02 12V"</f>
        <v>DRIVE UNIT RMEJ2.02 12V</v>
      </c>
      <c r="C1409" s="4">
        <v>22251.3</v>
      </c>
      <c r="D1409" s="9">
        <v>12256.01604</v>
      </c>
    </row>
    <row r="1410" spans="1:4" x14ac:dyDescent="0.25">
      <c r="A1410" s="2" t="str">
        <f>"56021002419"</f>
        <v>56021002419</v>
      </c>
      <c r="B1410" s="2" t="str">
        <f>"DRIVE UNIT RMEJ2.02 24V"</f>
        <v>DRIVE UNIT RMEJ2.02 24V</v>
      </c>
      <c r="C1410" s="4">
        <v>1522.1</v>
      </c>
      <c r="D1410" s="9">
        <v>838.37268000000006</v>
      </c>
    </row>
    <row r="1411" spans="1:4" x14ac:dyDescent="0.25">
      <c r="A1411" s="2" t="str">
        <f>"56021010002"</f>
        <v>56021010002</v>
      </c>
      <c r="B1411" s="2" t="str">
        <f>"DRIVE BELT MEJ 2.02 (KIT)"</f>
        <v>DRIVE BELT MEJ 2.02 (KIT)</v>
      </c>
      <c r="C1411" s="4">
        <v>285.20000000000005</v>
      </c>
      <c r="D1411" s="9">
        <v>157.08816000000004</v>
      </c>
    </row>
    <row r="1412" spans="1:4" x14ac:dyDescent="0.25">
      <c r="A1412" s="2" t="str">
        <f>"56021010004"</f>
        <v>56021010004</v>
      </c>
      <c r="B1412" s="2" t="str">
        <f>"TRANSMISSION BELT FOR MEJ2.02"</f>
        <v>TRANSMISSION BELT FOR MEJ2.02</v>
      </c>
      <c r="C1412" s="4">
        <v>252.79999999999998</v>
      </c>
      <c r="D1412" s="9">
        <v>139.24224000000001</v>
      </c>
    </row>
    <row r="1413" spans="1:4" x14ac:dyDescent="0.25">
      <c r="A1413" s="2" t="str">
        <f>"56021012114"</f>
        <v>56021012114</v>
      </c>
      <c r="B1413" s="2" t="str">
        <f>"RMEJ2.02 TOP TOOGLE PIN D21.5MM"</f>
        <v>RMEJ2.02 TOP TOOGLE PIN D21.5MM</v>
      </c>
      <c r="C1413" s="4">
        <v>291.60000000000002</v>
      </c>
      <c r="D1413" s="9">
        <v>160.61328000000003</v>
      </c>
    </row>
    <row r="1414" spans="1:4" x14ac:dyDescent="0.25">
      <c r="A1414" s="2" t="str">
        <f>"56021012517"</f>
        <v>56021012517</v>
      </c>
      <c r="B1414" s="2" t="str">
        <f>"RMEJ2.02 TOP TOOGLE PIN D25MM"</f>
        <v>RMEJ2.02 TOP TOOGLE PIN D25MM</v>
      </c>
      <c r="C1414" s="4">
        <v>331.8</v>
      </c>
      <c r="D1414" s="9">
        <v>182.75544000000002</v>
      </c>
    </row>
    <row r="1415" spans="1:4" x14ac:dyDescent="0.25">
      <c r="A1415" s="2" t="str">
        <f>"56021013123"</f>
        <v>56021013123</v>
      </c>
      <c r="B1415" s="2" t="str">
        <f>"RMEJ2.02 TOP TOOGLE PIN D31.5MM"</f>
        <v>RMEJ2.02 TOP TOOGLE PIN D31.5MM</v>
      </c>
      <c r="C1415" s="4">
        <v>1322</v>
      </c>
      <c r="D1415" s="9">
        <v>728.15760000000012</v>
      </c>
    </row>
    <row r="1416" spans="1:4" x14ac:dyDescent="0.25">
      <c r="A1416" s="2" t="str">
        <f>"56021022516"</f>
        <v>56021022516</v>
      </c>
      <c r="B1416" s="2" t="str">
        <f>"D25MM PIN + TOGGLE"</f>
        <v>D25MM PIN + TOGGLE</v>
      </c>
      <c r="C1416" s="4">
        <v>2857.6</v>
      </c>
      <c r="D1416" s="9">
        <v>1573.9660800000001</v>
      </c>
    </row>
    <row r="1417" spans="1:4" x14ac:dyDescent="0.25">
      <c r="A1417" s="2" t="str">
        <f>"56021023122"</f>
        <v>56021023122</v>
      </c>
      <c r="B1417" s="2" t="str">
        <f>"D31.5MM PIN + TOGGLE"</f>
        <v>D31.5MM PIN + TOGGLE</v>
      </c>
      <c r="C1417" s="4">
        <v>428.3</v>
      </c>
      <c r="D1417" s="9">
        <v>235.90764000000004</v>
      </c>
    </row>
    <row r="1418" spans="1:4" x14ac:dyDescent="0.25">
      <c r="A1418" s="2" t="str">
        <f>"56021030253"</f>
        <v>56021030253</v>
      </c>
      <c r="B1418" s="2" t="str">
        <f>"FOIL SECTION ADAPTATING PART SX53"</f>
        <v>FOIL SECTION ADAPTATING PART SX53</v>
      </c>
      <c r="C1418" s="4">
        <v>521.1</v>
      </c>
      <c r="D1418" s="9">
        <v>287.02188000000001</v>
      </c>
    </row>
    <row r="1419" spans="1:4" x14ac:dyDescent="0.25">
      <c r="A1419" s="2" t="str">
        <f>"56021041625"</f>
        <v>56021041625</v>
      </c>
      <c r="B1419" s="2" t="str">
        <f>"S/S LINK PLATES 16-40 PIN 25"</f>
        <v>S/S LINK PLATES 16-40 PIN 25</v>
      </c>
      <c r="C1419" s="4">
        <v>1152.0999999999999</v>
      </c>
      <c r="D1419" s="9">
        <v>634.57668000000001</v>
      </c>
    </row>
    <row r="1420" spans="1:4" x14ac:dyDescent="0.25">
      <c r="A1420" s="2" t="str">
        <f>"56021590002"</f>
        <v>56021590002</v>
      </c>
      <c r="B1420" s="2" t="str">
        <f>"RMEJ 2 STAINLESS STELL COVER"</f>
        <v>RMEJ 2 STAINLESS STELL COVER</v>
      </c>
      <c r="C1420" s="4">
        <v>893.7</v>
      </c>
      <c r="D1420" s="9">
        <v>492.2499600000001</v>
      </c>
    </row>
    <row r="1421" spans="1:4" x14ac:dyDescent="0.25">
      <c r="A1421" s="2" t="str">
        <f>"56024001005"</f>
        <v>56024001005</v>
      </c>
      <c r="B1421" s="2" t="str">
        <f>"RADIO REMOTE CONTROL"</f>
        <v>RADIO REMOTE CONTROL</v>
      </c>
      <c r="C1421" s="4">
        <v>202.4</v>
      </c>
      <c r="D1421" s="9">
        <v>111.48192</v>
      </c>
    </row>
    <row r="1422" spans="1:4" x14ac:dyDescent="0.25">
      <c r="A1422" s="2" t="str">
        <f>"56024001020"</f>
        <v>56024001020</v>
      </c>
      <c r="B1422" s="2" t="str">
        <f>"WIRE CONTROL"</f>
        <v>WIRE CONTROL</v>
      </c>
      <c r="C1422" s="4">
        <v>98.199999999999989</v>
      </c>
      <c r="D1422" s="9">
        <v>54.088560000000001</v>
      </c>
    </row>
    <row r="1423" spans="1:4" x14ac:dyDescent="0.25">
      <c r="A1423" s="2" t="str">
        <f>"56024001030"</f>
        <v>56024001030</v>
      </c>
      <c r="B1423" s="2" t="str">
        <f>"6 PLUG CONNECTION"</f>
        <v>6 PLUG CONNECTION</v>
      </c>
      <c r="C1423" s="4">
        <v>2685.4</v>
      </c>
      <c r="D1423" s="9">
        <v>1479.1183200000003</v>
      </c>
    </row>
    <row r="1424" spans="1:4" x14ac:dyDescent="0.25">
      <c r="A1424" s="2" t="str">
        <f>"56024001040"</f>
        <v>56024001040</v>
      </c>
      <c r="B1424" s="2" t="str">
        <f>"BOXTRON E14S 12V"</f>
        <v>BOXTRON E14S 12V</v>
      </c>
      <c r="C1424" s="4">
        <v>2739.1</v>
      </c>
      <c r="D1424" s="9">
        <v>1508.6962799999999</v>
      </c>
    </row>
    <row r="1425" spans="1:4" x14ac:dyDescent="0.25">
      <c r="A1425" s="2" t="str">
        <f>"56024001042"</f>
        <v>56024001042</v>
      </c>
      <c r="B1425" s="2" t="str">
        <f>"BOXTRON E14S  24V"</f>
        <v>BOXTRON E14S  24V</v>
      </c>
      <c r="C1425" s="4">
        <v>27.5</v>
      </c>
      <c r="D1425" s="9">
        <v>15.147000000000002</v>
      </c>
    </row>
    <row r="1426" spans="1:4" x14ac:dyDescent="0.25">
      <c r="A1426" s="2" t="str">
        <f>"56024001060"</f>
        <v>56024001060</v>
      </c>
      <c r="B1426" s="2" t="str">
        <f>"RED BOXTRON PLUG"</f>
        <v>RED BOXTRON PLUG</v>
      </c>
      <c r="C1426" s="4">
        <v>27.5</v>
      </c>
      <c r="D1426" s="9">
        <v>15.147000000000002</v>
      </c>
    </row>
    <row r="1427" spans="1:4" x14ac:dyDescent="0.25">
      <c r="A1427" s="2" t="str">
        <f>"56024001062"</f>
        <v>56024001062</v>
      </c>
      <c r="B1427" s="2" t="str">
        <f>"GREY BOXTRON PLUG"</f>
        <v>GREY BOXTRON PLUG</v>
      </c>
      <c r="C1427" s="4">
        <v>367.5</v>
      </c>
      <c r="D1427" s="9">
        <v>202.41900000000001</v>
      </c>
    </row>
    <row r="1428" spans="1:4" x14ac:dyDescent="0.25">
      <c r="A1428" s="2" t="str">
        <f>"56024005010"</f>
        <v>56024005010</v>
      </c>
      <c r="B1428" s="2" t="str">
        <f>"RADIO TRANSMITTER"</f>
        <v>RADIO TRANSMITTER</v>
      </c>
      <c r="C1428" s="4">
        <v>68.5</v>
      </c>
      <c r="D1428" s="9">
        <v>37.729800000000004</v>
      </c>
    </row>
    <row r="1429" spans="1:4" x14ac:dyDescent="0.25">
      <c r="A1429" s="2" t="str">
        <f>"56024006001"</f>
        <v>56024006001</v>
      </c>
      <c r="B1429" s="2" t="str">
        <f>"RMEJ1 THROUG DECK FITTING"</f>
        <v>RMEJ1 THROUG DECK FITTING</v>
      </c>
      <c r="C1429" s="4">
        <v>303</v>
      </c>
      <c r="D1429" s="9">
        <v>166.89240000000004</v>
      </c>
    </row>
    <row r="1430" spans="1:4" x14ac:dyDescent="0.25">
      <c r="A1430" s="2" t="str">
        <f>"56030020002"</f>
        <v>56030020002</v>
      </c>
      <c r="B1430" s="2" t="str">
        <f>"RMEJ2.02 TOP TOOGLE PIN D28MM"</f>
        <v>RMEJ2.02 TOP TOOGLE PIN D28MM</v>
      </c>
      <c r="C1430" s="4">
        <v>211.79999999999998</v>
      </c>
      <c r="D1430" s="9">
        <v>116.65944</v>
      </c>
    </row>
    <row r="1431" spans="1:4" x14ac:dyDescent="0.25">
      <c r="A1431" s="2" t="str">
        <f>"56030020034"</f>
        <v>56030020034</v>
      </c>
      <c r="B1431" s="2" t="str">
        <f>"RMEJ1.02 TOP TOOGLE PIN D21.5MM"</f>
        <v>RMEJ1.02 TOP TOOGLE PIN D21.5MM</v>
      </c>
      <c r="C1431" s="4">
        <v>1084.5999999999999</v>
      </c>
      <c r="D1431" s="9">
        <v>597.39768000000004</v>
      </c>
    </row>
    <row r="1432" spans="1:4" x14ac:dyDescent="0.25">
      <c r="A1432" s="2" t="str">
        <f>"88960389100"</f>
        <v>88960389100</v>
      </c>
      <c r="B1432" s="2" t="str">
        <f>"EQP Cast APX03TLIGHT LASH EYE"</f>
        <v>EQP Cast APX03TLIGHT LASH EYE</v>
      </c>
      <c r="C1432" s="4">
        <v>86.6</v>
      </c>
      <c r="D1432" s="9">
        <v>47.699280000000002</v>
      </c>
    </row>
    <row r="1433" spans="1:4" x14ac:dyDescent="0.25">
      <c r="A1433" s="2" t="str">
        <f>"89010000083"</f>
        <v>89010000083</v>
      </c>
      <c r="B1433" s="2" t="str">
        <f>"GUIDE FIXATION PLATE FD110-FD090"</f>
        <v>GUIDE FIXATION PLATE FD110-FD090</v>
      </c>
      <c r="C1433" s="4">
        <v>134.6</v>
      </c>
      <c r="D1433" s="9">
        <v>74.137680000000003</v>
      </c>
    </row>
    <row r="1434" spans="1:4" x14ac:dyDescent="0.25">
      <c r="A1434" s="2" t="str">
        <f>"89010000093"</f>
        <v>89010000093</v>
      </c>
      <c r="B1434" s="2" t="str">
        <f>"GUIDE FIXATION PLATE FD190-230/170/210"</f>
        <v>GUIDE FIXATION PLATE FD190-230/170/210</v>
      </c>
      <c r="C1434" s="4">
        <v>185.1</v>
      </c>
      <c r="D1434" s="9">
        <v>101.95308000000001</v>
      </c>
    </row>
    <row r="1435" spans="1:4" x14ac:dyDescent="0.25">
      <c r="A1435" s="2" t="str">
        <f>"89010000113"</f>
        <v>89010000113</v>
      </c>
      <c r="B1435" s="2" t="str">
        <f>"GUIDE FIXATION PLATE FD310/FD280"</f>
        <v>GUIDE FIXATION PLATE FD310/FD280</v>
      </c>
      <c r="C1435" s="4">
        <v>34.4</v>
      </c>
      <c r="D1435" s="9">
        <v>18.947520000000001</v>
      </c>
    </row>
    <row r="1436" spans="1:4" x14ac:dyDescent="0.25">
      <c r="A1436" s="2" t="str">
        <f>"89015409019"</f>
        <v>89015409019</v>
      </c>
      <c r="B1436" s="2" t="str">
        <f>"FD090-100 48MM LINK PLATE"</f>
        <v>FD090-100 48MM LINK PLATE</v>
      </c>
      <c r="C1436" s="4">
        <v>42.800000000000004</v>
      </c>
      <c r="D1436" s="9">
        <v>23.574240000000007</v>
      </c>
    </row>
    <row r="1437" spans="1:4" x14ac:dyDescent="0.25">
      <c r="A1437" s="2" t="str">
        <f>"89015411120"</f>
        <v>89015411120</v>
      </c>
      <c r="B1437" s="2" t="str">
        <f>"FD170-230 65MM LINK PLATE"</f>
        <v>FD170-230 65MM LINK PLATE</v>
      </c>
      <c r="C1437" s="4">
        <v>199.29999999999998</v>
      </c>
      <c r="D1437" s="9">
        <v>109.77444000000001</v>
      </c>
    </row>
    <row r="1438" spans="1:4" x14ac:dyDescent="0.25">
      <c r="A1438" s="2" t="str">
        <f>"89016600170"</f>
        <v>89016600170</v>
      </c>
      <c r="B1438" s="2" t="str">
        <f>"LINK PLATE CSP70 4TROUS EC47"</f>
        <v>LINK PLATE CSP70 4TROUS EC47</v>
      </c>
      <c r="C1438" s="4">
        <v>47.300000000000004</v>
      </c>
      <c r="D1438" s="9">
        <v>26.052840000000007</v>
      </c>
    </row>
    <row r="1439" spans="1:4" x14ac:dyDescent="0.25">
      <c r="A1439" s="2" t="str">
        <f>"89021040256"</f>
        <v>89021040256</v>
      </c>
      <c r="B1439" s="2" t="str">
        <f>"FX2500 BLOCK CHEEK"</f>
        <v>FX2500 BLOCK CHEEK</v>
      </c>
      <c r="C1439" s="4">
        <v>73.099999999999994</v>
      </c>
      <c r="D1439" s="9">
        <v>40.263480000000001</v>
      </c>
    </row>
    <row r="1440" spans="1:4" x14ac:dyDescent="0.25">
      <c r="A1440" s="2" t="str">
        <f>"89021040706"</f>
        <v>89021040706</v>
      </c>
      <c r="B1440" s="2" t="str">
        <f>"FX7000 BLOCK CHEEK"</f>
        <v>FX7000 BLOCK CHEEK</v>
      </c>
      <c r="C1440" s="4">
        <v>28</v>
      </c>
      <c r="D1440" s="9">
        <v>15.422400000000003</v>
      </c>
    </row>
    <row r="1441" spans="1:4" x14ac:dyDescent="0.25">
      <c r="A1441" s="2" t="str">
        <f>"89021050257"</f>
        <v>89021050257</v>
      </c>
      <c r="B1441" s="2" t="str">
        <f>"FX2500 CHEEK REINFORCEMENT"</f>
        <v>FX2500 CHEEK REINFORCEMENT</v>
      </c>
      <c r="C1441" s="4">
        <v>40.300000000000004</v>
      </c>
      <c r="D1441" s="9">
        <v>22.197240000000004</v>
      </c>
    </row>
    <row r="1442" spans="1:4" x14ac:dyDescent="0.25">
      <c r="A1442" s="2" t="str">
        <f>"89021050457"</f>
        <v>89021050457</v>
      </c>
      <c r="B1442" s="2" t="str">
        <f>"FX4500 CHEEK REINFORCEMENT"</f>
        <v>FX4500 CHEEK REINFORCEMENT</v>
      </c>
      <c r="C1442" s="4">
        <v>78.899999999999991</v>
      </c>
      <c r="D1442" s="9">
        <v>43.458120000000001</v>
      </c>
    </row>
    <row r="1443" spans="1:4" x14ac:dyDescent="0.25">
      <c r="A1443" s="2" t="str">
        <f>"89021050707"</f>
        <v>89021050707</v>
      </c>
      <c r="B1443" s="2" t="str">
        <f>"FX7000 CHEEK REINFORCEMENT"</f>
        <v>FX7000 CHEEK REINFORCEMENT</v>
      </c>
      <c r="C1443" s="4" t="e">
        <f>B1443/0.92</f>
        <v>#VALUE!</v>
      </c>
      <c r="D1443" s="9">
        <v>43.411421739130439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Wichard Sch 3</vt:lpstr>
      <vt:lpstr>Profurl Sch 3</vt:lpstr>
      <vt:lpstr>Facnor Sch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Van Note</dc:creator>
  <cp:lastModifiedBy>Mark Van Note</cp:lastModifiedBy>
  <dcterms:created xsi:type="dcterms:W3CDTF">2021-10-04T12:58:12Z</dcterms:created>
  <dcterms:modified xsi:type="dcterms:W3CDTF">2021-10-06T12:12:12Z</dcterms:modified>
</cp:coreProperties>
</file>